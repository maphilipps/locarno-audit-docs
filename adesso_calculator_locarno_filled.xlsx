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10.xml" ContentType="application/vnd.openxmlformats-officedocument.spreadsheetml.worksheet+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pivotTables/pivotTable4.xml" ContentType="application/vnd.openxmlformats-officedocument.spreadsheetml.pivotTable+xml"/>
  <Override PartName="/xl/worksheets/sheet14.xml" ContentType="application/vnd.openxmlformats-officedocument.spreadsheetml.worksheet+xml"/>
  <Override PartName="/xl/pivotTables/pivotTable5.xml" ContentType="application/vnd.openxmlformats-officedocument.spreadsheetml.pivotTable+xml"/>
  <Override PartName="/xl/worksheets/sheet15.xml" ContentType="application/vnd.openxmlformats-officedocument.spreadsheetml.worksheet+xml"/>
  <Override PartName="/xl/pivotTables/pivotTable6.xml" ContentType="application/vnd.openxmlformats-officedocument.spreadsheetml.pivotTable+xml"/>
  <Override PartName="/xl/worksheets/sheet16.xml" ContentType="application/vnd.openxmlformats-officedocument.spreadsheetml.worksheet+xml"/>
  <Override PartName="/xl/pivotTables/pivotTable7.xml" ContentType="application/vnd.openxmlformats-officedocument.spreadsheetml.pivotTable+xml"/>
  <Override PartName="/xl/worksheets/sheet17.xml" ContentType="application/vnd.openxmlformats-officedocument.spreadsheetml.worksheet+xml"/>
  <Override PartName="/xl/pivotTables/pivotTable8.xml" ContentType="application/vnd.openxmlformats-officedocument.spreadsheetml.pivotTable+xml"/>
  <Override PartName="/xl/worksheets/sheet18.xml" ContentType="application/vnd.openxmlformats-officedocument.spreadsheetml.worksheet+xml"/>
  <Override PartName="/xl/pivotTables/pivotTable9.xml" ContentType="application/vnd.openxmlformats-officedocument.spreadsheetml.pivotTable+xml"/>
  <Override PartName="/xl/worksheets/sheet19.xml" ContentType="application/vnd.openxmlformats-officedocument.spreadsheetml.worksheet+xml"/>
  <Override PartName="/xl/pivotTables/pivotTable10.xml" ContentType="application/vnd.openxmlformats-officedocument.spreadsheetml.pivotTable+xml"/>
  <Override PartName="/xl/worksheets/sheet20.xml" ContentType="application/vnd.openxmlformats-officedocument.spreadsheetml.worksheet+xml"/>
  <Override PartName="/xl/pivotTables/pivotTable11.xml" ContentType="application/vnd.openxmlformats-officedocument.spreadsheetml.pivotTable+xml"/>
  <Override PartName="/xl/worksheets/sheet21.xml" ContentType="application/vnd.openxmlformats-officedocument.spreadsheetml.worksheet+xml"/>
  <Override PartName="/xl/pivotTables/pivotTable12.xml" ContentType="application/vnd.openxmlformats-officedocument.spreadsheetml.pivotTable+xml"/>
  <Override PartName="/xl/worksheets/sheet22.xml" ContentType="application/vnd.openxmlformats-officedocument.spreadsheetml.worksheet+xml"/>
  <Override PartName="/xl/pivotTables/pivotTable13.xml" ContentType="application/vnd.openxmlformats-officedocument.spreadsheetml.pivotTable+xml"/>
  <Override PartName="/xl/worksheets/sheet23.xml" ContentType="application/vnd.openxmlformats-officedocument.spreadsheetml.worksheet+xml"/>
  <Override PartName="/xl/pivotTables/pivotTable14.xml" ContentType="application/vnd.openxmlformats-officedocument.spreadsheetml.pivot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31.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32.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33.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34.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35.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sheets/sheet36.xml" ContentType="application/vnd.openxmlformats-officedocument.spreadsheetml.worksheet+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worksheets/sheet37.xml" ContentType="application/vnd.openxmlformats-officedocument.spreadsheetml.worksheet+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worksheets/sheet38.xml" ContentType="application/vnd.openxmlformats-officedocument.spreadsheetml.worksheet+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worksheets/sheet39.xml" ContentType="application/vnd.openxmlformats-officedocument.spreadsheetml.worksheet+xml"/>
  <Override PartName="/xl/tables/table121.xml" ContentType="application/vnd.openxmlformats-officedocument.spreadsheetml.table+xml"/>
  <Override PartName="/xl/worksheets/sheet40.xml" ContentType="application/vnd.openxmlformats-officedocument.spreadsheetml.worksheet+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ables/table128.xml" ContentType="application/vnd.openxmlformats-officedocument.spreadsheetml.table+xml"/>
  <Override PartName="/xl/tables/table12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21280" yWindow="1660" windowWidth="41920" windowHeight="25560" tabRatio="818" firstSheet="0" activeTab="0" autoFilterDateGrouping="1"/>
  </bookViews>
  <sheets>
    <sheet name="Start" sheetId="1" state="visible" r:id="rId1"/>
    <sheet name="Features" sheetId="2" state="visible" r:id="rId2"/>
    <sheet name="Project tasks" sheetId="3" state="visible" r:id="rId3"/>
    <sheet name="Milestones" sheetId="4" state="veryHidden" r:id="rId4"/>
    <sheet name="Project risks" sheetId="5" state="visible" r:id="rId5"/>
    <sheet name="Project roles" sheetId="6" state="visible" r:id="rId6"/>
    <sheet name="Other costs" sheetId="7" state="visible" r:id="rId7"/>
    <sheet name="Change history" sheetId="8" state="visible" r:id="rId8"/>
    <sheet name="Summary" sheetId="9" state="visible" r:id="rId9"/>
    <sheet name="Chart | GANTT" sheetId="10" state="visible" r:id="rId10"/>
    <sheet name="Chart | Risks" sheetId="11" state="visible" r:id="rId11"/>
    <sheet name="Data pool" sheetId="12" state="visible" r:id="rId12"/>
    <sheet name="Chart | Item types" sheetId="13" state="visible" r:id="rId13"/>
    <sheet name="Pivot | Tasks" sheetId="14" state="visible" r:id="rId14"/>
    <sheet name="Pivot | Tasks over time " sheetId="15" state="visible" r:id="rId15"/>
    <sheet name="Chart | Tasks over time " sheetId="16" state="visible" r:id="rId16"/>
    <sheet name="Pivot | Features" sheetId="17" state="visible" r:id="rId17"/>
    <sheet name="Pivot | Roles" sheetId="18" state="visible" r:id="rId18"/>
    <sheet name="Chart | Roles" sheetId="19" state="visible" r:id="rId19"/>
    <sheet name="Pivot | Roles over time" sheetId="20" state="visible" r:id="rId20"/>
    <sheet name="Chart | Roles over time" sheetId="21" state="visible" r:id="rId21"/>
    <sheet name="Pivot | Risks" sheetId="22" state="visible" r:id="rId22"/>
    <sheet name="Pivot | Calc teams efforts" sheetId="23" state="visible" r:id="rId23"/>
    <sheet name="Countries" sheetId="24" state="visible" r:id="rId24"/>
    <sheet name="Companies" sheetId="25" state="visible" r:id="rId25"/>
    <sheet name="Locations" sheetId="26" state="visible" r:id="rId26"/>
    <sheet name="Seniority Levels" sheetId="27" state="visible" r:id="rId27"/>
    <sheet name="Log" sheetId="28" state="visible" r:id="rId28"/>
    <sheet name="(Templates)" sheetId="29" state="veryHidden" r:id="rId29"/>
    <sheet name="&lt;general_dev_de&gt;" sheetId="30" state="veryHidden" r:id="rId30"/>
    <sheet name="&lt;general_dev_en&gt;" sheetId="31" state="veryHidden" r:id="rId31"/>
    <sheet name="&lt;ams_appdev1_de&gt;" sheetId="32" state="veryHidden" r:id="rId32"/>
    <sheet name="&lt;ams_appdev1_en&gt;" sheetId="33" state="veryHidden" r:id="rId33"/>
    <sheet name="&lt;ams_a11y_de&gt;" sheetId="34" state="veryHidden" r:id="rId34"/>
    <sheet name="&lt;bank_afp_de&gt;" sheetId="35" state="veryHidden" r:id="rId35"/>
    <sheet name="&lt;at_devops_en&gt;" sheetId="36" state="veryHidden" r:id="rId36"/>
    <sheet name="&lt;test_complex_en&gt;" sheetId="37" state="veryHidden" r:id="rId37"/>
    <sheet name="&lt;test_simple_en&gt;" sheetId="38" state="veryHidden" r:id="rId38"/>
    <sheet name="(Calc teams efforts)" sheetId="39" state="veryHidden" r:id="rId39"/>
    <sheet name="(Lists)" sheetId="40" state="veryHidden" r:id="rId40"/>
    <sheet name="(Options)" sheetId="41" state="veryHidden" r:id="rId41"/>
    <sheet name="(Start Error Message)" sheetId="42" state="veryHidden" r:id="rId42"/>
    <sheet name="(Quick guide)" sheetId="43" state="veryHidden" r:id="rId43"/>
  </sheets>
  <definedNames>
    <definedName name="CF_AdminMode">'(Options)'!$B$11</definedName>
    <definedName name="CF_AllocateFirstRoleEffortsToOtherRoles">'(Options)'!$B$7</definedName>
    <definedName name="CF_Currency">'(Options)'!$B$3</definedName>
    <definedName name="CF_FTEdays">'(Options)'!$B$8</definedName>
    <definedName name="CF_IncludeInflation">'(Options)'!$B$5</definedName>
    <definedName name="CF_LinkManual">'(Options)'!$B$13</definedName>
    <definedName name="CF_LinkManualGerman">'(Options)'!$B$14</definedName>
    <definedName name="CF_LinkTeams">'(Options)'!$B$16</definedName>
    <definedName name="CF_ManualTableOfContents">'(Options)'!$B$15</definedName>
    <definedName name="CF_NoPriorSortedTasksGANTT">'(Options)'!$B$6</definedName>
    <definedName name="CF_TimePeriodType">'(Options)'!$B$4</definedName>
    <definedName name="CO_FirstRow">'Other costs'!$A$5</definedName>
    <definedName name="CO_HeaderAssumptions">'Other costs'!$C$4</definedName>
    <definedName name="CO_HeaderCosts">'Other costs'!$D$4</definedName>
    <definedName name="CO_HeaderDescr">'Other costs'!$B$4</definedName>
    <definedName name="CO_HeaderHandlingFee">'Other costs'!#REF!</definedName>
    <definedName name="CO_HeaderID">'Other costs'!$A$4</definedName>
    <definedName name="CO_HeaderPrice">'Other costs'!$E$4</definedName>
    <definedName name="CO_LastRow">'Other costs'!$A$36</definedName>
    <definedName name="FT_ChangedFeatureTasks">Features!$E$2</definedName>
    <definedName name="FT_EstimationMethod">Features!$G$3</definedName>
    <definedName name="FT_FirstRow">Features!$A$10</definedName>
    <definedName name="FT_HeaderAssumptions">Features!$H$8</definedName>
    <definedName name="FT_HeaderDescription">Features!$G$8</definedName>
    <definedName name="FT_HeaderEffort">Features!$Q$8</definedName>
    <definedName name="FT_HeaderFeature">Features!$E$8</definedName>
    <definedName name="FT_HeaderGroup">Features!$C$8</definedName>
    <definedName name="FT_HeaderPos">Features!$A$8</definedName>
    <definedName name="FT_HeaderRangeQuery">Features!$B$8</definedName>
    <definedName name="FT_HeaderRefID">Features!$J$8</definedName>
    <definedName name="FT_HeaderRisks">Features!$I$8</definedName>
    <definedName name="FT_HeaderStoryPoints">Features!$M$8</definedName>
    <definedName name="FT_HeaderSubFeature">Features!$F$8</definedName>
    <definedName name="FT_HeaderSubGroup">Features!$D$8</definedName>
    <definedName name="FT_HeaderThreeEfforts">Features!$N$8:$P$8</definedName>
    <definedName name="FT_HeaderTShirtSizes">Features!$L$8</definedName>
    <definedName name="FT_IndividualAveragePercentage">Features!$R$3:$AA$3</definedName>
    <definedName name="FT_InputAssistanceMethod">Features!$G$4</definedName>
    <definedName name="FT_KeyTaskFlags">Features!$R$5:$AA$5</definedName>
    <definedName name="FT_LastRow">Features!$A$56</definedName>
    <definedName name="FT_MethodCols">Features!$L$7:$P$7</definedName>
    <definedName name="FT_Tasks">Features!$R$8:$AA$8</definedName>
    <definedName name="FT_TotalEffort">Features!$Q$9</definedName>
    <definedName name="GC_HeaderDependency">'Chart | GANTT'!$G$4</definedName>
    <definedName name="GC_HeaderDuration">'Chart | GANTT'!$F$4</definedName>
    <definedName name="GC_HeaderFinish">'Chart | GANTT'!$H$4</definedName>
    <definedName name="GC_HeaderFirstPeriod">'Chart | GANTT'!$I$4</definedName>
    <definedName name="GC_HeaderID">'Chart | GANTT'!$C$4</definedName>
    <definedName name="GC_HeaderStart">'Chart | GANTT'!$E$4</definedName>
    <definedName name="GC_HeaderSummaryTask">'Chart | GANTT'!$B$4</definedName>
    <definedName name="GC_HeaderTask">'Chart | GANTT'!$D$4</definedName>
    <definedName name="GC_HeaderTaskGroup">'Chart | GANTT'!$A$4</definedName>
    <definedName name="GT_Efforts">'Project tasks'!#REF!</definedName>
    <definedName name="GT_EffortsRisks">'Project tasks'!$W$75:$AZ$75</definedName>
    <definedName name="GT_EffortsTravelTime">'Project tasks'!$W$73:$AZ$73</definedName>
    <definedName name="GT_EffortsWarranty">'Project tasks'!$W$74:$AZ$74</definedName>
    <definedName name="GT_EffortsWithoutWAAndTTAndRisks">'Project tasks'!$W$77:$AZ$77</definedName>
    <definedName name="GT_EffortWithoutWAAndTTAndRisks">'Project tasks'!$J$77</definedName>
    <definedName name="GT_FinishDateGANTT">'Project tasks'!$Q$70</definedName>
    <definedName name="GT_FirstRow">'Project tasks'!$A$12</definedName>
    <definedName name="GT_HeaderAssumptions">'Project tasks'!$F$10</definedName>
    <definedName name="GT_HeaderDependency">'Project tasks'!$S$10</definedName>
    <definedName name="GT_HeaderDescription">'Project tasks'!$E$10</definedName>
    <definedName name="GT_HeaderDuration">'Project tasks'!$R$10</definedName>
    <definedName name="GT_HeaderEffort">'Project tasks'!$J$10</definedName>
    <definedName name="GT_HeaderFinishDate">'Project tasks'!$Q$10</definedName>
    <definedName name="GT_HeaderFirstRole">'Project tasks'!$W$5</definedName>
    <definedName name="GT_HeaderFormula">'Project tasks'!$M$10</definedName>
    <definedName name="GT_HeaderGantt">'Project tasks'!$T$10</definedName>
    <definedName name="GT_HeaderGroup">'Project tasks'!$B$10</definedName>
    <definedName name="GT_HeaderNotAllocatedEffort">'Project tasks'!$V$10</definedName>
    <definedName name="GT_HeaderPos">'Project tasks'!$A$10</definedName>
    <definedName name="GT_HeaderRefID">'Project tasks'!$I$10</definedName>
    <definedName name="GT_HeaderResultFormula">'Project tasks'!$N$10</definedName>
    <definedName name="GT_HeaderRisks">'Project tasks'!$H$10</definedName>
    <definedName name="GT_HeaderSpecialTask">'Project tasks'!$G$10</definedName>
    <definedName name="GT_HeaderStartDate">'Project tasks'!$P$10</definedName>
    <definedName name="GT_HeaderSummaryTask">'Project tasks'!$C$10</definedName>
    <definedName name="GT_HeaderTask">'Project tasks'!$D$10</definedName>
    <definedName name="GT_HeaderUseFormula">'Project tasks'!$K$10</definedName>
    <definedName name="GT_HeaderVariable">'Project tasks'!$L$10</definedName>
    <definedName name="GT_LastRow">'Project tasks'!$A$69</definedName>
    <definedName name="GT_NumSprints">'Project tasks'!$M$6</definedName>
    <definedName name="GT_ProjectLength">'Project tasks'!$M$2</definedName>
    <definedName name="GT_ProjectRoles">'Project tasks'!$W$5:$AZ$5</definedName>
    <definedName name="GT_ProjectRolesEfforts">'Project tasks'!$W$11:$AZ$11</definedName>
    <definedName name="GT_ProjectRolesFTE">'Project tasks'!$W$2:$AZ$2</definedName>
    <definedName name="GT_ProjectRolesID">'Project tasks'!$W$4:$AZ$4</definedName>
    <definedName name="GT_StartDateGANTT">'Project tasks'!$P$70</definedName>
    <definedName name="GT_SummaryTasks">'Project tasks'!#REF!</definedName>
    <definedName name="GT_TeamSize">'Project tasks'!$M$5</definedName>
    <definedName name="LI_SpecialTasks">'(Lists)'!$E$7:$E$23</definedName>
    <definedName name="LOG_NumErrors">Log!$B$5</definedName>
    <definedName name="LOG_NumInfos">Log!$B$3</definedName>
    <definedName name="LOG_NumWarnings">Log!$B$4</definedName>
    <definedName name="RI_FirstRow">'Project risks'!$A$7</definedName>
    <definedName name="RI_HeaderDescription">'Project risks'!$C$5</definedName>
    <definedName name="RI_HeaderID">'Project risks'!$A$5</definedName>
    <definedName name="RI_HeaderImpact">'Project risks'!$F$5</definedName>
    <definedName name="RI_HeaderLikelihood">'Project risks'!$E$5</definedName>
    <definedName name="RI_HeaderLinkedItems">'Project risks'!$D$5</definedName>
    <definedName name="RI_HeaderTitle">'Project risks'!$B$5</definedName>
    <definedName name="RI_HeaderWeightedImpact">'Project risks'!$G$5</definedName>
    <definedName name="RI_LastRow">'Project risks'!$A$33</definedName>
    <definedName name="RI_WeightedImpact">'Project risks'!$G$6</definedName>
    <definedName name="RP_FirstRow">'Project roles'!$A$8</definedName>
    <definedName name="RP_HeaderAccountingRelatedCompany">'Project roles'!$H$7</definedName>
    <definedName name="RP_HeaderColNo">'Project roles'!$C$7</definedName>
    <definedName name="RP_HeaderCompany">'Project roles'!$G$7</definedName>
    <definedName name="RP_HeaderCountry">'Project roles'!$I$7</definedName>
    <definedName name="RP_HeaderDailyCosts">'Project roles'!$P$7</definedName>
    <definedName name="RP_HeaderDailyCostsTT">'Project roles'!$V$7</definedName>
    <definedName name="RP_HeaderDailyPrice">'Project roles'!$R$7</definedName>
    <definedName name="RP_HeaderDailyPriceTT">'Project roles'!$X$7</definedName>
    <definedName name="RP_HeaderInflationRate">'Project roles'!$J$7</definedName>
    <definedName name="RP_HeaderLocation">'Project roles'!$K$7</definedName>
    <definedName name="RP_HeaderProjectRole">'Project roles'!$B$7</definedName>
    <definedName name="RP_HeaderRoleID">'Project roles'!$A$7</definedName>
    <definedName name="RP_HeaderSeniorityLevel">'Project roles'!$L$7</definedName>
    <definedName name="RP_HeaderSubRole">'Project roles'!$E$7</definedName>
    <definedName name="RP_HeaderSubRoleID">'Project roles'!$D$7</definedName>
    <definedName name="RP_HeaderSubRolePercentage">'Project roles'!$F$7</definedName>
    <definedName name="RP_LastRow">'Project roles'!$A$27</definedName>
    <definedName name="ST_AccountingRelatedCompany">Start!$B$12</definedName>
    <definedName name="ST_CalculationProcess">Start!$B$16</definedName>
    <definedName name="ST_CalculationTemplate">Start!$B$14</definedName>
    <definedName name="ST_Contractor">Start!$B$11</definedName>
    <definedName name="ST_ContractType">Start!$B$9</definedName>
    <definedName name="ST_Customer">Start!$B$10</definedName>
    <definedName name="ST_LinkManual">Start!$B$1</definedName>
    <definedName name="ST_ProcessStep">Start!$B$17</definedName>
    <definedName name="ST_ProposalTitle">Start!$B$8</definedName>
    <definedName name="ST_Version">Start!$B$3</definedName>
    <definedName name="SU_AdjustedTotalPrice">Summary!$G$5</definedName>
    <definedName name="SU_Info">Summary!$C$17</definedName>
    <definedName name="SU_PercentageAdjustment">Summary!$H$6</definedName>
    <definedName name="SU_TotalPrice">Summary!$E$5</definedName>
    <definedName name="_xlnm._FilterDatabase" localSheetId="1" hidden="1">'Features'!$A$8:$J$56</definedName>
    <definedName name="_xlnm._FilterDatabase" localSheetId="2" hidden="1">'Project tasks'!$A$10:$J$69</definedName>
    <definedName name="_xlnm._FilterDatabase" localSheetId="4" hidden="1">'Project risks'!$A$5:$G$33</definedName>
  </definedNames>
  <calcPr calcId="191029" fullCalcOnLoad="1"/>
  <pivotCaches>
    <pivotCache cacheId="1" r:id="rId44"/>
  </pivotCaches>
</workbook>
</file>

<file path=xl/styles.xml><?xml version="1.0" encoding="utf-8"?>
<styleSheet xmlns="http://schemas.openxmlformats.org/spreadsheetml/2006/main">
  <numFmts count="18">
    <numFmt numFmtId="164" formatCode="#,##0.00&quot; days&quot;"/>
    <numFmt numFmtId="165" formatCode="#,##0.0&quot; FTE&quot;"/>
    <numFmt numFmtId="166" formatCode="#,##0.0&quot; weeks&quot;"/>
    <numFmt numFmtId="167" formatCode="&quot;Ø &quot;#,##0.00"/>
    <numFmt numFmtId="168" formatCode="&quot;(&quot;#,##0.0&quot; days/FTE/week)&quot;"/>
    <numFmt numFmtId="169" formatCode="0.0%"/>
    <numFmt numFmtId="170" formatCode="#,##0&quot;d&quot;"/>
    <numFmt numFmtId="171" formatCode="#,##0&quot; days&quot;"/>
    <numFmt numFmtId="172" formatCode="#,##0&quot; iterations&quot;"/>
    <numFmt numFmtId="173" formatCode="&quot;(actual: &quot;#,##0.0&quot; weeks)&quot;"/>
    <numFmt numFmtId="174" formatCode="&quot;(actual: &quot;#,##0.0&quot; FTE)&quot;"/>
    <numFmt numFmtId="175" formatCode="dd/mm/yyyy&quot; (GANTT)&quot;"/>
    <numFmt numFmtId="176" formatCode="#,##0.00\ &quot;€&quot;"/>
    <numFmt numFmtId="177" formatCode="0&quot; (max)&quot;"/>
    <numFmt numFmtId="178" formatCode="dd/mm/yyyy\ hh:mm:ss"/>
    <numFmt numFmtId="179" formatCode="#,##0.00&quot; days/year&quot;"/>
    <numFmt numFmtId="180" formatCode="m/d/yyyy"/>
    <numFmt numFmtId="181" formatCode="#,##0.0&quot; members&quot;"/>
  </numFmts>
  <fonts count="35">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1"/>
      <sz val="14"/>
      <scheme val="minor"/>
    </font>
    <font>
      <name val="Calibri"/>
      <family val="2"/>
      <color theme="10"/>
      <sz val="11"/>
      <u val="single"/>
      <scheme val="minor"/>
    </font>
    <font>
      <name val="Calibri"/>
      <family val="2"/>
      <b val="1"/>
      <color theme="1"/>
      <sz val="18"/>
      <scheme val="minor"/>
    </font>
    <font>
      <name val="Calibri"/>
      <family val="2"/>
      <b val="1"/>
      <color theme="4" tint="-0.249977111117893"/>
      <sz val="16"/>
      <scheme val="minor"/>
    </font>
    <font>
      <name val="Calibri"/>
      <family val="2"/>
      <color theme="0"/>
      <sz val="11"/>
      <scheme val="minor"/>
    </font>
    <font>
      <name val="Calibri"/>
      <family val="2"/>
      <sz val="8"/>
      <scheme val="minor"/>
    </font>
    <font>
      <name val="Calibri"/>
      <family val="2"/>
      <i val="1"/>
      <color theme="1"/>
      <sz val="10"/>
      <scheme val="minor"/>
    </font>
    <font>
      <name val="Calibri"/>
      <family val="2"/>
      <b val="1"/>
      <i val="1"/>
      <color theme="1"/>
      <sz val="10"/>
      <scheme val="minor"/>
    </font>
    <font>
      <name val="Calibri"/>
      <family val="2"/>
      <sz val="11"/>
      <scheme val="minor"/>
    </font>
    <font>
      <name val="Calibri"/>
      <family val="2"/>
      <color theme="1"/>
      <sz val="10"/>
      <scheme val="minor"/>
    </font>
    <font>
      <name val="Calibri"/>
      <family val="2"/>
      <color rgb="FF000000"/>
      <sz val="11"/>
      <scheme val="minor"/>
    </font>
    <font>
      <name val="Calibri"/>
      <family val="2"/>
      <color theme="1"/>
      <sz val="8"/>
      <scheme val="minor"/>
    </font>
    <font>
      <name val="Calibri"/>
      <family val="2"/>
      <i val="1"/>
      <color theme="1"/>
      <sz val="8"/>
      <scheme val="minor"/>
    </font>
    <font>
      <name val="Calibri"/>
      <family val="2"/>
      <b val="1"/>
      <color theme="1"/>
      <sz val="8"/>
      <scheme val="minor"/>
    </font>
    <font>
      <name val="Wingdings"/>
      <charset val="2"/>
      <color theme="1"/>
      <sz val="11"/>
    </font>
    <font>
      <name val="Calibri"/>
      <family val="2"/>
      <b val="1"/>
      <color theme="1"/>
      <sz val="10"/>
      <scheme val="minor"/>
    </font>
    <font>
      <name val="Segoe UI"/>
      <family val="2"/>
      <color indexed="81"/>
      <sz val="9"/>
    </font>
    <font>
      <name val="Segoe UI"/>
      <family val="2"/>
      <b val="1"/>
      <color indexed="81"/>
      <sz val="12"/>
    </font>
    <font>
      <name val="Segoe UI"/>
      <family val="2"/>
      <color indexed="81"/>
      <sz val="12"/>
    </font>
    <font>
      <name val="Segoe UI"/>
      <family val="2"/>
      <color indexed="81"/>
      <sz val="12"/>
      <u val="single"/>
    </font>
    <font>
      <name val="Calibri"/>
      <family val="2"/>
      <b val="1"/>
      <color rgb="FFFF0000"/>
      <sz val="11"/>
      <scheme val="minor"/>
    </font>
    <font>
      <name val="Calibri"/>
      <family val="2"/>
      <b val="1"/>
      <color theme="0"/>
      <sz val="11"/>
      <u val="single"/>
      <scheme val="minor"/>
    </font>
    <font>
      <name val="Calibri"/>
      <family val="2"/>
      <color theme="1"/>
      <sz val="9"/>
      <scheme val="minor"/>
    </font>
    <font>
      <name val="Calibri"/>
      <family val="2"/>
      <b val="1"/>
      <color theme="1"/>
      <sz val="9"/>
      <scheme val="minor"/>
    </font>
    <font>
      <name val="Calibri"/>
      <family val="2"/>
      <b val="1"/>
      <color theme="0"/>
      <sz val="8"/>
      <scheme val="minor"/>
    </font>
    <font>
      <name val="Calibri"/>
      <family val="2"/>
      <color theme="0"/>
      <sz val="8"/>
      <scheme val="minor"/>
    </font>
    <font>
      <name val="Calibri"/>
      <family val="2"/>
      <color rgb="FF000000"/>
      <sz val="8"/>
      <scheme val="minor"/>
    </font>
    <font>
      <name val="Calibri"/>
      <family val="2"/>
      <b val="1"/>
      <sz val="12"/>
      <scheme val="minor"/>
    </font>
    <font>
      <name val="Calibri"/>
      <family val="2"/>
      <color theme="1"/>
      <sz val="8"/>
      <u val="single"/>
      <scheme val="minor"/>
    </font>
    <font>
      <name val="Calibri"/>
      <family val="2"/>
      <color rgb="FFFF0000"/>
      <sz val="11"/>
      <scheme val="minor"/>
    </font>
    <font>
      <name val="Calibri"/>
      <family val="2"/>
      <b val="1"/>
      <sz val="8"/>
      <scheme val="minor"/>
    </font>
  </fonts>
  <fills count="13">
    <fill>
      <patternFill/>
    </fill>
    <fill>
      <patternFill patternType="gray125"/>
    </fill>
    <fill>
      <patternFill patternType="solid">
        <fgColor theme="7" tint="0.7999816888943144"/>
        <bgColor indexed="64"/>
      </patternFill>
    </fill>
    <fill>
      <patternFill patternType="solid">
        <fgColor theme="4" tint="-0.499984740745262"/>
        <bgColor indexed="64"/>
      </patternFill>
    </fill>
    <fill>
      <patternFill patternType="solid">
        <fgColor theme="4" tint="0.7999816888943144"/>
        <bgColor indexed="64"/>
      </patternFill>
    </fill>
    <fill>
      <patternFill patternType="solid">
        <fgColor theme="1" tint="0.3499862666707358"/>
        <bgColor indexed="64"/>
      </patternFill>
    </fill>
    <fill>
      <patternFill patternType="solid">
        <fgColor theme="5" tint="-0.49998474074526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
        <bgColor indexed="64"/>
      </patternFill>
    </fill>
    <fill>
      <patternFill patternType="solid">
        <fgColor theme="0" tint="-0.3499862666707358"/>
        <bgColor indexed="64"/>
      </patternFill>
    </fill>
    <fill>
      <patternFill patternType="solid">
        <fgColor theme="4"/>
        <bgColor indexed="64"/>
      </patternFill>
    </fill>
    <fill>
      <patternFill patternType="solid">
        <fgColor theme="0"/>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1"/>
      </left>
      <right style="thin">
        <color theme="0"/>
      </right>
      <top style="thin">
        <color auto="1"/>
      </top>
      <bottom style="thin">
        <color auto="1"/>
      </bottom>
      <diagonal/>
    </border>
    <border>
      <left style="thin">
        <color theme="0"/>
      </left>
      <right/>
      <top style="thin">
        <color auto="1"/>
      </top>
      <bottom style="thin">
        <color auto="1"/>
      </bottom>
      <diagonal/>
    </border>
    <border>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auto="1"/>
      </left>
      <right style="thin">
        <color theme="0"/>
      </right>
      <top style="thin">
        <color auto="1"/>
      </top>
      <bottom/>
      <diagonal/>
    </border>
    <border>
      <left style="thin">
        <color auto="1"/>
      </left>
      <right style="thin">
        <color theme="0"/>
      </right>
      <top/>
      <bottom/>
      <diagonal/>
    </border>
    <border>
      <left style="thin">
        <color auto="1"/>
      </left>
      <right style="thin">
        <color theme="0"/>
      </right>
      <top/>
      <bottom style="thin">
        <color auto="1"/>
      </bottom>
      <diagonal/>
    </border>
    <border>
      <left style="thin">
        <color theme="0"/>
      </left>
      <right style="thin">
        <color theme="0"/>
      </right>
      <top style="thin">
        <color theme="0"/>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right style="thin">
        <color auto="1"/>
      </right>
      <top/>
      <bottom/>
      <diagonal/>
    </border>
    <border>
      <left/>
      <right/>
      <top/>
      <bottom style="thin">
        <color auto="1"/>
      </bottom>
      <diagonal/>
    </border>
    <border>
      <left/>
      <right style="thin">
        <color theme="0"/>
      </right>
      <top style="thin">
        <color auto="1"/>
      </top>
      <bottom/>
      <diagonal/>
    </border>
    <border>
      <left style="thin">
        <color theme="0"/>
      </left>
      <right style="thin">
        <color theme="0"/>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hair">
        <color indexed="64"/>
      </top>
      <bottom style="hair">
        <color indexed="64"/>
      </bottom>
      <diagonal/>
    </border>
    <border>
      <left style="thin">
        <color theme="0"/>
      </left>
      <right style="thin">
        <color theme="0"/>
      </right>
      <top/>
      <bottom style="thin">
        <color theme="0"/>
      </bottom>
      <diagonal/>
    </border>
    <border>
      <left/>
      <right/>
      <top/>
      <bottom style="thin">
        <color theme="0"/>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auto="1"/>
      </right>
      <top style="thin">
        <color auto="1"/>
      </top>
      <bottom/>
      <diagonal/>
    </border>
  </borders>
  <cellStyleXfs count="3">
    <xf numFmtId="0" fontId="1" fillId="0" borderId="0"/>
    <xf numFmtId="9" fontId="1" fillId="0" borderId="0"/>
    <xf numFmtId="0" fontId="5" fillId="0" borderId="0"/>
  </cellStyleXfs>
  <cellXfs count="533">
    <xf numFmtId="0" fontId="0" fillId="0" borderId="0" pivotButton="0" quotePrefix="0" xfId="0"/>
    <xf numFmtId="49" fontId="6" fillId="0" borderId="0" applyAlignment="1" pivotButton="0" quotePrefix="0" xfId="0">
      <alignment horizontal="left" vertical="top"/>
    </xf>
    <xf numFmtId="0" fontId="0" fillId="0" borderId="0" applyAlignment="1" pivotButton="0" quotePrefix="0" xfId="0">
      <alignment vertical="top" wrapText="1"/>
    </xf>
    <xf numFmtId="0" fontId="0" fillId="0" borderId="0" applyAlignment="1" pivotButton="0" quotePrefix="0" xfId="0">
      <alignment vertical="top"/>
    </xf>
    <xf numFmtId="0" fontId="7" fillId="0" borderId="0" applyAlignment="1" pivotButton="0" quotePrefix="0" xfId="0">
      <alignment horizontal="left" vertical="top"/>
    </xf>
    <xf numFmtId="0" fontId="4" fillId="0" borderId="0" applyAlignment="1" pivotButton="0" quotePrefix="0" xfId="0">
      <alignment vertical="top"/>
    </xf>
    <xf numFmtId="0" fontId="3" fillId="2" borderId="1" applyAlignment="1" applyProtection="1" pivotButton="0" quotePrefix="0" xfId="0">
      <alignment vertical="center"/>
      <protection locked="0" hidden="0"/>
    </xf>
    <xf numFmtId="0" fontId="0" fillId="0" borderId="0" applyAlignment="1" pivotButton="0" quotePrefix="0" xfId="0">
      <alignment vertical="center"/>
    </xf>
    <xf numFmtId="0" fontId="0" fillId="0" borderId="0" applyAlignment="1" pivotButton="0" quotePrefix="0" xfId="0">
      <alignment horizontal="right" vertical="center"/>
    </xf>
    <xf numFmtId="14" fontId="3" fillId="2" borderId="1" applyAlignment="1" applyProtection="1" pivotButton="0" quotePrefix="0" xfId="0">
      <alignment horizontal="left" vertical="center"/>
      <protection locked="0" hidden="0"/>
    </xf>
    <xf numFmtId="0" fontId="10" fillId="0" borderId="0" applyAlignment="1" pivotButton="0" quotePrefix="0" xfId="0">
      <alignment horizontal="right"/>
    </xf>
    <xf numFmtId="164" fontId="2" fillId="3" borderId="5" applyAlignment="1" pivotButton="0" quotePrefix="0" xfId="0">
      <alignment horizontal="right" vertical="top" wrapText="1"/>
    </xf>
    <xf numFmtId="164" fontId="0" fillId="0" borderId="0" applyAlignment="1" pivotButton="0" quotePrefix="0" xfId="0">
      <alignment horizontal="right" vertical="top"/>
    </xf>
    <xf numFmtId="0" fontId="0" fillId="0" borderId="0" applyAlignment="1" pivotButton="0" quotePrefix="0" xfId="0">
      <alignment horizontal="center" vertical="top"/>
    </xf>
    <xf numFmtId="0" fontId="10" fillId="0" borderId="0" applyAlignment="1" pivotButton="0" quotePrefix="0" xfId="0">
      <alignment horizontal="right" vertical="top"/>
    </xf>
    <xf numFmtId="0" fontId="0" fillId="0" borderId="1" applyAlignment="1" pivotButton="0" quotePrefix="0" xfId="0">
      <alignment horizontal="center" vertical="top"/>
    </xf>
    <xf numFmtId="0" fontId="0" fillId="0" borderId="1" applyAlignment="1" pivotButton="0" quotePrefix="0" xfId="0">
      <alignment vertical="top" wrapText="1"/>
    </xf>
    <xf numFmtId="164" fontId="0" fillId="0" borderId="1" applyAlignment="1" pivotButton="0" quotePrefix="0" xfId="0">
      <alignment horizontal="right" vertical="top"/>
    </xf>
    <xf numFmtId="0" fontId="0" fillId="2" borderId="1" applyAlignment="1" pivotButton="0" quotePrefix="0" xfId="0">
      <alignment horizontal="center" vertical="top"/>
    </xf>
    <xf numFmtId="0" fontId="0" fillId="2" borderId="1" applyAlignment="1" pivotButton="0" quotePrefix="0" xfId="0">
      <alignment vertical="top" wrapText="1"/>
    </xf>
    <xf numFmtId="164" fontId="0" fillId="2" borderId="1" applyAlignment="1" pivotButton="0" quotePrefix="0" xfId="0">
      <alignment horizontal="right" vertical="top"/>
    </xf>
    <xf numFmtId="0" fontId="3" fillId="4" borderId="1" applyAlignment="1" pivotButton="0" quotePrefix="0" xfId="0">
      <alignment horizontal="center" vertical="top"/>
    </xf>
    <xf numFmtId="0" fontId="3" fillId="4" borderId="1" applyAlignment="1" pivotButton="0" quotePrefix="0" xfId="0">
      <alignment vertical="top" wrapText="1"/>
    </xf>
    <xf numFmtId="164" fontId="3" fillId="4" borderId="1" applyAlignment="1" pivotButton="0" quotePrefix="0" xfId="0">
      <alignment horizontal="right" vertical="top"/>
    </xf>
    <xf numFmtId="164" fontId="3" fillId="0" borderId="1" applyAlignment="1" pivotButton="0" quotePrefix="0" xfId="0">
      <alignment horizontal="right" vertical="top"/>
    </xf>
    <xf numFmtId="0" fontId="0" fillId="0" borderId="0" applyAlignment="1" pivotButton="0" quotePrefix="0" xfId="0">
      <alignment horizontal="left" vertical="top"/>
    </xf>
    <xf numFmtId="9" fontId="11" fillId="0" borderId="0" applyAlignment="1" pivotButton="0" quotePrefix="0" xfId="1">
      <alignment horizontal="right" vertical="top"/>
    </xf>
    <xf numFmtId="164" fontId="2" fillId="6" borderId="5" applyAlignment="1" pivotButton="0" quotePrefix="0" xfId="0">
      <alignment horizontal="right" vertical="top" wrapText="1"/>
    </xf>
    <xf numFmtId="164" fontId="2" fillId="6" borderId="7" applyAlignment="1" pivotButton="0" quotePrefix="0" xfId="0">
      <alignment horizontal="right" vertical="top" wrapText="1"/>
    </xf>
    <xf numFmtId="164" fontId="2" fillId="3" borderId="6" applyAlignment="1" pivotButton="0" quotePrefix="0" xfId="0">
      <alignment horizontal="right" vertical="top"/>
    </xf>
    <xf numFmtId="164" fontId="2" fillId="3" borderId="9" applyAlignment="1" pivotButton="0" quotePrefix="0" xfId="0">
      <alignment horizontal="right" vertical="top" wrapText="1"/>
    </xf>
    <xf numFmtId="164" fontId="2" fillId="6" borderId="4" applyAlignment="1" pivotButton="0" quotePrefix="0" xfId="0">
      <alignment horizontal="right" vertical="top" wrapText="1"/>
    </xf>
    <xf numFmtId="0" fontId="2" fillId="6" borderId="2" applyAlignment="1" pivotButton="0" quotePrefix="0" xfId="0">
      <alignment horizontal="center" vertical="top" wrapText="1"/>
    </xf>
    <xf numFmtId="0" fontId="2" fillId="6" borderId="1" applyAlignment="1" pivotButton="0" quotePrefix="0" xfId="0">
      <alignment horizontal="center" vertical="top" wrapText="1"/>
    </xf>
    <xf numFmtId="0" fontId="0" fillId="2" borderId="1" applyAlignment="1" pivotButton="0" quotePrefix="0" xfId="0">
      <alignment vertical="top"/>
    </xf>
    <xf numFmtId="0" fontId="0" fillId="0" borderId="1" applyAlignment="1" pivotButton="0" quotePrefix="0" xfId="0">
      <alignment vertical="top"/>
    </xf>
    <xf numFmtId="164" fontId="0" fillId="0" borderId="0" applyAlignment="1" pivotButton="0" quotePrefix="0" xfId="0">
      <alignment vertical="top"/>
    </xf>
    <xf numFmtId="4" fontId="0" fillId="0" borderId="0" applyAlignment="1" pivotButton="0" quotePrefix="0" xfId="1">
      <alignment horizontal="center" vertical="top"/>
    </xf>
    <xf numFmtId="4" fontId="0" fillId="4" borderId="1" applyAlignment="1" pivotButton="0" quotePrefix="0" xfId="1">
      <alignment horizontal="right" vertical="top"/>
    </xf>
    <xf numFmtId="4" fontId="0" fillId="2" borderId="1" applyAlignment="1" pivotButton="0" quotePrefix="0" xfId="1">
      <alignment horizontal="right" vertical="top"/>
    </xf>
    <xf numFmtId="9" fontId="0" fillId="0" borderId="0" applyAlignment="1" pivotButton="0" quotePrefix="0" xfId="1">
      <alignment horizontal="right" vertical="top"/>
    </xf>
    <xf numFmtId="0" fontId="0" fillId="4" borderId="1" applyAlignment="1" pivotButton="0" quotePrefix="0" xfId="0">
      <alignment vertical="top"/>
    </xf>
    <xf numFmtId="0" fontId="0" fillId="4" borderId="1" applyAlignment="1" pivotButton="0" quotePrefix="0" xfId="0">
      <alignment vertical="top" wrapText="1"/>
    </xf>
    <xf numFmtId="9" fontId="0" fillId="4" borderId="1" applyAlignment="1" pivotButton="0" quotePrefix="0" xfId="1">
      <alignment horizontal="right" vertical="top"/>
    </xf>
    <xf numFmtId="164" fontId="0" fillId="4" borderId="1" applyAlignment="1" pivotButton="0" quotePrefix="0" xfId="0">
      <alignment horizontal="right" vertical="top"/>
    </xf>
    <xf numFmtId="0" fontId="2" fillId="3" borderId="4" applyAlignment="1" pivotButton="0" quotePrefix="0" xfId="0">
      <alignment vertical="top"/>
    </xf>
    <xf numFmtId="0" fontId="2" fillId="3" borderId="5" applyAlignment="1" pivotButton="0" quotePrefix="0" xfId="0">
      <alignment vertical="top" wrapText="1"/>
    </xf>
    <xf numFmtId="9" fontId="2" fillId="3" borderId="5" applyAlignment="1" pivotButton="0" quotePrefix="0" xfId="1">
      <alignment horizontal="right" vertical="top" wrapText="1"/>
    </xf>
    <xf numFmtId="4" fontId="0" fillId="0" borderId="0" applyAlignment="1" pivotButton="0" quotePrefix="0" xfId="0">
      <alignment horizontal="right" vertical="top"/>
    </xf>
    <xf numFmtId="4" fontId="0" fillId="4" borderId="1" applyAlignment="1" pivotButton="0" quotePrefix="0" xfId="0">
      <alignment horizontal="right" vertical="top"/>
    </xf>
    <xf numFmtId="4" fontId="0" fillId="2" borderId="1" applyAlignment="1" pivotButton="0" quotePrefix="0" xfId="0">
      <alignment horizontal="right" vertical="top"/>
    </xf>
    <xf numFmtId="4" fontId="0" fillId="0" borderId="1" applyAlignment="1" pivotButton="0" quotePrefix="0" xfId="0">
      <alignment horizontal="right" vertical="top"/>
    </xf>
    <xf numFmtId="0" fontId="2" fillId="3" borderId="5" applyAlignment="1" pivotButton="0" quotePrefix="0" xfId="0">
      <alignment horizontal="center" vertical="top" wrapText="1"/>
    </xf>
    <xf numFmtId="0" fontId="0" fillId="4" borderId="1" applyAlignment="1" pivotButton="0" quotePrefix="0" xfId="0">
      <alignment horizontal="center" vertical="top" wrapText="1"/>
    </xf>
    <xf numFmtId="0" fontId="0" fillId="0" borderId="0" applyAlignment="1" pivotButton="0" quotePrefix="0" xfId="0">
      <alignment horizontal="right"/>
    </xf>
    <xf numFmtId="0" fontId="3" fillId="0" borderId="0" applyAlignment="1" pivotButton="0" quotePrefix="0" xfId="0">
      <alignment horizontal="right" vertical="center"/>
    </xf>
    <xf numFmtId="0" fontId="2" fillId="3" borderId="4" applyAlignment="1" pivotButton="0" quotePrefix="0" xfId="0">
      <alignment vertical="center"/>
    </xf>
    <xf numFmtId="0" fontId="2" fillId="3" borderId="5" applyAlignment="1" pivotButton="0" quotePrefix="0" xfId="0">
      <alignment vertical="center" wrapText="1"/>
    </xf>
    <xf numFmtId="4" fontId="2" fillId="3" borderId="13" applyAlignment="1" pivotButton="0" quotePrefix="0" xfId="0">
      <alignment horizontal="right" vertical="center"/>
    </xf>
    <xf numFmtId="0" fontId="2" fillId="3" borderId="9" applyAlignment="1" pivotButton="0" quotePrefix="0" xfId="0">
      <alignment horizontal="right" vertical="center" wrapText="1"/>
    </xf>
    <xf numFmtId="0" fontId="2" fillId="3" borderId="4" applyAlignment="1" pivotButton="0" quotePrefix="0" xfId="0">
      <alignment horizontal="center" vertical="top"/>
    </xf>
    <xf numFmtId="0" fontId="0" fillId="0" borderId="0" applyAlignment="1" pivotButton="0" quotePrefix="0" xfId="0">
      <alignment horizontal="left" vertical="center"/>
    </xf>
    <xf numFmtId="164" fontId="1" fillId="0" borderId="0" applyAlignment="1" pivotButton="0" quotePrefix="0" xfId="1">
      <alignment horizontal="right" vertical="top"/>
    </xf>
    <xf numFmtId="164" fontId="1" fillId="0" borderId="1" applyAlignment="1" pivotButton="0" quotePrefix="0" xfId="1">
      <alignment horizontal="right" vertical="top"/>
    </xf>
    <xf numFmtId="0" fontId="2" fillId="5" borderId="1" pivotButton="0" quotePrefix="0" xfId="0"/>
    <xf numFmtId="165" fontId="11" fillId="0" borderId="0" applyAlignment="1" pivotButton="0" quotePrefix="0" xfId="1">
      <alignment horizontal="center" vertical="center"/>
    </xf>
    <xf numFmtId="166" fontId="0" fillId="2" borderId="1" applyAlignment="1" pivotButton="0" quotePrefix="0" xfId="0">
      <alignment horizontal="right" vertical="center"/>
    </xf>
    <xf numFmtId="0" fontId="12" fillId="0" borderId="0" applyAlignment="1" pivotButton="0" quotePrefix="0" xfId="0">
      <alignment vertical="top" wrapText="1"/>
    </xf>
    <xf numFmtId="0" fontId="8" fillId="0" borderId="0" applyAlignment="1" pivotButton="0" quotePrefix="0" xfId="0">
      <alignment horizontal="center" vertical="top"/>
    </xf>
    <xf numFmtId="49"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2" fillId="3" borderId="8" applyAlignment="1" pivotButton="0" quotePrefix="0" xfId="0">
      <alignment vertical="top" wrapText="1"/>
    </xf>
    <xf numFmtId="0" fontId="2" fillId="3" borderId="7" applyAlignment="1" pivotButton="0" quotePrefix="0" xfId="0">
      <alignment vertical="top" wrapText="1"/>
    </xf>
    <xf numFmtId="0" fontId="3" fillId="4" borderId="1" applyAlignment="1" pivotButton="0" quotePrefix="0" xfId="0">
      <alignment horizontal="center" vertical="top" wrapText="1"/>
    </xf>
    <xf numFmtId="49" fontId="4" fillId="0" borderId="0" applyAlignment="1" pivotButton="0" quotePrefix="0" xfId="0">
      <alignment horizontal="left" vertical="top"/>
    </xf>
    <xf numFmtId="0" fontId="0" fillId="0" borderId="0" applyAlignment="1" pivotButton="0" quotePrefix="0" xfId="0">
      <alignment horizontal="right" vertical="top"/>
    </xf>
    <xf numFmtId="0" fontId="8" fillId="0" borderId="0" applyAlignment="1" pivotButton="0" quotePrefix="0" xfId="0">
      <alignment vertical="center"/>
    </xf>
    <xf numFmtId="0" fontId="8" fillId="0" borderId="0" applyAlignment="1" pivotButton="0" quotePrefix="0" xfId="0">
      <alignment horizontal="right" vertical="top"/>
    </xf>
    <xf numFmtId="0" fontId="0" fillId="0" borderId="0" applyAlignment="1" applyProtection="1" pivotButton="0" quotePrefix="0" xfId="0">
      <alignment vertical="top"/>
      <protection locked="0" hidden="0"/>
    </xf>
    <xf numFmtId="164" fontId="0" fillId="2" borderId="1" applyAlignment="1" pivotButton="0" quotePrefix="0" xfId="0">
      <alignment vertical="center"/>
    </xf>
    <xf numFmtId="9" fontId="13" fillId="2" borderId="1" applyAlignment="1" pivotButton="0" quotePrefix="0" xfId="1">
      <alignment horizontal="right" vertical="center"/>
    </xf>
    <xf numFmtId="0" fontId="0" fillId="0" borderId="0" applyAlignment="1" pivotButton="0" quotePrefix="0" xfId="0">
      <alignment horizontal="center"/>
    </xf>
    <xf numFmtId="164" fontId="14" fillId="2" borderId="1" applyAlignment="1" pivotButton="0" quotePrefix="0" xfId="0">
      <alignment horizontal="right" vertical="top"/>
    </xf>
    <xf numFmtId="164" fontId="0" fillId="0" borderId="0" applyAlignment="1" pivotButton="0" quotePrefix="0" xfId="0">
      <alignment horizontal="right" vertical="center"/>
    </xf>
    <xf numFmtId="164" fontId="14" fillId="7" borderId="1" applyAlignment="1" pivotButton="0" quotePrefix="0" xfId="0">
      <alignment horizontal="right" vertical="top"/>
    </xf>
    <xf numFmtId="9" fontId="14" fillId="2" borderId="1" applyAlignment="1" pivotButton="0" quotePrefix="0" xfId="1">
      <alignment horizontal="right" vertical="top"/>
    </xf>
    <xf numFmtId="0" fontId="2" fillId="3" borderId="1" applyAlignment="1" pivotButton="0" quotePrefix="0" xfId="0">
      <alignment vertical="center"/>
    </xf>
    <xf numFmtId="0" fontId="15" fillId="0" borderId="0" applyAlignment="1" pivotButton="0" quotePrefix="0" xfId="0">
      <alignment horizontal="left"/>
    </xf>
    <xf numFmtId="0" fontId="15" fillId="0" borderId="0" applyAlignment="1" pivotButton="0" quotePrefix="0" xfId="0">
      <alignment horizontal="center"/>
    </xf>
    <xf numFmtId="3" fontId="15" fillId="0" borderId="0" applyAlignment="1" pivotButton="0" quotePrefix="0" xfId="1">
      <alignment horizontal="center" vertical="center"/>
    </xf>
    <xf numFmtId="0" fontId="0" fillId="0" borderId="0" applyAlignment="1" pivotButton="0" quotePrefix="0" xfId="0">
      <alignment horizontal="left" vertical="top" wrapText="1"/>
    </xf>
    <xf numFmtId="0" fontId="0" fillId="0" borderId="0" applyAlignment="1" pivotButton="0" quotePrefix="0" xfId="0">
      <alignment wrapText="1"/>
    </xf>
    <xf numFmtId="164" fontId="3" fillId="4" borderId="1" applyAlignment="1" pivotButton="0" quotePrefix="0" xfId="0">
      <alignment horizontal="right" vertical="top" wrapText="1"/>
    </xf>
    <xf numFmtId="0" fontId="7" fillId="0" borderId="0" applyAlignment="1" pivotButton="0" quotePrefix="0" xfId="0">
      <alignment horizontal="left" vertical="center"/>
    </xf>
    <xf numFmtId="0" fontId="0" fillId="0" borderId="1" pivotButton="0" quotePrefix="0" xfId="0"/>
    <xf numFmtId="0" fontId="0" fillId="0" borderId="1" applyAlignment="1" pivotButton="0" quotePrefix="0" xfId="0">
      <alignment horizontal="left" vertical="top" wrapText="1"/>
    </xf>
    <xf numFmtId="164" fontId="0" fillId="0" borderId="0" applyAlignment="1" pivotButton="0" quotePrefix="0" xfId="0">
      <alignment horizontal="right"/>
    </xf>
    <xf numFmtId="49" fontId="6" fillId="0" borderId="0" applyAlignment="1" pivotButton="0" quotePrefix="0" xfId="0">
      <alignment horizontal="center" vertical="top"/>
    </xf>
    <xf numFmtId="0" fontId="7" fillId="0" borderId="0" applyAlignment="1" pivotButton="0" quotePrefix="0" xfId="0">
      <alignment horizontal="center" vertical="top"/>
    </xf>
    <xf numFmtId="0" fontId="0" fillId="4" borderId="1" applyAlignment="1" pivotButton="0" quotePrefix="0" xfId="0">
      <alignment horizontal="center" vertical="top"/>
    </xf>
    <xf numFmtId="0" fontId="0" fillId="5" borderId="0" applyAlignment="1" pivotButton="0" quotePrefix="0" xfId="0">
      <alignment horizontal="left" vertical="top"/>
    </xf>
    <xf numFmtId="0" fontId="0" fillId="0" borderId="0" applyAlignment="1" pivotButton="0" quotePrefix="0" xfId="0">
      <alignment horizontal="left"/>
    </xf>
    <xf numFmtId="49" fontId="0" fillId="0" borderId="0" applyAlignment="1" pivotButton="0" quotePrefix="0" xfId="0">
      <alignment horizontal="center" vertical="top" wrapText="1"/>
    </xf>
    <xf numFmtId="49" fontId="2" fillId="3" borderId="5" applyAlignment="1" pivotButton="0" quotePrefix="0" xfId="0">
      <alignment horizontal="center" vertical="top" wrapText="1"/>
    </xf>
    <xf numFmtId="49" fontId="3" fillId="4" borderId="1" applyAlignment="1" pivotButton="0" quotePrefix="0" xfId="0">
      <alignment horizontal="center" vertical="top" wrapText="1"/>
    </xf>
    <xf numFmtId="0" fontId="0" fillId="0" borderId="0" pivotButton="1" quotePrefix="0" xfId="0"/>
    <xf numFmtId="0" fontId="2" fillId="0" borderId="0" applyAlignment="1" pivotButton="0" quotePrefix="0" xfId="0">
      <alignment horizontal="center" vertical="center"/>
    </xf>
    <xf numFmtId="0" fontId="2" fillId="5" borderId="1" applyAlignment="1" pivotButton="0" quotePrefix="0" xfId="0">
      <alignment vertical="center"/>
    </xf>
    <xf numFmtId="164" fontId="0" fillId="4" borderId="17" applyAlignment="1" pivotButton="0" quotePrefix="0" xfId="0">
      <alignment vertical="top"/>
    </xf>
    <xf numFmtId="167" fontId="0" fillId="4" borderId="17" applyAlignment="1" pivotButton="0" quotePrefix="0" xfId="0">
      <alignment vertical="top"/>
    </xf>
    <xf numFmtId="4" fontId="2" fillId="3" borderId="16" applyAlignment="1" pivotButton="0" quotePrefix="0" xfId="0">
      <alignment horizontal="right" vertical="center"/>
    </xf>
    <xf numFmtId="4" fontId="2" fillId="3" borderId="16" applyAlignment="1" pivotButton="0" quotePrefix="0" xfId="0">
      <alignment horizontal="right" vertical="center" wrapText="1"/>
    </xf>
    <xf numFmtId="0" fontId="3" fillId="0" borderId="0" applyAlignment="1" pivotButton="0" quotePrefix="0" xfId="0">
      <alignment horizontal="right" vertical="top"/>
    </xf>
    <xf numFmtId="4" fontId="0" fillId="0" borderId="0" applyAlignment="1" pivotButton="0" quotePrefix="0" xfId="0">
      <alignment horizontal="right"/>
    </xf>
    <xf numFmtId="4" fontId="0" fillId="0" borderId="0" applyAlignment="1" pivotButton="0" quotePrefix="0" xfId="0">
      <alignment vertical="top"/>
    </xf>
    <xf numFmtId="0" fontId="0" fillId="4" borderId="1" pivotButton="0" quotePrefix="0" xfId="0"/>
    <xf numFmtId="164" fontId="3" fillId="4" borderId="1" pivotButton="0" quotePrefix="0" xfId="0"/>
    <xf numFmtId="4" fontId="3" fillId="4" borderId="1" applyAlignment="1" pivotButton="0" quotePrefix="0" xfId="0">
      <alignment horizontal="right"/>
    </xf>
    <xf numFmtId="4" fontId="3" fillId="4" borderId="1" pivotButton="0" quotePrefix="0" xfId="0"/>
    <xf numFmtId="164" fontId="0" fillId="0" borderId="1" pivotButton="0" quotePrefix="0" xfId="0"/>
    <xf numFmtId="4" fontId="0" fillId="0" borderId="1" applyAlignment="1" pivotButton="0" quotePrefix="0" xfId="0">
      <alignment horizontal="right"/>
    </xf>
    <xf numFmtId="4" fontId="3" fillId="2" borderId="1" applyAlignment="1" pivotButton="0" quotePrefix="0" xfId="0">
      <alignment horizontal="right"/>
    </xf>
    <xf numFmtId="9" fontId="0" fillId="4" borderId="1" applyAlignment="1" pivotButton="0" quotePrefix="0" xfId="1">
      <alignment horizontal="right"/>
    </xf>
    <xf numFmtId="0" fontId="2" fillId="5" borderId="1" applyAlignment="1" pivotButton="0" quotePrefix="0" xfId="0">
      <alignment horizontal="right" vertical="center"/>
    </xf>
    <xf numFmtId="0" fontId="2" fillId="5" borderId="1" applyAlignment="1" pivotButton="0" quotePrefix="0" xfId="0">
      <alignment horizontal="right" vertical="center" wrapText="1"/>
    </xf>
    <xf numFmtId="164" fontId="0" fillId="0" borderId="0" pivotButton="0" quotePrefix="0" xfId="0"/>
    <xf numFmtId="9" fontId="0" fillId="0" borderId="0" applyAlignment="1" pivotButton="0" quotePrefix="0" xfId="1">
      <alignment horizontal="right"/>
    </xf>
    <xf numFmtId="0" fontId="16" fillId="0" borderId="0" applyAlignment="1" pivotButton="0" quotePrefix="0" xfId="0">
      <alignment horizontal="right"/>
    </xf>
    <xf numFmtId="4" fontId="16" fillId="0" borderId="0" applyAlignment="1" pivotButton="0" quotePrefix="0" xfId="0">
      <alignment horizontal="right"/>
    </xf>
    <xf numFmtId="0" fontId="8" fillId="5" borderId="1" pivotButton="0" quotePrefix="0" xfId="0"/>
    <xf numFmtId="0" fontId="8" fillId="5" borderId="1" applyAlignment="1" pivotButton="0" quotePrefix="0" xfId="0">
      <alignment horizontal="right"/>
    </xf>
    <xf numFmtId="0" fontId="0" fillId="0" borderId="1" applyAlignment="1" pivotButton="0" quotePrefix="0" xfId="0">
      <alignment horizontal="left"/>
    </xf>
    <xf numFmtId="164" fontId="0" fillId="0" borderId="1" applyAlignment="1" pivotButton="0" quotePrefix="0" xfId="0">
      <alignment horizontal="right"/>
    </xf>
    <xf numFmtId="0" fontId="8" fillId="5" borderId="1" applyAlignment="1" pivotButton="0" quotePrefix="0" xfId="0">
      <alignment vertical="center"/>
    </xf>
    <xf numFmtId="0" fontId="8" fillId="5" borderId="1" applyAlignment="1" pivotButton="0" quotePrefix="0" xfId="0">
      <alignment horizontal="right" vertical="center"/>
    </xf>
    <xf numFmtId="10" fontId="0" fillId="0" borderId="1" applyAlignment="1" pivotButton="0" quotePrefix="0" xfId="1">
      <alignment horizontal="right"/>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0" fillId="0" borderId="0" applyAlignment="1" pivotButton="0" quotePrefix="0" xfId="0">
      <alignment horizontal="center" vertical="top" wrapText="1"/>
    </xf>
    <xf numFmtId="164" fontId="10" fillId="0" borderId="1" pivotButton="0" quotePrefix="0" xfId="0"/>
    <xf numFmtId="4" fontId="10" fillId="0" borderId="1" applyAlignment="1" pivotButton="0" quotePrefix="0" xfId="0">
      <alignment horizontal="right"/>
    </xf>
    <xf numFmtId="10" fontId="10" fillId="0" borderId="1" applyAlignment="1" pivotButton="0" quotePrefix="0" xfId="1">
      <alignment horizontal="right"/>
    </xf>
    <xf numFmtId="0" fontId="10" fillId="0" borderId="1" applyAlignment="1" pivotButton="0" quotePrefix="0" xfId="0">
      <alignment horizontal="left" indent="1"/>
    </xf>
    <xf numFmtId="164" fontId="2" fillId="3" borderId="7" applyAlignment="1" pivotButton="0" quotePrefix="0" xfId="0">
      <alignment horizontal="right" vertical="top"/>
    </xf>
    <xf numFmtId="9" fontId="3" fillId="4" borderId="1" applyAlignment="1" pivotButton="0" quotePrefix="0" xfId="1">
      <alignment horizontal="center"/>
    </xf>
    <xf numFmtId="9" fontId="0" fillId="0" borderId="1" applyAlignment="1" pivotButton="0" quotePrefix="0" xfId="1">
      <alignment horizontal="center"/>
    </xf>
    <xf numFmtId="168" fontId="15" fillId="0" borderId="0" applyAlignment="1" pivotButton="0" quotePrefix="0" xfId="0">
      <alignment horizontal="center" vertical="center"/>
    </xf>
    <xf numFmtId="0" fontId="13" fillId="0" borderId="0" applyAlignment="1" pivotButton="0" quotePrefix="0" xfId="0">
      <alignment vertical="top"/>
    </xf>
    <xf numFmtId="0" fontId="15" fillId="0" borderId="0" applyAlignment="1" pivotButton="0" quotePrefix="0" xfId="0">
      <alignment vertical="top"/>
    </xf>
    <xf numFmtId="16" fontId="8" fillId="0" borderId="0" applyAlignment="1" pivotButton="0" quotePrefix="0" xfId="0">
      <alignment horizontal="left" vertical="top"/>
    </xf>
    <xf numFmtId="0" fontId="2" fillId="3" borderId="14" applyAlignment="1" pivotButton="0" quotePrefix="0" xfId="0">
      <alignment vertical="top" wrapText="1"/>
    </xf>
    <xf numFmtId="0" fontId="2" fillId="3" borderId="14" applyAlignment="1" pivotButton="0" quotePrefix="0" xfId="0">
      <alignment horizontal="center" vertical="top" wrapText="1"/>
    </xf>
    <xf numFmtId="49" fontId="0" fillId="0" borderId="0" applyAlignment="1" pivotButton="0" quotePrefix="0" xfId="0">
      <alignment horizontal="center" vertical="center" wrapText="1"/>
    </xf>
    <xf numFmtId="0" fontId="2" fillId="3" borderId="8" applyAlignment="1" pivotButton="0" quotePrefix="0" xfId="0">
      <alignment horizontal="center" vertical="top" wrapText="1"/>
    </xf>
    <xf numFmtId="0" fontId="2" fillId="3" borderId="5" applyAlignment="1" pivotButton="0" quotePrefix="0" xfId="0">
      <alignment horizontal="left" vertical="top" wrapText="1"/>
    </xf>
    <xf numFmtId="0" fontId="3" fillId="4" borderId="1" applyAlignment="1" pivotButton="0" quotePrefix="0" xfId="0">
      <alignment horizontal="left" vertical="top" wrapText="1"/>
    </xf>
    <xf numFmtId="164" fontId="3" fillId="4" borderId="1" applyAlignment="1" pivotButton="0" quotePrefix="0" xfId="0">
      <alignment horizontal="right" vertical="center"/>
    </xf>
    <xf numFmtId="0" fontId="2" fillId="3" borderId="15" applyAlignment="1" pivotButton="0" quotePrefix="0" xfId="0">
      <alignment horizontal="right" vertical="top" wrapText="1"/>
    </xf>
    <xf numFmtId="0" fontId="14" fillId="7" borderId="1" applyAlignment="1" pivotButton="0" quotePrefix="0" xfId="0">
      <alignment horizontal="center" vertical="top"/>
    </xf>
    <xf numFmtId="0" fontId="14" fillId="7" borderId="1" applyAlignment="1" pivotButton="0" quotePrefix="0" xfId="0">
      <alignment vertical="top" wrapText="1"/>
    </xf>
    <xf numFmtId="0" fontId="14" fillId="7" borderId="1" applyAlignment="1" pivotButton="0" quotePrefix="0" xfId="0">
      <alignment horizontal="center" vertical="top" wrapText="1"/>
    </xf>
    <xf numFmtId="0" fontId="14" fillId="7" borderId="1" applyAlignment="1" pivotButton="0" quotePrefix="0" xfId="0">
      <alignment horizontal="left" vertical="top" wrapText="1"/>
    </xf>
    <xf numFmtId="0" fontId="14" fillId="7" borderId="1" applyAlignment="1" pivotButton="0" quotePrefix="0" xfId="0">
      <alignment vertical="top"/>
    </xf>
    <xf numFmtId="4" fontId="14" fillId="7" borderId="1" applyAlignment="1" pivotButton="0" quotePrefix="0" xfId="1">
      <alignment horizontal="right" vertical="top"/>
    </xf>
    <xf numFmtId="0" fontId="14" fillId="8" borderId="1" applyAlignment="1" pivotButton="0" quotePrefix="0" xfId="0">
      <alignment horizontal="center" vertical="top"/>
    </xf>
    <xf numFmtId="0" fontId="12" fillId="2" borderId="1" applyAlignment="1" pivotButton="0" quotePrefix="0" xfId="0">
      <alignment horizontal="center" vertical="top"/>
    </xf>
    <xf numFmtId="9" fontId="13" fillId="0" borderId="0" applyAlignment="1" pivotButton="0" quotePrefix="0" xfId="1">
      <alignment horizontal="right" vertical="center"/>
    </xf>
    <xf numFmtId="0" fontId="7" fillId="0" borderId="0" applyAlignment="1" pivotButton="0" quotePrefix="0" xfId="0">
      <alignment vertical="top"/>
    </xf>
    <xf numFmtId="9" fontId="13" fillId="9" borderId="0" applyAlignment="1" pivotButton="0" quotePrefix="0" xfId="1">
      <alignment horizontal="right" vertical="top"/>
    </xf>
    <xf numFmtId="49" fontId="0" fillId="2" borderId="1" applyAlignment="1" pivotButton="0" quotePrefix="0" xfId="0">
      <alignment horizontal="left" vertical="top" wrapText="1"/>
    </xf>
    <xf numFmtId="9" fontId="19" fillId="0" borderId="0" applyAlignment="1" pivotButton="0" quotePrefix="0" xfId="1">
      <alignment horizontal="right" vertical="center"/>
    </xf>
    <xf numFmtId="164" fontId="18" fillId="0" borderId="0" applyAlignment="1" pivotButton="0" quotePrefix="0" xfId="1">
      <alignment horizontal="right" vertical="top"/>
    </xf>
    <xf numFmtId="0" fontId="14" fillId="8" borderId="1" applyAlignment="1" pivotButton="0" quotePrefix="0" xfId="0">
      <alignment vertical="top" wrapText="1"/>
    </xf>
    <xf numFmtId="0" fontId="14" fillId="8" borderId="1" applyAlignment="1" pivotButton="0" quotePrefix="0" xfId="0">
      <alignment vertical="top"/>
    </xf>
    <xf numFmtId="0" fontId="2" fillId="5" borderId="2" applyAlignment="1" pivotButton="0" quotePrefix="0" xfId="0">
      <alignment horizontal="center" vertical="center"/>
    </xf>
    <xf numFmtId="0" fontId="15" fillId="0" borderId="0" pivotButton="0" quotePrefix="0" xfId="0"/>
    <xf numFmtId="9" fontId="13" fillId="0" borderId="0" applyAlignment="1" pivotButton="0" quotePrefix="0" xfId="1">
      <alignment horizontal="right"/>
    </xf>
    <xf numFmtId="0" fontId="0" fillId="4" borderId="17" applyAlignment="1" pivotButton="0" quotePrefix="0" xfId="0">
      <alignment horizontal="center" vertical="top"/>
    </xf>
    <xf numFmtId="0" fontId="15" fillId="0" borderId="0" applyAlignment="1" pivotButton="0" quotePrefix="0" xfId="0">
      <alignment wrapText="1"/>
    </xf>
    <xf numFmtId="164" fontId="2" fillId="3" borderId="1" applyAlignment="1" pivotButton="0" quotePrefix="0" xfId="0">
      <alignment horizontal="right" vertical="top" wrapText="1"/>
    </xf>
    <xf numFmtId="14" fontId="1" fillId="0" borderId="0" applyAlignment="1" pivotButton="0" quotePrefix="0" xfId="1">
      <alignment horizontal="center" vertical="top"/>
    </xf>
    <xf numFmtId="14" fontId="2" fillId="3" borderId="4" applyAlignment="1" pivotButton="0" quotePrefix="0" xfId="0">
      <alignment horizontal="center" vertical="top" wrapText="1"/>
    </xf>
    <xf numFmtId="14" fontId="2" fillId="3" borderId="5" applyAlignment="1" pivotButton="0" quotePrefix="0" xfId="0">
      <alignment horizontal="center" vertical="top" wrapText="1"/>
    </xf>
    <xf numFmtId="14" fontId="3" fillId="4" borderId="1" applyAlignment="1" pivotButton="0" quotePrefix="0" xfId="0">
      <alignment horizontal="center" vertical="top" wrapText="1"/>
    </xf>
    <xf numFmtId="14" fontId="1" fillId="2" borderId="1" applyAlignment="1" pivotButton="0" quotePrefix="0" xfId="1">
      <alignment horizontal="center" vertical="top"/>
    </xf>
    <xf numFmtId="14" fontId="18" fillId="0" borderId="0" applyAlignment="1" pivotButton="0" quotePrefix="0" xfId="1">
      <alignment horizontal="center" vertical="top"/>
    </xf>
    <xf numFmtId="14" fontId="14" fillId="7" borderId="1" applyAlignment="1" pivotButton="0" quotePrefix="0" xfId="1">
      <alignment horizontal="center" vertical="top"/>
    </xf>
    <xf numFmtId="14" fontId="0" fillId="0" borderId="0" applyAlignment="1" pivotButton="0" quotePrefix="0" xfId="0">
      <alignment horizontal="left" vertical="top"/>
    </xf>
    <xf numFmtId="14" fontId="0" fillId="0" borderId="0" pivotButton="0" quotePrefix="0" xfId="0"/>
    <xf numFmtId="14" fontId="0" fillId="5" borderId="0" applyAlignment="1" pivotButton="0" quotePrefix="0" xfId="0">
      <alignment horizontal="left" vertical="top"/>
    </xf>
    <xf numFmtId="14" fontId="0" fillId="0" borderId="0" applyAlignment="1" pivotButton="0" quotePrefix="0" xfId="0">
      <alignment horizontal="right" vertical="top"/>
    </xf>
    <xf numFmtId="169" fontId="0" fillId="0" borderId="0" applyAlignment="1" pivotButton="0" quotePrefix="0" xfId="0">
      <alignment horizontal="center" vertical="top"/>
    </xf>
    <xf numFmtId="169" fontId="0" fillId="5" borderId="0" applyAlignment="1" pivotButton="0" quotePrefix="0" xfId="0">
      <alignment horizontal="center" vertical="top"/>
    </xf>
    <xf numFmtId="164" fontId="0" fillId="5" borderId="0" applyAlignment="1" pivotButton="0" quotePrefix="0" xfId="0">
      <alignment horizontal="right" vertical="top"/>
    </xf>
    <xf numFmtId="9" fontId="0" fillId="0" borderId="0" applyAlignment="1" pivotButton="0" quotePrefix="0" xfId="1">
      <alignment vertical="top"/>
    </xf>
    <xf numFmtId="9" fontId="0" fillId="0" borderId="0" applyAlignment="1" pivotButton="0" quotePrefix="0" xfId="1">
      <alignment horizontal="left" vertical="top"/>
    </xf>
    <xf numFmtId="9" fontId="0" fillId="5" borderId="0" applyAlignment="1" pivotButton="0" quotePrefix="0" xfId="1">
      <alignment vertical="top"/>
    </xf>
    <xf numFmtId="4" fontId="0" fillId="5" borderId="0" applyAlignment="1" pivotButton="0" quotePrefix="0" xfId="0">
      <alignment horizontal="right" vertical="top"/>
    </xf>
    <xf numFmtId="10" fontId="0" fillId="0" borderId="0" applyAlignment="1" pivotButton="0" quotePrefix="0" xfId="0">
      <alignment horizontal="center"/>
    </xf>
    <xf numFmtId="10" fontId="6" fillId="0" borderId="0" applyAlignment="1" pivotButton="0" quotePrefix="0" xfId="1">
      <alignment horizontal="center" vertical="top"/>
    </xf>
    <xf numFmtId="10" fontId="7" fillId="0" borderId="0" applyAlignment="1" pivotButton="0" quotePrefix="0" xfId="1">
      <alignment horizontal="center" vertical="top"/>
    </xf>
    <xf numFmtId="10" fontId="2" fillId="3" borderId="16" applyAlignment="1" pivotButton="0" quotePrefix="0" xfId="1">
      <alignment horizontal="center" vertical="center" wrapText="1"/>
    </xf>
    <xf numFmtId="10" fontId="0" fillId="4" borderId="17" applyAlignment="1" pivotButton="0" quotePrefix="0" xfId="1">
      <alignment horizontal="center" vertical="top"/>
    </xf>
    <xf numFmtId="10" fontId="0" fillId="0" borderId="1" applyAlignment="1" pivotButton="0" quotePrefix="0" xfId="1">
      <alignment horizontal="center" vertical="top"/>
    </xf>
    <xf numFmtId="10" fontId="0" fillId="0" borderId="0" applyAlignment="1" pivotButton="0" quotePrefix="0" xfId="1">
      <alignment horizontal="center" vertical="top"/>
    </xf>
    <xf numFmtId="0" fontId="8" fillId="5" borderId="0" pivotButton="0" quotePrefix="0" xfId="0"/>
    <xf numFmtId="0" fontId="1" fillId="2" borderId="1" applyAlignment="1" pivotButton="0" quotePrefix="0" xfId="1">
      <alignment horizontal="center" vertical="top"/>
    </xf>
    <xf numFmtId="164" fontId="1" fillId="0" borderId="0" applyAlignment="1" pivotButton="0" quotePrefix="0" xfId="1">
      <alignment horizontal="center" vertical="top"/>
    </xf>
    <xf numFmtId="170" fontId="3" fillId="4" borderId="1" applyAlignment="1" pivotButton="0" quotePrefix="0" xfId="0">
      <alignment horizontal="center" vertical="top" wrapText="1"/>
    </xf>
    <xf numFmtId="0" fontId="14" fillId="7" borderId="1" applyAlignment="1" pivotButton="0" quotePrefix="0" xfId="1">
      <alignment horizontal="center" vertical="top"/>
    </xf>
    <xf numFmtId="164" fontId="18" fillId="0" borderId="0" applyAlignment="1" pivotButton="0" quotePrefix="0" xfId="1">
      <alignment horizontal="center" vertical="top"/>
    </xf>
    <xf numFmtId="0" fontId="1" fillId="2" borderId="1" applyAlignment="1" pivotButton="0" quotePrefix="0" xfId="1">
      <alignment horizontal="left" vertical="top"/>
    </xf>
    <xf numFmtId="164" fontId="1" fillId="0" borderId="0" applyAlignment="1" pivotButton="0" quotePrefix="0" xfId="1">
      <alignment horizontal="left" vertical="top"/>
    </xf>
    <xf numFmtId="0" fontId="2" fillId="3" borderId="9" applyAlignment="1" pivotButton="0" quotePrefix="0" xfId="0">
      <alignment horizontal="left" vertical="top" wrapText="1"/>
    </xf>
    <xf numFmtId="164" fontId="3" fillId="4" borderId="1" applyAlignment="1" pivotButton="0" quotePrefix="0" xfId="0">
      <alignment horizontal="left" vertical="top" wrapText="1"/>
    </xf>
    <xf numFmtId="0" fontId="14" fillId="7" borderId="1" applyAlignment="1" pivotButton="0" quotePrefix="0" xfId="1">
      <alignment horizontal="left" vertical="top"/>
    </xf>
    <xf numFmtId="164" fontId="18" fillId="0" borderId="0" applyAlignment="1" pivotButton="0" quotePrefix="0" xfId="1">
      <alignment horizontal="left" vertical="top"/>
    </xf>
    <xf numFmtId="4" fontId="0" fillId="0" borderId="0" pivotButton="0" quotePrefix="0" xfId="0"/>
    <xf numFmtId="49" fontId="0" fillId="0" borderId="0" pivotButton="0" quotePrefix="0" xfId="0"/>
    <xf numFmtId="49" fontId="2" fillId="3" borderId="0" applyAlignment="1" pivotButton="0" quotePrefix="0" xfId="0">
      <alignment horizontal="center" vertical="top" wrapText="1"/>
    </xf>
    <xf numFmtId="49" fontId="2" fillId="3" borderId="21" applyAlignment="1" pivotButton="0" quotePrefix="0" xfId="0">
      <alignment vertical="top" wrapText="1"/>
    </xf>
    <xf numFmtId="49" fontId="2" fillId="3" borderId="10" applyAlignment="1" pivotButton="0" quotePrefix="0" xfId="0">
      <alignment horizontal="center" vertical="top" wrapText="1"/>
    </xf>
    <xf numFmtId="49" fontId="2" fillId="3" borderId="21" applyAlignment="1" pivotButton="0" quotePrefix="0" xfId="0">
      <alignment horizontal="center" vertical="top" wrapText="1"/>
    </xf>
    <xf numFmtId="0" fontId="0" fillId="0" borderId="0" pivotButton="0" quotePrefix="1" xfId="0"/>
    <xf numFmtId="171" fontId="0" fillId="0" borderId="0" applyAlignment="1" pivotButton="0" quotePrefix="0" xfId="0">
      <alignment horizontal="right"/>
    </xf>
    <xf numFmtId="49" fontId="2" fillId="3" borderId="10" applyAlignment="1" pivotButton="0" quotePrefix="0" xfId="0">
      <alignment horizontal="left" vertical="top"/>
    </xf>
    <xf numFmtId="49" fontId="2" fillId="3" borderId="21" applyAlignment="1" pivotButton="0" quotePrefix="0" xfId="0">
      <alignment horizontal="left" vertical="top" wrapText="1"/>
    </xf>
    <xf numFmtId="0" fontId="15" fillId="0" borderId="0" applyAlignment="1" pivotButton="0" quotePrefix="0" xfId="0">
      <alignment horizontal="left" wrapText="1"/>
    </xf>
    <xf numFmtId="0" fontId="15" fillId="0" borderId="0" applyAlignment="1" pivotButton="0" quotePrefix="0" xfId="0">
      <alignment horizontal="left" vertical="top" wrapText="1"/>
    </xf>
    <xf numFmtId="0" fontId="24" fillId="0" borderId="0" applyAlignment="1" pivotButton="0" quotePrefix="0" xfId="0">
      <alignment vertical="top"/>
    </xf>
    <xf numFmtId="0" fontId="24" fillId="0" borderId="0" applyAlignment="1" pivotButton="0" quotePrefix="0" xfId="0">
      <alignment horizontal="left" vertical="top"/>
    </xf>
    <xf numFmtId="22" fontId="12" fillId="0" borderId="0" applyAlignment="1" pivotButton="0" quotePrefix="0" xfId="0">
      <alignment horizontal="right" vertical="center"/>
    </xf>
    <xf numFmtId="0" fontId="3" fillId="0" borderId="1" applyAlignment="1" applyProtection="1" pivotButton="0" quotePrefix="0" xfId="0">
      <alignment vertical="center"/>
      <protection locked="0" hidden="0"/>
    </xf>
    <xf numFmtId="0" fontId="25" fillId="3" borderId="16" applyAlignment="1" pivotButton="0" quotePrefix="0" xfId="2">
      <alignment horizontal="center" vertical="center"/>
    </xf>
    <xf numFmtId="14" fontId="0" fillId="0" borderId="0" applyAlignment="1" applyProtection="1" pivotButton="0" quotePrefix="0" xfId="0">
      <alignment horizontal="right" vertical="center"/>
      <protection locked="0" hidden="0"/>
    </xf>
    <xf numFmtId="0" fontId="15" fillId="0" borderId="0" applyAlignment="1" pivotButton="0" quotePrefix="0" xfId="0">
      <alignment horizontal="left" vertical="center"/>
    </xf>
    <xf numFmtId="14" fontId="6" fillId="0" borderId="0" applyAlignment="1" pivotButton="0" quotePrefix="0" xfId="0">
      <alignment horizontal="left" vertical="top"/>
    </xf>
    <xf numFmtId="14" fontId="7" fillId="0" borderId="0" applyAlignment="1" pivotButton="0" quotePrefix="0" xfId="0">
      <alignment horizontal="left" vertical="top"/>
    </xf>
    <xf numFmtId="49" fontId="0" fillId="0" borderId="0" applyAlignment="1" pivotButton="0" quotePrefix="0" xfId="0">
      <alignment vertical="top" wrapText="1"/>
    </xf>
    <xf numFmtId="14" fontId="0" fillId="3" borderId="0" applyAlignment="1" pivotButton="0" quotePrefix="0" xfId="0">
      <alignment horizontal="center" vertical="top"/>
    </xf>
    <xf numFmtId="49" fontId="0" fillId="3" borderId="0" applyAlignment="1" pivotButton="0" quotePrefix="0" xfId="0">
      <alignment vertical="top" wrapText="1"/>
    </xf>
    <xf numFmtId="49" fontId="0" fillId="2" borderId="0" applyAlignment="1" pivotButton="0" quotePrefix="0" xfId="0">
      <alignment vertical="top" wrapText="1"/>
    </xf>
    <xf numFmtId="14" fontId="0" fillId="0" borderId="0" applyAlignment="1" pivotButton="0" quotePrefix="0" xfId="0">
      <alignment horizontal="center" vertical="top"/>
    </xf>
    <xf numFmtId="0" fontId="2" fillId="3" borderId="22" applyAlignment="1" pivotButton="0" quotePrefix="0" xfId="0">
      <alignment vertical="top"/>
    </xf>
    <xf numFmtId="0" fontId="2" fillId="3" borderId="23" applyAlignment="1" pivotButton="0" quotePrefix="0" xfId="0">
      <alignment vertical="top"/>
    </xf>
    <xf numFmtId="14" fontId="0" fillId="0" borderId="0" applyAlignment="1" applyProtection="1" pivotButton="0" quotePrefix="0" xfId="0">
      <alignment horizontal="left" vertical="center"/>
      <protection locked="0" hidden="0"/>
    </xf>
    <xf numFmtId="0" fontId="15" fillId="0" borderId="0" applyAlignment="1" pivotButton="0" quotePrefix="0" xfId="0">
      <alignment horizontal="left" vertical="top"/>
    </xf>
    <xf numFmtId="14" fontId="15" fillId="0" borderId="0" applyAlignment="1" pivotButton="0" quotePrefix="0" xfId="0">
      <alignment horizontal="left" vertical="top"/>
    </xf>
    <xf numFmtId="172" fontId="0" fillId="2" borderId="1" applyAlignment="1" pivotButton="0" quotePrefix="0" xfId="0">
      <alignment horizontal="right" vertical="center"/>
    </xf>
    <xf numFmtId="173" fontId="15" fillId="0" borderId="0" applyAlignment="1" pivotButton="0" quotePrefix="0" xfId="1">
      <alignment horizontal="center" vertical="center"/>
    </xf>
    <xf numFmtId="174" fontId="15" fillId="0" borderId="0" applyAlignment="1" pivotButton="0" quotePrefix="0" xfId="0">
      <alignment horizontal="center" vertical="center" wrapText="1"/>
    </xf>
    <xf numFmtId="164" fontId="15" fillId="0" borderId="0" applyAlignment="1" pivotButton="0" quotePrefix="0" xfId="0">
      <alignment horizontal="right" vertical="top" wrapText="1"/>
    </xf>
    <xf numFmtId="0" fontId="15" fillId="0" borderId="0" applyAlignment="1" pivotButton="0" quotePrefix="0" xfId="0">
      <alignment vertical="top" wrapText="1"/>
    </xf>
    <xf numFmtId="0" fontId="15" fillId="0" borderId="1" applyAlignment="1" pivotButton="0" quotePrefix="0" xfId="0">
      <alignment horizontal="left" vertical="center"/>
    </xf>
    <xf numFmtId="0" fontId="0" fillId="0" borderId="1" applyAlignment="1" pivotButton="0" quotePrefix="0" xfId="0">
      <alignment vertical="center" wrapText="1"/>
    </xf>
    <xf numFmtId="0" fontId="0" fillId="0" borderId="1" applyAlignment="1" pivotButton="0" quotePrefix="0" xfId="0">
      <alignment horizontal="center" vertical="center"/>
    </xf>
    <xf numFmtId="9" fontId="14" fillId="0" borderId="1" applyAlignment="1" pivotButton="0" quotePrefix="0" xfId="1">
      <alignment horizontal="right" vertical="center"/>
    </xf>
    <xf numFmtId="164" fontId="14" fillId="0" borderId="1" applyAlignment="1" pivotButton="0" quotePrefix="0" xfId="0">
      <alignment horizontal="right" vertical="center"/>
    </xf>
    <xf numFmtId="164" fontId="0" fillId="0" borderId="1" applyAlignment="1" pivotButton="0" quotePrefix="0" xfId="0">
      <alignment horizontal="right" vertical="center"/>
    </xf>
    <xf numFmtId="9" fontId="0" fillId="0" borderId="1" applyAlignment="1" pivotButton="0" quotePrefix="0" xfId="1">
      <alignment horizontal="right" vertical="center"/>
    </xf>
    <xf numFmtId="0" fontId="0" fillId="0" borderId="1" applyAlignment="1" pivotButton="0" quotePrefix="0" xfId="0">
      <alignment horizontal="left" vertical="center" wrapText="1"/>
    </xf>
    <xf numFmtId="49" fontId="0" fillId="0" borderId="1" applyAlignment="1" pivotButton="0" quotePrefix="0" xfId="0">
      <alignment horizontal="center" vertical="center" wrapText="1"/>
    </xf>
    <xf numFmtId="164" fontId="3" fillId="0" borderId="1" applyAlignment="1" pivotButton="0" quotePrefix="0" xfId="0">
      <alignment horizontal="right" vertical="center"/>
    </xf>
    <xf numFmtId="0" fontId="15" fillId="0" borderId="1" applyAlignment="1" pivotButton="0" quotePrefix="0" xfId="0">
      <alignment horizontal="left" vertical="center" wrapText="1"/>
    </xf>
    <xf numFmtId="49" fontId="15" fillId="0" borderId="1" applyAlignment="1" pivotButton="0" quotePrefix="0" xfId="0">
      <alignment horizontal="center" vertical="center" wrapText="1"/>
    </xf>
    <xf numFmtId="0" fontId="15" fillId="0" borderId="1" applyAlignment="1" pivotButton="0" quotePrefix="0" xfId="0">
      <alignment vertical="center" wrapText="1"/>
    </xf>
    <xf numFmtId="0" fontId="15" fillId="0" borderId="1" applyAlignment="1" pivotButton="0" quotePrefix="0" xfId="0">
      <alignment horizontal="center" vertical="center"/>
    </xf>
    <xf numFmtId="0" fontId="15" fillId="0" borderId="0" applyAlignment="1" pivotButton="0" quotePrefix="0" xfId="0">
      <alignment vertical="center"/>
    </xf>
    <xf numFmtId="164" fontId="15" fillId="0" borderId="1" applyAlignment="1" pivotButton="0" quotePrefix="0" xfId="0">
      <alignment horizontal="right" vertical="center"/>
    </xf>
    <xf numFmtId="164" fontId="17" fillId="0" borderId="1" applyAlignment="1" pivotButton="0" quotePrefix="0" xfId="0">
      <alignment horizontal="right" vertical="center"/>
    </xf>
    <xf numFmtId="0" fontId="0" fillId="0" borderId="1" applyAlignment="1" pivotButton="0" quotePrefix="0" xfId="0">
      <alignment horizontal="lef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164" fontId="3" fillId="0" borderId="1" applyAlignment="1" pivotButton="0" quotePrefix="0" xfId="0">
      <alignment horizontal="right" vertical="center" wrapText="1"/>
    </xf>
    <xf numFmtId="14"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64" fontId="3" fillId="0" borderId="1" applyAlignment="1" pivotButton="0" quotePrefix="0" xfId="0">
      <alignment horizontal="left" vertical="center" wrapText="1"/>
    </xf>
    <xf numFmtId="4" fontId="0" fillId="0" borderId="1" applyAlignment="1" pivotButton="0" quotePrefix="0" xfId="1">
      <alignment horizontal="right" vertical="center"/>
    </xf>
    <xf numFmtId="164" fontId="1" fillId="0" borderId="1" applyAlignment="1" pivotButton="0" quotePrefix="0" xfId="1">
      <alignment horizontal="right" vertical="center"/>
    </xf>
    <xf numFmtId="14" fontId="1" fillId="0" borderId="1" applyAlignment="1" pivotButton="0" quotePrefix="0" xfId="1">
      <alignment horizontal="center" vertical="center"/>
    </xf>
    <xf numFmtId="164" fontId="1" fillId="0" borderId="1" applyAlignment="1" pivotButton="0" quotePrefix="0" xfId="1">
      <alignment horizontal="center" vertical="center"/>
    </xf>
    <xf numFmtId="164" fontId="1" fillId="0" borderId="1" applyAlignment="1" pivotButton="0" quotePrefix="0" xfId="1">
      <alignment horizontal="left" vertical="center"/>
    </xf>
    <xf numFmtId="4" fontId="0" fillId="0" borderId="1" applyAlignment="1" pivotButton="0" quotePrefix="0" xfId="1">
      <alignment horizontal="center" vertical="center"/>
    </xf>
    <xf numFmtId="165" fontId="26" fillId="0" borderId="0" applyAlignment="1" pivotButton="0" quotePrefix="0" xfId="1">
      <alignment horizontal="center" vertical="center"/>
    </xf>
    <xf numFmtId="165" fontId="27" fillId="0" borderId="0" applyAlignment="1" pivotButton="0" quotePrefix="0" xfId="1">
      <alignment horizontal="center" vertical="center"/>
    </xf>
    <xf numFmtId="0" fontId="15" fillId="0" borderId="0" applyAlignment="1" pivotButton="0" quotePrefix="0" xfId="0">
      <alignment horizontal="right" vertical="top" wrapText="1"/>
    </xf>
    <xf numFmtId="0" fontId="5" fillId="0" borderId="0" applyAlignment="1" pivotButton="0" quotePrefix="0" xfId="2">
      <alignment horizontal="right"/>
    </xf>
    <xf numFmtId="0" fontId="0" fillId="3" borderId="0" applyAlignment="1" pivotButton="0" quotePrefix="0" xfId="0">
      <alignment horizontal="center"/>
    </xf>
    <xf numFmtId="0" fontId="0" fillId="0" borderId="24" pivotButton="0" quotePrefix="0" xfId="0"/>
    <xf numFmtId="0" fontId="0" fillId="2" borderId="0" pivotButton="0" quotePrefix="0" xfId="0"/>
    <xf numFmtId="9" fontId="0" fillId="2" borderId="0" applyAlignment="1" pivotButton="0" quotePrefix="0" xfId="0">
      <alignment horizontal="center"/>
    </xf>
    <xf numFmtId="0" fontId="0" fillId="2" borderId="0" applyAlignment="1" pivotButton="0" quotePrefix="0" xfId="0">
      <alignment horizontal="center"/>
    </xf>
    <xf numFmtId="49" fontId="0" fillId="2" borderId="1" applyAlignment="1" pivotButton="0" quotePrefix="0" xfId="0">
      <alignment horizontal="center" vertical="top"/>
    </xf>
    <xf numFmtId="49" fontId="7" fillId="0" borderId="0" applyAlignment="1" pivotButton="0" quotePrefix="0" xfId="0">
      <alignment horizontal="left" vertical="center"/>
    </xf>
    <xf numFmtId="49" fontId="24" fillId="0" borderId="0" applyAlignment="1" pivotButton="0" quotePrefix="0" xfId="0">
      <alignment vertical="top"/>
    </xf>
    <xf numFmtId="49" fontId="0" fillId="0" borderId="0" applyAlignment="1" pivotButton="0" quotePrefix="0" xfId="0">
      <alignment horizontal="center" vertical="top"/>
    </xf>
    <xf numFmtId="49" fontId="2" fillId="3" borderId="8" applyAlignment="1" pivotButton="0" quotePrefix="0" xfId="0">
      <alignment horizontal="center" vertical="top" wrapText="1"/>
    </xf>
    <xf numFmtId="49" fontId="3" fillId="4" borderId="1" applyAlignment="1" pivotButton="0" quotePrefix="0" xfId="0">
      <alignment horizontal="center" vertical="top"/>
    </xf>
    <xf numFmtId="49" fontId="15" fillId="0" borderId="1" applyAlignment="1" pivotButton="0" quotePrefix="0" xfId="0">
      <alignment horizontal="left" vertical="center"/>
    </xf>
    <xf numFmtId="164" fontId="2" fillId="3" borderId="14" applyAlignment="1" pivotButton="0" quotePrefix="0" xfId="0">
      <alignment horizontal="right" vertical="top" wrapText="1"/>
    </xf>
    <xf numFmtId="0" fontId="10" fillId="0" borderId="0" applyAlignment="1" pivotButton="0" quotePrefix="0" xfId="0">
      <alignment horizontal="right" vertical="center"/>
    </xf>
    <xf numFmtId="9" fontId="11" fillId="0" borderId="0" applyAlignment="1" pivotButton="0" quotePrefix="0" xfId="1">
      <alignment horizontal="right" vertical="center"/>
    </xf>
    <xf numFmtId="0" fontId="0" fillId="0" borderId="0" applyAlignment="1" pivotButton="0" quotePrefix="0" xfId="0">
      <alignment horizontal="right" vertical="center" wrapText="1"/>
    </xf>
    <xf numFmtId="1" fontId="28" fillId="3" borderId="25" applyAlignment="1" pivotButton="0" quotePrefix="0" xfId="1">
      <alignment horizontal="right" vertical="center"/>
    </xf>
    <xf numFmtId="9" fontId="13" fillId="0" borderId="1" applyAlignment="1" pivotButton="0" quotePrefix="0" xfId="1">
      <alignment horizontal="right" vertical="center"/>
    </xf>
    <xf numFmtId="0" fontId="29" fillId="0" borderId="0" applyAlignment="1" pivotButton="0" quotePrefix="0" xfId="0">
      <alignment vertical="top" wrapText="1"/>
    </xf>
    <xf numFmtId="9" fontId="13" fillId="0" borderId="1" applyAlignment="1" pivotButton="0" quotePrefix="0" xfId="1">
      <alignment horizontal="right" vertical="top"/>
    </xf>
    <xf numFmtId="164" fontId="15" fillId="0" borderId="0" applyAlignment="1" pivotButton="0" quotePrefix="0" xfId="0">
      <alignment horizontal="right"/>
    </xf>
    <xf numFmtId="0" fontId="15" fillId="0" borderId="0" applyAlignment="1" pivotButton="0" quotePrefix="0" xfId="0">
      <alignment horizontal="center" vertical="top" wrapText="1"/>
    </xf>
    <xf numFmtId="0" fontId="15" fillId="0" borderId="0" applyAlignment="1" pivotButton="0" quotePrefix="0" xfId="0">
      <alignment horizontal="center" vertical="center" wrapText="1"/>
    </xf>
    <xf numFmtId="49" fontId="15" fillId="0" borderId="0" applyAlignment="1" pivotButton="0" quotePrefix="0" xfId="0">
      <alignment horizontal="center" vertical="top"/>
    </xf>
    <xf numFmtId="49" fontId="15" fillId="0" borderId="0" applyAlignment="1" pivotButton="0" quotePrefix="0" xfId="0">
      <alignment horizontal="center" vertical="top" wrapText="1"/>
    </xf>
    <xf numFmtId="0" fontId="9" fillId="0" borderId="0" applyAlignment="1" pivotButton="0" quotePrefix="0" xfId="0">
      <alignment horizontal="left" vertical="top" wrapText="1"/>
    </xf>
    <xf numFmtId="0" fontId="2" fillId="10" borderId="1" applyAlignment="1" pivotButton="0" quotePrefix="0" xfId="0">
      <alignment vertical="center"/>
    </xf>
    <xf numFmtId="164" fontId="30" fillId="0" borderId="1" applyAlignment="1" pivotButton="0" quotePrefix="1" xfId="0">
      <alignment horizontal="right" vertical="center"/>
    </xf>
    <xf numFmtId="49" fontId="0" fillId="3" borderId="0" applyAlignment="1" pivotButton="0" quotePrefix="0" xfId="0">
      <alignment horizontal="center" vertical="top"/>
    </xf>
    <xf numFmtId="49" fontId="0" fillId="2" borderId="0" applyAlignment="1" pivotButton="0" quotePrefix="0" xfId="0">
      <alignment horizontal="center" vertical="top"/>
    </xf>
    <xf numFmtId="14" fontId="0" fillId="0" borderId="0" applyAlignment="1" pivotButton="0" quotePrefix="0" xfId="0">
      <alignment horizontal="right"/>
    </xf>
    <xf numFmtId="14" fontId="0" fillId="0" borderId="0" applyAlignment="1" pivotButton="0" quotePrefix="0" xfId="0">
      <alignment horizontal="left"/>
    </xf>
    <xf numFmtId="0" fontId="15" fillId="0" borderId="0" applyAlignment="1" pivotButton="0" quotePrefix="0" xfId="0">
      <alignment horizontal="right"/>
    </xf>
    <xf numFmtId="164" fontId="2" fillId="3" borderId="16" applyAlignment="1" pivotButton="0" quotePrefix="0" xfId="0">
      <alignment horizontal="right" vertical="center" wrapText="1"/>
    </xf>
    <xf numFmtId="0" fontId="7" fillId="0" borderId="0" applyAlignment="1" pivotButton="0" quotePrefix="0" xfId="0">
      <alignment horizontal="center" vertical="center"/>
    </xf>
    <xf numFmtId="4" fontId="0" fillId="4" borderId="17" applyAlignment="1" pivotButton="0" quotePrefix="0" xfId="0">
      <alignment vertical="top"/>
    </xf>
    <xf numFmtId="0" fontId="9" fillId="0" borderId="0" applyAlignment="1" pivotButton="0" quotePrefix="0" xfId="0">
      <alignment horizontal="left" vertical="top"/>
    </xf>
    <xf numFmtId="4" fontId="15" fillId="0" borderId="0" applyAlignment="1" pivotButton="0" quotePrefix="0" xfId="0">
      <alignment horizontal="left" vertical="top"/>
    </xf>
    <xf numFmtId="0" fontId="2" fillId="5" borderId="2" applyAlignment="1" pivotButton="0" quotePrefix="0" xfId="0">
      <alignment horizontal="right" vertical="center" wrapText="1"/>
    </xf>
    <xf numFmtId="0" fontId="31" fillId="0" borderId="0" applyAlignment="1" pivotButton="0" quotePrefix="0" xfId="0">
      <alignment horizontal="left" vertical="top"/>
    </xf>
    <xf numFmtId="9" fontId="0" fillId="0" borderId="0" applyAlignment="1" pivotButton="0" quotePrefix="0" xfId="1">
      <alignment horizontal="center"/>
    </xf>
    <xf numFmtId="10" fontId="0" fillId="0" borderId="0" applyAlignment="1" pivotButton="0" quotePrefix="0" xfId="1">
      <alignment horizontal="right"/>
    </xf>
    <xf numFmtId="0" fontId="9" fillId="0" borderId="0" applyAlignment="1" pivotButton="0" quotePrefix="0" xfId="0">
      <alignment horizontal="left" vertical="center"/>
    </xf>
    <xf numFmtId="14" fontId="15" fillId="0" borderId="0" applyAlignment="1" pivotButton="0" quotePrefix="0" xfId="1">
      <alignment horizontal="center" wrapText="1"/>
    </xf>
    <xf numFmtId="0" fontId="2" fillId="3" borderId="9" applyAlignment="1" pivotButton="0" quotePrefix="0" xfId="0">
      <alignment horizontal="center" vertical="top" wrapText="1"/>
    </xf>
    <xf numFmtId="164" fontId="3" fillId="4" borderId="1" applyAlignment="1" pivotButton="0" quotePrefix="0" xfId="0">
      <alignment horizontal="center" vertical="top" wrapText="1"/>
    </xf>
    <xf numFmtId="175" fontId="15" fillId="0" borderId="0" applyAlignment="1" pivotButton="0" quotePrefix="0" xfId="1">
      <alignment horizontal="center" vertical="top"/>
    </xf>
    <xf numFmtId="0" fontId="2" fillId="5" borderId="0" applyAlignment="1" pivotButton="0" quotePrefix="0" xfId="0">
      <alignment horizontal="left" vertical="center"/>
    </xf>
    <xf numFmtId="0" fontId="0" fillId="4" borderId="17" applyAlignment="1" pivotButton="0" quotePrefix="0" xfId="0">
      <alignment horizontal="left" vertical="top"/>
    </xf>
    <xf numFmtId="9" fontId="6" fillId="0" borderId="0" applyAlignment="1" pivotButton="0" quotePrefix="0" xfId="1">
      <alignment horizontal="center" vertical="top"/>
    </xf>
    <xf numFmtId="9" fontId="7" fillId="0" borderId="0" applyAlignment="1" pivotButton="0" quotePrefix="0" xfId="1">
      <alignment horizontal="center" vertical="top"/>
    </xf>
    <xf numFmtId="9" fontId="2" fillId="5" borderId="0" applyAlignment="1" pivotButton="0" quotePrefix="0" xfId="1">
      <alignment horizontal="center" vertical="center"/>
    </xf>
    <xf numFmtId="9" fontId="0" fillId="4" borderId="17" applyAlignment="1" pivotButton="0" quotePrefix="0" xfId="1">
      <alignment horizontal="center" vertical="top"/>
    </xf>
    <xf numFmtId="9" fontId="0" fillId="0" borderId="1" applyAlignment="1" pivotButton="0" quotePrefix="0" xfId="1">
      <alignment horizontal="center" vertical="top"/>
    </xf>
    <xf numFmtId="9" fontId="0" fillId="0" borderId="0" applyAlignment="1" pivotButton="0" quotePrefix="0" xfId="1">
      <alignment horizontal="center" vertical="top"/>
    </xf>
    <xf numFmtId="9" fontId="0" fillId="5" borderId="0" applyAlignment="1" pivotButton="0" quotePrefix="0" xfId="1">
      <alignment horizontal="left" vertical="top"/>
    </xf>
    <xf numFmtId="176" fontId="0" fillId="0" borderId="1" applyAlignment="1" pivotButton="0" quotePrefix="0" xfId="0">
      <alignment horizontal="right"/>
    </xf>
    <xf numFmtId="0" fontId="2" fillId="5" borderId="0" applyAlignment="1" pivotButton="0" quotePrefix="0" xfId="0">
      <alignment horizontal="center" vertical="center"/>
    </xf>
    <xf numFmtId="0" fontId="15" fillId="0" borderId="2" applyAlignment="1" pivotButton="0" quotePrefix="0" xfId="0">
      <alignment vertical="center"/>
    </xf>
    <xf numFmtId="0" fontId="15" fillId="0" borderId="27" applyAlignment="1" pivotButton="0" quotePrefix="0" xfId="0">
      <alignment vertical="center"/>
    </xf>
    <xf numFmtId="0" fontId="15" fillId="0" borderId="3" applyAlignment="1" pivotButton="0" quotePrefix="0" xfId="0">
      <alignment vertical="center"/>
    </xf>
    <xf numFmtId="177" fontId="15" fillId="0" borderId="0" applyAlignment="1" pivotButton="0" quotePrefix="0" xfId="0">
      <alignment horizontal="center" vertical="top"/>
    </xf>
    <xf numFmtId="0" fontId="15" fillId="0" borderId="19" applyAlignment="1" pivotButton="0" quotePrefix="0" xfId="0">
      <alignment vertical="center" wrapText="1"/>
    </xf>
    <xf numFmtId="0" fontId="0" fillId="0" borderId="0" applyAlignment="1" pivotButton="0" quotePrefix="0" xfId="0">
      <alignment horizontal="center" vertical="center"/>
    </xf>
    <xf numFmtId="0" fontId="0" fillId="0" borderId="23" applyAlignment="1" pivotButton="0" quotePrefix="0" xfId="0">
      <alignment horizontal="center" vertical="center"/>
    </xf>
    <xf numFmtId="0" fontId="0" fillId="0" borderId="19" applyAlignment="1" pivotButton="0" quotePrefix="0" xfId="0">
      <alignment horizontal="center" vertical="center"/>
    </xf>
    <xf numFmtId="0" fontId="0" fillId="0" borderId="19" applyAlignment="1" pivotButton="0" quotePrefix="0" xfId="0">
      <alignment vertical="center"/>
    </xf>
    <xf numFmtId="4" fontId="0" fillId="0" borderId="19" applyAlignment="1" pivotButton="0" quotePrefix="0" xfId="0">
      <alignment horizontal="right" vertical="center"/>
    </xf>
    <xf numFmtId="4" fontId="0" fillId="0" borderId="22" applyAlignment="1" pivotButton="0" quotePrefix="0" xfId="0">
      <alignment horizontal="right" vertical="center"/>
    </xf>
    <xf numFmtId="164" fontId="0" fillId="0" borderId="23" applyAlignment="1" pivotButton="0" quotePrefix="0" xfId="0">
      <alignment vertical="center"/>
    </xf>
    <xf numFmtId="164" fontId="0" fillId="0" borderId="19" applyAlignment="1" pivotButton="0" quotePrefix="0" xfId="0">
      <alignment vertical="center"/>
    </xf>
    <xf numFmtId="0" fontId="0" fillId="0" borderId="22" applyAlignment="1" pivotButton="0" quotePrefix="0" xfId="0">
      <alignment vertical="center"/>
    </xf>
    <xf numFmtId="0" fontId="0" fillId="0" borderId="2" applyAlignment="1" pivotButton="0" quotePrefix="0" xfId="0">
      <alignment vertical="center"/>
    </xf>
    <xf numFmtId="0" fontId="0" fillId="0" borderId="27" applyAlignment="1" pivotButton="0" quotePrefix="0" xfId="0">
      <alignment vertical="center"/>
    </xf>
    <xf numFmtId="0" fontId="0" fillId="0" borderId="3" applyAlignment="1" pivotButton="0" quotePrefix="0" xfId="0">
      <alignment vertical="center"/>
    </xf>
    <xf numFmtId="178" fontId="6" fillId="0" borderId="0" applyAlignment="1" pivotButton="0" quotePrefix="0" xfId="0">
      <alignment horizontal="left" vertical="top"/>
    </xf>
    <xf numFmtId="178" fontId="0" fillId="3" borderId="0" applyAlignment="1" pivotButton="0" quotePrefix="0" xfId="0">
      <alignment horizontal="center" vertical="top"/>
    </xf>
    <xf numFmtId="178" fontId="0" fillId="0" borderId="0" applyAlignment="1" pivotButton="0" quotePrefix="0" xfId="0">
      <alignment horizontal="center"/>
    </xf>
    <xf numFmtId="14" fontId="0" fillId="3" borderId="0" applyAlignment="1" pivotButton="0" quotePrefix="0" xfId="0">
      <alignment horizontal="left" vertical="top"/>
    </xf>
    <xf numFmtId="4" fontId="14" fillId="7" borderId="1" applyAlignment="1" pivotButton="0" quotePrefix="0" xfId="0">
      <alignment horizontal="right" vertical="top"/>
    </xf>
    <xf numFmtId="9" fontId="14" fillId="7" borderId="1" applyAlignment="1" pivotButton="0" quotePrefix="0" xfId="1">
      <alignment horizontal="right" vertical="top"/>
    </xf>
    <xf numFmtId="0" fontId="14" fillId="8" borderId="1" applyAlignment="1" pivotButton="0" quotePrefix="0" xfId="0">
      <alignment horizontal="left" vertical="top"/>
    </xf>
    <xf numFmtId="9" fontId="14" fillId="8" borderId="1" applyAlignment="1" pivotButton="0" quotePrefix="0" xfId="1">
      <alignment horizontal="center" vertical="top"/>
    </xf>
    <xf numFmtId="49" fontId="14" fillId="7" borderId="1" applyAlignment="1" pivotButton="0" quotePrefix="0" xfId="0">
      <alignment vertical="top" wrapText="1"/>
    </xf>
    <xf numFmtId="49" fontId="0" fillId="0" borderId="1" applyAlignment="1" pivotButton="0" quotePrefix="0" xfId="0">
      <alignment vertical="center" wrapText="1"/>
    </xf>
    <xf numFmtId="49" fontId="12" fillId="2" borderId="1" applyAlignment="1" pivotButton="0" quotePrefix="0" xfId="0">
      <alignment vertical="top" wrapText="1"/>
    </xf>
    <xf numFmtId="19" fontId="0" fillId="0" borderId="0" pivotButton="0" quotePrefix="0" xfId="0"/>
    <xf numFmtId="0" fontId="7" fillId="0" borderId="0" applyAlignment="1" pivotButton="0" quotePrefix="0" xfId="0">
      <alignment horizontal="left" vertical="center" wrapText="1"/>
    </xf>
    <xf numFmtId="0" fontId="8" fillId="0" borderId="0" applyAlignment="1" pivotButton="0" quotePrefix="0" xfId="0">
      <alignment horizontal="left" vertical="top" wrapText="1"/>
    </xf>
    <xf numFmtId="0" fontId="2" fillId="3" borderId="8" applyAlignment="1" pivotButton="0" quotePrefix="0" xfId="0">
      <alignment horizontal="left" vertical="top" wrapText="1"/>
    </xf>
    <xf numFmtId="49" fontId="15" fillId="0" borderId="1" applyAlignment="1" pivotButton="0" quotePrefix="0" xfId="0">
      <alignment vertical="center" wrapText="1"/>
    </xf>
    <xf numFmtId="0" fontId="32" fillId="0" borderId="0" applyAlignment="1" pivotButton="0" quotePrefix="0" xfId="0">
      <alignment vertical="top" wrapText="1"/>
    </xf>
    <xf numFmtId="179" fontId="0" fillId="0" borderId="0" applyAlignment="1" pivotButton="0" quotePrefix="0" xfId="0">
      <alignment horizontal="center"/>
    </xf>
    <xf numFmtId="164" fontId="8" fillId="0" borderId="0" applyAlignment="1" pivotButton="0" quotePrefix="0" xfId="0">
      <alignment horizontal="right" vertical="center"/>
    </xf>
    <xf numFmtId="0" fontId="8" fillId="0" borderId="0" applyAlignment="1" pivotButton="0" quotePrefix="0" xfId="0">
      <alignment horizontal="right" vertical="center"/>
    </xf>
    <xf numFmtId="49" fontId="2" fillId="3" borderId="20" applyAlignment="1" pivotButton="0" quotePrefix="0" xfId="0">
      <alignment horizontal="center" vertical="center"/>
    </xf>
    <xf numFmtId="0" fontId="3" fillId="0" borderId="0" applyAlignment="1" pivotButton="0" quotePrefix="0" xfId="0">
      <alignment vertical="top"/>
    </xf>
    <xf numFmtId="0" fontId="2" fillId="0" borderId="19" applyAlignment="1" pivotButton="0" quotePrefix="0" xfId="0">
      <alignment vertical="top"/>
    </xf>
    <xf numFmtId="0" fontId="0" fillId="0" borderId="27" applyAlignment="1" pivotButton="0" quotePrefix="0" xfId="0">
      <alignment vertical="top"/>
    </xf>
    <xf numFmtId="0" fontId="2" fillId="11" borderId="1" applyAlignment="1" pivotButton="0" quotePrefix="0" xfId="0">
      <alignment vertical="top"/>
    </xf>
    <xf numFmtId="0" fontId="0" fillId="0" borderId="28" applyAlignment="1" pivotButton="0" quotePrefix="0" xfId="0">
      <alignment vertical="top"/>
    </xf>
    <xf numFmtId="0" fontId="2" fillId="0" borderId="19" applyAlignment="1" pivotButton="0" quotePrefix="0" xfId="0">
      <alignment horizontal="left" vertical="top"/>
    </xf>
    <xf numFmtId="0" fontId="0" fillId="0" borderId="27" applyAlignment="1" pivotButton="0" quotePrefix="0" xfId="0">
      <alignment horizontal="left" vertical="top"/>
    </xf>
    <xf numFmtId="0" fontId="0" fillId="0" borderId="28" applyAlignment="1" pivotButton="0" quotePrefix="0" xfId="0">
      <alignment horizontal="left" vertical="top"/>
    </xf>
    <xf numFmtId="0" fontId="0" fillId="12" borderId="1" applyAlignment="1" pivotButton="0" quotePrefix="0" xfId="0">
      <alignment horizontal="center" vertical="top"/>
    </xf>
    <xf numFmtId="0" fontId="2" fillId="3" borderId="16" applyAlignment="1" pivotButton="0" quotePrefix="0" xfId="2">
      <alignment horizontal="center" vertical="center"/>
    </xf>
    <xf numFmtId="180" fontId="0" fillId="0" borderId="0" applyAlignment="1" pivotButton="0" quotePrefix="0" xfId="0">
      <alignment horizontal="left" vertical="top"/>
    </xf>
    <xf numFmtId="10" fontId="0" fillId="2" borderId="0" applyAlignment="1" pivotButton="0" quotePrefix="0" xfId="0">
      <alignment horizontal="center"/>
    </xf>
    <xf numFmtId="10" fontId="15" fillId="0" borderId="0" applyAlignment="1" pivotButton="0" quotePrefix="0" xfId="0">
      <alignment horizontal="center"/>
    </xf>
    <xf numFmtId="0" fontId="12" fillId="2" borderId="3" applyAlignment="1" applyProtection="1" pivotButton="0" quotePrefix="0" xfId="0">
      <alignment vertical="top"/>
      <protection locked="0" hidden="0"/>
    </xf>
    <xf numFmtId="0" fontId="12" fillId="2" borderId="2" applyAlignment="1" applyProtection="1" pivotButton="0" quotePrefix="0" xfId="0">
      <alignment vertical="top"/>
      <protection locked="0" hidden="0"/>
    </xf>
    <xf numFmtId="1" fontId="0" fillId="0" borderId="0" applyAlignment="1" pivotButton="0" quotePrefix="0" xfId="0">
      <alignment horizontal="center"/>
    </xf>
    <xf numFmtId="1" fontId="33" fillId="0" borderId="0" applyAlignment="1" pivotButton="0" quotePrefix="0" xfId="0">
      <alignment horizontal="center"/>
    </xf>
    <xf numFmtId="169" fontId="0" fillId="0" borderId="0" applyAlignment="1" pivotButton="0" quotePrefix="0" xfId="0">
      <alignment horizontal="right"/>
    </xf>
    <xf numFmtId="10" fontId="0" fillId="0" borderId="0" applyAlignment="1" pivotButton="0" quotePrefix="0" xfId="0">
      <alignment horizontal="right"/>
    </xf>
    <xf numFmtId="49" fontId="2" fillId="0" borderId="0" applyAlignment="1" pivotButton="0" quotePrefix="0" xfId="0">
      <alignment horizontal="center" vertical="top" wrapText="1"/>
    </xf>
    <xf numFmtId="0" fontId="25" fillId="3" borderId="1" applyAlignment="1" pivotButton="0" quotePrefix="0" xfId="2">
      <alignment vertical="center"/>
    </xf>
    <xf numFmtId="167" fontId="3" fillId="0" borderId="0" pivotButton="0" quotePrefix="0" xfId="0"/>
    <xf numFmtId="167" fontId="3" fillId="0" borderId="0" applyAlignment="1" pivotButton="0" quotePrefix="0" xfId="0">
      <alignment vertical="center"/>
    </xf>
    <xf numFmtId="0" fontId="5" fillId="0" borderId="0" pivotButton="0" quotePrefix="0" xfId="2"/>
    <xf numFmtId="164" fontId="14" fillId="8" borderId="1" applyAlignment="1" pivotButton="0" quotePrefix="0" xfId="0">
      <alignment horizontal="right" vertical="top"/>
    </xf>
    <xf numFmtId="49" fontId="14" fillId="8" borderId="1" applyAlignment="1" pivotButton="0" quotePrefix="0" xfId="0">
      <alignment vertical="top" wrapText="1"/>
    </xf>
    <xf numFmtId="4" fontId="14" fillId="7" borderId="0" applyAlignment="1" pivotButton="0" quotePrefix="0" xfId="1">
      <alignment horizontal="center" vertical="top"/>
    </xf>
    <xf numFmtId="181" fontId="0" fillId="2" borderId="1" applyAlignment="1" pivotButton="0" quotePrefix="0" xfId="0">
      <alignment horizontal="right" vertical="center"/>
    </xf>
    <xf numFmtId="49" fontId="0" fillId="0" borderId="0" applyAlignment="1" pivotButton="0" quotePrefix="0" xfId="0">
      <alignment horizontal="right" vertical="center"/>
    </xf>
    <xf numFmtId="49" fontId="2" fillId="3" borderId="9" applyAlignment="1" pivotButton="0" quotePrefix="0" xfId="0">
      <alignment horizontal="center" vertical="top"/>
    </xf>
    <xf numFmtId="49" fontId="15" fillId="0" borderId="1" applyAlignment="1" pivotButton="0" quotePrefix="0" xfId="0">
      <alignment horizontal="center" vertical="center"/>
    </xf>
    <xf numFmtId="49" fontId="0" fillId="0" borderId="1" applyAlignment="1" pivotButton="0" quotePrefix="0" xfId="0">
      <alignment horizontal="center" vertical="center"/>
    </xf>
    <xf numFmtId="49" fontId="14" fillId="7" borderId="1" applyAlignment="1" pivotButton="0" quotePrefix="0" xfId="0">
      <alignment horizontal="center" vertical="top"/>
    </xf>
    <xf numFmtId="49" fontId="14" fillId="7" borderId="1" applyAlignment="1" pivotButton="0" quotePrefix="0" xfId="0">
      <alignment horizontal="left" vertical="top" wrapText="1"/>
    </xf>
    <xf numFmtId="0" fontId="12" fillId="2" borderId="1" applyAlignment="1" applyProtection="1" pivotButton="0" quotePrefix="0" xfId="0">
      <alignment vertical="top"/>
      <protection locked="0" hidden="0"/>
    </xf>
    <xf numFmtId="49" fontId="0" fillId="0" borderId="0" applyAlignment="1" pivotButton="0" quotePrefix="0" xfId="0">
      <alignment horizontal="right" vertical="center" wrapText="1"/>
    </xf>
    <xf numFmtId="180" fontId="0" fillId="2" borderId="0" applyAlignment="1" pivotButton="0" quotePrefix="0" xfId="0">
      <alignment horizontal="center" vertical="top"/>
    </xf>
    <xf numFmtId="178" fontId="0" fillId="0" borderId="0" applyAlignment="1" pivotButton="0" quotePrefix="0" xfId="0">
      <alignment horizontal="center" vertical="top"/>
    </xf>
    <xf numFmtId="19" fontId="14" fillId="7" borderId="1" applyAlignment="1" pivotButton="0" quotePrefix="0" xfId="1">
      <alignment horizontal="center" vertical="top"/>
    </xf>
    <xf numFmtId="0" fontId="15" fillId="0" borderId="0" applyAlignment="1" pivotButton="0" quotePrefix="0" xfId="0">
      <alignment horizontal="right" wrapText="1"/>
    </xf>
    <xf numFmtId="0" fontId="2" fillId="3" borderId="10" applyAlignment="1" pivotButton="0" quotePrefix="0" xfId="1">
      <alignment horizontal="center" textRotation="90" wrapText="1"/>
    </xf>
    <xf numFmtId="0" fontId="2" fillId="3" borderId="11" applyAlignment="1" pivotButton="0" quotePrefix="0" xfId="1">
      <alignment horizontal="center" textRotation="90" wrapText="1"/>
    </xf>
    <xf numFmtId="0" fontId="2" fillId="3" borderId="12" applyAlignment="1" pivotButton="0" quotePrefix="0" xfId="1">
      <alignment horizontal="center" textRotation="90" wrapText="1"/>
    </xf>
    <xf numFmtId="164" fontId="15" fillId="0" borderId="18" applyAlignment="1" pivotButton="0" quotePrefix="0" xfId="0">
      <alignment horizontal="center" vertical="top" wrapText="1"/>
    </xf>
    <xf numFmtId="14" fontId="15" fillId="0" borderId="0" applyAlignment="1" pivotButton="0" quotePrefix="0" xfId="1">
      <alignment horizontal="left" wrapText="1"/>
    </xf>
    <xf numFmtId="164" fontId="2" fillId="3" borderId="16" applyAlignment="1" pivotButton="0" quotePrefix="0" xfId="0">
      <alignment horizontal="center" vertical="center"/>
    </xf>
    <xf numFmtId="164" fontId="2" fillId="3" borderId="26" applyAlignment="1" pivotButton="0" quotePrefix="0" xfId="0">
      <alignment horizontal="center" vertical="center"/>
    </xf>
    <xf numFmtId="0" fontId="15" fillId="0" borderId="0" applyAlignment="1" pivotButton="0" quotePrefix="0" xfId="0">
      <alignment horizontal="left" vertical="center" wrapText="1"/>
    </xf>
    <xf numFmtId="0" fontId="15" fillId="0" borderId="19" applyAlignment="1" pivotButton="0" quotePrefix="0" xfId="0">
      <alignment horizontal="left" vertical="center" wrapText="1"/>
    </xf>
    <xf numFmtId="0" fontId="15" fillId="0" borderId="1" applyAlignment="1" pivotButton="0" quotePrefix="0" xfId="0">
      <alignment horizontal="left"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0" fillId="7" borderId="1" applyAlignment="1" pivotButton="0" quotePrefix="0" xfId="0">
      <alignment horizontal="center" vertical="top"/>
    </xf>
    <xf numFmtId="164" fontId="0" fillId="0" borderId="0" applyAlignment="1" pivotButton="0" quotePrefix="0" xfId="0">
      <alignment horizontal="right" vertical="top"/>
    </xf>
    <xf numFmtId="164" fontId="0" fillId="2" borderId="1" applyAlignment="1" pivotButton="0" quotePrefix="0" xfId="0">
      <alignment horizontal="right" vertical="top"/>
    </xf>
    <xf numFmtId="164" fontId="3" fillId="0" borderId="1" applyAlignment="1" pivotButton="0" quotePrefix="0" xfId="0">
      <alignment horizontal="right" vertical="top"/>
    </xf>
    <xf numFmtId="164" fontId="14" fillId="2" borderId="1" applyAlignment="1" pivotButton="0" quotePrefix="0" xfId="0">
      <alignment horizontal="right" vertical="top"/>
    </xf>
    <xf numFmtId="164" fontId="15" fillId="0" borderId="0" applyAlignment="1" pivotButton="0" quotePrefix="0" xfId="0">
      <alignment horizontal="right"/>
    </xf>
    <xf numFmtId="164" fontId="0" fillId="2" borderId="1" applyAlignment="1" pivotButton="0" quotePrefix="0" xfId="0">
      <alignment vertical="center"/>
    </xf>
    <xf numFmtId="164" fontId="8" fillId="0" borderId="0" applyAlignment="1" pivotButton="0" quotePrefix="0" xfId="0">
      <alignment horizontal="right" vertical="center"/>
    </xf>
    <xf numFmtId="164" fontId="2" fillId="6" borderId="4" applyAlignment="1" pivotButton="0" quotePrefix="0" xfId="0">
      <alignment horizontal="right" vertical="top" wrapText="1"/>
    </xf>
    <xf numFmtId="164" fontId="2" fillId="6" borderId="5" applyAlignment="1" pivotButton="0" quotePrefix="0" xfId="0">
      <alignment horizontal="right" vertical="top" wrapText="1"/>
    </xf>
    <xf numFmtId="164" fontId="2" fillId="6" borderId="7" applyAlignment="1" pivotButton="0" quotePrefix="0" xfId="0">
      <alignment horizontal="right" vertical="top" wrapText="1"/>
    </xf>
    <xf numFmtId="164" fontId="2" fillId="3" borderId="6" applyAlignment="1" pivotButton="0" quotePrefix="0" xfId="0">
      <alignment horizontal="right" vertical="top"/>
    </xf>
    <xf numFmtId="164" fontId="2" fillId="3" borderId="14" applyAlignment="1" pivotButton="0" quotePrefix="0" xfId="0">
      <alignment horizontal="right" vertical="top" wrapText="1"/>
    </xf>
    <xf numFmtId="164" fontId="3" fillId="4" borderId="1" applyAlignment="1" pivotButton="0" quotePrefix="0" xfId="0">
      <alignment horizontal="right" vertical="top"/>
    </xf>
    <xf numFmtId="164" fontId="15" fillId="0" borderId="1" applyAlignment="1" pivotButton="0" quotePrefix="0" xfId="0">
      <alignment horizontal="right" vertical="center"/>
    </xf>
    <xf numFmtId="164" fontId="17" fillId="0" borderId="1" applyAlignment="1" pivotButton="0" quotePrefix="0" xfId="0">
      <alignment horizontal="right" vertical="center"/>
    </xf>
    <xf numFmtId="164" fontId="14" fillId="7" borderId="1" applyAlignment="1" pivotButton="0" quotePrefix="0" xfId="0">
      <alignment horizontal="right" vertical="top"/>
    </xf>
    <xf numFmtId="164" fontId="0" fillId="0" borderId="1" applyAlignment="1" pivotButton="0" quotePrefix="0" xfId="0">
      <alignment horizontal="right" vertical="center"/>
    </xf>
    <xf numFmtId="164" fontId="3" fillId="0" borderId="1" applyAlignment="1" pivotButton="0" quotePrefix="0" xfId="0">
      <alignment horizontal="right" vertical="center"/>
    </xf>
    <xf numFmtId="164" fontId="1" fillId="0" borderId="0" applyAlignment="1" pivotButton="0" quotePrefix="0" xfId="1">
      <alignment horizontal="right" vertical="top"/>
    </xf>
    <xf numFmtId="164" fontId="1" fillId="0" borderId="0" applyAlignment="1" pivotButton="0" quotePrefix="0" xfId="1">
      <alignment horizontal="center" vertical="top"/>
    </xf>
    <xf numFmtId="164" fontId="1" fillId="0" borderId="0" applyAlignment="1" pivotButton="0" quotePrefix="0" xfId="1">
      <alignment horizontal="left" vertical="top"/>
    </xf>
    <xf numFmtId="164" fontId="1" fillId="0" borderId="1" applyAlignment="1" pivotButton="0" quotePrefix="0" xfId="1">
      <alignment horizontal="right" vertical="top"/>
    </xf>
    <xf numFmtId="164" fontId="0" fillId="0" borderId="1" applyAlignment="1" pivotButton="0" quotePrefix="0" xfId="0">
      <alignment horizontal="right" vertical="top"/>
    </xf>
    <xf numFmtId="166" fontId="0" fillId="2" borderId="1" applyAlignment="1" pivotButton="0" quotePrefix="0" xfId="0">
      <alignment horizontal="right" vertical="center"/>
    </xf>
    <xf numFmtId="173" fontId="15" fillId="0" borderId="0" applyAlignment="1" pivotButton="0" quotePrefix="0" xfId="1">
      <alignment horizontal="center" vertical="center"/>
    </xf>
    <xf numFmtId="165" fontId="26" fillId="0" borderId="0" applyAlignment="1" pivotButton="0" quotePrefix="0" xfId="1">
      <alignment horizontal="center" vertical="center"/>
    </xf>
    <xf numFmtId="165" fontId="27" fillId="0" borderId="0" applyAlignment="1" pivotButton="0" quotePrefix="0" xfId="1">
      <alignment horizontal="center" vertical="center"/>
    </xf>
    <xf numFmtId="164" fontId="0" fillId="0" borderId="0" applyAlignment="1" pivotButton="0" quotePrefix="0" xfId="0">
      <alignment horizontal="right" vertical="center"/>
    </xf>
    <xf numFmtId="165" fontId="11" fillId="0" borderId="0" applyAlignment="1" pivotButton="0" quotePrefix="0" xfId="1">
      <alignment horizontal="center" vertical="center"/>
    </xf>
    <xf numFmtId="174" fontId="15" fillId="0" borderId="0" applyAlignment="1" pivotButton="0" quotePrefix="0" xfId="0">
      <alignment horizontal="center" vertical="center" wrapText="1"/>
    </xf>
    <xf numFmtId="164" fontId="15" fillId="0" borderId="18" applyAlignment="1" pivotButton="0" quotePrefix="0" xfId="0">
      <alignment horizontal="center" vertical="top" wrapText="1"/>
    </xf>
    <xf numFmtId="0" fontId="2" fillId="3" borderId="4" applyAlignment="1" pivotButton="0" quotePrefix="0" xfId="1">
      <alignment horizontal="center" textRotation="90" wrapText="1"/>
    </xf>
    <xf numFmtId="172" fontId="0" fillId="2" borderId="1" applyAlignment="1" pivotButton="0" quotePrefix="0" xfId="0">
      <alignment horizontal="right" vertical="center"/>
    </xf>
    <xf numFmtId="0" fontId="0" fillId="0" borderId="18" pivotButton="0" quotePrefix="0" xfId="0"/>
    <xf numFmtId="0" fontId="0" fillId="0" borderId="11" pivotButton="0" quotePrefix="0" xfId="0"/>
    <xf numFmtId="164" fontId="15" fillId="0" borderId="0" applyAlignment="1" pivotButton="0" quotePrefix="0" xfId="0">
      <alignment horizontal="right" vertical="top" wrapText="1"/>
    </xf>
    <xf numFmtId="164" fontId="3" fillId="4" borderId="1" applyAlignment="1" pivotButton="0" quotePrefix="0" xfId="0">
      <alignment horizontal="right" vertical="center"/>
    </xf>
    <xf numFmtId="164" fontId="2" fillId="3" borderId="7" applyAlignment="1" pivotButton="0" quotePrefix="0" xfId="0">
      <alignment horizontal="right" vertical="top"/>
    </xf>
    <xf numFmtId="164" fontId="2" fillId="3" borderId="1" applyAlignment="1" pivotButton="0" quotePrefix="0" xfId="0">
      <alignment horizontal="right" vertical="top" wrapText="1"/>
    </xf>
    <xf numFmtId="0" fontId="0" fillId="0" borderId="12" pivotButton="0" quotePrefix="0" xfId="0"/>
    <xf numFmtId="164" fontId="3" fillId="4" borderId="1" applyAlignment="1" pivotButton="0" quotePrefix="0" xfId="0">
      <alignment horizontal="right" vertical="top" wrapText="1"/>
    </xf>
    <xf numFmtId="170" fontId="3" fillId="4" borderId="1" applyAlignment="1" pivotButton="0" quotePrefix="0" xfId="0">
      <alignment horizontal="center" vertical="top" wrapText="1"/>
    </xf>
    <xf numFmtId="164" fontId="3" fillId="4" borderId="1" applyAlignment="1" pivotButton="0" quotePrefix="0" xfId="0">
      <alignment horizontal="left" vertical="top" wrapText="1"/>
    </xf>
    <xf numFmtId="164" fontId="3" fillId="4" borderId="1" applyAlignment="1" pivotButton="0" quotePrefix="0" xfId="0">
      <alignment horizontal="center" vertical="top" wrapText="1"/>
    </xf>
    <xf numFmtId="164" fontId="30" fillId="0" borderId="1" applyAlignment="1" pivotButton="0" quotePrefix="1" xfId="0">
      <alignment horizontal="right" vertical="center"/>
    </xf>
    <xf numFmtId="164" fontId="3" fillId="0" borderId="1" applyAlignment="1" pivotButton="0" quotePrefix="0" xfId="0">
      <alignment horizontal="right" vertical="center" wrapText="1"/>
    </xf>
    <xf numFmtId="164" fontId="3" fillId="0" borderId="1" applyAlignment="1" pivotButton="0" quotePrefix="0" xfId="0">
      <alignment horizontal="center" vertical="center" wrapText="1"/>
    </xf>
    <xf numFmtId="164" fontId="3" fillId="0" borderId="1" applyAlignment="1" pivotButton="0" quotePrefix="0" xfId="0">
      <alignment horizontal="left" vertical="center" wrapText="1"/>
    </xf>
    <xf numFmtId="164" fontId="14" fillId="8" borderId="1" applyAlignment="1" pivotButton="0" quotePrefix="0" xfId="0">
      <alignment horizontal="right" vertical="top"/>
    </xf>
    <xf numFmtId="164" fontId="1" fillId="0" borderId="1" applyAlignment="1" pivotButton="0" quotePrefix="0" xfId="1">
      <alignment horizontal="right" vertical="center"/>
    </xf>
    <xf numFmtId="164" fontId="1" fillId="0" borderId="1" applyAlignment="1" pivotButton="0" quotePrefix="0" xfId="1">
      <alignment horizontal="center" vertical="center"/>
    </xf>
    <xf numFmtId="164" fontId="1" fillId="0" borderId="1" applyAlignment="1" pivotButton="0" quotePrefix="0" xfId="1">
      <alignment horizontal="left" vertical="center"/>
    </xf>
    <xf numFmtId="175" fontId="15" fillId="0" borderId="0" applyAlignment="1" pivotButton="0" quotePrefix="0" xfId="1">
      <alignment horizontal="center" vertical="top"/>
    </xf>
    <xf numFmtId="164" fontId="0" fillId="4" borderId="1" applyAlignment="1" pivotButton="0" quotePrefix="0" xfId="0">
      <alignment horizontal="right" vertical="top"/>
    </xf>
    <xf numFmtId="168" fontId="15" fillId="0" borderId="0" applyAlignment="1" pivotButton="0" quotePrefix="0" xfId="0">
      <alignment horizontal="center" vertical="center"/>
    </xf>
    <xf numFmtId="164" fontId="18" fillId="0" borderId="0" applyAlignment="1" pivotButton="0" quotePrefix="0" xfId="1">
      <alignment horizontal="right" vertical="top"/>
    </xf>
    <xf numFmtId="164" fontId="18" fillId="0" borderId="0" applyAlignment="1" pivotButton="0" quotePrefix="0" xfId="1">
      <alignment horizontal="center" vertical="top"/>
    </xf>
    <xf numFmtId="164" fontId="18" fillId="0" borderId="0" applyAlignment="1" pivotButton="0" quotePrefix="0" xfId="1">
      <alignment horizontal="left" vertical="top"/>
    </xf>
    <xf numFmtId="164" fontId="2" fillId="3" borderId="5" applyAlignment="1" pivotButton="0" quotePrefix="0" xfId="0">
      <alignment horizontal="right" vertical="top" wrapText="1"/>
    </xf>
    <xf numFmtId="164" fontId="2" fillId="3" borderId="9" applyAlignment="1" pivotButton="0" quotePrefix="0" xfId="0">
      <alignment horizontal="right" vertical="top" wrapText="1"/>
    </xf>
    <xf numFmtId="164" fontId="14" fillId="0" borderId="1" applyAlignment="1" pivotButton="0" quotePrefix="0" xfId="0">
      <alignment horizontal="right" vertical="center"/>
    </xf>
    <xf numFmtId="164" fontId="0" fillId="0" borderId="0" applyAlignment="1" pivotButton="0" quotePrefix="0" xfId="0">
      <alignment vertical="top"/>
    </xf>
    <xf numFmtId="0" fontId="0" fillId="0" borderId="19" pivotButton="0" quotePrefix="0" xfId="0"/>
    <xf numFmtId="164" fontId="2" fillId="3" borderId="16" applyAlignment="1" pivotButton="0" quotePrefix="0" xfId="0">
      <alignment horizontal="center" vertical="center"/>
    </xf>
    <xf numFmtId="0" fontId="0" fillId="0" borderId="32" pivotButton="0" quotePrefix="0" xfId="0"/>
    <xf numFmtId="0" fontId="0" fillId="0" borderId="33" pivotButton="0" quotePrefix="0" xfId="0"/>
    <xf numFmtId="164" fontId="2" fillId="3" borderId="26" applyAlignment="1" pivotButton="0" quotePrefix="0" xfId="0">
      <alignment horizontal="center" vertical="center"/>
    </xf>
    <xf numFmtId="0" fontId="0" fillId="0" borderId="26" pivotButton="0" quotePrefix="0" xfId="0"/>
    <xf numFmtId="164" fontId="2" fillId="3" borderId="16" applyAlignment="1" pivotButton="0" quotePrefix="0" xfId="0">
      <alignment horizontal="right" vertical="center" wrapText="1"/>
    </xf>
    <xf numFmtId="164" fontId="0" fillId="4" borderId="17" applyAlignment="1" pivotButton="0" quotePrefix="0" xfId="0">
      <alignment vertical="top"/>
    </xf>
    <xf numFmtId="167" fontId="0" fillId="4" borderId="17" applyAlignment="1" pivotButton="0" quotePrefix="0" xfId="0">
      <alignment vertical="top"/>
    </xf>
    <xf numFmtId="164" fontId="0" fillId="0" borderId="23" applyAlignment="1" pivotButton="0" quotePrefix="0" xfId="0">
      <alignment vertical="center"/>
    </xf>
    <xf numFmtId="164" fontId="0" fillId="0" borderId="19" applyAlignment="1" pivotButton="0" quotePrefix="0" xfId="0">
      <alignment vertical="center"/>
    </xf>
    <xf numFmtId="177" fontId="15" fillId="0" borderId="0" applyAlignment="1" pivotButton="0" quotePrefix="0" xfId="0">
      <alignment horizontal="center" vertical="top"/>
    </xf>
    <xf numFmtId="0" fontId="0" fillId="0" borderId="27" pivotButton="0" quotePrefix="0" xfId="0"/>
    <xf numFmtId="0" fontId="0" fillId="0" borderId="3" pivotButton="0" quotePrefix="0" xfId="0"/>
    <xf numFmtId="167" fontId="3" fillId="0" borderId="0" pivotButton="0" quotePrefix="0" xfId="0"/>
    <xf numFmtId="167" fontId="3" fillId="0" borderId="0" applyAlignment="1" pivotButton="0" quotePrefix="0" xfId="0">
      <alignment vertical="center"/>
    </xf>
    <xf numFmtId="0" fontId="2" fillId="5" borderId="1" applyAlignment="1" pivotButton="0" quotePrefix="0" xfId="0">
      <alignment horizontal="center" vertical="center"/>
    </xf>
    <xf numFmtId="164" fontId="3" fillId="4" borderId="1" pivotButton="0" quotePrefix="0" xfId="0"/>
    <xf numFmtId="164" fontId="0" fillId="0" borderId="1" pivotButton="0" quotePrefix="0" xfId="0"/>
    <xf numFmtId="164" fontId="10" fillId="0" borderId="1" pivotButton="0" quotePrefix="0" xfId="0"/>
    <xf numFmtId="164" fontId="0" fillId="0" borderId="0" pivotButton="0" quotePrefix="0" xfId="0"/>
    <xf numFmtId="164" fontId="0" fillId="0" borderId="1" applyAlignment="1" pivotButton="0" quotePrefix="0" xfId="0">
      <alignment horizontal="right"/>
    </xf>
    <xf numFmtId="176" fontId="0" fillId="0" borderId="1" applyAlignment="1" pivotButton="0" quotePrefix="0" xfId="0">
      <alignment horizontal="right"/>
    </xf>
    <xf numFmtId="171" fontId="0" fillId="0" borderId="0" applyAlignment="1" pivotButton="0" quotePrefix="0" xfId="0">
      <alignment horizontal="right"/>
    </xf>
    <xf numFmtId="164" fontId="0" fillId="0" borderId="0" applyAlignment="1" pivotButton="0" quotePrefix="0" xfId="0">
      <alignment horizontal="right"/>
    </xf>
    <xf numFmtId="169" fontId="0" fillId="0" borderId="0" applyAlignment="1" pivotButton="0" quotePrefix="0" xfId="0">
      <alignment horizontal="center" vertical="top"/>
    </xf>
    <xf numFmtId="164" fontId="0" fillId="5" borderId="0" applyAlignment="1" pivotButton="0" quotePrefix="0" xfId="0">
      <alignment horizontal="right" vertical="top"/>
    </xf>
    <xf numFmtId="169" fontId="0" fillId="5" borderId="0" applyAlignment="1" pivotButton="0" quotePrefix="0" xfId="0">
      <alignment horizontal="center" vertical="top"/>
    </xf>
    <xf numFmtId="169" fontId="0" fillId="0" borderId="0" applyAlignment="1" pivotButton="0" quotePrefix="0" xfId="0">
      <alignment horizontal="right"/>
    </xf>
    <xf numFmtId="178" fontId="0" fillId="0" borderId="0" applyAlignment="1" pivotButton="0" quotePrefix="0" xfId="0">
      <alignment horizontal="center"/>
    </xf>
    <xf numFmtId="178" fontId="6" fillId="0" borderId="0" applyAlignment="1" pivotButton="0" quotePrefix="0" xfId="0">
      <alignment horizontal="left" vertical="top"/>
    </xf>
    <xf numFmtId="178" fontId="0" fillId="3" borderId="0" applyAlignment="1" pivotButton="0" quotePrefix="0" xfId="0">
      <alignment horizontal="center" vertical="top"/>
    </xf>
    <xf numFmtId="178" fontId="0" fillId="0" borderId="0" applyAlignment="1" pivotButton="0" quotePrefix="0" xfId="0">
      <alignment horizontal="center" vertical="top"/>
    </xf>
    <xf numFmtId="179" fontId="0" fillId="0" borderId="0" applyAlignment="1" pivotButton="0" quotePrefix="0" xfId="0">
      <alignment horizontal="center"/>
    </xf>
  </cellXfs>
  <cellStyles count="3">
    <cellStyle name="Standard" xfId="0" builtinId="0"/>
    <cellStyle name="Prozent" xfId="1" builtinId="5"/>
    <cellStyle name="Link" xfId="2" builtinId="8"/>
  </cellStyles>
  <dxfs count="60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0000"/>
        </patternFill>
      </fill>
    </dxf>
    <dxf>
      <font>
        <color auto="1"/>
      </font>
      <fill>
        <patternFill>
          <bgColor rgb="FFFF0000"/>
        </patternFill>
      </fill>
    </dxf>
    <dxf>
      <fill>
        <patternFill>
          <bgColor rgb="FFFF0000"/>
        </patternFill>
      </fill>
    </dxf>
    <dxf>
      <fill>
        <patternFill>
          <bgColor rgb="FFFF0000"/>
        </patternFill>
      </fill>
    </dxf>
    <dxf>
      <fill>
        <patternFill>
          <bgColor theme="5" tint="-0.499984740745262"/>
        </patternFill>
      </fill>
    </dxf>
    <dxf>
      <font>
        <color rgb="FFFF0000"/>
      </font>
      <fill>
        <patternFill patternType="solid">
          <fgColor indexed="64"/>
          <bgColor theme="3" tint="0.7999816888943144"/>
        </patternFill>
      </fill>
    </dxf>
    <dxf>
      <alignment horizontal="center" vertical="top"/>
    </dxf>
    <dxf>
      <alignment horizontal="center" vertical="top"/>
    </dxf>
    <dxf>
      <alignment vertical="top"/>
    </dxf>
    <dxf>
      <alignment vertical="top"/>
    </dxf>
    <dxf>
      <alignment vertical="top"/>
    </dxf>
    <dxf>
      <alignment vertical="top"/>
    </dxf>
    <dxf>
      <alignment horizontal="general" vertical="top" wrapText="1"/>
    </dxf>
    <dxf>
      <alignment horizontal="general" vertical="top" wrapText="1"/>
    </dxf>
    <dxf>
      <alignment horizontal="general" vertical="top"/>
    </dxf>
    <dxf>
      <alignment horizontal="center" vertical="top"/>
    </dxf>
    <dxf>
      <alignment vertical="top"/>
    </dxf>
    <dxf>
      <alignment vertical="top"/>
    </dxf>
    <dxf>
      <alignment vertical="top"/>
    </dxf>
    <dxf>
      <fill>
        <patternFill>
          <fgColor indexed="64"/>
          <bgColor indexed="65"/>
        </patternFill>
      </fill>
      <alignment horizontal="left" vertical="top"/>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indexed="65"/>
        </patternFill>
      </fill>
      <alignment horizontal="left" vertical="top"/>
    </dxf>
    <dxf>
      <border outline="0">
        <bottom style="thin">
          <color auto="1"/>
        </bottom>
      </border>
    </dxf>
    <dxf>
      <font>
        <name val="Calibri"/>
        <family val="2"/>
        <b val="1"/>
        <strike val="0"/>
        <outline val="0"/>
        <shadow val="0"/>
        <condense val="0"/>
        <color theme="0"/>
        <extend val="0"/>
        <sz val="11"/>
        <vertAlign val="baseline"/>
        <scheme val="minor"/>
      </font>
      <fill>
        <patternFill>
          <fgColor indexed="64"/>
          <bgColor indexed="65"/>
        </patternFill>
      </fill>
      <alignment horizontal="left" vertical="top"/>
    </dxf>
    <dxf>
      <fill>
        <patternFill>
          <fgColor indexed="64"/>
          <bgColor indexed="65"/>
        </patternFill>
      </fill>
      <alignment vertical="top"/>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indexed="65"/>
        </patternFill>
      </fill>
      <alignment vertical="top"/>
    </dxf>
    <dxf>
      <border outline="0">
        <bottom style="thin">
          <color auto="1"/>
        </bottom>
      </border>
    </dxf>
    <dxf>
      <font>
        <name val="Calibri"/>
        <family val="2"/>
        <b val="1"/>
        <strike val="0"/>
        <outline val="0"/>
        <shadow val="0"/>
        <condense val="0"/>
        <color theme="0"/>
        <extend val="0"/>
        <sz val="11"/>
        <vertAlign val="baseline"/>
        <scheme val="minor"/>
      </font>
      <fill>
        <patternFill>
          <fgColor indexed="64"/>
          <bgColor indexed="65"/>
        </patternFill>
      </fill>
      <alignment vertical="top"/>
    </dxf>
    <dxf>
      <fill>
        <patternFill>
          <fgColor indexed="64"/>
          <bgColor indexed="65"/>
        </patternFill>
      </fill>
      <alignment vertical="top"/>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indexed="65"/>
        </patternFill>
      </fill>
      <alignment vertical="top"/>
    </dxf>
    <dxf>
      <border outline="0">
        <bottom style="thin">
          <color auto="1"/>
        </bottom>
      </border>
    </dxf>
    <dxf>
      <font>
        <name val="Calibri"/>
        <family val="2"/>
        <b val="1"/>
        <strike val="0"/>
        <outline val="0"/>
        <shadow val="0"/>
        <condense val="0"/>
        <color theme="0"/>
        <extend val="0"/>
        <sz val="11"/>
        <vertAlign val="baseline"/>
        <scheme val="minor"/>
      </font>
      <fill>
        <patternFill>
          <fgColor indexed="64"/>
          <bgColor indexed="65"/>
        </patternFill>
      </fill>
      <alignment vertical="top"/>
    </dxf>
    <dxf>
      <fill>
        <patternFill>
          <fgColor indexed="64"/>
          <bgColor indexed="65"/>
        </patternFill>
      </fill>
      <alignment vertical="top"/>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indexed="65"/>
        </patternFill>
      </fill>
      <alignment vertical="top"/>
    </dxf>
    <dxf>
      <border outline="0">
        <bottom style="thin">
          <color auto="1"/>
        </bottom>
      </border>
    </dxf>
    <dxf>
      <font>
        <name val="Calibri"/>
        <family val="2"/>
        <b val="1"/>
        <strike val="0"/>
        <outline val="0"/>
        <shadow val="0"/>
        <condense val="0"/>
        <color theme="0"/>
        <extend val="0"/>
        <sz val="11"/>
        <vertAlign val="baseline"/>
        <scheme val="minor"/>
      </font>
      <fill>
        <patternFill>
          <fgColor indexed="64"/>
          <bgColor indexed="65"/>
        </patternFill>
      </fill>
      <alignment vertical="top"/>
    </dxf>
    <dxf>
      <alignment vertical="top"/>
    </dxf>
    <dxf>
      <alignment vertical="top"/>
    </dxf>
    <dxf>
      <alignment vertical="top"/>
    </dxf>
    <dxf>
      <fill>
        <patternFill>
          <fgColor indexed="64"/>
          <bgColor indexed="65"/>
        </patternFill>
      </fill>
      <alignment vertical="top"/>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indexed="65"/>
        </patternFill>
      </fill>
      <alignment vertical="top"/>
    </dxf>
    <dxf>
      <border outline="0">
        <bottom style="thin">
          <color auto="1"/>
        </bottom>
      </border>
    </dxf>
    <dxf>
      <font>
        <name val="Calibri"/>
        <family val="2"/>
        <b val="1"/>
        <strike val="0"/>
        <outline val="0"/>
        <shadow val="0"/>
        <condense val="0"/>
        <color theme="0"/>
        <extend val="0"/>
        <sz val="11"/>
        <vertAlign val="baseline"/>
        <scheme val="minor"/>
      </font>
      <fill>
        <patternFill>
          <fgColor indexed="64"/>
          <bgColor indexed="65"/>
        </patternFill>
      </fill>
      <alignment vertical="top"/>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patternType="solid">
          <fgColor indexed="64"/>
          <bgColor theme="4" tint="-0.499984740745262"/>
        </patternFill>
      </fill>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style="thin">
          <color auto="1"/>
        </left>
        <right/>
        <top style="thin">
          <color auto="1"/>
        </top>
        <bottom style="thin">
          <color auto="1"/>
        </bottom>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
      <alignment horizontal="center" vertical="top"/>
    </dxf>
    <dxf>
      <alignment horizontal="center" vertical="top"/>
    </dxf>
    <dxf>
      <alignment horizontal="center" vertical="top"/>
    </dxf>
    <dxf>
      <alignment horizontal="center" vertical="top"/>
    </dxf>
    <dxf>
      <alignment horizontal="general" vertical="top" wrapText="1"/>
    </dxf>
    <dxf>
      <alignment vertical="top"/>
    </dxf>
    <dxf>
      <alignment vertical="top"/>
    </dxf>
    <dxf>
      <alignment vertical="top"/>
    </dxf>
    <dxf>
      <fill>
        <patternFill>
          <fgColor indexed="64"/>
          <bgColor auto="1"/>
        </patternFill>
      </fill>
      <alignment horizontal="left"/>
    </dxf>
    <dxf>
      <fill>
        <patternFill>
          <fgColor indexed="64"/>
          <bgColor auto="1"/>
        </patternFill>
      </fill>
    </dxf>
    <dxf>
      <numFmt numFmtId="179" formatCode="dd/mm/yyyy\ hh:mm:ss"/>
      <fill>
        <patternFill>
          <fgColor indexed="64"/>
          <bgColor auto="1"/>
        </patternFill>
      </fill>
      <alignment horizontal="center"/>
    </dxf>
    <dxf>
      <fill>
        <patternFill>
          <fgColor indexed="64"/>
          <bgColor auto="1"/>
        </patternFill>
      </fill>
    </dxf>
    <dxf>
      <numFmt numFmtId="180" formatCode="m/d/yyyy"/>
      <fill>
        <patternFill patternType="solid">
          <fgColor indexed="64"/>
          <bgColor theme="4" tint="-0.499984740745262"/>
        </patternFill>
      </fill>
      <alignment horizontal="center" vertical="top"/>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numFmt numFmtId="14" formatCode="0.00%"/>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ndense val="0"/>
        <color theme="1"/>
        <extend val="0"/>
        <sz val="11"/>
        <vertAlign val="baseline"/>
        <scheme val="minor"/>
      </font>
      <fill>
        <patternFill>
          <fgColor indexed="64"/>
          <bgColor indexed="65"/>
        </patternFill>
      </fill>
    </dxf>
    <dxf>
      <alignment horizontal="right"/>
    </dxf>
    <dxf>
      <alignment horizontal="right"/>
    </dxf>
    <dxf>
      <numFmt numFmtId="165" formatCode="#,##0.00&quot; days&quot;"/>
    </dxf>
    <dxf>
      <numFmt numFmtId="165" formatCode="#,##0.00&quot; days&quot;"/>
    </dxf>
    <dxf>
      <numFmt numFmtId="165" formatCode="#,##0.00&quot; days&quot;"/>
    </dxf>
    <dxf>
      <font>
        <color theme="0"/>
      </font>
    </dxf>
    <dxf>
      <fill>
        <patternFill patternType="solid">
          <bgColor theme="1" tint="0.3499862666707358"/>
        </patternFill>
      </fill>
    </dxf>
    <dxf>
      <alignment horizontal="left"/>
    </dxf>
    <dxf>
      <alignment horizontal="right"/>
    </dxf>
    <dxf>
      <alignment horizontal="right"/>
    </dxf>
    <dxf>
      <numFmt numFmtId="164" formatCode="0.0%"/>
    </dxf>
    <dxf>
      <numFmt numFmtId="4" formatCode="#,##0.00"/>
    </dxf>
    <dxf>
      <numFmt numFmtId="4" formatCode="#,##0.00"/>
    </dxf>
    <dxf>
      <numFmt numFmtId="4" formatCode="#,##0.00"/>
    </dxf>
    <dxf>
      <alignment horizontal="right"/>
    </dxf>
    <dxf>
      <alignment horizontal="right"/>
    </dxf>
    <dxf>
      <numFmt numFmtId="165" formatCode="#,##0.00&quot; days&quot;"/>
    </dxf>
    <dxf>
      <font>
        <color theme="0"/>
      </font>
    </dxf>
    <dxf>
      <font>
        <color theme="0"/>
      </font>
    </dxf>
    <dxf>
      <fill>
        <patternFill patternType="solid">
          <bgColor theme="1" tint="0.3499862666707358"/>
        </patternFill>
      </fill>
    </dxf>
    <dxf>
      <fill>
        <patternFill patternType="solid">
          <bgColor theme="1" tint="0.3499862666707358"/>
        </patternFill>
      </fill>
    </dxf>
    <dxf>
      <alignment horizontal="left"/>
    </dxf>
    <dxf>
      <alignment horizontal="right"/>
    </dxf>
    <dxf>
      <numFmt numFmtId="165" formatCode="#,##0.00&quot; days&quot;"/>
    </dxf>
    <dxf>
      <font>
        <color theme="0"/>
      </font>
    </dxf>
    <dxf>
      <font>
        <color theme="0"/>
      </font>
    </dxf>
    <dxf>
      <fill>
        <patternFill patternType="solid">
          <bgColor theme="1" tint="0.3499862666707358"/>
        </patternFill>
      </fill>
    </dxf>
    <dxf>
      <fill>
        <patternFill patternType="solid">
          <bgColor theme="1" tint="0.3499862666707358"/>
        </patternFill>
      </fill>
    </dxf>
    <dxf>
      <alignment horizontal="left"/>
    </dxf>
    <dxf>
      <alignment horizontal="right"/>
    </dxf>
    <dxf>
      <numFmt numFmtId="165" formatCode="#,##0.00&quot; days&quot;"/>
    </dxf>
    <dxf>
      <font>
        <color theme="0"/>
      </font>
    </dxf>
    <dxf>
      <font>
        <color theme="0"/>
      </font>
    </dxf>
    <dxf>
      <fill>
        <patternFill patternType="solid">
          <bgColor theme="1" tint="0.3499862666707358"/>
        </patternFill>
      </fill>
    </dxf>
    <dxf>
      <fill>
        <patternFill patternType="solid">
          <bgColor theme="1" tint="0.3499862666707358"/>
        </patternFill>
      </fill>
    </dxf>
    <dxf>
      <alignment horizontal="left"/>
    </dxf>
    <dxf>
      <alignment horizontal="right"/>
    </dxf>
    <dxf>
      <alignment horizontal="right"/>
    </dxf>
    <dxf>
      <numFmt numFmtId="4" formatCode="#,##0.00"/>
    </dxf>
    <dxf>
      <numFmt numFmtId="4" formatCode="#,##0.00"/>
    </dxf>
    <dxf>
      <alignment horizontal="right"/>
    </dxf>
    <dxf>
      <alignment horizontal="right"/>
    </dxf>
    <dxf>
      <numFmt numFmtId="165" formatCode="#,##0.00&quot; days&quot;"/>
    </dxf>
    <dxf>
      <numFmt numFmtId="4" formatCode="#,##0.00"/>
    </dxf>
    <dxf>
      <font>
        <color theme="0"/>
      </font>
    </dxf>
    <dxf>
      <font>
        <color theme="0"/>
      </font>
    </dxf>
    <dxf>
      <fill>
        <patternFill patternType="solid">
          <bgColor theme="1" tint="0.3499862666707358"/>
        </patternFill>
      </fill>
    </dxf>
    <dxf>
      <fill>
        <patternFill patternType="solid">
          <bgColor theme="1" tint="0.3499862666707358"/>
        </patternFill>
      </fill>
    </dxf>
    <dxf>
      <alignment horizontal="left"/>
    </dxf>
    <dxf>
      <alignment horizontal="right"/>
    </dxf>
    <dxf>
      <alignment horizontal="right"/>
    </dxf>
    <dxf>
      <numFmt numFmtId="4" formatCode="#,##0.00"/>
    </dxf>
    <dxf>
      <numFmt numFmtId="4" formatCode="#,##0.00"/>
    </dxf>
    <dxf>
      <numFmt numFmtId="4" formatCode="#,##0.00"/>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alignment horizontal="left"/>
    </dxf>
    <dxf>
      <alignment horizontal="right"/>
    </dxf>
    <dxf>
      <alignment horizontal="right"/>
    </dxf>
    <dxf>
      <alignment horizontal="center"/>
    </dxf>
    <dxf>
      <alignment horizontal="right"/>
    </dxf>
    <dxf>
      <alignment horizontal="right"/>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alignment horizontal="left"/>
    </dxf>
    <dxf>
      <alignment horizontal="right"/>
    </dxf>
    <dxf>
      <alignment horizontal="right"/>
    </dxf>
    <dxf>
      <alignment horizontal="right"/>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alignment horizontal="left"/>
    </dxf>
    <dxf>
      <alignment horizontal="right"/>
    </dxf>
    <dxf>
      <alignment horizontal="right"/>
    </dxf>
    <dxf>
      <numFmt numFmtId="4" formatCode="#,##0.00"/>
    </dxf>
    <dxf>
      <numFmt numFmtId="4" formatCode="#,##0.00"/>
    </dxf>
    <dxf>
      <numFmt numFmtId="4" formatCode="#,##0.00"/>
    </dxf>
    <dxf>
      <alignment horizontal="right"/>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font>
        <name val="Calibri"/>
        <family val="2"/>
        <strike val="0"/>
        <outline val="0"/>
        <shadow val="0"/>
        <condense val="0"/>
        <color theme="1"/>
        <extend val="0"/>
        <sz val="11"/>
        <vertAlign val="baseline"/>
        <scheme val="minor"/>
      </font>
      <fill>
        <patternFill>
          <fgColor indexed="64"/>
          <bgColor indexed="65"/>
        </patternFill>
      </fill>
    </dxf>
    <dxf>
      <alignment horizontal="left"/>
    </dxf>
    <dxf>
      <alignment horizontal="right"/>
    </dxf>
    <dxf>
      <alignment horizontal="right"/>
    </dxf>
    <dxf>
      <alignment horizontal="general" vertical="top"/>
    </dxf>
    <dxf>
      <numFmt numFmtId="165" formatCode="#,##0.00&quot; days&quot;"/>
      <alignment horizontal="right" vertical="top"/>
    </dxf>
    <dxf>
      <alignment horizontal="general" vertical="top"/>
    </dxf>
    <dxf>
      <numFmt numFmtId="4" formatCode="#,##0.00"/>
      <alignment horizontal="right" vertical="top"/>
    </dxf>
    <dxf>
      <numFmt numFmtId="4" formatCode="#,##0.00"/>
      <alignment horizontal="general" vertical="top"/>
    </dxf>
    <dxf>
      <numFmt numFmtId="4" formatCode="#,##0.00"/>
      <alignment horizontal="right" vertical="top"/>
    </dxf>
    <dxf>
      <numFmt numFmtId="4" formatCode="#,##0.00"/>
      <alignment horizontal="general" vertical="top"/>
    </dxf>
    <dxf>
      <numFmt numFmtId="4" formatCode="#,##0.00"/>
      <alignment horizontal="right" vertical="top"/>
    </dxf>
    <dxf>
      <numFmt numFmtId="4" formatCode="#,##0.00"/>
      <alignment horizontal="general" vertical="top"/>
    </dxf>
    <dxf>
      <numFmt numFmtId="4" formatCode="#,##0.00"/>
      <alignment horizontal="right" vertical="top"/>
    </dxf>
    <dxf>
      <numFmt numFmtId="4" formatCode="#,##0.00"/>
      <alignment horizontal="general" vertical="top"/>
    </dxf>
    <dxf>
      <numFmt numFmtId="4" formatCode="#,##0.00"/>
      <alignment horizontal="right" vertical="top"/>
    </dxf>
    <dxf>
      <numFmt numFmtId="4" formatCode="#,##0.00"/>
      <alignment horizontal="general" vertical="top"/>
    </dxf>
    <dxf>
      <numFmt numFmtId="4" formatCode="#,##0.00"/>
      <alignment horizontal="right" vertical="top"/>
    </dxf>
    <dxf>
      <alignment horizontal="right" vertical="top"/>
    </dxf>
    <dxf>
      <numFmt numFmtId="165" formatCode="#,##0.00&quot; days&quot;"/>
      <alignment horizontal="right" vertical="top"/>
    </dxf>
    <dxf>
      <alignment horizontal="right" vertical="top"/>
    </dxf>
    <dxf>
      <numFmt numFmtId="165" formatCode="#,##0.00&quot; days&quot;"/>
      <alignment horizontal="right" vertical="top"/>
    </dxf>
    <dxf>
      <alignment horizontal="general" vertical="top"/>
    </dxf>
    <dxf>
      <numFmt numFmtId="165" formatCode="#,##0.00&quot; days&quot;"/>
      <alignment horizontal="right" vertical="top"/>
    </dxf>
    <dxf>
      <alignment horizontal="left" vertical="top"/>
    </dxf>
    <dxf>
      <numFmt numFmtId="180" formatCode="m/d/yyyy"/>
      <alignment horizontal="left" vertical="top"/>
    </dxf>
    <dxf>
      <alignment horizontal="left" vertical="top"/>
    </dxf>
    <dxf>
      <alignment horizontal="left" vertical="top"/>
    </dxf>
    <dxf>
      <alignment horizontal="left" vertical="top"/>
    </dxf>
    <dxf>
      <alignment horizontal="left" vertical="top"/>
    </dxf>
    <dxf>
      <alignment horizontal="left" vertical="top"/>
    </dxf>
    <dxf>
      <numFmt numFmtId="164" formatCode="0.0%"/>
      <alignment horizontal="center"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right" vertical="top"/>
    </dxf>
    <dxf>
      <numFmt numFmtId="165" formatCode="#,##0.00&quot; days&quot;"/>
      <alignment horizontal="right" vertical="top"/>
    </dxf>
    <dxf>
      <alignment horizontal="right" vertical="top"/>
    </dxf>
    <dxf>
      <numFmt numFmtId="165" formatCode="#,##0.00&quot; days&quot;"/>
      <alignment horizontal="right" vertical="top"/>
    </dxf>
    <dxf>
      <alignment horizontal="right" vertical="top"/>
    </dxf>
    <dxf>
      <numFmt numFmtId="165" formatCode="#,##0.00&quot; days&quot;"/>
      <alignment horizontal="right"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general" vertical="top"/>
    </dxf>
    <dxf>
      <fill>
        <patternFill patternType="solid">
          <fgColor indexed="64"/>
          <bgColor theme="1" tint="0.3499862666707358"/>
        </patternFill>
      </fill>
      <alignment horizontal="general" vertical="top"/>
    </dxf>
    <dxf>
      <numFmt numFmtId="165" formatCode="#,##0.00&quot; days&quot;"/>
      <alignment horizontal="right" vertical="bottom"/>
    </dxf>
    <dxf>
      <numFmt numFmtId="165" formatCode="#,##0.00&quot; days&quot;"/>
      <alignment horizontal="right" vertical="bottom"/>
    </dxf>
    <dxf>
      <numFmt numFmtId="165" formatCode="#,##0.00&quot; days&quot;"/>
      <alignment horizontal="right" vertical="bottom"/>
    </dxf>
    <dxf>
      <numFmt numFmtId="165" formatCode="#,##0.00&quot; days&quot;"/>
      <alignment horizontal="right" vertical="bottom"/>
    </dxf>
    <dxf>
      <numFmt numFmtId="14" formatCode="0.00%"/>
      <alignment horizontal="right" vertical="bottom"/>
    </dxf>
    <dxf>
      <numFmt numFmtId="14" formatCode="0.00%"/>
      <alignment horizontal="right" vertical="bottom"/>
    </dxf>
    <dxf>
      <fill>
        <patternFill>
          <bgColor theme="1" tint="0.3499862666707358"/>
        </patternFill>
      </fill>
    </dxf>
    <dxf>
      <fill>
        <patternFill>
          <bgColor theme="1" tint="0.3499862666707358"/>
        </patternFill>
      </fill>
    </dxf>
    <dxf>
      <font>
        <b val="1"/>
      </font>
    </dxf>
    <dxf>
      <font>
        <b val="1"/>
      </font>
    </dxf>
    <dxf>
      <font>
        <color theme="0"/>
      </font>
    </dxf>
    <dxf>
      <font>
        <color theme="0"/>
      </font>
    </dxf>
    <dxf>
      <fill>
        <patternFill patternType="solid">
          <bgColor theme="1" tint="0.499984740745262"/>
        </patternFill>
      </fill>
    </dxf>
    <dxf>
      <fill>
        <patternFill patternType="solid">
          <bgColor theme="1" tint="0.499984740745262"/>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left"/>
    </dxf>
    <dxf>
      <font>
        <color theme="0"/>
      </font>
    </dxf>
    <dxf>
      <fill>
        <patternFill patternType="solid">
          <bgColor theme="1" tint="0.3499862666707358"/>
        </patternFill>
      </fill>
    </dxf>
    <dxf>
      <alignment horizontal="right"/>
    </dxf>
    <dxf>
      <font>
        <color theme="0"/>
      </font>
    </dxf>
    <dxf>
      <fill>
        <patternFill patternType="solid">
          <bgColor theme="1" tint="0.3499862666707358"/>
        </patternFill>
      </fill>
    </dxf>
    <dxf>
      <font>
        <color theme="0"/>
      </font>
    </dxf>
    <dxf>
      <fill>
        <patternFill>
          <bgColor theme="1" tint="0.3499862666707358"/>
        </patternFill>
      </fill>
    </dxf>
    <dxf>
      <fill>
        <patternFill patternType="solid">
          <bgColor theme="2" tint="-0.249977111117893"/>
        </patternFill>
      </fill>
    </dxf>
    <dxf>
      <alignment horizontal="right"/>
    </dxf>
    <dxf>
      <alignment horizontal="right"/>
    </dxf>
    <dxf>
      <font>
        <color theme="0"/>
      </font>
      <fill>
        <patternFill patternType="solid">
          <fgColor indexed="64"/>
          <bgColor theme="1" tint="0.3499862666707358"/>
        </patternFill>
      </fill>
      <alignment horizontal="right"/>
    </dxf>
    <dxf>
      <numFmt numFmtId="4" formatCode="#,##0.00"/>
    </dxf>
    <dxf>
      <numFmt numFmtId="4" formatCode="#,##0.00"/>
    </dxf>
    <dxf>
      <fill>
        <patternFill>
          <bgColor theme="1" tint="0.3499862666707358"/>
        </patternFill>
      </fill>
    </dxf>
    <dxf>
      <font>
        <b val="1"/>
      </font>
    </dxf>
    <dxf>
      <font>
        <color theme="0"/>
      </font>
    </dxf>
    <dxf>
      <fill>
        <patternFill patternType="solid">
          <bgColor theme="1" tint="0.499984740745262"/>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right"/>
    </dxf>
    <dxf>
      <alignment horizontal="right"/>
    </dxf>
    <dxf>
      <font>
        <color theme="0"/>
      </font>
    </dxf>
    <dxf>
      <fill>
        <patternFill>
          <bgColor theme="1" tint="0.3499862666707358"/>
        </patternFill>
      </fill>
    </dxf>
    <dxf>
      <alignment horizontal="right"/>
    </dxf>
    <dxf>
      <numFmt numFmtId="4" formatCode="#,##0.00"/>
    </dxf>
    <dxf>
      <font>
        <color theme="0"/>
      </font>
    </dxf>
    <dxf>
      <font>
        <color theme="0"/>
      </font>
    </dxf>
    <dxf>
      <font>
        <color theme="0"/>
      </font>
    </dxf>
    <dxf>
      <fill>
        <patternFill>
          <bgColor theme="1" tint="0.3499862666707358"/>
        </patternFill>
      </fill>
    </dxf>
    <dxf>
      <fill>
        <patternFill>
          <bgColor theme="1" tint="0.3499862666707358"/>
        </patternFill>
      </fill>
    </dxf>
    <dxf>
      <fill>
        <patternFill>
          <bgColor theme="1" tint="0.3499862666707358"/>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right"/>
    </dxf>
    <dxf>
      <alignment horizontal="right"/>
    </dxf>
    <dxf>
      <alignment horizontal="right"/>
    </dxf>
    <dxf>
      <font>
        <color theme="0"/>
      </font>
      <fill>
        <patternFill patternType="solid">
          <fgColor indexed="64"/>
          <bgColor theme="1" tint="0.3499862666707358"/>
        </patternFill>
      </fill>
    </dxf>
    <dxf>
      <numFmt numFmtId="165" formatCode="#,##0.00&quot; days&quot;"/>
    </dxf>
    <dxf>
      <font>
        <color theme="0"/>
      </font>
    </dxf>
    <dxf>
      <fill>
        <patternFill patternType="solid">
          <bgColor theme="1" tint="0.3499862666707358"/>
        </patternFill>
      </fill>
    </dxf>
    <dxf>
      <numFmt numFmtId="177" formatCode="#,##0.00\ &quot;€&quot;"/>
    </dxf>
    <dxf>
      <font>
        <color theme="0"/>
      </font>
      <fill>
        <patternFill patternType="solid">
          <fgColor indexed="64"/>
          <bgColor theme="1" tint="0.3499862666707358"/>
        </patternFill>
      </fill>
      <alignment vertical="center"/>
    </dxf>
    <dxf>
      <alignment horizontal="right"/>
    </dxf>
    <dxf>
      <numFmt numFmtId="4" formatCode="#,##0.00"/>
    </dxf>
    <dxf>
      <numFmt numFmtId="4" formatCode="#,##0.00"/>
    </dxf>
    <dxf>
      <alignment vertical="center"/>
    </dxf>
    <dxf>
      <alignment vertic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right"/>
    </dxf>
    <dxf>
      <alignment horizontal="right"/>
    </dxf>
    <dxf>
      <font>
        <color theme="0"/>
      </font>
    </dxf>
    <dxf>
      <fill>
        <patternFill patternType="solid">
          <bgColor theme="1" tint="0.3499862666707358"/>
        </patternFill>
      </fill>
    </dxf>
    <dxf>
      <numFmt numFmtId="4" formatCode="#,##0.00"/>
    </dxf>
    <dxf>
      <font>
        <color theme="0"/>
      </font>
    </dxf>
    <dxf>
      <font>
        <color theme="0"/>
      </font>
    </dxf>
    <dxf>
      <fill>
        <patternFill>
          <bgColor theme="1" tint="0.3499862666707358"/>
        </patternFill>
      </fill>
    </dxf>
    <dxf>
      <fill>
        <patternFill>
          <bgColor theme="1" tint="0.3499862666707358"/>
        </patternFill>
      </fill>
    </dxf>
    <dxf>
      <fill>
        <patternFill patternType="solid">
          <bgColor theme="2" tint="-0.249977111117893"/>
        </patternFill>
      </fill>
    </dxf>
    <dxf>
      <fill>
        <patternFill patternType="solid">
          <bgColor theme="2" tint="-0.249977111117893"/>
        </patternFill>
      </fill>
    </dxf>
    <dxf>
      <alignment horizontal="right"/>
    </dxf>
    <dxf>
      <alignment horizontal="right"/>
    </dxf>
    <dxf>
      <numFmt numFmtId="30" formatCode="@"/>
      <fill>
        <patternFill patternType="solid">
          <fgColor indexed="64"/>
          <bgColor theme="7" tint="0.7999816888943144"/>
        </patternFill>
      </fill>
      <alignment horizontal="center" vertical="top"/>
    </dxf>
    <dxf>
      <numFmt numFmtId="30" formatCode="@"/>
      <fill>
        <patternFill patternType="solid">
          <fgColor indexed="64"/>
          <bgColor theme="7" tint="0.7999816888943144"/>
        </patternFill>
      </fill>
      <alignment horizontal="general" vertical="top" wrapText="1"/>
    </dxf>
    <dxf>
      <numFmt numFmtId="180" formatCode="m/d/yyyy"/>
      <fill>
        <patternFill patternType="solid">
          <fgColor indexed="64"/>
          <bgColor theme="7" tint="0.7999816888943144"/>
        </patternFill>
      </fill>
      <alignment horizontal="center" vertical="top"/>
    </dxf>
    <dxf>
      <fill>
        <patternFill patternType="solid">
          <fgColor indexed="64"/>
          <bgColor theme="7" tint="0.7999816888943144"/>
        </patternFill>
      </fill>
      <alignment vertical="top"/>
    </dxf>
    <dxf>
      <fill>
        <patternFill patternType="solid">
          <fgColor indexed="64"/>
          <bgColor theme="4" tint="-0.499984740745262"/>
        </patternFill>
      </fill>
      <alignment vertical="top"/>
    </dxf>
    <dxf>
      <fill>
        <patternFill patternType="solid">
          <fgColor indexed="64"/>
          <bgColor theme="7" tint="0.7999816888943144"/>
        </patternFill>
      </fill>
      <alignment horizontal="center" vertical="bottom"/>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fgColor indexed="64"/>
          <bgColor auto="1"/>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left style="thin">
          <color auto="1"/>
        </left>
        <right style="thin">
          <color auto="1"/>
        </right>
        <top style="thin">
          <color auto="1"/>
        </top>
        <bottom style="thin">
          <color auto="1"/>
        </bottom>
        <vertical/>
        <horizontal/>
      </border>
      <protection locked="0" hidden="0"/>
    </dxf>
    <dxf>
      <font>
        <name val="Calibri"/>
        <family val="2"/>
        <strike val="0"/>
        <outline val="0"/>
        <shadow val="0"/>
        <color auto="1"/>
        <sz val="11"/>
        <vertAlign val="baseline"/>
        <scheme val="minor"/>
      </font>
      <fill>
        <patternFill patternType="solid">
          <fgColor indexed="64"/>
          <bgColor theme="7" tint="0.7999816888943144"/>
        </patternFill>
      </fill>
      <alignment horizontal="general" vertical="top"/>
      <border>
        <left style="thin">
          <color auto="1"/>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lor auto="1"/>
        <sz val="11"/>
        <vertAlign val="baseline"/>
        <scheme val="minor"/>
      </font>
    </dxf>
    <dxf>
      <border outline="0">
        <bottom style="thin">
          <color auto="1"/>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outline="0">
        <left style="thin">
          <color auto="1"/>
        </left>
        <right style="thin">
          <color auto="1"/>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pivotCacheDefinition" Target="/xl/pivotCache/pivotCacheDefinition1.xml" Id="rId44" /><Relationship Type="http://schemas.openxmlformats.org/officeDocument/2006/relationships/styles" Target="styles.xml" Id="rId45" /><Relationship Type="http://schemas.openxmlformats.org/officeDocument/2006/relationships/theme" Target="theme/theme1.xml" Id="rId46" /></Relationships>
</file>

<file path=xl/comments/comment1.xml><?xml version="1.0" encoding="utf-8"?>
<comments xmlns="http://schemas.openxmlformats.org/spreadsheetml/2006/main">
  <authors>
    <author>Wichert, Georg</author>
  </authors>
  <commentList>
    <comment ref="J8" authorId="0" shapeId="0">
      <text>
        <t>Red means that the feature efforts
have not yet been fully allocated.</t>
      </text>
    </comment>
    <comment ref="R10" authorId="0" shapeId="0">
      <text>
        <t>Format:
###9[d|w|m|y]
d = days
w = weeks
m = months
y = years</t>
      </text>
    </comment>
    <comment ref="S10" authorId="0" shapeId="0">
      <text>
        <t>Format:
bot|eot|aft({ID})[+|-{distance}]
{ID} = predecessor task id e.g. P-10
{distance} = ###9[d|w|m|y]
Functions:
bot = begin of predeccesor task
eot = end of predeccesor task
aft = one day after predeccesor task = eot(...) + 1d</t>
      </text>
    </comment>
    <comment ref="V11" authorId="0" shapeId="0">
      <text>
        <t>Red means that the  efforts have not yet been fully allocated to the roles.</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Wichert, Georg" refreshedDate="45744.68205532408" createdVersion="8" refreshedVersion="8" minRefreshableVersion="3" recordCount="24" r:id="rId1">
  <cacheSource type="worksheet">
    <worksheetSource name="tblDataPool"/>
  </cacheSource>
  <cacheFields count="46">
    <cacheField name="Item type" uniqueList="1" numFmtId="0" sqlType="0" hierarchy="0" level="0" databaseField="1">
      <sharedItems count="16" containsBlank="1">
        <s v="Task"/>
        <s v="Travel time"/>
        <s v="Warranty"/>
        <s v="Feature" u="1"/>
        <s v="Risks" u="1"/>
        <s v="Travel costs" u="1"/>
        <s v="Other costs (without travel costs)" u="1"/>
        <s v="Task (customer)" u="1"/>
        <m u="1"/>
        <s v="Risk" u="1"/>
        <s v="Risk (Task)" u="1"/>
        <s v="Risk (Feature)" u="1"/>
        <s v="Risk (General)" u="1"/>
        <e v="#N/A" u="1"/>
        <s v="Other costs" u="1"/>
        <s v="Task (optional)" u="1"/>
      </sharedItems>
    </cacheField>
    <cacheField name="Task id" uniqueList="1" numFmtId="0" sqlType="0" hierarchy="0" level="0" databaseField="1">
      <sharedItems count="249" containsBlank="1">
        <s v="P-10"/>
        <s v="P-20"/>
        <s v="P-30"/>
        <s v="P-40"/>
        <s v="P-50"/>
        <s v="P-60"/>
        <s v="P-70"/>
        <s v="P-80"/>
        <s v="P-90"/>
        <s v="P-100"/>
        <s v="P-110"/>
        <s v="P-120"/>
        <s v="P-130"/>
        <s v="P-140"/>
        <s v="P-150"/>
        <s v="P-160"/>
        <s v="P-170"/>
        <s v="P-180"/>
        <s v="P-190"/>
        <s v="P-200"/>
        <s v="P-210"/>
        <s v="P-220"/>
        <s v="P-230"/>
        <s v="P-250"/>
        <s v="P-240" u="1"/>
        <s v="P-260" u="1"/>
        <s v="P-270" u="1"/>
        <s v="P-280" u="1"/>
        <s v="P-290" u="1"/>
        <s v="P-300" u="1"/>
        <s v="P-310" u="1"/>
        <s v="P-320" u="1"/>
        <s v="P-330" u="1"/>
        <s v="P-340" u="1"/>
        <s v="P-350" u="1"/>
        <s v="P-360" u="1"/>
        <s v="P-370" u="1"/>
        <s v="P-380" u="1"/>
        <s v="P-390" u="1"/>
        <s v="P-400" u="1"/>
        <s v="P-410" u="1"/>
        <s v="P-420" u="1"/>
        <s v="P-430" u="1"/>
        <s v="P-440" u="1"/>
        <s v="P-450" u="1"/>
        <s v="P-460" u="1"/>
        <s v="P-470" u="1"/>
        <s v="P-480" u="1"/>
        <s v="P-500" u="1"/>
        <s v="P-490" u="1"/>
        <m u="1"/>
        <s v="P-102" u="1"/>
        <s v="P-105" u="1"/>
        <s v="P-107" u="1"/>
        <s v="P-108" u="1"/>
        <s v="P-109" u="1"/>
        <s v="P-35" u="1"/>
        <s v="P-37" u="1"/>
        <s v="P-38" u="1"/>
        <s v="P-75" u="1"/>
        <s v="P-85" u="1"/>
        <s v="P-95" u="1"/>
        <s v="P-115" u="1"/>
        <s v="P-117" u="1"/>
        <s v="P-135" u="1"/>
        <s v="P-45" u="1"/>
        <s v="P-61" u="1"/>
        <s v="P-62" u="1"/>
        <s v="P-63" u="1"/>
        <s v="P-65" u="1"/>
        <s v="P-155" u="1"/>
        <s v="P-157" u="1"/>
        <s v="P-510" u="1"/>
        <s v="P-520" u="1"/>
        <s v="P-530" u="1"/>
        <s v="P-540" u="1"/>
        <s v="P-550" u="1"/>
        <s v="P-560" u="1"/>
        <s v="P-570" u="1"/>
        <s v="P-580" u="1"/>
        <s v="P-590" u="1"/>
        <s v="P-600" u="1"/>
        <s v="P-610" u="1"/>
        <s v="P-620" u="1"/>
        <s v="P-630" u="1"/>
        <s v="P-640" u="1"/>
        <s v="P-650" u="1"/>
        <s v="P-660" u="1"/>
        <s v="P-670" u="1"/>
        <s v="P-680" u="1"/>
        <s v="P-690" u="1"/>
        <s v="P-700" u="1"/>
        <s v="P-710" u="1"/>
        <s v="P-720" u="1"/>
        <s v="P-730" u="1"/>
        <s v="P-740" u="1"/>
        <s v="P-750" u="1"/>
        <s v="P-760" u="1"/>
        <s v="P-770" u="1"/>
        <s v="P-780" u="1"/>
        <s v="P-790" u="1"/>
        <s v="P-800" u="1"/>
        <s v="P-810" u="1"/>
        <s v="P-820" u="1"/>
        <s v="P-830" u="1"/>
        <s v="P-840" u="1"/>
        <s v="P-850" u="1"/>
        <s v="P-860" u="1"/>
        <s v="P-870" u="1"/>
        <s v="P-880" u="1"/>
        <s v="P-890" u="1"/>
        <s v="P-900" u="1"/>
        <s v="P-910" u="1"/>
        <s v="P-920" u="1"/>
        <s v="P-930" u="1"/>
        <s v="P-940" u="1"/>
        <s v="P-950" u="1"/>
        <s v="P-960" u="1"/>
        <s v="P-970" u="1"/>
        <s v="P-980" u="1"/>
        <s v="P-990" u="1"/>
        <s v="P-1000" u="1"/>
        <s v="P-1010" u="1"/>
        <s v="P-1020" u="1"/>
        <s v="P-1030" u="1"/>
        <s v="P-1040" u="1"/>
        <s v="P-1050" u="1"/>
        <s v="P-1060" u="1"/>
        <s v="P-1070" u="1"/>
        <s v="P-1080" u="1"/>
        <s v="P-1090" u="1"/>
        <s v="P-1100" u="1"/>
        <s v="P-1110" u="1"/>
        <s v="P-1120" u="1"/>
        <s v="P-1130" u="1"/>
        <s v="P-1140" u="1"/>
        <s v="P-1150" u="1"/>
        <s v="P-1160" u="1"/>
        <s v="P-1170" u="1"/>
        <s v="P-1180" u="1"/>
        <s v="P-1190" u="1"/>
        <s v="P-1200" u="1"/>
        <s v="P-1210" u="1"/>
        <s v="P-1220" u="1"/>
        <s v="P-1230" u="1"/>
        <s v="P-1240" u="1"/>
        <s v="P-1250" u="1"/>
        <s v="P-1260" u="1"/>
        <s v="P-1270" u="1"/>
        <s v="P-1280" u="1"/>
        <s v="P-1290" u="1"/>
        <s v="P-1300" u="1"/>
        <s v="P-1310" u="1"/>
        <s v="P-1320" u="1"/>
        <s v="P-1330" u="1"/>
        <s v="P-1340" u="1"/>
        <s v="P-1350" u="1"/>
        <s v="P-1360" u="1"/>
        <s v="P-1370" u="1"/>
        <s v="P-1380" u="1"/>
        <s v="P-1390" u="1"/>
        <s v="P-1400" u="1"/>
        <s v="P-1410" u="1"/>
        <s v="P-1420" u="1"/>
        <s v="P-1430" u="1"/>
        <s v="P-1440" u="1"/>
        <s v="P-1450" u="1"/>
        <s v="P-1460" u="1"/>
        <s v="P-1470" u="1"/>
        <s v="P-1480" u="1"/>
        <s v="P-1490" u="1"/>
        <s v="P-1500" u="1"/>
        <s v="P-1510" u="1"/>
        <s v="P-1520" u="1"/>
        <s v="P-1530" u="1"/>
        <s v="P-1540" u="1"/>
        <s v="P-1550" u="1"/>
        <s v="P-1560" u="1"/>
        <s v="P-1570" u="1"/>
        <s v="P-1580" u="1"/>
        <s v="P-1590" u="1"/>
        <s v="P-1600" u="1"/>
        <s v="P-1610" u="1"/>
        <s v="P-1620" u="1"/>
        <s v="P-1630" u="1"/>
        <s v="P-1640" u="1"/>
        <s v="P-1650" u="1"/>
        <s v="P-1660" u="1"/>
        <s v="P-1680" u="1"/>
        <s v="P-1690" u="1"/>
        <s v="P-1700" u="1"/>
        <s v="P-1710" u="1"/>
        <s v="P-1720" u="1"/>
        <s v="P-1730" u="1"/>
        <s v="P-1740" u="1"/>
        <s v="P-1750" u="1"/>
        <s v="P-1760" u="1"/>
        <s v="P-1770" u="1"/>
        <s v="P-1780" u="1"/>
        <s v="P-1790" u="1"/>
        <s v="P-1800" u="1"/>
        <s v="P-1810" u="1"/>
        <s v="P-1820" u="1"/>
        <s v="P-1830" u="1"/>
        <s v="P-1840" u="1"/>
        <s v="P-1850" u="1"/>
        <s v="P-1860" u="1"/>
        <s v="P-1870" u="1"/>
        <s v="P-12" u="1"/>
        <s v="P-14" u="1"/>
        <s v="P-18" u="1"/>
        <s v="P-26" u="1"/>
        <s v="P-33" u="1"/>
        <s v="P-55" u="1"/>
        <s v="P-84" u="1"/>
        <s v="P-86" u="1"/>
        <s v="P-88" u="1"/>
        <s v="P-92" u="1"/>
        <s v="P-99" u="1"/>
        <s v="P-114" u="1"/>
        <s v="P-124" u="1"/>
        <s v="P-134" u="1"/>
        <s v="P-144" u="1"/>
        <s v="P-265" u="1"/>
        <s v="P-267" u="1"/>
        <s v="P-1670" u="1"/>
        <s v="P-205" u="1"/>
        <s v="P-242" u="1"/>
        <s v="P-245" u="1"/>
        <s v="P-445" u="1"/>
        <s v="P-451" u="1"/>
        <s v="P-452" u="1"/>
        <s v="P-455" u="1"/>
        <s v="P-465" u="1"/>
        <s v="P-466" u="1"/>
        <s v="P-467" u="1"/>
        <s v="P-468" u="1"/>
        <s v="P-469" u="1"/>
        <s v="P-212" u="1"/>
        <s v="P-143" u="1"/>
        <s v="P-202" u="1"/>
        <s v="F-40" u="1"/>
        <s v="F-60" u="1"/>
        <s v="F-53" u="1"/>
        <s v="F-20" u="1"/>
        <s v="F-10" u="1"/>
        <s v="Feature" u="1"/>
        <e v="#N/A" u="1"/>
        <s v="P-231" u="1"/>
      </sharedItems>
    </cacheField>
    <cacheField name="Task group" uniqueList="1" numFmtId="0" sqlType="0" hierarchy="0" level="0" databaseField="1">
      <sharedItems count="52" containsBlank="1" containsNonDate="0">
        <m/>
        <s v="Start" u="1"/>
        <s v="Implementation Module 1" u="1"/>
        <s v="Implementation Module 2" u="1"/>
        <s v="Implementation Module 3+4" u="1"/>
        <s v="Overall tasks" u="1"/>
        <s v="Warranty" u="1"/>
        <s v="Initialisierung" u="1"/>
        <s v="Konzeption &amp; Spezifikation" u="1"/>
        <s v="Implementierung" u="1"/>
        <s v="Vor-/Systemtest" u="1"/>
        <s v="Integrationstest" u="1"/>
        <s v="Übergreifende Aufgaben" u="1"/>
        <s v="Gewährleistung" u="1"/>
        <s v="Risiken" u="1"/>
        <s v="Reisezeiten" u="1"/>
        <s v="Systemtest" u="1"/>
        <s v="Projektmanagement (15)" u="1"/>
        <s v="Stabstellen (00 + 20 + &quot;Puffer&quot;)" u="1"/>
        <s v="Produkt (01)" u="1"/>
        <s v="Partner (02)" u="1"/>
        <s v="Schaden (03)" u="1"/>
        <s v="In-/Exkasso (04)" u="1"/>
        <s v="Vertrieb (05)" u="1"/>
        <s v="Vertrag (06)" u="1"/>
        <s v="E2E (08)" u="1"/>
        <s v="TAA (09)" u="1"/>
        <s v="Migration (10)" u="1"/>
        <s v="Testmanagement (12)" u="1"/>
        <s v="CR-Pool" u="1"/>
        <s v="Plattform-Integration (30) (NKV)" u="1"/>
        <s v="TP1" u="1"/>
        <s v="TP2" u="1"/>
        <s v="Querschnitt" u="1"/>
        <s v="DevOps &amp; Releasemanagement (00)" u="1"/>
        <s v="Risikopuffer (20 + &quot;Puffer&quot;)" u="1"/>
        <s v="Projektmanagement [15]" u="1"/>
        <s v="DevOps &amp; Releasemanagement [00]" u="1"/>
        <s v="Produkt [01]" u="1"/>
        <s v="10_Planung" u="1"/>
        <s v="20_Durchführung" u="1"/>
        <s v="30_Abschluss" u="1"/>
        <s v="10_Übergreifende Aufgaben" u="1"/>
        <s v="90_Reisezeiten" u="1"/>
        <s v="91_Gewährleistung" u="1"/>
        <s v="92_Risiken" u="1"/>
        <s v="Q" u="1"/>
        <s v="Feature" u="1"/>
        <e v="#N/A" u="1"/>
        <s v="TP 1" u="1"/>
        <s v="TP 2" u="1"/>
        <s v="TP 3" u="1"/>
      </sharedItems>
    </cacheField>
    <cacheField name="Summary task" uniqueList="1" numFmtId="0" sqlType="0" hierarchy="0" level="0" databaseField="1">
      <sharedItems count="68" containsBlank="1">
        <s v="Inititialisierung"/>
        <s v="Implementierung"/>
        <s v="Übergreifende Aufgaben"/>
        <s v="Gewährleistung"/>
        <s v="Planning" u="1"/>
        <s v="Implementation" u="1"/>
        <s v="Overall tasks" u="1"/>
        <s v="Warranty" u="1"/>
        <m u="1"/>
        <s v="10_Planung" u="1"/>
        <s v="20_Durchführung" u="1"/>
        <s v="30_Abschluss" u="1"/>
        <s v="10_Übergreifende Aufgaben" u="1"/>
        <s v="90_Reisezeiten" u="1"/>
        <s v="10_Planning" u="1"/>
        <s v="20_Implementation" u="1"/>
        <s v="01_Initialisierung" u="1"/>
        <s v="02_Bereitstellung aFP" u="1"/>
        <s v="03_Konzeption" u="1"/>
        <s v="04_Implementierung" u="1"/>
        <s v="05_Transition" u="1"/>
        <s v="06_Abnahme" u="1"/>
        <s v="91_Gewährleistung" u="1"/>
        <s v="Querschnitt (MQ)" u="1"/>
        <s v="Haftpflicht Light (M1)" u="1"/>
        <s v="Haftpflicht Komplett (M1K)" u="1"/>
        <s v="Unfall (M2)" u="1"/>
        <s v="Hausrat/WG (M3)" u="1"/>
        <s v="Komplettsystem (M4)" u="1"/>
        <s v="Hypercare (M5)" u="1"/>
        <s v="Closing" u="1"/>
        <s v="Initialisierung TP1" u="1"/>
        <s v="Modul 1" u="1"/>
        <s v="Modul 2" u="1"/>
        <s v="Querschnitt TP1" u="1"/>
        <s v="Initialisierung TP2" u="1"/>
        <s v="Modul 3 + 4" u="1"/>
        <s v="Querschnitt TP2" u="1"/>
        <s v="Querschnitt Übergreifend" u="1"/>
        <s v="MQ" u="1"/>
        <s v="M1" u="1"/>
        <s v="M1K" u="1"/>
        <s v="Initialisierung" u="1"/>
        <s v="Querschnitt" u="1"/>
        <s v="Reisezeiten" u="1"/>
        <s v="Feature" u="1"/>
        <e v="#N/A" u="1"/>
        <s v="Travel time" u="1"/>
        <s v="80_Querschnitt" u="1"/>
        <s v="85_Meetings" u="1"/>
        <s v="02_Implementierung" u="1"/>
        <s v="03_Projektmanagement" u="1"/>
        <s v="02_Implementierung Modul 1" u="1"/>
        <s v="02_Implementierung Modul 2" u="1"/>
        <s v="test 1" u="1"/>
        <s v="test 2" u="1"/>
        <s v="test 3" u="1"/>
        <s v="Gesamtprojekt" u="1"/>
        <s v="Projektmanagement" u="1"/>
        <s v="91_Warranty" u="1"/>
        <s v="02_Implementation" u="1"/>
        <s v="Einführung" u="1"/>
        <s v="10_Overall tasks" u="1"/>
        <s v="03_Transition" u="1"/>
        <s v="90_Travel time" u="1"/>
        <s v="04_Übergreifende Aufgaben" u="1"/>
        <s v="03_Einführung" u="1"/>
        <s v="01_Initialization" u="1"/>
      </sharedItems>
    </cacheField>
    <cacheField name="Task" uniqueList="1" numFmtId="0" sqlType="0" hierarchy="0" level="0" databaseField="1">
      <sharedItems count="426" containsBlank="1">
        <s v="Projektinitialisierung und -planung"/>
        <s v="Planung und Durchführung Projekt Kick Off-Meeting"/>
        <s v="Erstellung Software Architekturkonzept"/>
        <s v="Erstellung Testkonzept"/>
        <s v="Aufbau Entwicklungsumgebung"/>
        <s v="Analyse &amp; Software Design"/>
        <s v="Software-entwicklung"/>
        <s v="Softwaretest"/>
        <s v="Entwicklung und Wartung Testautomatisierung"/>
        <s v="Performance Test"/>
        <s v="Sicherheitsprüfung"/>
        <s v="Erstellung Anwenderhandbuch"/>
        <s v="Kundenschulung"/>
        <s v="Fehlerbearb. nach BzA"/>
        <s v="Datenmigration"/>
        <s v="Unterstützung des Kunden bei der Installation und Konfiguration der Software"/>
        <s v="Projektmanagement"/>
        <s v="Testmanagement"/>
        <s v="Architekturmanagement"/>
        <s v="DevOps Support"/>
        <s v="Smartshoremanagement"/>
        <s v="Projektmeetings"/>
        <s v="Reisezeiten"/>
        <s v="Gewährleistung"/>
        <s v="Project initialization and planning" u="1"/>
        <s v="Project kick-off meeting " u="1"/>
        <s v="Setup development environment" u="1"/>
        <s v="Creation of software architecture concept" u="1"/>
        <s v="Creation of test concept" u="1"/>
        <s v="Analysis &amp; software design (A)" u="1"/>
        <s v="Software development (A)" u="1"/>
        <s v="Writing user manual" u="1"/>
        <s v="Software test (A)" u="1"/>
        <s v="Development of test automation scripts" u="1"/>
        <s v="Security check" u="1"/>
        <s v="Bug fixing after delivery for acceptance (A)" u="1"/>
        <s v="Customer training" u="1"/>
        <s v="Analysis &amp; software design (B)" u="1"/>
        <s v="Software development (B)" u="1"/>
        <s v="Software test (B)" u="1"/>
        <s v="Bug fixing after delivery for acceptance (B)" u="1"/>
        <s v="Analysis &amp; software design (C)" u="1"/>
        <s v="Software development (C)" u="1"/>
        <s v="Software test (C)" u="1"/>
        <s v="Bug fixing after delivery for acceptance (C)" u="1"/>
        <s v="Project management" u="1"/>
        <s v="Test management" u="1"/>
        <s v="Software architecture management" u="1"/>
        <s v="Project meetings" u="1"/>
        <s v="Travel times" u="1"/>
        <s v="Warranty" u="1"/>
        <s v="Risks" u="1"/>
        <m u="1"/>
        <s v="Konzeption &amp; Spezifikation" u="1"/>
        <s v="Kunde: Fachliche Abstimmung" u="1"/>
        <s v="Kunde: Review Detailspezifikation" u="1"/>
        <s v="Kunde: Bereitstellung aller notwendigen Lizenzen für eingesetzte Standard-Software" u="1"/>
        <s v="Aufbau Umgebungen für Entwicklung" u="1"/>
        <s v="Umsetzung &amp; Entwicklertest (Diverses)" u="1"/>
        <s v="Umsetzung &amp; Entwicklertest (Portalfunktion)" u="1"/>
        <s v="Komponentenintegrationstest" u="1"/>
        <s v="Sprint 0" u="1"/>
        <s v="Sprint 1" u="1"/>
        <s v="Sprint 2" u="1"/>
        <s v="Sprint 3" u="1"/>
        <s v="Sprint 4" u="1"/>
        <s v="Sprint 5" u="1"/>
        <s v="Sprint 6 (kurz)" u="1"/>
        <s v="Kunde: Bereitstellung Abnahmeumgebung" u="1"/>
        <s v="Unterstützung Aufbau Umgebung beim Kunden" u="1"/>
        <s v="Kunde: Modultest TC1" u="1"/>
        <s v="Unterstützung Modultest TC1" u="1"/>
        <s v="Kunde: Modultest TC2" u="1"/>
        <s v="Unterstützung Modultest TC2" u="1"/>
        <s v="Systemtest (Vortest)" u="1"/>
        <s v="Kunde: Durchführung der Installation auf Abnahmeumgebung" u="1"/>
        <s v="Kunde: Abnahmetest" u="1"/>
        <s v="Unterstützung Abnahmetest" u="1"/>
        <s v="Kunde: Projekt-/Architektur-/QM-Management" u="1"/>
        <s v="Risiken" u="1"/>
        <s v="Mitwirkung: Fachliche Abstimmung" u="1"/>
        <s v="Mitwirkung: Review Detailspezifikation" u="1"/>
        <s v="Mitwirkung: Bereitstellung aller notwendigen Lizenzen für eingesetzte Standard-Software" u="1"/>
        <s v="Mitwirkung: Bereitstellung Abnahmeumgebung" u="1"/>
        <s v="Mitwirkung: Modultest TC1" u="1"/>
        <s v="Mitwirkung: Modultest TC2" u="1"/>
        <s v="Mitwirkung: Durchführung der Installation auf Abnahmeumgebung" u="1"/>
        <s v="Mitwirkung: Abnahmetest" u="1"/>
        <s v="Mitwirkung: Befugte Entscheider für Projektdurchführung_x000a_(ggfls. unterstützt durch Fachliche -, Architekto-nische- , Betriebliche- und (QM-) Prozessuale Entscheider)" u="1"/>
        <s v="Integrationstest" u="1"/>
        <s v="Konzeption &amp; Spezifikation (Diverses)" u="1"/>
        <s v="Konzeption &amp; Spezifikation (Portalfunktion)" u="1"/>
        <s v="Fehlerbearbeitung" u="1"/>
        <s v="Unterstützung Kundentest" u="1"/>
        <s v="Analyse und Software Design" u="1"/>
        <s v="Softwareentwicklung" u="1"/>
        <s v="Fehlerbearbeitung nach Bereitstellung zur Abnahme" u="1"/>
        <s v="Analysis &amp; software design" u="1"/>
        <s v="Software development" u="1"/>
        <s v="Software test" u="1"/>
        <s v="Bug fixing after delivery for acceptance" u="1"/>
        <s v="Data migration" u="1"/>
        <s v="Support installation and configuration of the software at the customer" u="1"/>
        <s v="Smartshore management/support" u="1"/>
        <s v="Projekt Kick Off-Meeting" u="1"/>
        <s v="Durchführung &amp; Dokumentation" u="1"/>
        <s v="Qualitätssicherrung" u="1"/>
        <s v="Fehlerbearb. nach QS" u="1"/>
        <s v="Übergabe an Kunde" u="1"/>
        <s v="Durchführung Meetings inkl. Scrum-Meetings" u="1"/>
        <s v="Meetings &amp; Abstimmungen" u="1"/>
        <s v="Project setup" u="1"/>
        <s v="Project kickoff" u="1"/>
        <s v="Transition IN" u="1"/>
        <s v="RE/Analysis/Refinement" u="1"/>
        <s v="Deployment" u="1"/>
        <s v="Testing and documentation" u="1"/>
        <s v="Defects" u="1"/>
        <s v="Feature-Risks" u="1"/>
        <s v="Overhead (agil Meetings/PL/SM/PMO)" u="1"/>
        <s v="Transition OUT" u="1"/>
        <s v="Documentation (End)" u="1"/>
        <s v="QA management" u="1"/>
        <s v="Travel Time" u="1"/>
        <s v="Project Kick Off-Meeting" u="1"/>
        <s v="Development Test environment" u="1"/>
        <s v="Initializing Scrum" u="1"/>
        <s v="Execution customer workshops" u="1"/>
        <s v="UX Design" u="1"/>
        <s v="UI Design" u="1"/>
        <s v="Bug fixing" u="1"/>
        <s v="Bug fixing after final acceptance" u="1"/>
        <s v="Einrichtung Arbeitsplatz und fachliche Einarbeitung" u="1"/>
        <s v="Einrichtung Identity Management / SSO (ggfs 2FA, Theming Keycloak)" u="1"/>
        <s v="Erstellung Blueprint Middleware (Spring Boot/Security und User-Service)" u="1"/>
        <s v="Einrichtung Frontend" u="1"/>
        <s v="Einrichtung Print Service (Dokumenten-Generierung)" u="1"/>
        <s v="Einrichtung DMS  / Filebrowser (Daten-Upload/Download) &amp; Antivirus &amp; Jackrabbit OAK" u="1"/>
        <s v="Einrichtung eChart-Service (Charts)" u="1"/>
        <s v="Einrichtung Map-Service (Geo-Berechnungen und Darstellungen)" u="1"/>
        <s v="Einrichtung Internationalisierung (i18n)" u="1"/>
        <s v="Einrichtung Portalrahmen (Mandantenfähigkeit des Portals)" u="1"/>
        <s v="Einrichtung Postfach" u="1"/>
        <s v="Einrichtung Spring State Machine / Camunda (allg. Prozessfluss Steuerung)" u="1"/>
        <s v="Datenbank Versionierung (z.B. Flyway)" u="1"/>
        <s v="Einrichtung SMTP zzgl. Mailhog für Tests" u="1"/>
        <s v="Erstellung Architekturkonzept" u="1"/>
        <s v="Erstellung QS-/Testkonzept" u="1"/>
        <s v="Erstellung Berechtigungskonzept" u="1"/>
        <s v="Erstellung Styleguide" u="1"/>
        <s v="Erstellung Barrierefreiheit-Konzept" u="1"/>
        <s v="Erstellung Migrationskonzept" u="1"/>
        <s v="Software -Entwicklung" u="1"/>
        <s v="Software -Test" u="1"/>
        <s v="Herstellung von Testautomatisierungsskripts" u="1"/>
        <s v="Herstellung Datenmigrationstool" u="1"/>
        <s v="Erstellung Schulungsunterlagen" u="1"/>
        <s v="Durchführung Schulungen" u="1"/>
        <s v="Vorbereitung und Unterstützung bei Produktivsetzung" u="1"/>
        <s v="Durchführung Security Check, Überprüfung Coding-Richtlinien und Sonarqube-Analyse" u="1"/>
        <s v="Durchführung Pen(etration)-Test" u="1"/>
        <s v="Durchführung Performance-Test" u="1"/>
        <s v="BzA: Fehlerbehebungen und Nacharbeiten" u="1"/>
        <s v="Begleitung und Unterstützung Abnahmetest" u="1"/>
        <s v="Scrum Prozess / Meetings" u="1"/>
        <s v="QS-/Testmanagement" u="1"/>
        <s v="Softwarearchitektur-Management" u="1"/>
        <s v="MQ: Projektleitung bis 2024" u="1"/>
        <s v="MQ: Projektleitung 2025" u="1"/>
        <s v="MQ: Projektleitung 2026" u="1"/>
        <s v="MQ: Projektassistenz bis 2024" u="1"/>
        <s v="MQ: Projektassistenz 2025" u="1"/>
        <s v="MQ: Projektassistenz 2026" u="1"/>
        <s v="MQ: WSL-Leitungen diverse bis 2023" u="1"/>
        <s v="M1: Techn. Aufbau bis 2024" u="1"/>
        <s v="MQ: TPL Plattform I bis 2024" u="1"/>
        <s v="MQ: DevOps bis 2024" u="1"/>
        <s v="MQ: DevOps 2025" u="1"/>
        <s v="MQ: DevOps 2026" u="1"/>
        <s v="MQ: Releasemanagement bis 2024" u="1"/>
        <s v="MQ: Releasemanagement 2025" u="1"/>
        <s v="MQ: Releasemanagement 2026" u="1"/>
        <s v="MQ: Architekturmanagement 2025" u="1"/>
        <s v="MQ: Architekturmanagement 2026" u="1"/>
        <s v="M1: WS Produkt bis 2024" u="1"/>
        <s v="M1: WS Produkt nach Feature Freeze" u="1"/>
        <s v="M1K: WS Produkt bis 2024" u="1"/>
        <s v="M1K: WS Produkt  bis Feature Freeze" u="1"/>
        <s v="M1K: WS Produkt nach Feature Freeze" u="1"/>
        <s v="M2: WS Produkt bis 2024" u="1"/>
        <s v="M2: WS Produkt bis Feature Freeze" u="1"/>
        <s v="M2: WS Produkt nach Feature Freeze" u="1"/>
        <s v="M3: WS Produkt  bis Feature Freeze" u="1"/>
        <s v="M3: WS Produkt nach Feature Freeze" u="1"/>
        <s v="M4: WS Produkt Stabilisierung" u="1"/>
        <s v="M5: WS Produkt Hypercare" u="1"/>
        <s v="MQ: WS-Leitung Produkt + Vertrag bis 2024" u="1"/>
        <s v="MQ: WS-Leitung Produkt 2025" u="1"/>
        <s v="MQ: WS-Leitung Produkt 2026" u="1"/>
        <s v="MQ: TPL Plattform II bis 2024" u="1"/>
        <s v="MQ: TPL Plattform II 2025" u="1"/>
        <s v="MQ: TPL Plattform II 2026" u="1"/>
        <s v="M1: WS Partner bis 2024" u="1"/>
        <s v="M1: WS Partner nach Feature Freeze" u="1"/>
        <s v="M1K: WS Partner bis 2024" u="1"/>
        <s v="M1K: WS Partner  bis Feature Freeze" u="1"/>
        <s v="M1K: WS Partner nach Feature Freeze" u="1"/>
        <s v="M2: WS Partner bis 2024" u="1"/>
        <s v="M2: WS Partner bis Feature Freeze" u="1"/>
        <s v="M2: WS Partner nach Feature Freeze" u="1"/>
        <s v="M3: WS Partner  bis Feature Freeze" u="1"/>
        <s v="M3: WS Partner nach Feature Freeze" u="1"/>
        <s v="M4: WS Partner Stabilisierung" u="1"/>
        <s v="M5: WS Partner Hypercare" u="1"/>
        <s v="MQ: WS-Leitung Partner bis 2024" u="1"/>
        <s v="MQ: WS-Leitung Partner 2025" u="1"/>
        <s v="MQ: WS-Leitung Partner 2026" u="1"/>
        <s v="M1: WS Schaden bis 2024" u="1"/>
        <s v="M1: WS Schaden nach Feature Freeze" u="1"/>
        <s v="M1K: WS Schaden bis 2024" u="1"/>
        <s v="M1K: WS Schaden  bis Feature Freeze" u="1"/>
        <s v="M1K: WS Schaden nach Feature Freeze" u="1"/>
        <s v="M2: WS Schaden bis 2024" u="1"/>
        <s v="M2: WS Schaden bis Feature Freeze" u="1"/>
        <s v="M2: WS Schaden nach Feature Freeze" u="1"/>
        <s v="M3: WS Schaden  bis Feature Freeze" u="1"/>
        <s v="M3: WS Schaden nach Feature Freeze" u="1"/>
        <s v="M4: WS Schaden Stabilisierung" u="1"/>
        <s v="M5: WS Schaden Hypercare" u="1"/>
        <s v="MQ: WS-Leitung Schaden bis 2024" u="1"/>
        <s v="MQ: WS-Leitung Schaden 2025" u="1"/>
        <s v="MQ: WS-Leitung Schaden 2026" u="1"/>
        <s v="MQ: TPL Plattform (alt) bis 2024" u="1"/>
        <s v="M1: WS In-/Exkasso bis 2024" u="1"/>
        <s v="M1: WS In-/Exkasso nach Feature Freeze" u="1"/>
        <s v="M1K: WS In-/Exkasso bis 2024" u="1"/>
        <s v="M1K: WS In-/Exkasso  bis Feature Freeze" u="1"/>
        <s v="M1K: WS In-/Exkasso nach Feature Freeze" u="1"/>
        <s v="M2: WS In-/Exkasso bis 2024" u="1"/>
        <s v="M2: WS In-/Exkasso bis Feature Freeze" u="1"/>
        <s v="M2: WS In-/Exkasso nach Feature Freeze" u="1"/>
        <s v="M3: WS In-/Exkasso  bis Feature Freeze" u="1"/>
        <s v="M3: WS In-/Exkasso nach Feature Freeze" u="1"/>
        <s v="M4: WS In-/Exkasso Stabilisierung" u="1"/>
        <s v="M5: WS In-/Exkasso Hypercare" u="1"/>
        <s v="MQ: WS-Leitung In-/Exkasso bis 2024" u="1"/>
        <s v="MQ: WS-Leitung In-/Exkasso 2025" u="1"/>
        <s v="MQ: WS-Leitung In-/Exkasso 2026" u="1"/>
        <s v="M1: WS Vertrieb bis 2024" u="1"/>
        <s v="M1: WS Vertrieb nach Feature Freeze" u="1"/>
        <s v="M1K: WS Vertrieb bis 2024" u="1"/>
        <s v="M1K: WS Vertrieb  bis Feature Freeze" u="1"/>
        <s v="M1K: WS Vertrieb nach Feature Freeze" u="1"/>
        <s v="M2: WS Vertrieb bis 2024" u="1"/>
        <s v="M2: WS Vertrieb bis Feature Freeze" u="1"/>
        <s v="M2: WS Vertrieb nach Feature Freeze" u="1"/>
        <s v="M3: WS Vertrieb  bis Feature Freeze" u="1"/>
        <s v="M3: WS Vertrieb nach Feature Freeze" u="1"/>
        <s v="M4: WS Vertrieb Stabilisierung" u="1"/>
        <s v="M5: WS Vertrieb Hypercare" u="1"/>
        <s v="MQ: WS-Leitung Vertrieb bis 2024" u="1"/>
        <s v="MQ: WS-Leitung Vertrieb 2025" u="1"/>
        <s v="MQ: WS-Leitung Vertrieb 2026" u="1"/>
        <s v="M1: WS Vertrag bis 2024" u="1"/>
        <s v="M1: WS Vertrag nach Feature Freeze" u="1"/>
        <s v="M1K: WS Vertrag bis 2024" u="1"/>
        <s v="M1K: WS Vertrag  bis Feature Freeze" u="1"/>
        <s v="M1K: WS Vertrag nach Feature Freeze" u="1"/>
        <s v="M2: WS Vertrag bis 2024" u="1"/>
        <s v="M2: WS Vertrag bis Feature Freeze" u="1"/>
        <s v="M2: WS Vertrag nach Feature Freeze" u="1"/>
        <s v="M3: WS Vertrag  bis Feature Freeze" u="1"/>
        <s v="M3: WS Vertrag nach Feature Freeze" u="1"/>
        <s v="M4: WS Vertrag Stabilisierung" u="1"/>
        <s v="M5: WS Vertrag Hypercare" u="1"/>
        <s v="MQ: WS-Leitung Vertrag bis 2024" u="1"/>
        <s v="MQ: WS-Leitung Vertrag 2025" u="1"/>
        <s v="MQ: WS-Leitung Vertrag 2026" u="1"/>
        <s v="M1: WS E2E bis 2024" u="1"/>
        <s v="M1: WS E2E nach Feature Freeze" u="1"/>
        <s v="M1K: WS E2E bis 2024" u="1"/>
        <s v="M1K: WS E2E  bis Feature Freeze" u="1"/>
        <s v="M1K: WS E2E nach Feature Freeze" u="1"/>
        <s v="M2: WS E2E bis 2024" u="1"/>
        <s v="M2: WS E2E bis Feature Freeze" u="1"/>
        <s v="M2: WS E2E nach Feature Freeze" u="1"/>
        <s v="M3: WS E2E  bis Feature Freeze" u="1"/>
        <s v="M3: WS E2E nach Feature Freeze" u="1"/>
        <s v="M4: WS E2E Stabilisierung" u="1"/>
        <s v="M5: WS E2E Hypercare" u="1"/>
        <s v="MQ: WS-Leitung E2E bis 2024" u="1"/>
        <s v="MQ: WS-Leitung E2E 2025" u="1"/>
        <s v="MQ: WS-Leitung E2E 2026" u="1"/>
        <s v="M1: WS TAA bis 2024" u="1"/>
        <s v="M1: WS TAA nach Feature Freeze" u="1"/>
        <s v="M1K: WS TAA bis 2024" u="1"/>
        <s v="M1K: WS TAA  bis Feature Freeze" u="1"/>
        <s v="M1K: WS TAA nach Feature Freeze" u="1"/>
        <s v="M2: WS TAA bis 2024" u="1"/>
        <s v="M2: WS TAA bis Feature Freeze" u="1"/>
        <s v="M2: WS TAA nach Feature Freeze" u="1"/>
        <s v="M3: WS TAA  bis Feature Freeze" u="1"/>
        <s v="M3: WS TAA nach Feature Freeze" u="1"/>
        <s v="M4: WS TAA Stabilisierung" u="1"/>
        <s v="M5: WS TAA Hypercare" u="1"/>
        <s v="MQ: WS-Leitung TAA bis 2024" u="1"/>
        <s v="MQ: WS-Leitung TAA 2025" u="1"/>
        <s v="MQ: WS-Leitung TAA 2026" u="1"/>
        <s v="M1: Migration bis 2024" u="1"/>
        <s v="M1: Migration nach Feature Freeze" u="1"/>
        <s v="M1K: Migration bis 2024" u="1"/>
        <s v="M1K: Migration  bis Feature Freeze" u="1"/>
        <s v="M1K: Migration nach Feature Freeze" u="1"/>
        <s v="M2: Migration bis 2024" u="1"/>
        <s v="M2: Migration bis Feature Freeze" u="1"/>
        <s v="M2: Migration nach Feature Freeze" u="1"/>
        <s v="M3: Migration  bis Feature Freeze" u="1"/>
        <s v="M3: Migration nach Feature Freeze" u="1"/>
        <s v="M4: Migration Stabilisierung" u="1"/>
        <s v="M5: Migration Hypercare" u="1"/>
        <s v="MQ: TPL Migration bis 2024" u="1"/>
        <s v="MQ: TPL Migration 2025" u="1"/>
        <s v="MQ: TPL Migration 2026" u="1"/>
        <s v="MQ: Test bis 2024" u="1"/>
        <s v="MQ: Test 2025" u="1"/>
        <s v="MQ: Test 2026" u="1"/>
        <s v="MQ: Testautomatisierung bis 2024" u="1"/>
        <s v="MQ: Testautomatisierung 2025" u="1"/>
        <s v="MQ: Testautomatisierung 2026" u="1"/>
        <s v="MQ: Defectmanagement bis 2024" u="1"/>
        <s v="MQ: Defectmanagement 2025" u="1"/>
        <s v="MQ: Defectmanagement 2026" u="1"/>
        <s v="MQ: TPL Testmanagement bis 2024" u="1"/>
        <s v="MQ: TPL Testmanagement 2025" u="1"/>
        <s v="MQ: TPL Testmanagement 2026" u="1"/>
        <s v="MQ: CR-Pool" u="1"/>
        <s v="M1: WS Plattform-Int. bis 2024" u="1"/>
        <s v="M1: WS Plattform-Int. nach Feature Freeze" u="1"/>
        <s v="M1K: WS Plattform-Int. bis 2024" u="1"/>
        <s v="M1K: WS Plattform-Int.  bis Feature Freeze" u="1"/>
        <s v="M1K: WS Plattform-Int. nach Feature Freeze" u="1"/>
        <s v="M2: WS Plattform-Int. bis 2024" u="1"/>
        <s v="M2: WS Plattform-Int. bis Feature Freeze" u="1"/>
        <s v="M2: WS Plattform-Int. nach Feature Freeze" u="1"/>
        <s v="M3: WS Plattform-Int.  bis Feature Freeze" u="1"/>
        <s v="M3: WS Plattform-Int. nach Feature Freeze" u="1"/>
        <s v="M4: WS Plattform-Int. Stabilisierung" u="1"/>
        <s v="M5: WS Plattform-Int. Hypercare" u="1"/>
        <s v="MQ: WS-Leitung Plattform-Int. bis 2024" u="1"/>
        <s v="MQ: WS-Leitung Plattform-Int. 2025" u="1"/>
        <s v="MQ: WS-Leitung Plattform-Int. 2026" u="1"/>
        <s v="MQ: Architekturmanagement bis 2024 (NKV)" u="1"/>
        <s v="MQ: DevOps bis 2024 (NKV)" u="1"/>
        <s v="MQ: Releasemanagement bis 2024 (NKV)" u="1"/>
        <s v="MQ: TPL Plattform I bis 2024 (NKV)" u="1"/>
        <s v="Development of test test automation scripts" u="1"/>
        <s v="Perform performance test" u="1"/>
        <s v="Perform security check" u="1"/>
        <s v="Support data migration at the customer" u="1"/>
        <s v="Prepare customer training courses" u="1"/>
        <s v="Conduct customer training courses" u="1"/>
        <s v="Smartshore management" u="1"/>
        <s v="Analyse und Software-Design" u="1"/>
        <s v="Software-Test" u="1"/>
        <s v="Teilprojektleitung TP1" u="1"/>
        <s v="Teilprojektleitung TP2" u="1"/>
        <s v="Meetings" u="1"/>
        <s v="MQ: Risikopuffer (noch zu verteilen)" u="1"/>
        <s v="MQ: TPL Plattform 2025" u="1"/>
        <s v="MQ: TPL Plattform 2026" u="1"/>
        <s v="MQ: TPL Plattform bis 2024" u="1"/>
        <s v="MQ: PL-Leistungen bis 2024" u="1"/>
        <s v="MQ: Projektassistenz-Leistungen bis 2024" u="1"/>
        <s v="M1: Techn. Aufbauleistungen bis 2024" u="1"/>
        <s v="MQ: DevOps-Leistungen bis 2024" u="1"/>
        <s v="MQ: RM-Leistungen bis 2024" u="1"/>
        <s v="MQ: TPL Plattform-Leistungen bis 2024" u="1"/>
        <s v="M1: Leistungen WS Produkt bis 2024" u="1"/>
        <s v="M1: Stabilisierung WS Produkt nach Feature Freeze" u="1"/>
        <s v="M1K: Leistungen WS Produkt bis 2024" u="1"/>
        <s v="M1K: Diverse Anpassungen WS Produkt bis Feature Freeze" u="1"/>
        <s v="M1K: Stabilisierung WS Produkt nach Feature Freeze" u="1"/>
        <s v="MQ: PL-Leistungen aus Übernahme 31.12.2024" u="1"/>
        <s v="MQ: PO-Leistungen aus Übernahme" u="1"/>
        <s v="M1: Techn. Aufbauleistungen aus Übernahme" u="1"/>
        <s v="MQ: DevOps-Leistungen aus Übernahme " u="1"/>
        <s v="MQ: RM-Leistungen aus Übernahme" u="1"/>
        <s v="MQ: TPL Plattform-Leistungen aus Übernahme" u="1"/>
        <s v="M1: Leistungen WS Produkt aus Übernahme" u="1"/>
        <s v="M1K: Leistungen WS Produkt aus Übernahme" u="1"/>
        <s v="Aufbau  Testumgebung" u="1"/>
        <s v="Initialisierung Scrum" u="1"/>
        <s v="Durchführung Kundenworkshops" u="1"/>
        <s v="Erstellung Architektur-Konzept" u="1"/>
        <s v="Anforderungsmanagement und Business Analyse" u="1"/>
        <s v="Erstellung Testautomatisierungsskripte" u="1"/>
        <s v="Hochladen Release in App Store" u="1"/>
        <s v="Begleitung Abnahmetest" u="1"/>
        <s v="Fehlerbearbeitung nach BzA" u="1"/>
        <s v="Übergabe an Application Management" u="1"/>
        <s v="Achitekturmanagement" u="1"/>
        <s v="Berücksichtigung Sicherheitsanforderungen" u="1"/>
        <s v="Durchführung BITV QuickCheck" u="1"/>
        <s v="Sonstwas" u="1"/>
        <s v="Feature" u="1"/>
        <e v="#N/A" u="1"/>
        <s v="Risk (Feature)" u="1"/>
        <s v="Querschnitt" u="1"/>
        <s v="Erstellung Testautomatisierungsskripts " u="1"/>
        <s v="Durchführung Sicherheitsüberprüfung" u="1"/>
        <s v="Software test of features" u="1"/>
        <s v="Aufbau Entwicklungs-/ Testumgebung" u="1"/>
        <s v="QA design" u="1"/>
        <s v="Preparation of trainings" u="1"/>
        <s v="Software development of features" u="1"/>
        <s v="Bug fixing of features after final acceptance" u="1"/>
        <s v="Analysis &amp; design of features" u="1"/>
        <s v="User manual" u="1"/>
        <s v="Support final acceptance" u="1"/>
        <s v="Test automation" u="1"/>
        <s v="Trainings" u="1"/>
        <s v="Support customer software test" u="1"/>
        <s v="Softwarearchitectur management" u="1"/>
        <s v="Deployment and configuration" u="1"/>
        <s v="Software architecture design" u="1"/>
        <s v="Software Architekture Design" u="1"/>
      </sharedItems>
    </cacheField>
    <cacheField name="Feature id" uniqueList="1" numFmtId="0" sqlType="0" hierarchy="0" level="0" databaseField="1">
      <sharedItems count="60" containsBlank="1" containsNonDate="0">
        <m/>
        <s v="F-10" u="1"/>
        <s v="F-20" u="1"/>
        <s v="F-30" u="1"/>
        <s v="F-40" u="1"/>
        <s v="F-50" u="1"/>
        <s v="F-60" u="1"/>
        <s v="F-70" u="1"/>
        <s v="F-80" u="1"/>
        <s v="F-90" u="1"/>
        <s v="F-100" u="1"/>
        <s v="F-110" u="1"/>
        <s v="F-120" u="1"/>
        <s v="F-130" u="1"/>
        <s v="F-140" u="1"/>
        <s v="F-150" u="1"/>
        <s v="F-160" u="1"/>
        <s v="F-170" u="1"/>
        <s v="F-180" u="1"/>
        <s v="F-190" u="1"/>
        <s v="F-200" u="1"/>
        <s v="F-210" u="1"/>
        <s v="F-220" u="1"/>
        <s v="F-230" u="1"/>
        <s v="F-240" u="1"/>
        <s v="F-250" u="1"/>
        <s v="F-260" u="1"/>
        <s v="F-270" u="1"/>
        <s v="F-280" u="1"/>
        <s v="F-290" u="1"/>
        <s v="F-300" u="1"/>
        <s v="F-310" u="1"/>
        <s v="F-320" u="1"/>
        <s v="F-330" u="1"/>
        <s v="F-340" u="1"/>
        <s v="F-350" u="1"/>
        <s v="F-360" u="1"/>
        <s v="F-370" u="1"/>
        <s v="F-380" u="1"/>
        <s v="F-390" u="1"/>
        <s v="F-400" u="1"/>
        <s v="F-410" u="1"/>
        <s v="F-420" u="1"/>
        <s v="F-430" u="1"/>
        <s v="F-440" u="1"/>
        <s v="F-450" u="1"/>
        <s v="F-42" u="1"/>
        <s v="F-61" u="1"/>
        <s v="F-45" u="1"/>
        <s v="F-53" u="1"/>
        <s v="F-55" u="1"/>
        <s v="Feature" u="1"/>
        <e v="#N/A" u="1"/>
        <s v="Other costs (without travel costs)" u="1"/>
        <s v="F-15" u="1"/>
        <s v="F-14" u="1"/>
        <s v="F-65" u="1"/>
        <s v="F-13" u="1"/>
        <s v="F-12" u="1"/>
        <s v="F-11" u="1"/>
      </sharedItems>
    </cacheField>
    <cacheField name="Feature range" uniqueList="1" numFmtId="0" sqlType="0" hierarchy="0" level="0" databaseField="1">
      <sharedItems count="0" containsBlank="1" containsNonDate="0" containsString="0"/>
    </cacheField>
    <cacheField name="Feature group" uniqueList="1" numFmtId="0" sqlType="0" hierarchy="0" level="0" databaseField="1">
      <sharedItems count="23" containsBlank="1" containsNonDate="0">
        <m/>
        <s v="TP1" u="1"/>
        <s v="TP2" u="1"/>
        <s v="CMS" u="1"/>
        <s v="Webstatistiken" u="1"/>
        <s v="Portlets" u="1"/>
        <s v="Webseitensuche" u="1"/>
        <s v="Benutzerverwaltung" u="1"/>
        <s v="Datenschutz" u="1"/>
        <s v="CMS Allgemein" u="1"/>
        <s v="Portalfunktionen" u="1"/>
        <s v="Formulare" u="1"/>
        <s v="Reporting" u="1"/>
        <s v="M1K" u="1"/>
        <s v="M2" u="1"/>
        <s v="M3" u="1"/>
        <s v="Feature" u="1"/>
        <s v="Task" u="1"/>
        <e v="#N/A" u="1"/>
        <s v="P-33" u="1"/>
        <s v="Gruppe 1" u="1"/>
        <s v="Gruppe 3" u="1"/>
        <s v="Gruppe 2" u="1"/>
      </sharedItems>
    </cacheField>
    <cacheField name="Feature sub group" uniqueList="1" numFmtId="0" sqlType="0" hierarchy="0" level="0" databaseField="1">
      <sharedItems count="33" containsBlank="1" containsNonDate="0">
        <m/>
        <s v="Module 1" u="1"/>
        <s v="Module 2" u="1"/>
        <s v="Module 3" u="1"/>
        <s v="Module 4" u="1"/>
        <s v="Produkt (01)" u="1"/>
        <s v="Partner (02)" u="1"/>
        <s v="Schaden (03)" u="1"/>
        <s v="In-/Exkasso (04)" u="1"/>
        <s v="Vertrieb (05)" u="1"/>
        <s v="Vertrag (06)" u="1"/>
        <s v="E2E (08)" u="1"/>
        <s v="TAA (09)" u="1"/>
        <s v="Plattform-Integration (30)" u="1"/>
        <s v="Modul 1" u="1"/>
        <s v="Modul 2" u="1"/>
        <s v="Modul 3" u="1"/>
        <s v="Modul 4" u="1"/>
        <s v="Produkt [01]" u="1"/>
        <s v="Task" u="1"/>
        <s v="Feature" u="1"/>
        <e v="#N/A" u="1"/>
        <s v="P-92" u="1"/>
        <s v="Untergruppe 1" u="1"/>
        <s v="Untergruppe 3" u="1"/>
        <s v="Untergruppe 2" u="1"/>
        <s v="02_Implementierung Modul 1" u="1"/>
        <s v="02_Implementierung Modul 2" u="1"/>
        <s v="TP1.1" u="1"/>
        <s v="TP1.2" u="1"/>
        <s v="TP1.3" u="1"/>
        <s v="TP2.1" u="1"/>
        <s v="TP2.2" u="1"/>
      </sharedItems>
    </cacheField>
    <cacheField name="Feature task no" uniqueList="1" numFmtId="0" sqlType="0" hierarchy="0" level="0" databaseField="1">
      <sharedItems count="0" containsBlank="1" containsNonDate="0" containsString="0"/>
    </cacheField>
    <cacheField name="Feature" uniqueList="1" numFmtId="0" sqlType="0" hierarchy="0" level="0" databaseField="1">
      <sharedItems count="96" containsBlank="1" containsNonDate="0">
        <m/>
        <s v="Feature 1-1" u="1"/>
        <s v="Feature 1-2" u="1"/>
        <s v="Feature 2-1" u="1"/>
        <s v="Feature 2-2" u="1"/>
        <s v="Feature 3-1" u="1"/>
        <s v="Feature 3-2" u="1"/>
        <s v="Feature 4-1" u="1"/>
        <s v="Feature 4-2" u="1"/>
        <s v="Template-Erstellung" u="1"/>
        <s v="Portal-Inhalte" u="1"/>
        <s v="Portal-Inhalte via Formulargenerator" u="1"/>
        <s v="Implementierung Matoma" u="1"/>
        <s v="Erstellung Webstatistiken" u="1"/>
        <s v="Implementierung Beispiel-Portlet" u="1"/>
        <s v="Implementierung Portalfunktionen" u="1"/>
        <s v="Implementierung Solr" u="1"/>
        <s v="Automatisierte Accountverwaltung" u="1"/>
        <s v="Manuelle Accountverwaltung" u="1"/>
        <s v="Protokollierung/Logging" u="1"/>
        <s v="Single-Sign-On (SSO)" u="1"/>
        <s v="Portalaccounts" u="1"/>
        <s v="Admin-Accounts" u="1"/>
        <s v="Speicherung Account-Infos" u="1"/>
        <s v="User Self Service" u="1"/>
        <s v="Schutz vor Spambots" u="1"/>
        <s v="Datenschutz-Einrichtungen" u="1"/>
        <s v="HTML Erstellung" u="1"/>
        <s v="Template erstellung" u="1"/>
        <s v="Weiteres" u="1"/>
        <s v="Workflows" u="1"/>
        <s v="Integration Suche auf Fehlerseite" u="1"/>
        <s v="Intelligente Fehlerseite" u="1"/>
        <s v="Alle Application Hinweisetexte müssen redaktionell Pflegbar sein" u="1"/>
        <s v="allgemeine Anforderungen" u="1"/>
        <s v="Fahrzeuganzeige" u="1"/>
        <s v="Fahrzeugregistrierung" u="1"/>
        <s v="Nutzer-ID suchen" u="1"/>
        <s v="Fahrzeugdatenänderung" u="1"/>
        <s v="Stammdatenanzeige BEN" u="1"/>
        <s v="Stammdatenanzeige SP" u="1"/>
        <s v="Online Benutzerregistrierung (OBR)" u="1"/>
        <s v="Online Mautbefreiung (OMB)" u="1"/>
        <s v="Kontaktformular" u="1"/>
        <s v="Online Bewerbung" u="1"/>
        <s v="Online Bestellung Print-Material" u="1"/>
        <s v="Weiterempfehlen" u="1"/>
        <s v="Erweiterte Matomo Configuration" u="1"/>
        <s v="Reports Benutzerverwaltung" u="1"/>
        <s v="Erweiterung Löschkonzept" u="1"/>
        <s v="Benutzerverwaltung Liferay u. CMS" u="1"/>
        <s v="Feature 1" u="1"/>
        <s v="Feature 2" u="1"/>
        <s v="Feature 3" u="1"/>
        <s v="Feature 4" u="1"/>
        <s v="Diverse Jira-Storys ab 2025" u="1"/>
        <s v="Diverse Jira-Storys" u="1"/>
        <s v="CoC ab 2025" u="1"/>
        <s v="Feature-1" u="1"/>
        <s v="Feature-2" u="1"/>
        <s v="Feature-3" u="1"/>
        <s v="Feature-4" u="1"/>
        <s v="Feature-5" u="1"/>
        <s v="Feature-6" u="1"/>
        <s v="Feature-7" u="1"/>
        <s v="Feature-8" u="1"/>
        <s v="Feature-9" u="1"/>
        <s v="Feature-10" u="1"/>
        <s v="Feature-11" u="1"/>
        <s v="Feature-12" u="1"/>
        <s v="Feature-13" u="1"/>
        <s v="Feature-14" u="1"/>
        <s v="Feature-15" u="1"/>
        <s v="Feature-16" u="1"/>
        <s v="Feature-17" u="1"/>
        <s v="Feature-18" u="1"/>
        <s v="Feature-19" u="1"/>
        <s v="Feature-20" u="1"/>
        <s v="Feature1" u="1"/>
        <s v="Feature2" u="1"/>
        <s v="Feature3" u="1"/>
        <s v="Feature4" u="1"/>
        <s v="Feature5" u="1"/>
        <s v="Feature6" u="1"/>
        <s v="Feature7" u="1"/>
        <s v="Feature" u="1"/>
        <e v="#N/A" u="1"/>
        <s v="P-99" u="1"/>
        <s v="Test -1" u="1"/>
        <s v="Test -3" u="1"/>
        <s v="Test -2" u="1"/>
        <s v="Feature 5" u="1"/>
        <s v="Feature 6" u="1"/>
        <s v="Feature 7" u="1"/>
        <s v="&lt;project task&gt;" u="1"/>
        <s v="Feature 8" u="1"/>
      </sharedItems>
    </cacheField>
    <cacheField name="Sub feature" uniqueList="1" numFmtId="0" sqlType="0" hierarchy="0" level="0" databaseField="1">
      <sharedItems count="49" containsBlank="1" containsNonDate="0">
        <m/>
        <s v="Sub feature 1-1-1" u="1"/>
        <s v="Sub feature 1-2-1" u="1"/>
        <s v="Sub feature 2-1-1" u="1"/>
        <s v="Sub feature 2-2-1" u="1"/>
        <s v="Sub feature 3-1-1" u="1"/>
        <s v="Sub feature 3-2-1" u="1"/>
        <s v="Sub feature 4-1-1" u="1"/>
        <s v="Sub feature 4-2-1" u="1"/>
        <s v="Bühne, Video-Player und Bilder-Slideshow" u="1"/>
        <s v="Presse-Mitteilungen und -Archiv" u="1"/>
        <s v="Download-Absatz und -Center, FAQ und „Was möchten sie tun“-Absatz" u="1"/>
        <s v="Stellenausschreibungen, Job-Suche, Karriere-Slider und „Weiterempfehlen“-Formular" u="1"/>
        <s v="Microsite-Vorlage, iFrame-Funktion" u="1"/>
        <s v="Webshop-Teaser" u="1"/>
        <s v="Fehlerseite" u="1"/>
        <s v="Weitere Templates" u="1"/>
        <s v="Redaktionelle Inhalte" u="1"/>
        <s v="Online-Benutzerregistrierung (Registrierung neuer Benutzer wie z. B. Speditionen)" u="1"/>
        <s v="Online-Mautbefreiung" u="1"/>
        <s v="Kontaktformular" u="1"/>
        <s v="Online-Bewerbung" u="1"/>
        <s v="Online-Bewerbung Print-Material" u="1"/>
        <s v="Weiterempfehlung" u="1"/>
        <s v="Konfiguration des Portlets" u="1"/>
        <s v="Prüfung von Berechtigungen und Rollen" u="1"/>
        <s v="Zugriff auf Liferay-API (Benutzerverwaltung" u="1"/>
        <s v="Nutzung eines GUI-Frameworks zur Darstellung" u="1"/>
        <s v="Service Mocks (Simulationen von Services zu Testzwecken)" u="1"/>
        <s v="Fahrzeuganzeige (Anzeige aller für die Maut registrierten Fahrzeuge des angemeldeten Benutzers)" u="1"/>
        <s v="Fahrzeugregistrierung (Neu-Registrierung von mautpflichtigen Fahrzeugen)" u="1"/>
        <s v="Benutzer-ID suchen" u="1"/>
        <s v="Fahrzeugdatenänderung (für bereits registrierte Fahrzeuge)" u="1"/>
        <s v="Stammdatenanzeige (für Benutzer und Service-Partner)" u="1"/>
        <s v="Feature" u="1"/>
        <e v="#N/A" u="1"/>
        <s v="Test Sub 1" u="1"/>
        <s v="Test Sub 3" u="1"/>
        <s v="Test Sub 2" u="1"/>
        <s v="Subfeature 3-2" u="1"/>
        <s v="Subfeature-5" u="1"/>
        <s v="Subfeature 3-3" u="1"/>
        <s v="Subfeature-2" u="1"/>
        <s v="Subfeature-4" u="1"/>
        <s v="Subfeature 1-1" u="1"/>
        <s v="Subfeature-1" u="1"/>
        <s v="Subfeature 1-2" u="1"/>
        <s v="Subfeature 3-1" u="1"/>
        <s v="Subfeature-3" u="1"/>
      </sharedItems>
    </cacheField>
    <cacheField name="Costs id" uniqueList="1" numFmtId="0" sqlType="0" hierarchy="0" level="0" databaseField="1">
      <sharedItems count="0" containsBlank="1" containsNonDate="0" containsString="0"/>
    </cacheField>
    <cacheField name="Cost descr" uniqueList="1" numFmtId="0" sqlType="0" hierarchy="0" level="0" databaseField="1">
      <sharedItems count="0" containsBlank="1" containsNonDate="0" containsString="0"/>
    </cacheField>
    <cacheField name="Assumptions" uniqueList="1" numFmtId="0" sqlType="0" hierarchy="0" level="0" databaseField="1">
      <sharedItems count="0" containsBlank="1" containsNonDate="0" containsString="0"/>
    </cacheField>
    <cacheField name="Ref. id" uniqueList="1" numFmtId="0" sqlType="0" hierarchy="0" level="0" databaseField="1">
      <sharedItems count="0" containsBlank="1" containsNonDate="0" containsString="0"/>
    </cacheField>
    <cacheField name="Risks" uniqueList="1" numFmtId="0" sqlType="0" hierarchy="0" level="0" databaseField="1">
      <sharedItems count="0" containsBlank="1" containsNonDate="0" containsString="0"/>
    </cacheField>
    <cacheField name="Risk id" uniqueList="1" numFmtId="0" sqlType="0" hierarchy="0" level="0" databaseField="1">
      <sharedItems count="15" containsBlank="1" containsNonDate="0">
        <m/>
        <s v="R-10" u="1"/>
        <s v="R-20" u="1"/>
        <s v="R-30" u="1"/>
        <s v="R-40" u="1"/>
        <s v="R-50" u="1"/>
        <s v="R-60" u="1"/>
        <s v="R-70" u="1"/>
        <s v="R-80" u="1"/>
        <s v="R-90" u="1"/>
        <s v="R-100" u="1"/>
        <s v="R-110" u="1"/>
        <s v="R-120" u="1"/>
        <s v="R-130" u="1"/>
        <s v="R-140" u="1"/>
      </sharedItems>
    </cacheField>
    <cacheField name="Risk title" uniqueList="1" numFmtId="0" sqlType="0" hierarchy="0" level="0" databaseField="1">
      <sharedItems count="35" containsBlank="1" containsNonDate="0">
        <m/>
        <s v="Risk A" u="1"/>
        <s v="Risk B" u="1"/>
        <s v="Risk C" u="1"/>
        <s v="Risk D" u="1"/>
        <s v="Risk E" u="1"/>
        <s v="Risk F" u="1"/>
        <s v="Risk G" u="1"/>
        <s v="FirstSpirit Liferay Connector" u="1"/>
        <s v="test" u="1"/>
        <s v="Risk 1" u="1"/>
        <s v="Risk 2" u="1"/>
        <s v="Risk 3" u="1"/>
        <s v="Risk 4" u="1"/>
        <s v="Risk 5" u="1"/>
        <s v="Risk 6" u="1"/>
        <s v="Risk 7" u="1"/>
        <s v="Risk 8" u="1"/>
        <s v="Risk 9" u="1"/>
        <s v="Risk 10" u="1"/>
        <s v="Risk H" u="1"/>
        <s v="Risk I" u="1"/>
        <s v="Initialisierung dauert länger" u="1"/>
        <s v="test 2" u="1"/>
        <s v="Test 99" u="1"/>
        <s v="test 4" u="1"/>
        <s v="test6" u="1"/>
        <s v="test7" u="1"/>
        <s v="test8" u="1"/>
        <s v="test9" u="1"/>
        <s v="test100" u="1"/>
        <s v="test10" u="1"/>
        <s v="test333" u="1"/>
        <s v="test444" u="1"/>
        <s v="test 3" u="1"/>
      </sharedItems>
    </cacheField>
    <cacheField name="Risk description" uniqueList="1" numFmtId="0" sqlType="0" hierarchy="0" level="0" databaseField="1">
      <sharedItems count="0" containsBlank="1" containsNonDate="0" containsString="0"/>
    </cacheField>
    <cacheField name="Risk likelihood" uniqueList="1" numFmtId="9" sqlType="0" hierarchy="0" level="0" databaseField="1">
      <sharedItems count="0" containsInteger="1" containsNumber="1" containsSemiMixedTypes="0" containsString="0" minValue="0" maxValue="0"/>
    </cacheField>
    <cacheField name="Risk likelihood (first team)" uniqueList="1" numFmtId="9" sqlType="0" hierarchy="0" level="0" databaseField="1">
      <sharedItems count="0" containsInteger="1" containsNumber="1" containsSemiMixedTypes="0" containsString="0" minValue="0" maxValue="0"/>
    </cacheField>
    <cacheField name="Risk likelihood (second team)" uniqueList="1" numFmtId="9" sqlType="0" hierarchy="0" level="0" databaseField="1">
      <sharedItems count="0" containsInteger="1" containsNumber="1" containsSemiMixedTypes="0" containsString="0" minValue="0" maxValue="0"/>
    </cacheField>
    <cacheField name="Risk impact" uniqueList="1" numFmtId="165" sqlType="0" hierarchy="0" level="0" databaseField="1">
      <sharedItems count="0" containsInteger="1" containsNumber="1" containsSemiMixedTypes="0" containsString="0" minValue="0" maxValue="0"/>
    </cacheField>
    <cacheField name="Risk impact (first team)" uniqueList="1" numFmtId="165" sqlType="0" hierarchy="0" level="0" databaseField="1">
      <sharedItems count="0" containsInteger="1" containsNumber="1" containsSemiMixedTypes="0" containsString="0" minValue="0" maxValue="0"/>
    </cacheField>
    <cacheField name="Risk impact (second team)" uniqueList="1" numFmtId="165" sqlType="0" hierarchy="0" level="0" databaseField="1">
      <sharedItems count="0" containsInteger="1" containsNumber="1" containsSemiMixedTypes="0" containsString="0" minValue="0" maxValue="0"/>
    </cacheField>
    <cacheField name="Project Role" uniqueList="1" numFmtId="0" sqlType="0" hierarchy="0" level="0" databaseField="1">
      <sharedItems count="68" containsBlank="1">
        <s v="Any role"/>
        <s v="Project manager" u="1"/>
        <s v="DevOps Engineer" u="1"/>
        <s v="Software architect" u="1"/>
        <s v="Test manager" u="1"/>
        <s v="Requirement Engineer" u="1"/>
        <s v="Developer" u="1"/>
        <s v="Test Engineer" u="1"/>
        <m u="1"/>
        <s v="UI/UX Designer" u="1"/>
        <s v="Customer" u="1"/>
        <s v="Developer (Turkey)" u="1"/>
        <s v="Nicht festgelegte Rolle" u="1"/>
        <s v="Projektleiter" u="1"/>
        <s v="PMO" u="1"/>
        <s v="WS E2E" u="1"/>
        <s v="WS Partner" u="1"/>
        <s v="WS Schaden" u="1"/>
        <s v="WS In-/Exkasso" u="1"/>
        <s v="WS Produkt" u="1"/>
        <s v="WS Vertrag" u="1"/>
        <s v="WS Vertrieb" u="1"/>
        <s v="WS DevOps" u="1"/>
        <s v="TPL Plattform" u="1"/>
        <s v="WS Releasemanagement" u="1"/>
        <s v="WS Architekturmanagement" u="1"/>
        <s v="WS TAA" u="1"/>
        <s v="WS Migration" u="1"/>
        <s v="TPL Migration" u="1"/>
        <s v="WS Testmanagement" u="1"/>
        <s v="WS Defectmanagement" u="1"/>
        <s v="TPL Test-/Releasemanagement" u="1"/>
        <s v="WS Plattform Integration (NKV)" u="1"/>
        <s v="WS Architekturmanagement (NKV)" u="1"/>
        <s v="WS DevOps (NKV)" u="1"/>
        <s v="WS Releasemanagement (NKV)" u="1"/>
        <s v="TPL Plattform (NKV)" u="1"/>
        <s v="DevOps" u="1"/>
        <s v="Projektleiter/in" u="1"/>
        <s v="Projekt Assistent/in" u="1"/>
        <s v="Frontend Software Entwickler/in (smartshore)" u="1"/>
        <s v="Backend Software Entwickler/in (smartshore)" u="1"/>
        <s v="Test Engineer (smartshore)" u="1"/>
        <s v="Backend Software Entwickler/in" u="1"/>
        <s v="Test Engineer (Senior)" u="1"/>
        <s v="Software Architekt/in" u="1"/>
        <s v="Testmanager/in" u="1"/>
        <s v="Frontend Software Entwickler/in" u="1"/>
        <s v="Backend Software Entwickler/in (Senior)" u="1"/>
        <s v="Frontend Software Entwickler/in (Senior)" u="1"/>
        <s v="P-88" u="1"/>
        <s v="P-92" u="1"/>
        <e v="#N/A" u="1"/>
        <s v="Fehlerbearb. nach BzA" u="1"/>
        <s v="Not specific role" u="1"/>
        <s v="(Proxy) Product Owner" u="1"/>
        <s v="Project assistance" u="1"/>
        <s v="Testmanager" u="1"/>
        <s v="UI Designer" u="1"/>
        <s v="Frontend software developer" u="1"/>
        <s v="Software developer" u="1"/>
        <s v="Projectmanager" u="1"/>
        <s v="Frontend software developer (Senior)" u="1"/>
        <s v="Backend software developer (Senior)" u="1"/>
        <s v="Tester" u="1"/>
        <s v="Backend software developer" u="1"/>
        <s v="UX Designer" u="1"/>
        <s v="Lead software developer" u="1"/>
      </sharedItems>
    </cacheField>
    <cacheField name="Sub role" uniqueList="1" numFmtId="0" sqlType="0" hierarchy="0" level="0" databaseField="1">
      <sharedItems count="0"/>
    </cacheField>
    <cacheField name="Sub role percentage" uniqueList="1" numFmtId="9" sqlType="0" hierarchy="0" level="0" databaseField="1">
      <sharedItems count="0" containsInteger="1" containsNumber="1" containsSemiMixedTypes="0" containsString="0" minValue="1" maxValue="1"/>
    </cacheField>
    <cacheField name="Company" uniqueList="1" numFmtId="0" sqlType="0" hierarchy="0" level="0" databaseField="1">
      <sharedItems count="14" containsBlank="1">
        <s v="any"/>
        <s v="adesso SE" u="1"/>
        <s v="adesso Switzerland" u="1"/>
        <s v="adesso mobile solutions" u="1"/>
        <s v="adesso Turkey" u="1"/>
        <m u="1"/>
        <s v="adesso insurance solutions" u="1"/>
        <s v="adesso Italy" u="1"/>
        <s v="adesso Bulgaria" u="1"/>
        <s v="adesso India" u="1"/>
        <s v="P-92" u="1"/>
        <s v="P-99" u="1"/>
        <e v="#N/A" u="1"/>
        <s v="F-20" u="1"/>
      </sharedItems>
    </cacheField>
    <cacheField name="Country" uniqueList="1" numFmtId="0" sqlType="0" hierarchy="0" level="0" databaseField="1">
      <sharedItems count="9" containsBlank="1">
        <s v="any"/>
        <s v="Germany" u="1"/>
        <s v="Turkey" u="1"/>
        <s v="Switzerland" u="1"/>
        <m u="1"/>
        <s v="Bulgaria" u="1"/>
        <s v="India" u="1"/>
        <s v="P-99" u="1"/>
        <e v="#N/A" u="1"/>
      </sharedItems>
    </cacheField>
    <cacheField name="Inflation rate" uniqueList="1" numFmtId="164" sqlType="0" hierarchy="0" level="0" databaseField="1">
      <sharedItems count="0" containsNumber="1" containsSemiMixedTypes="0" containsString="0" minValue="0.02" maxValue="0.02"/>
    </cacheField>
    <cacheField name="Location" uniqueList="1" numFmtId="0" sqlType="0" hierarchy="0" level="0" databaseField="1">
      <sharedItems count="10" containsBlank="1">
        <s v="any"/>
        <s v="On-/Offsite" u="1"/>
        <s v="Nearshore" u="1"/>
        <s v="Offsite" u="1"/>
        <m u="1"/>
        <s v="Offshore" u="1"/>
        <s v="Onsite" u="1"/>
        <s v="P-114" u="1"/>
        <s v="P-143" u="1"/>
        <e v="#N/A" u="1"/>
      </sharedItems>
    </cacheField>
    <cacheField name="Seniority Level" uniqueList="1" numFmtId="0" sqlType="0" hierarchy="0" level="0" databaseField="1">
      <sharedItems count="10" containsBlank="1">
        <s v="any"/>
        <s v="high" u="1"/>
        <s v="middle" u="1"/>
        <s v="low" u="1"/>
        <m u="1"/>
        <s v="very high" u="1"/>
        <s v="P-143" u="1"/>
        <s v="P-202" u="1"/>
        <e v="#N/A" u="1"/>
        <s v="F-30" u="1"/>
      </sharedItems>
    </cacheField>
    <cacheField name="Period start" uniqueList="1" numFmtId="180" sqlType="0" hierarchy="0" level="0" databaseField="1">
      <sharedItems count="247" containsBlank="1" containsDate="1" containsNonDate="0" containsString="0" minDate="1899-12-30T00:00:00" maxDate="2027-02-09T00:00:00">
        <m/>
        <d v="2025-01-01T00:00:00" u="1"/>
        <d v="2025-02-01T00:00:00" u="1"/>
        <d v="2025-03-01T00:00:00" u="1"/>
        <d v="2025-04-01T00:00:00" u="1"/>
        <d v="2025-05-01T00:00:00" u="1"/>
        <d v="2025-06-01T00:00:00" u="1"/>
        <d v="2025-07-01T00:00:00" u="1"/>
        <d v="2025-08-01T00:00:00" u="1"/>
        <d v="2025-09-01T00:00:00" u="1"/>
        <d v="2025-10-01T00:00:00" u="1"/>
        <d v="2025-11-01T00:00:00" u="1"/>
        <d v="2025-12-01T00:00:00" u="1"/>
        <d v="2026-01-01T00:00:00" u="1"/>
        <d v="2026-02-01T00:00:00" u="1"/>
        <d v="2026-03-01T00:00:00" u="1"/>
        <d v="2026-04-01T00:00:00" u="1"/>
        <d v="2026-05-01T00:00:00" u="1"/>
        <d v="2025-02-24T00:00:00" u="1"/>
        <d v="2025-03-03T00:00:00" u="1"/>
        <d v="2025-03-10T00:00:00" u="1"/>
        <d v="2025-03-17T00:00:00" u="1"/>
        <d v="2025-03-24T00:00:00" u="1"/>
        <d v="2025-03-31T00:00:00" u="1"/>
        <d v="2025-04-07T00:00:00" u="1"/>
        <d v="2025-04-14T00:00:00" u="1"/>
        <d v="2025-04-21T00:00:00" u="1"/>
        <d v="2025-04-28T00:00:00" u="1"/>
        <d v="2025-05-05T00:00:00" u="1"/>
        <d v="2025-05-12T00:00:00" u="1"/>
        <d v="2025-05-19T00:00:00" u="1"/>
        <d v="2025-05-26T00:00:00" u="1"/>
        <d v="2025-06-02T00:00:00" u="1"/>
        <d v="2025-06-09T00:00:00" u="1"/>
        <d v="2025-06-16T00:00:00" u="1"/>
        <d v="2025-06-23T00:00:00" u="1"/>
        <d v="2025-06-30T00:00:00" u="1"/>
        <d v="2025-07-07T00:00:00" u="1"/>
        <d v="2025-07-14T00:00:00" u="1"/>
        <d v="2025-07-21T00:00:00" u="1"/>
        <d v="2025-07-28T00:00:00" u="1"/>
        <d v="2025-08-04T00:00:00" u="1"/>
        <d v="2025-08-11T00:00:00" u="1"/>
        <d v="2025-08-18T00:00:00" u="1"/>
        <d v="2025-08-25T00:00:00" u="1"/>
        <d v="2025-09-08T00:00:00" u="1"/>
        <d v="2025-09-15T00:00:00" u="1"/>
        <d v="2025-09-22T00:00:00" u="1"/>
        <d v="2025-09-29T00:00:00" u="1"/>
        <d v="2025-10-06T00:00:00" u="1"/>
        <d v="2025-10-13T00:00:00" u="1"/>
        <d v="2025-10-20T00:00:00" u="1"/>
        <d v="2025-10-27T00:00:00" u="1"/>
        <d v="2025-11-03T00:00:00" u="1"/>
        <d v="2025-11-10T00:00:00" u="1"/>
        <d v="2025-11-17T00:00:00" u="1"/>
        <d v="2025-11-24T00:00:00" u="1"/>
        <d v="2025-12-08T00:00:00" u="1"/>
        <d v="2025-12-15T00:00:00" u="1"/>
        <d v="2025-12-22T00:00:00" u="1"/>
        <d v="2025-12-29T00:00:00" u="1"/>
        <d v="2023-01-01T00:00:00" u="1"/>
        <d v="2024-01-01T00:00:00" u="1"/>
        <d v="2027-01-01T00:00:00" u="1"/>
        <d v="1899-12-30T00:00:00" u="1"/>
        <d v="2024-12-30T00:00:00" u="1"/>
        <d v="2025-01-06T00:00:00" u="1"/>
        <d v="2025-01-13T00:00:00" u="1"/>
        <d v="2025-01-20T00:00:00" u="1"/>
        <d v="2025-01-27T00:00:00" u="1"/>
        <d v="2025-02-03T00:00:00" u="1"/>
        <d v="2025-02-10T00:00:00" u="1"/>
        <d v="2025-02-17T00:00:00" u="1"/>
        <d v="2026-01-05T00:00:00" u="1"/>
        <d v="2026-01-12T00:00:00" u="1"/>
        <d v="2026-01-19T00:00:00" u="1"/>
        <d v="2026-01-26T00:00:00" u="1"/>
        <d v="2026-02-02T00:00:00" u="1"/>
        <d v="2026-02-09T00:00:00" u="1"/>
        <d v="2026-02-16T00:00:00" u="1"/>
        <d v="2026-02-23T00:00:00" u="1"/>
        <d v="2026-03-02T00:00:00" u="1"/>
        <d v="2026-03-09T00:00:00" u="1"/>
        <d v="2026-03-16T00:00:00" u="1"/>
        <d v="2026-03-23T00:00:00" u="1"/>
        <d v="2026-03-30T00:00:00" u="1"/>
        <d v="2026-04-06T00:00:00" u="1"/>
        <d v="2026-04-13T00:00:00" u="1"/>
        <d v="2026-04-20T00:00:00" u="1"/>
        <d v="2026-04-27T00:00:00" u="1"/>
        <d v="2026-05-04T00:00:00" u="1"/>
        <d v="1901-01-01T00:00:00" u="1"/>
        <d v="2026-06-01T00:00:00" u="1"/>
        <d v="2026-07-01T00:00:00" u="1"/>
        <d v="2026-08-01T00:00:00" u="1"/>
        <d v="2026-09-01T00:00:00" u="1"/>
        <d v="2026-10-01T00:00:00" u="1"/>
        <d v="2026-11-01T00:00:00" u="1"/>
        <d v="2026-12-01T00:00:00" u="1"/>
        <d v="2023-03-27T00:00:00" u="1"/>
        <d v="2023-04-03T00:00:00" u="1"/>
        <d v="2023-04-10T00:00:00" u="1"/>
        <d v="2023-04-17T00:00:00" u="1"/>
        <d v="2023-04-24T00:00:00" u="1"/>
        <d v="2023-05-01T00:00:00" u="1"/>
        <d v="2023-05-08T00:00:00" u="1"/>
        <d v="2023-05-15T00:00:00" u="1"/>
        <d v="2023-05-22T00:00:00" u="1"/>
        <d v="2023-05-29T00:00:00" u="1"/>
        <d v="2023-06-05T00:00:00" u="1"/>
        <d v="2023-06-12T00:00:00" u="1"/>
        <d v="2023-06-19T00:00:00" u="1"/>
        <d v="2023-06-26T00:00:00" u="1"/>
        <d v="2023-07-03T00:00:00" u="1"/>
        <d v="2023-07-10T00:00:00" u="1"/>
        <d v="2023-07-17T00:00:00" u="1"/>
        <d v="2023-07-24T00:00:00" u="1"/>
        <d v="2023-07-31T00:00:00" u="1"/>
        <d v="2023-08-07T00:00:00" u="1"/>
        <d v="2023-08-14T00:00:00" u="1"/>
        <d v="2023-08-21T00:00:00" u="1"/>
        <d v="2023-08-28T00:00:00" u="1"/>
        <d v="2023-09-04T00:00:00" u="1"/>
        <d v="2023-09-11T00:00:00" u="1"/>
        <d v="2023-09-18T00:00:00" u="1"/>
        <d v="2023-09-25T00:00:00" u="1"/>
        <d v="2023-10-02T00:00:00" u="1"/>
        <d v="2023-10-09T00:00:00" u="1"/>
        <d v="2023-10-16T00:00:00" u="1"/>
        <d v="2023-10-23T00:00:00" u="1"/>
        <d v="2023-10-30T00:00:00" u="1"/>
        <d v="2023-11-06T00:00:00" u="1"/>
        <d v="2023-11-13T00:00:00" u="1"/>
        <d v="2023-11-20T00:00:00" u="1"/>
        <d v="2023-11-27T00:00:00" u="1"/>
        <d v="2023-12-04T00:00:00" u="1"/>
        <d v="2023-12-11T00:00:00" u="1"/>
        <d v="2023-12-18T00:00:00" u="1"/>
        <d v="2023-12-25T00:00:00" u="1"/>
        <d v="2024-01-08T00:00:00" u="1"/>
        <d v="2024-01-15T00:00:00" u="1"/>
        <d v="2024-01-22T00:00:00" u="1"/>
        <d v="2024-01-29T00:00:00" u="1"/>
        <d v="2024-02-05T00:00:00" u="1"/>
        <d v="2024-02-12T00:00:00" u="1"/>
        <d v="2024-02-19T00:00:00" u="1"/>
        <d v="2024-02-26T00:00:00" u="1"/>
        <d v="2024-03-04T00:00:00" u="1"/>
        <d v="2024-03-11T00:00:00" u="1"/>
        <d v="2024-03-18T00:00:00" u="1"/>
        <d v="2024-03-25T00:00:00" u="1"/>
        <d v="2024-04-01T00:00:00" u="1"/>
        <d v="2024-04-08T00:00:00" u="1"/>
        <d v="2024-04-15T00:00:00" u="1"/>
        <d v="2024-04-22T00:00:00" u="1"/>
        <d v="2024-04-29T00:00:00" u="1"/>
        <d v="2024-05-06T00:00:00" u="1"/>
        <d v="2024-05-13T00:00:00" u="1"/>
        <d v="2024-05-20T00:00:00" u="1"/>
        <d v="2024-05-27T00:00:00" u="1"/>
        <d v="2024-06-03T00:00:00" u="1"/>
        <d v="2024-06-10T00:00:00" u="1"/>
        <d v="2024-06-17T00:00:00" u="1"/>
        <d v="2024-06-24T00:00:00" u="1"/>
        <d v="2024-07-01T00:00:00" u="1"/>
        <d v="2024-07-08T00:00:00" u="1"/>
        <d v="2024-07-15T00:00:00" u="1"/>
        <d v="2024-07-22T00:00:00" u="1"/>
        <d v="2024-07-29T00:00:00" u="1"/>
        <d v="2024-08-05T00:00:00" u="1"/>
        <d v="2024-08-12T00:00:00" u="1"/>
        <d v="2024-08-19T00:00:00" u="1"/>
        <d v="2024-08-26T00:00:00" u="1"/>
        <d v="2024-09-02T00:00:00" u="1"/>
        <d v="2024-09-09T00:00:00" u="1"/>
        <d v="2024-09-16T00:00:00" u="1"/>
        <d v="2024-09-23T00:00:00" u="1"/>
        <d v="2024-09-30T00:00:00" u="1"/>
        <d v="2024-10-07T00:00:00" u="1"/>
        <d v="2024-10-14T00:00:00" u="1"/>
        <d v="2024-10-21T00:00:00" u="1"/>
        <d v="2024-10-28T00:00:00" u="1"/>
        <d v="2024-11-04T00:00:00" u="1"/>
        <d v="2024-11-11T00:00:00" u="1"/>
        <d v="2024-11-18T00:00:00" u="1"/>
        <d v="2024-11-25T00:00:00" u="1"/>
        <d v="2024-12-02T00:00:00" u="1"/>
        <d v="2024-12-09T00:00:00" u="1"/>
        <d v="2024-12-16T00:00:00" u="1"/>
        <d v="2024-12-23T00:00:00" u="1"/>
        <d v="2026-05-11T00:00:00" u="1"/>
        <d v="2026-05-18T00:00:00" u="1"/>
        <d v="2026-05-25T00:00:00" u="1"/>
        <d v="2026-06-08T00:00:00" u="1"/>
        <d v="2026-06-15T00:00:00" u="1"/>
        <d v="2026-06-22T00:00:00" u="1"/>
        <d v="2026-06-29T00:00:00" u="1"/>
        <d v="2026-07-06T00:00:00" u="1"/>
        <d v="2026-07-13T00:00:00" u="1"/>
        <d v="2026-07-20T00:00:00" u="1"/>
        <d v="2026-07-27T00:00:00" u="1"/>
        <d v="2026-08-03T00:00:00" u="1"/>
        <d v="2026-08-10T00:00:00" u="1"/>
        <d v="2026-08-17T00:00:00" u="1"/>
        <d v="2026-08-24T00:00:00" u="1"/>
        <d v="2026-08-31T00:00:00" u="1"/>
        <d v="2026-09-07T00:00:00" u="1"/>
        <d v="2026-09-14T00:00:00" u="1"/>
        <d v="2026-09-21T00:00:00" u="1"/>
        <d v="2026-09-28T00:00:00" u="1"/>
        <d v="2026-10-05T00:00:00" u="1"/>
        <d v="2026-10-12T00:00:00" u="1"/>
        <d v="2026-10-19T00:00:00" u="1"/>
        <d v="2026-10-26T00:00:00" u="1"/>
        <d v="2026-11-02T00:00:00" u="1"/>
        <d v="2026-11-09T00:00:00" u="1"/>
        <d v="2026-11-16T00:00:00" u="1"/>
        <d v="2026-11-23T00:00:00" u="1"/>
        <d v="2026-11-30T00:00:00" u="1"/>
        <d v="2026-12-07T00:00:00" u="1"/>
        <d v="2026-12-14T00:00:00" u="1"/>
        <d v="2026-12-21T00:00:00" u="1"/>
        <d v="2026-12-28T00:00:00" u="1"/>
        <d v="2027-01-04T00:00:00" u="1"/>
        <d v="2027-01-11T00:00:00" u="1"/>
        <d v="2027-01-18T00:00:00" u="1"/>
        <d v="2027-01-25T00:00:00" u="1"/>
        <d v="2027-02-01T00:00:00" u="1"/>
        <d v="2027-02-08T00:00:00" u="1"/>
        <d v="2023-04-01T00:00:00" u="1"/>
        <d v="2023-06-01T00:00:00" u="1"/>
        <d v="2023-07-01T00:00:00" u="1"/>
        <d v="2023-08-01T00:00:00" u="1"/>
        <d v="2023-09-01T00:00:00" u="1"/>
        <d v="2023-10-01T00:00:00" u="1"/>
        <d v="2023-11-01T00:00:00" u="1"/>
        <d v="2023-12-01T00:00:00" u="1"/>
        <d v="2024-02-01T00:00:00" u="1"/>
        <d v="2024-03-01T00:00:00" u="1"/>
        <d v="2024-05-01T00:00:00" u="1"/>
        <d v="2024-06-01T00:00:00" u="1"/>
        <d v="2024-08-01T00:00:00" u="1"/>
        <d v="2024-09-01T00:00:00" u="1"/>
        <d v="2024-10-01T00:00:00" u="1"/>
        <d v="2024-11-01T00:00:00" u="1"/>
        <d v="2024-12-01T00:00:00" u="1"/>
        <d v="1900-01-01T00:00:00" u="1"/>
      </sharedItems>
    </cacheField>
    <cacheField name="Effort" uniqueList="1" numFmtId="165" sqlType="0" hierarchy="0" level="0" databaseField="1">
      <sharedItems count="0" containsInteger="1" containsNumber="1" containsSemiMixedTypes="0" containsString="0" minValue="0" maxValue="0"/>
    </cacheField>
    <cacheField name="Effort (first team)" uniqueList="1" numFmtId="165" sqlType="0" hierarchy="0" level="0" databaseField="1">
      <sharedItems count="0" containsInteger="1" containsNumber="1" containsSemiMixedTypes="0" containsString="0" minValue="0" maxValue="0"/>
    </cacheField>
    <cacheField name="Effort (second team)" uniqueList="1" numFmtId="165" sqlType="0" hierarchy="0" level="0" databaseField="1">
      <sharedItems count="0" containsInteger="1" containsNumber="1" containsSemiMixedTypes="0" containsString="0" minValue="0" maxValue="0"/>
    </cacheField>
    <cacheField name="Daily costs" uniqueList="1" numFmtId="4" sqlType="0" hierarchy="0" level="0" databaseField="1">
      <sharedItems count="0" containsInteger="1" containsNumber="1" containsSemiMixedTypes="0" containsString="0" minValue="500" maxValue="500"/>
    </cacheField>
    <cacheField name="Costs" uniqueList="1" numFmtId="4" sqlType="0" hierarchy="0" level="0" databaseField="1">
      <sharedItems count="0" containsInteger="1" containsNumber="1" containsSemiMixedTypes="0" containsString="0" minValue="0" maxValue="0"/>
    </cacheField>
    <cacheField name="Daily rate" uniqueList="1" numFmtId="4" sqlType="0" hierarchy="0" level="0" databaseField="1">
      <sharedItems count="0" containsInteger="1" containsNumber="1" containsSemiMixedTypes="0" containsString="0" minValue="450" maxValue="900"/>
    </cacheField>
    <cacheField name="Price" uniqueList="1" numFmtId="4" sqlType="0" hierarchy="0" level="0" databaseField="1">
      <sharedItems count="0" containsInteger="1" containsNumber="1" containsSemiMixedTypes="0" containsString="0" minValue="0" maxValue="0"/>
    </cacheField>
    <cacheField name="Margin" uniqueList="1" numFmtId="4" sqlType="0" hierarchy="0" level="0" databaseField="1">
      <sharedItems count="0" containsInteger="1" containsNumber="1" containsSemiMixedTypes="0" containsString="0" minValue="0" maxValue="0"/>
    </cacheField>
    <cacheField name="Gross profit" uniqueList="1" numFmtId="4" sqlType="0" hierarchy="0" level="0" databaseField="1">
      <sharedItems count="0" containsInteger="1" containsNumber="1" containsSemiMixedTypes="0" containsString="0" minValue="0" maxValue="0"/>
    </cacheField>
    <cacheField name="Effort contractor" uniqueList="1" numFmtId="165" sqlType="0" hierarchy="0" level="0" databaseField="1">
      <sharedItems count="0" containsInteger="1" containsNumber="1" containsSemiMixedTypes="0" containsString="0" minValue="0" maxValue="0"/>
    </cacheField>
    <cacheField name="Avg. Daily Costs" uniqueList="1" numFmtId="0" formula="IF(Costs&gt;0,Costs/Effort,0)" sqlType="0" hierarchy="0" level="0" databaseField="0"/>
  </cacheFields>
</pivotCacheDefinition>
</file>

<file path=xl/pivotCache/pivotCacheRecords1.xml><?xml version="1.0" encoding="utf-8"?>
<pivotCacheRecords xmlns="http://schemas.openxmlformats.org/spreadsheetml/2006/main" count="24">
  <r>
    <x v="0"/>
    <x v="0"/>
    <x v="0"/>
    <x v="0"/>
    <x v="0"/>
    <x v="0"/>
    <m/>
    <x v="0"/>
    <x v="0"/>
    <m/>
    <x v="0"/>
    <x v="0"/>
    <m/>
    <m/>
    <m/>
    <m/>
    <m/>
    <x v="0"/>
    <x v="0"/>
    <m/>
    <n v="0"/>
    <n v="0"/>
    <n v="0"/>
    <n v="0"/>
    <n v="0"/>
    <n v="0"/>
    <x v="0"/>
    <s v="Any role"/>
    <n v="1"/>
    <x v="0"/>
    <x v="0"/>
    <n v="0.02"/>
    <x v="0"/>
    <x v="0"/>
    <x v="0"/>
    <n v="0"/>
    <n v="0"/>
    <n v="0"/>
    <n v="500"/>
    <n v="0"/>
    <n v="900"/>
    <n v="0"/>
    <n v="0"/>
    <n v="0"/>
    <n v="0"/>
  </r>
  <r>
    <x v="0"/>
    <x v="1"/>
    <x v="0"/>
    <x v="0"/>
    <x v="1"/>
    <x v="0"/>
    <m/>
    <x v="0"/>
    <x v="0"/>
    <m/>
    <x v="0"/>
    <x v="0"/>
    <m/>
    <m/>
    <m/>
    <m/>
    <m/>
    <x v="0"/>
    <x v="0"/>
    <m/>
    <n v="0"/>
    <n v="0"/>
    <n v="0"/>
    <n v="0"/>
    <n v="0"/>
    <n v="0"/>
    <x v="0"/>
    <s v="Any role"/>
    <n v="1"/>
    <x v="0"/>
    <x v="0"/>
    <n v="0.02"/>
    <x v="0"/>
    <x v="0"/>
    <x v="0"/>
    <n v="0"/>
    <n v="0"/>
    <n v="0"/>
    <n v="500"/>
    <n v="0"/>
    <n v="900"/>
    <n v="0"/>
    <n v="0"/>
    <n v="0"/>
    <n v="0"/>
  </r>
  <r>
    <x v="0"/>
    <x v="2"/>
    <x v="0"/>
    <x v="0"/>
    <x v="2"/>
    <x v="0"/>
    <m/>
    <x v="0"/>
    <x v="0"/>
    <m/>
    <x v="0"/>
    <x v="0"/>
    <m/>
    <m/>
    <m/>
    <m/>
    <m/>
    <x v="0"/>
    <x v="0"/>
    <m/>
    <n v="0"/>
    <n v="0"/>
    <n v="0"/>
    <n v="0"/>
    <n v="0"/>
    <n v="0"/>
    <x v="0"/>
    <s v="Any role"/>
    <n v="1"/>
    <x v="0"/>
    <x v="0"/>
    <n v="0.02"/>
    <x v="0"/>
    <x v="0"/>
    <x v="0"/>
    <n v="0"/>
    <n v="0"/>
    <n v="0"/>
    <n v="500"/>
    <n v="0"/>
    <n v="900"/>
    <n v="0"/>
    <n v="0"/>
    <n v="0"/>
    <n v="0"/>
  </r>
  <r>
    <x v="0"/>
    <x v="3"/>
    <x v="0"/>
    <x v="0"/>
    <x v="3"/>
    <x v="0"/>
    <m/>
    <x v="0"/>
    <x v="0"/>
    <m/>
    <x v="0"/>
    <x v="0"/>
    <m/>
    <m/>
    <m/>
    <m/>
    <m/>
    <x v="0"/>
    <x v="0"/>
    <m/>
    <n v="0"/>
    <n v="0"/>
    <n v="0"/>
    <n v="0"/>
    <n v="0"/>
    <n v="0"/>
    <x v="0"/>
    <s v="Any role"/>
    <n v="1"/>
    <x v="0"/>
    <x v="0"/>
    <n v="0.02"/>
    <x v="0"/>
    <x v="0"/>
    <x v="0"/>
    <n v="0"/>
    <n v="0"/>
    <n v="0"/>
    <n v="500"/>
    <n v="0"/>
    <n v="900"/>
    <n v="0"/>
    <n v="0"/>
    <n v="0"/>
    <n v="0"/>
  </r>
  <r>
    <x v="0"/>
    <x v="4"/>
    <x v="0"/>
    <x v="0"/>
    <x v="4"/>
    <x v="0"/>
    <m/>
    <x v="0"/>
    <x v="0"/>
    <m/>
    <x v="0"/>
    <x v="0"/>
    <m/>
    <m/>
    <m/>
    <m/>
    <m/>
    <x v="0"/>
    <x v="0"/>
    <m/>
    <n v="0"/>
    <n v="0"/>
    <n v="0"/>
    <n v="0"/>
    <n v="0"/>
    <n v="0"/>
    <x v="0"/>
    <s v="Any role"/>
    <n v="1"/>
    <x v="0"/>
    <x v="0"/>
    <n v="0.02"/>
    <x v="0"/>
    <x v="0"/>
    <x v="0"/>
    <n v="0"/>
    <n v="0"/>
    <n v="0"/>
    <n v="500"/>
    <n v="0"/>
    <n v="900"/>
    <n v="0"/>
    <n v="0"/>
    <n v="0"/>
    <n v="0"/>
  </r>
  <r>
    <x v="0"/>
    <x v="5"/>
    <x v="0"/>
    <x v="1"/>
    <x v="5"/>
    <x v="0"/>
    <m/>
    <x v="0"/>
    <x v="0"/>
    <m/>
    <x v="0"/>
    <x v="0"/>
    <m/>
    <m/>
    <m/>
    <m/>
    <m/>
    <x v="0"/>
    <x v="0"/>
    <m/>
    <n v="0"/>
    <n v="0"/>
    <n v="0"/>
    <n v="0"/>
    <n v="0"/>
    <n v="0"/>
    <x v="0"/>
    <s v="Any role"/>
    <n v="1"/>
    <x v="0"/>
    <x v="0"/>
    <n v="0.02"/>
    <x v="0"/>
    <x v="0"/>
    <x v="0"/>
    <n v="0"/>
    <n v="0"/>
    <n v="0"/>
    <n v="500"/>
    <n v="0"/>
    <n v="900"/>
    <n v="0"/>
    <n v="0"/>
    <n v="0"/>
    <n v="0"/>
  </r>
  <r>
    <x v="0"/>
    <x v="6"/>
    <x v="0"/>
    <x v="1"/>
    <x v="6"/>
    <x v="0"/>
    <m/>
    <x v="0"/>
    <x v="0"/>
    <m/>
    <x v="0"/>
    <x v="0"/>
    <m/>
    <m/>
    <m/>
    <m/>
    <m/>
    <x v="0"/>
    <x v="0"/>
    <m/>
    <n v="0"/>
    <n v="0"/>
    <n v="0"/>
    <n v="0"/>
    <n v="0"/>
    <n v="0"/>
    <x v="0"/>
    <s v="Any role"/>
    <n v="1"/>
    <x v="0"/>
    <x v="0"/>
    <n v="0.02"/>
    <x v="0"/>
    <x v="0"/>
    <x v="0"/>
    <n v="0"/>
    <n v="0"/>
    <n v="0"/>
    <n v="500"/>
    <n v="0"/>
    <n v="900"/>
    <n v="0"/>
    <n v="0"/>
    <n v="0"/>
    <n v="0"/>
  </r>
  <r>
    <x v="0"/>
    <x v="7"/>
    <x v="0"/>
    <x v="1"/>
    <x v="7"/>
    <x v="0"/>
    <m/>
    <x v="0"/>
    <x v="0"/>
    <m/>
    <x v="0"/>
    <x v="0"/>
    <m/>
    <m/>
    <m/>
    <m/>
    <m/>
    <x v="0"/>
    <x v="0"/>
    <m/>
    <n v="0"/>
    <n v="0"/>
    <n v="0"/>
    <n v="0"/>
    <n v="0"/>
    <n v="0"/>
    <x v="0"/>
    <s v="Any role"/>
    <n v="1"/>
    <x v="0"/>
    <x v="0"/>
    <n v="0.02"/>
    <x v="0"/>
    <x v="0"/>
    <x v="0"/>
    <n v="0"/>
    <n v="0"/>
    <n v="0"/>
    <n v="500"/>
    <n v="0"/>
    <n v="900"/>
    <n v="0"/>
    <n v="0"/>
    <n v="0"/>
    <n v="0"/>
  </r>
  <r>
    <x v="0"/>
    <x v="8"/>
    <x v="0"/>
    <x v="1"/>
    <x v="8"/>
    <x v="0"/>
    <m/>
    <x v="0"/>
    <x v="0"/>
    <m/>
    <x v="0"/>
    <x v="0"/>
    <m/>
    <m/>
    <m/>
    <m/>
    <m/>
    <x v="0"/>
    <x v="0"/>
    <m/>
    <n v="0"/>
    <n v="0"/>
    <n v="0"/>
    <n v="0"/>
    <n v="0"/>
    <n v="0"/>
    <x v="0"/>
    <s v="Any role"/>
    <n v="1"/>
    <x v="0"/>
    <x v="0"/>
    <n v="0.02"/>
    <x v="0"/>
    <x v="0"/>
    <x v="0"/>
    <n v="0"/>
    <n v="0"/>
    <n v="0"/>
    <n v="500"/>
    <n v="0"/>
    <n v="900"/>
    <n v="0"/>
    <n v="0"/>
    <n v="0"/>
    <n v="0"/>
  </r>
  <r>
    <x v="0"/>
    <x v="9"/>
    <x v="0"/>
    <x v="1"/>
    <x v="9"/>
    <x v="0"/>
    <m/>
    <x v="0"/>
    <x v="0"/>
    <m/>
    <x v="0"/>
    <x v="0"/>
    <m/>
    <m/>
    <m/>
    <m/>
    <m/>
    <x v="0"/>
    <x v="0"/>
    <m/>
    <n v="0"/>
    <n v="0"/>
    <n v="0"/>
    <n v="0"/>
    <n v="0"/>
    <n v="0"/>
    <x v="0"/>
    <s v="Any role"/>
    <n v="1"/>
    <x v="0"/>
    <x v="0"/>
    <n v="0.02"/>
    <x v="0"/>
    <x v="0"/>
    <x v="0"/>
    <n v="0"/>
    <n v="0"/>
    <n v="0"/>
    <n v="500"/>
    <n v="0"/>
    <n v="900"/>
    <n v="0"/>
    <n v="0"/>
    <n v="0"/>
    <n v="0"/>
  </r>
  <r>
    <x v="0"/>
    <x v="10"/>
    <x v="0"/>
    <x v="1"/>
    <x v="10"/>
    <x v="0"/>
    <m/>
    <x v="0"/>
    <x v="0"/>
    <m/>
    <x v="0"/>
    <x v="0"/>
    <m/>
    <m/>
    <m/>
    <m/>
    <m/>
    <x v="0"/>
    <x v="0"/>
    <m/>
    <n v="0"/>
    <n v="0"/>
    <n v="0"/>
    <n v="0"/>
    <n v="0"/>
    <n v="0"/>
    <x v="0"/>
    <s v="Any role"/>
    <n v="1"/>
    <x v="0"/>
    <x v="0"/>
    <n v="0.02"/>
    <x v="0"/>
    <x v="0"/>
    <x v="0"/>
    <n v="0"/>
    <n v="0"/>
    <n v="0"/>
    <n v="500"/>
    <n v="0"/>
    <n v="900"/>
    <n v="0"/>
    <n v="0"/>
    <n v="0"/>
    <n v="0"/>
  </r>
  <r>
    <x v="0"/>
    <x v="11"/>
    <x v="0"/>
    <x v="1"/>
    <x v="11"/>
    <x v="0"/>
    <m/>
    <x v="0"/>
    <x v="0"/>
    <m/>
    <x v="0"/>
    <x v="0"/>
    <m/>
    <m/>
    <m/>
    <m/>
    <m/>
    <x v="0"/>
    <x v="0"/>
    <m/>
    <n v="0"/>
    <n v="0"/>
    <n v="0"/>
    <n v="0"/>
    <n v="0"/>
    <n v="0"/>
    <x v="0"/>
    <s v="Any role"/>
    <n v="1"/>
    <x v="0"/>
    <x v="0"/>
    <n v="0.02"/>
    <x v="0"/>
    <x v="0"/>
    <x v="0"/>
    <n v="0"/>
    <n v="0"/>
    <n v="0"/>
    <n v="500"/>
    <n v="0"/>
    <n v="900"/>
    <n v="0"/>
    <n v="0"/>
    <n v="0"/>
    <n v="0"/>
  </r>
  <r>
    <x v="0"/>
    <x v="12"/>
    <x v="0"/>
    <x v="1"/>
    <x v="12"/>
    <x v="0"/>
    <m/>
    <x v="0"/>
    <x v="0"/>
    <m/>
    <x v="0"/>
    <x v="0"/>
    <m/>
    <m/>
    <m/>
    <m/>
    <m/>
    <x v="0"/>
    <x v="0"/>
    <m/>
    <n v="0"/>
    <n v="0"/>
    <n v="0"/>
    <n v="0"/>
    <n v="0"/>
    <n v="0"/>
    <x v="0"/>
    <s v="Any role"/>
    <n v="1"/>
    <x v="0"/>
    <x v="0"/>
    <n v="0.02"/>
    <x v="0"/>
    <x v="0"/>
    <x v="0"/>
    <n v="0"/>
    <n v="0"/>
    <n v="0"/>
    <n v="500"/>
    <n v="0"/>
    <n v="900"/>
    <n v="0"/>
    <n v="0"/>
    <n v="0"/>
    <n v="0"/>
  </r>
  <r>
    <x v="0"/>
    <x v="13"/>
    <x v="0"/>
    <x v="1"/>
    <x v="13"/>
    <x v="0"/>
    <m/>
    <x v="0"/>
    <x v="0"/>
    <m/>
    <x v="0"/>
    <x v="0"/>
    <m/>
    <m/>
    <m/>
    <m/>
    <m/>
    <x v="0"/>
    <x v="0"/>
    <m/>
    <n v="0"/>
    <n v="0"/>
    <n v="0"/>
    <n v="0"/>
    <n v="0"/>
    <n v="0"/>
    <x v="0"/>
    <s v="Any role"/>
    <n v="1"/>
    <x v="0"/>
    <x v="0"/>
    <n v="0.02"/>
    <x v="0"/>
    <x v="0"/>
    <x v="0"/>
    <n v="0"/>
    <n v="0"/>
    <n v="0"/>
    <n v="500"/>
    <n v="0"/>
    <n v="900"/>
    <n v="0"/>
    <n v="0"/>
    <n v="0"/>
    <n v="0"/>
  </r>
  <r>
    <x v="0"/>
    <x v="14"/>
    <x v="0"/>
    <x v="1"/>
    <x v="14"/>
    <x v="0"/>
    <m/>
    <x v="0"/>
    <x v="0"/>
    <m/>
    <x v="0"/>
    <x v="0"/>
    <m/>
    <m/>
    <m/>
    <m/>
    <m/>
    <x v="0"/>
    <x v="0"/>
    <m/>
    <n v="0"/>
    <n v="0"/>
    <n v="0"/>
    <n v="0"/>
    <n v="0"/>
    <n v="0"/>
    <x v="0"/>
    <s v="Any role"/>
    <n v="1"/>
    <x v="0"/>
    <x v="0"/>
    <n v="0.02"/>
    <x v="0"/>
    <x v="0"/>
    <x v="0"/>
    <n v="0"/>
    <n v="0"/>
    <n v="0"/>
    <n v="500"/>
    <n v="0"/>
    <n v="900"/>
    <n v="0"/>
    <n v="0"/>
    <n v="0"/>
    <n v="0"/>
  </r>
  <r>
    <x v="0"/>
    <x v="15"/>
    <x v="0"/>
    <x v="1"/>
    <x v="15"/>
    <x v="0"/>
    <m/>
    <x v="0"/>
    <x v="0"/>
    <m/>
    <x v="0"/>
    <x v="0"/>
    <m/>
    <m/>
    <m/>
    <m/>
    <m/>
    <x v="0"/>
    <x v="0"/>
    <m/>
    <n v="0"/>
    <n v="0"/>
    <n v="0"/>
    <n v="0"/>
    <n v="0"/>
    <n v="0"/>
    <x v="0"/>
    <s v="Any role"/>
    <n v="1"/>
    <x v="0"/>
    <x v="0"/>
    <n v="0.02"/>
    <x v="0"/>
    <x v="0"/>
    <x v="0"/>
    <n v="0"/>
    <n v="0"/>
    <n v="0"/>
    <n v="500"/>
    <n v="0"/>
    <n v="900"/>
    <n v="0"/>
    <n v="0"/>
    <n v="0"/>
    <n v="0"/>
  </r>
  <r>
    <x v="0"/>
    <x v="16"/>
    <x v="0"/>
    <x v="2"/>
    <x v="16"/>
    <x v="0"/>
    <m/>
    <x v="0"/>
    <x v="0"/>
    <m/>
    <x v="0"/>
    <x v="0"/>
    <m/>
    <m/>
    <m/>
    <m/>
    <m/>
    <x v="0"/>
    <x v="0"/>
    <m/>
    <n v="0"/>
    <n v="0"/>
    <n v="0"/>
    <n v="0"/>
    <n v="0"/>
    <n v="0"/>
    <x v="0"/>
    <s v="Any role"/>
    <n v="1"/>
    <x v="0"/>
    <x v="0"/>
    <n v="0.02"/>
    <x v="0"/>
    <x v="0"/>
    <x v="0"/>
    <n v="0"/>
    <n v="0"/>
    <n v="0"/>
    <n v="500"/>
    <n v="0"/>
    <n v="900"/>
    <n v="0"/>
    <n v="0"/>
    <n v="0"/>
    <n v="0"/>
  </r>
  <r>
    <x v="0"/>
    <x v="17"/>
    <x v="0"/>
    <x v="2"/>
    <x v="17"/>
    <x v="0"/>
    <m/>
    <x v="0"/>
    <x v="0"/>
    <m/>
    <x v="0"/>
    <x v="0"/>
    <m/>
    <m/>
    <m/>
    <m/>
    <m/>
    <x v="0"/>
    <x v="0"/>
    <m/>
    <n v="0"/>
    <n v="0"/>
    <n v="0"/>
    <n v="0"/>
    <n v="0"/>
    <n v="0"/>
    <x v="0"/>
    <s v="Any role"/>
    <n v="1"/>
    <x v="0"/>
    <x v="0"/>
    <n v="0.02"/>
    <x v="0"/>
    <x v="0"/>
    <x v="0"/>
    <n v="0"/>
    <n v="0"/>
    <n v="0"/>
    <n v="500"/>
    <n v="0"/>
    <n v="900"/>
    <n v="0"/>
    <n v="0"/>
    <n v="0"/>
    <n v="0"/>
  </r>
  <r>
    <x v="0"/>
    <x v="18"/>
    <x v="0"/>
    <x v="2"/>
    <x v="18"/>
    <x v="0"/>
    <m/>
    <x v="0"/>
    <x v="0"/>
    <m/>
    <x v="0"/>
    <x v="0"/>
    <m/>
    <m/>
    <m/>
    <m/>
    <m/>
    <x v="0"/>
    <x v="0"/>
    <m/>
    <n v="0"/>
    <n v="0"/>
    <n v="0"/>
    <n v="0"/>
    <n v="0"/>
    <n v="0"/>
    <x v="0"/>
    <s v="Any role"/>
    <n v="1"/>
    <x v="0"/>
    <x v="0"/>
    <n v="0.02"/>
    <x v="0"/>
    <x v="0"/>
    <x v="0"/>
    <n v="0"/>
    <n v="0"/>
    <n v="0"/>
    <n v="500"/>
    <n v="0"/>
    <n v="900"/>
    <n v="0"/>
    <n v="0"/>
    <n v="0"/>
    <n v="0"/>
  </r>
  <r>
    <x v="0"/>
    <x v="19"/>
    <x v="0"/>
    <x v="2"/>
    <x v="19"/>
    <x v="0"/>
    <m/>
    <x v="0"/>
    <x v="0"/>
    <m/>
    <x v="0"/>
    <x v="0"/>
    <m/>
    <m/>
    <m/>
    <m/>
    <m/>
    <x v="0"/>
    <x v="0"/>
    <m/>
    <n v="0"/>
    <n v="0"/>
    <n v="0"/>
    <n v="0"/>
    <n v="0"/>
    <n v="0"/>
    <x v="0"/>
    <s v="Any role"/>
    <n v="1"/>
    <x v="0"/>
    <x v="0"/>
    <n v="0.02"/>
    <x v="0"/>
    <x v="0"/>
    <x v="0"/>
    <n v="0"/>
    <n v="0"/>
    <n v="0"/>
    <n v="500"/>
    <n v="0"/>
    <n v="900"/>
    <n v="0"/>
    <n v="0"/>
    <n v="0"/>
    <n v="0"/>
  </r>
  <r>
    <x v="0"/>
    <x v="20"/>
    <x v="0"/>
    <x v="2"/>
    <x v="20"/>
    <x v="0"/>
    <m/>
    <x v="0"/>
    <x v="0"/>
    <m/>
    <x v="0"/>
    <x v="0"/>
    <m/>
    <m/>
    <m/>
    <m/>
    <m/>
    <x v="0"/>
    <x v="0"/>
    <m/>
    <n v="0"/>
    <n v="0"/>
    <n v="0"/>
    <n v="0"/>
    <n v="0"/>
    <n v="0"/>
    <x v="0"/>
    <s v="Any role"/>
    <n v="1"/>
    <x v="0"/>
    <x v="0"/>
    <n v="0.02"/>
    <x v="0"/>
    <x v="0"/>
    <x v="0"/>
    <n v="0"/>
    <n v="0"/>
    <n v="0"/>
    <n v="500"/>
    <n v="0"/>
    <n v="900"/>
    <n v="0"/>
    <n v="0"/>
    <n v="0"/>
    <n v="0"/>
  </r>
  <r>
    <x v="0"/>
    <x v="21"/>
    <x v="0"/>
    <x v="2"/>
    <x v="21"/>
    <x v="0"/>
    <m/>
    <x v="0"/>
    <x v="0"/>
    <m/>
    <x v="0"/>
    <x v="0"/>
    <m/>
    <m/>
    <m/>
    <m/>
    <m/>
    <x v="0"/>
    <x v="0"/>
    <m/>
    <n v="0"/>
    <n v="0"/>
    <n v="0"/>
    <n v="0"/>
    <n v="0"/>
    <n v="0"/>
    <x v="0"/>
    <s v="Any role"/>
    <n v="1"/>
    <x v="0"/>
    <x v="0"/>
    <n v="0.02"/>
    <x v="0"/>
    <x v="0"/>
    <x v="0"/>
    <n v="0"/>
    <n v="0"/>
    <n v="0"/>
    <n v="500"/>
    <n v="0"/>
    <n v="900"/>
    <n v="0"/>
    <n v="0"/>
    <n v="0"/>
    <n v="0"/>
  </r>
  <r>
    <x v="1"/>
    <x v="22"/>
    <x v="0"/>
    <x v="2"/>
    <x v="22"/>
    <x v="0"/>
    <m/>
    <x v="0"/>
    <x v="0"/>
    <m/>
    <x v="0"/>
    <x v="0"/>
    <m/>
    <m/>
    <m/>
    <m/>
    <m/>
    <x v="0"/>
    <x v="0"/>
    <m/>
    <n v="0"/>
    <n v="0"/>
    <n v="0"/>
    <n v="0"/>
    <n v="0"/>
    <n v="0"/>
    <x v="0"/>
    <s v="Any role"/>
    <n v="1"/>
    <x v="0"/>
    <x v="0"/>
    <n v="0.02"/>
    <x v="0"/>
    <x v="0"/>
    <x v="0"/>
    <n v="0"/>
    <n v="0"/>
    <n v="0"/>
    <n v="500"/>
    <n v="0"/>
    <n v="450"/>
    <n v="0"/>
    <n v="0"/>
    <n v="0"/>
    <n v="0"/>
  </r>
  <r>
    <x v="2"/>
    <x v="23"/>
    <x v="0"/>
    <x v="3"/>
    <x v="23"/>
    <x v="0"/>
    <m/>
    <x v="0"/>
    <x v="0"/>
    <m/>
    <x v="0"/>
    <x v="0"/>
    <m/>
    <m/>
    <m/>
    <m/>
    <m/>
    <x v="0"/>
    <x v="0"/>
    <m/>
    <n v="0"/>
    <n v="0"/>
    <n v="0"/>
    <n v="0"/>
    <n v="0"/>
    <n v="0"/>
    <x v="0"/>
    <s v="Any role"/>
    <n v="1"/>
    <x v="0"/>
    <x v="0"/>
    <n v="0.02"/>
    <x v="0"/>
    <x v="0"/>
    <x v="0"/>
    <n v="0"/>
    <n v="0"/>
    <n v="0"/>
    <n v="500"/>
    <n v="0"/>
    <n v="900"/>
    <n v="0"/>
    <n v="0"/>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8.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9.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0.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4.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Summary1" cacheId="1" dataOnRows="0" dataCaption="Werte"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7" rowHeaderCaption="Item Type" fieldListSortAscending="0" mdxSubqueries="0" applyNumberFormats="0" applyBorderFormats="0" applyFontFormats="0" applyPatternFormats="0" applyAlignmentFormats="0" applyWidthHeightFormats="1" r:id="rId1">
  <location ref="A18:G22" firstHeaderRow="0" firstDataRow="1" firstDataCol="1"/>
  <pivotFields count="46">
    <pivotField axis="axisRow" showDropDowns="1" compact="1" outline="1" subtotalTop="1" dragToRow="1" dragToCol="1" dragToPage="1" dragToData="1" dragOff="1" showAll="0" topAutoShow="1" itemPageCount="10" sortType="ascending" defaultSubtotal="1">
      <items count="17">
        <item t="data" sd="1" m="1" x="3"/>
        <item t="data" sd="1" m="1" x="14"/>
        <item t="data" sd="1" m="1" x="6"/>
        <item t="data" sd="1" m="1" x="9"/>
        <item t="data" sd="1" m="1" x="11"/>
        <item t="data" sd="1" m="1" x="12"/>
        <item t="data" sd="1" m="1" x="10"/>
        <item t="data" sd="1" m="1" x="4"/>
        <item t="data" sd="1" x="0"/>
        <item t="data" sd="1" m="1" x="7"/>
        <item t="data" sd="1" m="1" x="15"/>
        <item t="data" sd="1" m="1" x="5"/>
        <item t="data" sd="1" x="1"/>
        <item t="data" sd="1" x="2"/>
        <item t="data" sd="1" m="1" x="13"/>
        <item t="data" sd="1" m="1" x="8"/>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6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dataField="1" showDropDowns="1" compact="1" numFmtId="4"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dataField="1" showDropDowns="1" compact="1" numFmtId="4" outline="1" subtotalTop="1" dragToRow="1" dragToCol="1" dragToPage="1" dragToData="1" dragOff="1" showAll="0" topAutoShow="1" itemPageCount="10" sortType="manual" defaultSubtotal="1"/>
    <pivotField dataField="1" showDropDowns="1" compact="1" numFmtId="4" outline="1" subtotalTop="1" dragToRow="1" dragToCol="1" dragToPage="1" dragToData="1" dragOff="1" showAll="0" topAutoShow="1" itemPageCount="10" sortType="manual" defaultSubtotal="1"/>
    <pivotField dataField="1" showDropDowns="1" compact="1" numFmtId="4" outline="1" subtotalTop="1" dragToRow="1" dragToCol="1" dragToPage="1" dragToData="1" dragOff="1" showAll="0" topAutoShow="1" itemPageCount="10" sortType="manual" defaultSubtotal="1"/>
    <pivotField dataField="1" showDropDowns="1" compact="1" numFmtId="165"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s>
  <rowFields count="1">
    <field x="0"/>
  </rowFields>
  <rowItems count="4">
    <i t="data" r="0" i="0">
      <x v="8"/>
    </i>
    <i t="data" r="0" i="0">
      <x v="12"/>
    </i>
    <i t="data" r="0" i="0">
      <x v="13"/>
    </i>
    <i t="grand" r="0" i="0">
      <x v="0"/>
    </i>
  </rowItems>
  <colFields count="1">
    <field x="-2"/>
  </colFields>
  <colItems count="6">
    <i t="data" r="0" i="0">
      <x v="0"/>
    </i>
    <i t="data" r="0" i="1">
      <x v="1"/>
    </i>
    <i t="data" r="0" i="2">
      <x v="2"/>
    </i>
    <i t="data" r="0" i="3">
      <x v="3"/>
    </i>
    <i t="data" r="0" i="4">
      <x v="4"/>
    </i>
    <i t="data" r="0" i="5">
      <x v="5"/>
    </i>
  </colItems>
  <dataFields count="6">
    <dataField name="Total effort" fld="35" subtotal="sum" showDataAs="normal" baseField="0" baseItem="2" numFmtId="165"/>
    <dataField name="Total Costs" fld="39" subtotal="sum" showDataAs="normal" baseField="0" baseItem="0" numFmtId="4"/>
    <dataField name="Total Price" fld="41" subtotal="sum" showDataAs="normal" baseField="0" baseItem="0" numFmtId="4"/>
    <dataField name="Total Margin" fld="42" subtotal="sum" showDataAs="normal" baseField="0" baseItem="0" numFmtId="4"/>
    <dataField name="Total Gross profit" fld="43" subtotal="sum" showDataAs="normal" baseField="0" baseItem="7" numFmtId="177"/>
    <dataField name="Total Effort Contractor" fld="44" subtotal="sum" showDataAs="normal" baseField="0" baseItem="2" numFmtId="165"/>
  </dataFields>
  <formats count="31">
    <format action="formatting" dxfId="584">
      <pivotArea type="normal" dataOnly="1" outline="0" collapsedLevelsAreSubtotals="1" fieldPosition="0"/>
    </format>
    <format action="formatting" dxfId="583">
      <pivotArea type="normal" dataOnly="0" labelOnly="1" outline="0" fieldPosition="0">
        <references count="1">
          <reference field="4294967294">
            <x v="0"/>
          </reference>
        </references>
      </pivotArea>
    </format>
    <format action="formatting" dxfId="582">
      <pivotArea field="0" type="button" dataOnly="0" labelOnly="1" outline="0" axis="axisRow" fieldPosition="0"/>
    </format>
    <format action="formatting" dxfId="581">
      <pivotArea type="normal" dataOnly="0" labelOnly="1" outline="0" fieldPosition="0">
        <references count="1">
          <reference field="4294967294">
            <x v="0"/>
          </reference>
        </references>
      </pivotArea>
    </format>
    <format action="formatting" dxfId="580">
      <pivotArea field="0" type="button" dataOnly="0" labelOnly="1" outline="0" axis="axisRow" fieldPosition="0"/>
    </format>
    <format action="formatting" dxfId="579">
      <pivotArea type="normal" dataOnly="0" labelOnly="1" outline="0" fieldPosition="0">
        <references count="1">
          <reference field="4294967294">
            <x v="0"/>
          </reference>
        </references>
      </pivotArea>
    </format>
    <format action="formatting" dxfId="578">
      <pivotArea field="0" type="button" dataOnly="0" labelOnly="1" outline="0" axis="axisRow" fieldPosition="0"/>
    </format>
    <format action="formatting" dxfId="577">
      <pivotArea type="normal" dataOnly="0" labelOnly="1" outline="0" fieldPosition="0">
        <references count="1">
          <reference field="4294967294">
            <x v="0"/>
          </reference>
        </references>
      </pivotArea>
    </format>
    <format action="formatting" dxfId="576">
      <pivotArea type="normal" dataOnly="1" outline="0" fieldPosition="0">
        <references count="1">
          <reference field="4294967294">
            <x v="1"/>
          </reference>
        </references>
      </pivotArea>
    </format>
    <format action="formatting" dxfId="575">
      <pivotArea type="normal" dataOnly="0" labelOnly="1" outline="0" fieldPosition="0">
        <references count="1">
          <reference field="4294967294">
            <x v="1"/>
          </reference>
        </references>
      </pivotArea>
    </format>
    <format action="formatting" dxfId="574">
      <pivotArea type="normal" dataOnly="0" labelOnly="1" outline="0" fieldPosition="0">
        <references count="1">
          <reference field="4294967294">
            <x v="1"/>
          </reference>
        </references>
      </pivotArea>
    </format>
    <format action="formatting" dxfId="573">
      <pivotArea type="normal" dataOnly="1" outline="0" collapsedLevelsAreSubtotals="1" fieldPosition="0">
        <references count="1">
          <reference field="4294967294" selected="0">
            <x v="1"/>
          </reference>
        </references>
      </pivotArea>
    </format>
    <format action="formatting" dxfId="572">
      <pivotArea type="normal" dataOnly="0" labelOnly="1" outline="0" fieldPosition="0">
        <references count="1">
          <reference field="4294967294">
            <x v="1"/>
          </reference>
        </references>
      </pivotArea>
    </format>
    <format action="formatting" dxfId="571">
      <pivotArea type="all" dataOnly="0" outline="0" fieldPosition="0"/>
    </format>
    <format action="formatting" dxfId="570">
      <pivotArea type="normal" dataOnly="1" outline="0" collapsedLevelsAreSubtotals="1" fieldPosition="0"/>
    </format>
    <format action="formatting" dxfId="569">
      <pivotArea field="0" type="button" dataOnly="0" labelOnly="1" outline="0" axis="axisRow" fieldPosition="0"/>
    </format>
    <format action="formatting" dxfId="568">
      <pivotArea type="normal" dataOnly="0" labelOnly="1" outline="1" fieldPosition="0">
        <references count="1">
          <reference field="0"/>
        </references>
      </pivotArea>
    </format>
    <format action="formatting" dxfId="567">
      <pivotArea type="normal" dataOnly="0" labelOnly="1" grandRow="1" outline="0" fieldPosition="0"/>
    </format>
    <format action="formatting" dxfId="566">
      <pivotArea type="normal" dataOnly="0" labelOnly="1" outline="0" fieldPosition="0">
        <references count="1">
          <reference field="4294967294">
            <x v="0"/>
            <x v="1"/>
          </reference>
        </references>
      </pivotArea>
    </format>
    <format action="formatting" dxfId="565">
      <pivotArea field="0" type="button" dataOnly="0" labelOnly="1" outline="0" axis="axisRow" fieldPosition="0"/>
    </format>
    <format action="formatting" dxfId="564">
      <pivotArea type="normal" dataOnly="0" labelOnly="1" outline="0" fieldPosition="0">
        <references count="1">
          <reference field="4294967294">
            <x v="0"/>
            <x v="1"/>
          </reference>
        </references>
      </pivotArea>
    </format>
    <format action="formatting" dxfId="563">
      <pivotArea type="normal" dataOnly="1" outline="0" fieldPosition="0">
        <references count="1">
          <reference field="4294967294">
            <x v="2"/>
          </reference>
        </references>
      </pivotArea>
    </format>
    <format action="formatting" dxfId="562">
      <pivotArea type="normal" dataOnly="1" outline="0" fieldPosition="0">
        <references count="1">
          <reference field="4294967294">
            <x v="3"/>
          </reference>
        </references>
      </pivotArea>
    </format>
    <format action="formatting" dxfId="561">
      <pivotArea type="normal" dataOnly="0" labelOnly="1" outline="0" fieldPosition="0">
        <references count="1">
          <reference field="4294967294">
            <x v="2"/>
            <x v="3"/>
          </reference>
        </references>
      </pivotArea>
    </format>
    <format action="formatting" dxfId="560">
      <pivotArea type="normal" dataOnly="0" labelOnly="1" outline="0" fieldPosition="0">
        <references count="1">
          <reference field="4294967294">
            <x v="2"/>
            <x v="3"/>
          </reference>
        </references>
      </pivotArea>
    </format>
    <format action="formatting" dxfId="559">
      <pivotArea type="normal" dataOnly="1" outline="0" fieldPosition="0">
        <references count="1">
          <reference field="4294967294">
            <x v="4"/>
          </reference>
        </references>
      </pivotArea>
    </format>
    <format action="formatting" dxfId="558">
      <pivotArea type="normal" dataOnly="0" labelOnly="1" outline="0" fieldPosition="0">
        <references count="1">
          <reference field="4294967294">
            <x v="4"/>
          </reference>
        </references>
      </pivotArea>
    </format>
    <format action="formatting" dxfId="557">
      <pivotArea type="normal" dataOnly="0" labelOnly="1" outline="0" fieldPosition="0">
        <references count="1">
          <reference field="4294967294">
            <x v="4"/>
          </reference>
        </references>
      </pivotArea>
    </format>
    <format action="formatting" dxfId="556">
      <pivotArea type="normal" dataOnly="1" outline="0" fieldPosition="0">
        <references count="1">
          <reference field="4294967294">
            <x v="5"/>
          </reference>
        </references>
      </pivotArea>
    </format>
    <format action="formatting" dxfId="555">
      <pivotArea type="normal" dataOnly="0" labelOnly="1" outline="0" fieldPosition="0">
        <references count="1">
          <reference field="4294967294">
            <x v="5"/>
          </reference>
        </references>
      </pivotArea>
    </format>
    <format action="formatting" dxfId="554">
      <pivotArea type="normal" dataOnly="0" labelOnly="1" outline="0" fieldPosition="0">
        <references count="1">
          <reference field="4294967294">
            <x v="4"/>
            <x v="5"/>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Summary2"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rowHeaderCaption="Summary task" fieldListSortAscending="0" mdxSubqueries="0" applyNumberFormats="0" applyBorderFormats="0" applyFontFormats="0" applyPatternFormats="0" applyAlignmentFormats="0" applyWidthHeightFormats="1" r:id="rId1">
  <location ref="A30:G36" firstHeaderRow="0" firstDataRow="1" firstDataCol="3"/>
  <pivotFields count="46">
    <pivotField axis="axisRow" showDropDowns="1" compact="0" outline="0" subtotalTop="1" dragToRow="1" dragToCol="1" dragToPage="1" dragToData="1" dragOff="1" showAll="0" topAutoShow="1" itemPageCount="10" sortType="manual" defaultSubtotal="1">
      <items count="17">
        <item t="data" sd="1" m="1" x="3"/>
        <item t="data" sd="1" m="1" x="9"/>
        <item t="data" sd="1" x="0"/>
        <item t="data" sd="1" x="1"/>
        <item t="data" sd="1" x="2"/>
        <item t="data" sd="1" m="1" x="13"/>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2">
        <item t="data" sd="1" m="1" x="49"/>
        <item t="data" sd="1" m="1" x="50"/>
        <item t="data" sd="1" m="1" x="51"/>
        <item t="data" sd="1" x="0"/>
        <item t="data" sd="1" m="1" x="31"/>
        <item t="data" sd="1" m="1" x="32"/>
        <item t="data" sd="1" m="1" x="46"/>
        <item t="data" sd="1" m="1" x="47"/>
        <item t="data" sd="1" m="1" x="48"/>
        <item t="data" sd="1" m="1" x="33"/>
        <item t="data" sd="1" m="1" x="13"/>
        <item t="data" sd="1" m="1" x="39"/>
        <item t="data" sd="1" m="1" x="40"/>
        <item t="data" sd="1" m="1" x="41"/>
        <item t="data" sd="1" m="1" x="42"/>
        <item t="data" sd="1" m="1" x="43"/>
        <item t="data" sd="1" m="1" x="44"/>
        <item t="data" sd="1" m="1" x="45"/>
        <item t="data" sd="1" m="1" x="36"/>
        <item t="data" sd="1" m="1" x="37"/>
        <item t="data" sd="1" m="1" x="38"/>
        <item t="data" sd="1" m="1" x="17"/>
        <item t="data" sd="1" m="1" x="34"/>
        <item t="data" sd="1" m="1" x="19"/>
        <item t="data" sd="1" m="1" x="20"/>
        <item t="data" sd="1" m="1" x="21"/>
        <item t="data" sd="1" m="1" x="22"/>
        <item t="data" sd="1" m="1" x="23"/>
        <item t="data" sd="1" m="1" x="24"/>
        <item t="data" sd="1" m="1" x="25"/>
        <item t="data" sd="1" m="1" x="26"/>
        <item t="data" sd="1" m="1" x="27"/>
        <item t="data" sd="1" m="1" x="28"/>
        <item t="data" sd="1" m="1" x="35"/>
        <item t="data" sd="1" m="1" x="29"/>
        <item t="data" sd="1" m="1" x="30"/>
        <item t="data" sd="1" m="1" x="18"/>
        <item t="data" sd="1" m="1" x="1"/>
        <item t="data" sd="1" m="1" x="2"/>
        <item t="data" sd="1" m="1" x="3"/>
        <item t="data" sd="1" m="1" x="4"/>
        <item t="data" sd="1" m="1" x="5"/>
        <item t="data" sd="1" m="1" x="6"/>
        <item t="data" sd="1" m="1" x="7"/>
        <item t="data" sd="1" m="1" x="8"/>
        <item t="data" sd="1" m="1" x="9"/>
        <item t="data" sd="1" m="1" x="16"/>
        <item t="data" sd="1" m="1" x="11"/>
        <item t="data" sd="1" m="1" x="12"/>
        <item t="data" sd="1" m="1" x="15"/>
        <item t="data" sd="1" m="1" x="14"/>
        <item t="data" sd="1" m="1" x="10"/>
      </items>
    </pivotField>
    <pivotField axis="axisRow" showDropDowns="1" compact="0" outline="0" subtotalTop="1" dragToRow="1" dragToCol="1" dragToPage="1" dragToData="1" dragOff="1" showAll="0" topAutoShow="1" itemPageCount="10" sortType="ascending" defaultSubtotal="0">
      <items count="68">
        <item t="data" sd="1" m="1" x="16"/>
        <item t="data" sd="1" m="1" x="67"/>
        <item t="data" sd="1" m="1" x="17"/>
        <item t="data" sd="1" m="1" x="60"/>
        <item t="data" sd="1" m="1" x="50"/>
        <item t="data" sd="1" m="1" x="52"/>
        <item t="data" sd="1" m="1" x="53"/>
        <item t="data" sd="1" m="1" x="66"/>
        <item t="data" sd="1" m="1" x="18"/>
        <item t="data" sd="1" m="1" x="51"/>
        <item t="data" sd="1" m="1" x="63"/>
        <item t="data" sd="1" m="1" x="19"/>
        <item t="data" sd="1" m="1" x="65"/>
        <item t="data" sd="1" m="1" x="20"/>
        <item t="data" sd="1" m="1" x="21"/>
        <item t="data" sd="1" m="1" x="62"/>
        <item t="data" sd="1" m="1" x="14"/>
        <item t="data" sd="1" m="1" x="9"/>
        <item t="data" sd="1" m="1" x="12"/>
        <item t="data" sd="1" m="1" x="10"/>
        <item t="data" sd="1" m="1" x="15"/>
        <item t="data" sd="1" m="1" x="11"/>
        <item t="data" sd="1" m="1" x="48"/>
        <item t="data" sd="1" m="1" x="49"/>
        <item t="data" sd="1" m="1" x="13"/>
        <item t="data" sd="1" m="1" x="64"/>
        <item t="data" sd="1" m="1" x="22"/>
        <item t="data" sd="1" m="1" x="59"/>
        <item t="data" sd="1" m="1" x="30"/>
        <item t="data" sd="1" m="1" x="61"/>
        <item t="data" sd="1" m="1" x="45"/>
        <item t="data" sd="1" m="1" x="57"/>
        <item t="data" sd="1" x="3"/>
        <item t="data" sd="1" m="1" x="25"/>
        <item t="data" sd="1" m="1" x="24"/>
        <item t="data" sd="1" m="1" x="27"/>
        <item t="data" sd="1" m="1" x="29"/>
        <item t="data" sd="1" m="1" x="5"/>
        <item t="data" sd="1" x="1"/>
        <item t="data" sd="1" m="1" x="42"/>
        <item t="data" sd="1" m="1" x="31"/>
        <item t="data" sd="1" m="1" x="35"/>
        <item t="data" sd="1" x="0"/>
        <item t="data" sd="1" m="1" x="28"/>
        <item t="data" sd="1" m="1" x="40"/>
        <item t="data" sd="1" m="1" x="41"/>
        <item t="data" sd="1" m="1" x="32"/>
        <item t="data" sd="1" m="1" x="33"/>
        <item t="data" sd="1" m="1" x="36"/>
        <item t="data" sd="1" m="1" x="39"/>
        <item t="data" sd="1" m="1" x="6"/>
        <item t="data" sd="1" m="1" x="4"/>
        <item t="data" sd="1" m="1" x="58"/>
        <item t="data" sd="1" m="1" x="43"/>
        <item t="data" sd="1" m="1" x="23"/>
        <item t="data" sd="1" m="1" x="34"/>
        <item t="data" sd="1" m="1" x="37"/>
        <item t="data" sd="1" m="1" x="38"/>
        <item t="data" sd="1" m="1" x="44"/>
        <item t="data" sd="1" m="1" x="54"/>
        <item t="data" sd="1" m="1" x="55"/>
        <item t="data" sd="1" m="1" x="56"/>
        <item t="data" sd="1" m="1" x="47"/>
        <item t="data" sd="1" x="2"/>
        <item t="data" sd="1" m="1" x="26"/>
        <item t="data" sd="1" m="1" x="7"/>
        <item t="data" sd="1" m="1" x="46"/>
        <item t="data" sd="1" m="1" x="8"/>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3">
    <field x="2"/>
    <field x="3"/>
    <field x="0"/>
  </rowFields>
  <rowItems count="6">
    <i t="data" r="0" i="0">
      <x v="3"/>
      <x v="32"/>
      <x v="4"/>
    </i>
    <i t="data" r="1" i="0">
      <x v="38"/>
      <x v="2"/>
    </i>
    <i t="data" r="1" i="0">
      <x v="42"/>
      <x v="2"/>
    </i>
    <i t="data" r="1" i="0">
      <x v="63"/>
      <x v="2"/>
    </i>
    <i t="data" r="2" i="0">
      <x v="3"/>
    </i>
    <i t="grand" r="0" i="0">
      <x v="0"/>
    </i>
  </rowItems>
  <colFields count="1">
    <field x="-2"/>
  </colFields>
  <colItems count="4">
    <i t="data" r="0" i="0">
      <x v="0"/>
    </i>
    <i t="data" r="0" i="1">
      <x v="1"/>
    </i>
    <i t="data" r="0" i="2">
      <x v="2"/>
    </i>
    <i t="data" r="0" i="3">
      <x v="3"/>
    </i>
  </colItems>
  <dataFields count="4">
    <dataField name="Total effort" fld="35" subtotal="sum" showDataAs="normal" baseField="0" baseItem="2" numFmtId="165"/>
    <dataField name="Total Costs" fld="39" subtotal="sum" showDataAs="normal" baseField="2" baseItem="1" numFmtId="4"/>
    <dataField name="Total Price" fld="41" subtotal="sum" showDataAs="normal" baseField="0" baseItem="0" numFmtId="4"/>
    <dataField name="Total Margin" fld="42" subtotal="sum" showDataAs="normal" baseField="0" baseItem="6" numFmtId="4"/>
  </dataFields>
  <formats count="38">
    <format action="formatting" dxfId="553">
      <pivotArea type="normal" dataOnly="1" outline="0" collapsedLevelsAreSubtotals="1" fieldPosition="0"/>
    </format>
    <format action="formatting" dxfId="552">
      <pivotArea type="normal" dataOnly="0" labelOnly="1" outline="0" fieldPosition="0">
        <references count="1">
          <reference field="4294967294">
            <x v="0"/>
          </reference>
        </references>
      </pivotArea>
    </format>
    <format action="formatting" dxfId="551">
      <pivotArea field="3" type="button" dataOnly="0" labelOnly="1" outline="0" axis="axisRow" fieldPosition="1"/>
    </format>
    <format action="formatting" dxfId="550">
      <pivotArea field="0" type="button" dataOnly="0" labelOnly="1" outline="0" axis="axisRow" fieldPosition="2"/>
    </format>
    <format action="formatting" dxfId="549">
      <pivotArea type="normal" dataOnly="0" labelOnly="1" outline="0" fieldPosition="0">
        <references count="1">
          <reference field="4294967294">
            <x v="0"/>
          </reference>
        </references>
      </pivotArea>
    </format>
    <format action="formatting" dxfId="548">
      <pivotArea field="3" type="button" dataOnly="0" labelOnly="1" outline="0" axis="axisRow" fieldPosition="1"/>
    </format>
    <format action="formatting" dxfId="547">
      <pivotArea field="0" type="button" dataOnly="0" labelOnly="1" outline="0" axis="axisRow" fieldPosition="2"/>
    </format>
    <format action="formatting" dxfId="546">
      <pivotArea type="normal" dataOnly="0" labelOnly="1" outline="0" fieldPosition="0">
        <references count="1">
          <reference field="4294967294">
            <x v="0"/>
          </reference>
        </references>
      </pivotArea>
    </format>
    <format action="formatting" dxfId="545">
      <pivotArea field="3" type="button" dataOnly="0" labelOnly="1" outline="0" axis="axisRow" fieldPosition="1"/>
    </format>
    <format action="formatting" dxfId="544">
      <pivotArea field="0" type="button" dataOnly="0" labelOnly="1" outline="0" axis="axisRow" fieldPosition="2"/>
    </format>
    <format action="formatting" dxfId="543">
      <pivotArea type="normal" dataOnly="0" labelOnly="1" outline="0" fieldPosition="0">
        <references count="1">
          <reference field="4294967294">
            <x v="0"/>
          </reference>
        </references>
      </pivotArea>
    </format>
    <format action="formatting" dxfId="542">
      <pivotArea type="normal" dataOnly="1" outline="0" fieldPosition="0">
        <references count="1">
          <reference field="4294967294">
            <x v="1"/>
          </reference>
        </references>
      </pivotArea>
    </format>
    <format action="formatting" dxfId="541">
      <pivotArea type="normal" dataOnly="0" labelOnly="1" outline="0" fieldPosition="0">
        <references count="1">
          <reference field="4294967294">
            <x v="1"/>
          </reference>
        </references>
      </pivotArea>
    </format>
    <format action="formatting" dxfId="540">
      <pivotArea type="normal" dataOnly="0" labelOnly="1" outline="0" fieldPosition="0">
        <references count="1">
          <reference field="4294967294">
            <x v="1"/>
          </reference>
        </references>
      </pivotArea>
    </format>
    <format action="formatting" dxfId="539">
      <pivotArea type="normal" dataOnly="0" labelOnly="1" outline="0" fieldPosition="0">
        <references count="1">
          <reference field="4294967294">
            <x v="1"/>
          </reference>
        </references>
      </pivotArea>
    </format>
    <format action="formatting" dxfId="538">
      <pivotArea type="normal" dataOnly="1" outline="0" fieldPosition="0">
        <references count="1">
          <reference field="4294967294" selected="0">
            <x v="0"/>
          </reference>
        </references>
      </pivotArea>
    </format>
    <format action="formatting" dxfId="537">
      <pivotArea type="normal" dataOnly="0" labelOnly="1" outline="0" fieldPosition="0">
        <references count="1">
          <reference field="4294967294">
            <x v="0"/>
          </reference>
        </references>
      </pivotArea>
    </format>
    <format action="formatting" dxfId="536">
      <pivotArea type="all" dataOnly="0" outline="0" fieldPosition="0"/>
    </format>
    <format action="formatting" dxfId="535">
      <pivotArea type="normal" dataOnly="1" outline="0" collapsedLevelsAreSubtotals="1" fieldPosition="0"/>
    </format>
    <format action="formatting" dxfId="534">
      <pivotArea field="3" type="button" dataOnly="0" labelOnly="1" outline="0" axis="axisRow" fieldPosition="1"/>
    </format>
    <format action="formatting" dxfId="533">
      <pivotArea field="0" type="button" dataOnly="0" labelOnly="1" outline="0" axis="axisRow" fieldPosition="2"/>
    </format>
    <format action="formatting" dxfId="532">
      <pivotArea type="normal" dataOnly="0" labelOnly="1" outline="0" fieldPosition="0">
        <references count="1">
          <reference field="3"/>
        </references>
      </pivotArea>
    </format>
    <format action="formatting" dxfId="531">
      <pivotArea type="normal" dataOnly="0" labelOnly="1" grandRow="1" outline="0" fieldPosition="0"/>
    </format>
    <format action="formatting" dxfId="530">
      <pivotArea type="normal" dataOnly="0" labelOnly="1" outline="0" fieldPosition="0">
        <references count="2">
          <reference field="0">
            <x v="2"/>
            <x v="8"/>
          </reference>
          <reference field="3" selected="0">
            <x v="0"/>
          </reference>
        </references>
      </pivotArea>
    </format>
    <format action="formatting" dxfId="529">
      <pivotArea type="normal" dataOnly="0" labelOnly="1" outline="0" fieldPosition="0">
        <references count="2">
          <reference field="0">
            <x v="0"/>
            <x v="2"/>
            <x v="9"/>
          </reference>
          <reference field="3" selected="0">
            <x v="4"/>
          </reference>
        </references>
      </pivotArea>
    </format>
    <format action="formatting" dxfId="528">
      <pivotArea type="normal" dataOnly="0" labelOnly="1" outline="0" fieldPosition="0">
        <references count="2">
          <reference field="0">
            <x v="2"/>
          </reference>
          <reference field="3" selected="0">
            <x v="7"/>
          </reference>
        </references>
      </pivotArea>
    </format>
    <format action="formatting" dxfId="527">
      <pivotArea type="normal" dataOnly="0" labelOnly="1" outline="0" fieldPosition="0">
        <references count="2">
          <reference field="0">
            <x v="2"/>
          </reference>
          <reference field="3" selected="0">
            <x v="18"/>
          </reference>
        </references>
      </pivotArea>
    </format>
    <format action="formatting" dxfId="526">
      <pivotArea type="normal" dataOnly="0" labelOnly="1" outline="0" fieldPosition="0">
        <references count="2">
          <reference field="0">
            <x v="3"/>
          </reference>
          <reference field="3" selected="0">
            <x v="24"/>
          </reference>
        </references>
      </pivotArea>
    </format>
    <format action="formatting" dxfId="525">
      <pivotArea type="normal" dataOnly="0" labelOnly="1" outline="0" fieldPosition="0">
        <references count="2">
          <reference field="0">
            <x v="4"/>
          </reference>
          <reference field="3" selected="0">
            <x v="26"/>
          </reference>
        </references>
      </pivotArea>
    </format>
    <format action="formatting" dxfId="524">
      <pivotArea type="normal" dataOnly="0" labelOnly="1" outline="0" fieldPosition="0">
        <references count="2">
          <reference field="0">
            <x v="6"/>
            <x v="7"/>
            <x v="10"/>
          </reference>
          <reference field="3" selected="0">
            <x v="67"/>
          </reference>
        </references>
      </pivotArea>
    </format>
    <format action="formatting" dxfId="523">
      <pivotArea type="normal" dataOnly="0" labelOnly="1" outline="0" fieldPosition="0">
        <references count="1">
          <reference field="4294967294">
            <x v="0"/>
            <x v="1"/>
          </reference>
        </references>
      </pivotArea>
    </format>
    <format action="formatting" dxfId="522">
      <pivotArea field="2" type="button" dataOnly="0" labelOnly="1" outline="0" axis="axisRow" fieldPosition="0"/>
    </format>
    <format action="formatting" dxfId="521">
      <pivotArea field="2" type="button" dataOnly="0" labelOnly="1" outline="0" axis="axisRow" fieldPosition="0"/>
    </format>
    <format action="formatting" dxfId="520">
      <pivotArea field="2" type="button" dataOnly="0" labelOnly="1" outline="0" axis="axisRow" fieldPosition="0"/>
    </format>
    <format action="formatting" dxfId="519">
      <pivotArea field="2" type="button" dataOnly="0" labelOnly="1" outline="0" axis="axisRow" fieldPosition="0"/>
    </format>
    <format action="formatting" dxfId="518">
      <pivotArea type="normal" dataOnly="1" outline="0" fieldPosition="0">
        <references count="1">
          <reference field="4294967294">
            <x v="2"/>
          </reference>
        </references>
      </pivotArea>
    </format>
    <format action="formatting" dxfId="517">
      <pivotArea type="normal" dataOnly="1" outline="0" fieldPosition="0">
        <references count="1">
          <reference field="4294967294">
            <x v="3"/>
          </reference>
        </references>
      </pivotArea>
    </format>
    <format action="formatting" dxfId="516">
      <pivotArea type="normal" dataOnly="0" labelOnly="1" outline="0" fieldPosition="0">
        <references count="1">
          <reference field="4294967294">
            <x v="2"/>
            <x v="3"/>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Summary3"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rowHeaderCaption="Iteration" fieldListSortAscending="0" mdxSubqueries="0" applyNumberFormats="0" applyBorderFormats="0" applyFontFormats="0" applyPatternFormats="0" applyAlignmentFormats="0" applyWidthHeightFormats="1" r:id="rId1">
  <location ref="I30:L34" firstHeaderRow="1" firstDataRow="1" firstDataCol="3"/>
  <pivotFields count="46">
    <pivotField axis="axisRow" showDropDowns="1" compact="0" outline="0" subtotalTop="1" dragToRow="1" dragToCol="1" dragToPage="1" dragToData="1" dragOff="1" showAll="0" topAutoShow="1" itemPageCount="10" sortType="manual" defaultSubtotal="1">
      <items count="17">
        <item t="data" sd="1" m="1" x="3"/>
        <item t="data" sd="1" m="1" x="9"/>
        <item t="data" sd="1" x="0"/>
        <item t="data" sd="1" x="1"/>
        <item t="data" sd="1" x="2"/>
        <item t="data" sd="1" m="1" x="13"/>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23">
        <item t="data" sd="1" m="1" x="1"/>
        <item t="data" sd="1" m="1" x="2"/>
        <item t="data" sd="1" x="0"/>
        <item t="data" sd="1" m="1" x="20"/>
        <item t="data" sd="1" m="1" x="21"/>
        <item t="data" sd="1" m="1" x="22"/>
        <item t="data" sd="1" m="1" x="19"/>
        <item t="data" sd="1" m="1" x="16"/>
        <item t="data" sd="1" m="1" x="17"/>
        <item t="data" sd="1" m="1" x="18"/>
        <item t="data" sd="1" m="1" x="13"/>
        <item t="data" sd="1" m="1" x="14"/>
        <item t="data" sd="1" m="1" x="15"/>
        <item t="data" sd="1" m="1" x="9"/>
        <item t="data" sd="1" m="1" x="10"/>
        <item t="data" sd="1" m="1" x="11"/>
        <item t="data" sd="1" m="1" x="12"/>
        <item t="data" sd="1" m="1" x="8"/>
        <item t="data" sd="1" m="1" x="7"/>
        <item t="data" sd="1" m="1" x="3"/>
        <item t="data" sd="1" m="1" x="4"/>
        <item t="data" sd="1" m="1" x="6"/>
        <item t="data" sd="1" m="1" x="5"/>
      </items>
    </pivotField>
    <pivotField axis="axisRow" showDropDowns="1" compact="0" outline="0" subtotalTop="1" dragToRow="1" dragToCol="1" dragToPage="1" dragToData="1" dragOff="1" showAll="0" topAutoShow="1" itemPageCount="10" sortType="manual" defaultSubtotal="0">
      <items count="33">
        <item t="data" sd="1" m="1" x="28"/>
        <item t="data" sd="1" m="1" x="29"/>
        <item t="data" sd="1" m="1" x="30"/>
        <item t="data" sd="1" m="1" x="31"/>
        <item t="data" sd="1" m="1" x="32"/>
        <item t="data" sd="1" x="0"/>
        <item t="data" sd="1" m="1" x="26"/>
        <item t="data" sd="1" m="1" x="27"/>
        <item t="data" sd="1" m="1" x="23"/>
        <item t="data" sd="1" m="1" x="24"/>
        <item t="data" sd="1" m="1" x="25"/>
        <item t="data" sd="1" m="1" x="14"/>
        <item t="data" sd="1" m="1" x="15"/>
        <item t="data" sd="1" m="1" x="16"/>
        <item t="data" sd="1" m="1" x="17"/>
        <item t="data" sd="1" m="1" x="22"/>
        <item t="data" sd="1" m="1" x="19"/>
        <item t="data" sd="1" m="1" x="20"/>
        <item t="data" sd="1" m="1" x="21"/>
        <item t="data" sd="1" m="1" x="18"/>
        <item t="data" sd="1" m="1" x="5"/>
        <item t="data" sd="1" m="1" x="6"/>
        <item t="data" sd="1" m="1" x="7"/>
        <item t="data" sd="1" m="1" x="8"/>
        <item t="data" sd="1" m="1" x="9"/>
        <item t="data" sd="1" m="1" x="10"/>
        <item t="data" sd="1" m="1" x="11"/>
        <item t="data" sd="1" m="1" x="12"/>
        <item t="data" sd="1" m="1" x="13"/>
        <item t="data" sd="1" m="1" x="1"/>
        <item t="data" sd="1" m="1" x="2"/>
        <item t="data" sd="1" m="1" x="3"/>
        <item t="data"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3">
    <field x="7"/>
    <field x="8"/>
    <field x="0"/>
  </rowFields>
  <rowItems count="4">
    <i t="data" r="0" i="0">
      <x v="2"/>
      <x v="5"/>
      <x v="2"/>
    </i>
    <i t="data" r="2" i="0">
      <x v="3"/>
    </i>
    <i t="data" r="2" i="0">
      <x v="4"/>
    </i>
    <i t="grand" r="0" i="0">
      <x v="0"/>
    </i>
  </rowItems>
  <colItems count="1">
    <i t="data" r="0" i="0"/>
  </colItems>
  <dataFields count="1">
    <dataField name="Total effort" fld="35" subtotal="sum" showDataAs="normal" baseField="0" baseItem="2" numFmtId="165"/>
  </dataFields>
  <formats count="24">
    <format action="formatting" dxfId="515">
      <pivotArea type="normal" dataOnly="1" outline="0" collapsedLevelsAreSubtotals="1" fieldPosition="0"/>
    </format>
    <format action="formatting" dxfId="514">
      <pivotArea type="normal" dataOnly="0" labelOnly="1" outline="0" fieldPosition="0">
        <references count="1">
          <reference field="4294967294">
            <x v="0"/>
          </reference>
        </references>
      </pivotArea>
    </format>
    <format action="formatting" dxfId="513">
      <pivotArea type="normal" dataOnly="0" labelOnly="1" outline="0" fieldPosition="0">
        <references count="1">
          <reference field="4294967294">
            <x v="0"/>
          </reference>
        </references>
      </pivotArea>
    </format>
    <format action="formatting" dxfId="512">
      <pivotArea type="normal" dataOnly="0" labelOnly="1" outline="0" fieldPosition="0">
        <references count="1">
          <reference field="4294967294">
            <x v="0"/>
          </reference>
        </references>
      </pivotArea>
    </format>
    <format action="formatting" dxfId="511">
      <pivotArea type="normal" dataOnly="0" labelOnly="1" outline="0" fieldPosition="0">
        <references count="1">
          <reference field="4294967294">
            <x v="0"/>
          </reference>
        </references>
      </pivotArea>
    </format>
    <format action="formatting" dxfId="510">
      <pivotArea field="0" type="button" dataOnly="0" labelOnly="1" outline="0" axis="axisRow" fieldPosition="2"/>
    </format>
    <format action="formatting" dxfId="509">
      <pivotArea field="0" type="button" dataOnly="0" labelOnly="1" outline="0" axis="axisRow" fieldPosition="2"/>
    </format>
    <format action="formatting" dxfId="508">
      <pivotArea type="normal" dataOnly="0" labelOnly="1" outline="0" axis="axisValues" fieldPosition="0"/>
    </format>
    <format action="formatting" dxfId="507">
      <pivotArea type="normal" dataOnly="0" labelOnly="1" outline="0" axis="axisValues" fieldPosition="0"/>
    </format>
    <format action="formatting" dxfId="506">
      <pivotArea type="normal" dataOnly="0" labelOnly="1" outline="0" axis="axisValues" fieldPosition="0"/>
    </format>
    <format action="formatting" dxfId="505">
      <pivotArea type="normal" dataOnly="0" labelOnly="1" grandRow="1" outline="0" fieldPosition="0"/>
    </format>
    <format action="formatting" dxfId="504">
      <pivotArea type="all" dataOnly="0" outline="0" fieldPosition="0"/>
    </format>
    <format action="formatting" dxfId="503">
      <pivotArea type="normal" dataOnly="1" outline="0" collapsedLevelsAreSubtotals="1" fieldPosition="0"/>
    </format>
    <format action="formatting" dxfId="502">
      <pivotArea field="0" type="button" dataOnly="0" labelOnly="1" outline="0" axis="axisRow" fieldPosition="2"/>
    </format>
    <format action="formatting" dxfId="501">
      <pivotArea type="normal" dataOnly="0" labelOnly="1" grandRow="1" outline="0" fieldPosition="0"/>
    </format>
    <format action="formatting" dxfId="500">
      <pivotArea type="normal" dataOnly="0" labelOnly="1" outline="0" axis="axisValues" fieldPosition="0"/>
    </format>
    <format action="formatting" dxfId="499">
      <pivotArea field="8" type="button" dataOnly="0" labelOnly="1" outline="0" axis="axisRow" fieldPosition="1"/>
    </format>
    <format action="formatting" dxfId="498">
      <pivotArea field="7" type="button" dataOnly="0" labelOnly="1" outline="0" axis="axisRow" fieldPosition="0"/>
    </format>
    <format action="formatting" dxfId="497">
      <pivotArea field="8" type="button" dataOnly="0" labelOnly="1" outline="0" axis="axisRow" fieldPosition="1"/>
    </format>
    <format action="formatting" dxfId="496">
      <pivotArea field="7" type="button" dataOnly="0" labelOnly="1" outline="0" axis="axisRow" fieldPosition="0"/>
    </format>
    <format action="formatting" dxfId="495">
      <pivotArea field="8" type="button" dataOnly="0" labelOnly="1" outline="0" axis="axisRow" fieldPosition="1"/>
    </format>
    <format action="formatting" dxfId="494">
      <pivotArea field="7" type="button" dataOnly="0" labelOnly="1" outline="0" axis="axisRow" fieldPosition="0"/>
    </format>
    <format action="formatting" dxfId="493">
      <pivotArea field="8" type="button" dataOnly="0" labelOnly="1" outline="0" axis="axisRow" fieldPosition="1"/>
    </format>
    <format action="formatting" dxfId="492">
      <pivotArea field="7" type="button" dataOnly="0" labelOnly="1" outline="0" axis="axisRow" fieldPosition="0"/>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1" dataOnRows="0" dataCaption="Werte"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2" fieldListSortAscending="0" mdxSubqueries="0" applyNumberFormats="0" applyBorderFormats="0" applyFontFormats="0" applyPatternFormats="0" applyAlignmentFormats="0" applyWidthHeightFormats="1" r:id="rId1">
  <location ref="M4:N8" firstHeaderRow="1" firstDataRow="1" firstDataCol="1"/>
  <pivotFields count="46">
    <pivotField axis="axisRow" showDropDowns="1" compact="1" outline="1" subtotalTop="1" dragToRow="1" dragToCol="1" dragToPage="1" dragToData="1" dragOff="1" showAll="0" topAutoShow="1" itemPageCount="10" sortType="manual" defaultSubtotal="1">
      <items count="17">
        <item t="data" sd="1" m="1" x="3"/>
        <item t="data" sd="1" m="1" x="14"/>
        <item t="data" sd="1" m="1" x="6"/>
        <item t="data" sd="1" m="1" x="9"/>
        <item t="data" sd="1" m="1" x="11"/>
        <item t="data" sd="1" m="1" x="12"/>
        <item t="data" sd="1" m="1" x="10"/>
        <item t="data" sd="1" m="1" x="4"/>
        <item t="data" sd="1" x="0"/>
        <item t="data" sd="1" m="1" x="7"/>
        <item t="data" sd="1" m="1" x="15"/>
        <item t="data" sd="1" m="1" x="5"/>
        <item t="data" sd="1" x="1"/>
        <item t="data" sd="1" x="2"/>
        <item t="data" sd="1" m="1" x="13"/>
        <item t="data" sd="1" m="1" x="8"/>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6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dataField="1" showDropDowns="1" compact="1" numFmtId="4"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showDropDowns="1" compact="1" numFmtId="165" outline="1" subtotalTop="1" dragToRow="1" dragToCol="1" dragToPage="1" dragToData="1" dragOff="1" showAll="0" topAutoShow="1" itemPageCount="10" sortType="manual" defaultSubtotal="1"/>
    <pivotField showDropDowns="1" compact="1" outline="1" subtotalTop="1" dragToRow="0" dragToCol="0" dragToPage="0" dragToData="1" dragOff="1" showAll="0" topAutoShow="1" itemPageCount="10" sortType="manual" defaultSubtotal="0"/>
  </pivotFields>
  <rowFields count="1">
    <field x="0"/>
  </rowFields>
  <rowItems count="4">
    <i t="data" r="0" i="0">
      <x v="8"/>
    </i>
    <i t="data" r="0" i="0">
      <x v="12"/>
    </i>
    <i t="data" r="0" i="0">
      <x v="13"/>
    </i>
    <i t="grand" r="0" i="0">
      <x v="0"/>
    </i>
  </rowItems>
  <colItems count="1">
    <i t="data" r="0" i="0"/>
  </colItems>
  <dataFields count="1">
    <dataField name="_Price" fld="41" subtotal="sum" showDataAs="normal" baseField="0" baseItem="2" numFmtId="4"/>
  </dataFields>
  <chartFormats count="9">
    <chartFormat chart="7" format="0" series="1">
      <pivotArea type="data" dataOnly="1" outline="0" fieldPosition="0">
        <references count="1">
          <reference field="4294967294" selected="0">
            <x v="0"/>
          </reference>
        </references>
      </pivotArea>
    </chartFormat>
    <chartFormat chart="7" format="4" series="0">
      <pivotArea type="data" dataOnly="1" outline="0" fieldPosition="0">
        <references count="2">
          <reference field="4294967294" selected="0">
            <x v="0"/>
          </reference>
          <reference field="0" selected="0">
            <x v="8"/>
          </reference>
        </references>
      </pivotArea>
    </chartFormat>
    <chartFormat chart="7" format="5" series="0">
      <pivotArea type="data" dataOnly="1" outline="0" fieldPosition="0">
        <references count="2">
          <reference field="4294967294" selected="0">
            <x v="0"/>
          </reference>
          <reference field="0" selected="0">
            <x v="0"/>
          </reference>
        </references>
      </pivotArea>
    </chartFormat>
    <chartFormat chart="7" format="6" series="0">
      <pivotArea type="data" dataOnly="1" outline="0" fieldPosition="0">
        <references count="2">
          <reference field="4294967294" selected="0">
            <x v="0"/>
          </reference>
          <reference field="0" selected="0">
            <x v="2"/>
          </reference>
        </references>
      </pivotArea>
    </chartFormat>
    <chartFormat chart="7" format="7" series="0">
      <pivotArea type="data" dataOnly="1" outline="0" fieldPosition="0">
        <references count="2">
          <reference field="4294967294" selected="0">
            <x v="0"/>
          </reference>
          <reference field="0" selected="0">
            <x v="7"/>
          </reference>
        </references>
      </pivotArea>
    </chartFormat>
    <chartFormat chart="7" format="8" series="0">
      <pivotArea type="data" dataOnly="1" outline="0" fieldPosition="0">
        <references count="2">
          <reference field="4294967294" selected="0">
            <x v="0"/>
          </reference>
          <reference field="0" selected="0">
            <x v="11"/>
          </reference>
        </references>
      </pivotArea>
    </chartFormat>
    <chartFormat chart="7" format="9" series="0">
      <pivotArea type="data" dataOnly="1" outline="0" fieldPosition="0">
        <references count="2">
          <reference field="4294967294" selected="0">
            <x v="0"/>
          </reference>
          <reference field="0" selected="0">
            <x v="12"/>
          </reference>
        </references>
      </pivotArea>
    </chartFormat>
    <chartFormat chart="7" format="10" series="0">
      <pivotArea type="data" dataOnly="1" outline="0" fieldPosition="0">
        <references count="2">
          <reference field="4294967294" selected="0">
            <x v="0"/>
          </reference>
          <reference field="0" selected="0">
            <x v="13"/>
          </reference>
        </references>
      </pivotArea>
    </chartFormat>
    <chartFormat chart="7" format="11" series="0">
      <pivotArea type="data" dataOnly="1" outline="0" fieldPosition="0">
        <references count="2">
          <reference field="4294967294" selected="0">
            <x v="0"/>
          </reference>
          <reference field="0" selected="0">
            <x v="9"/>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sk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4:H30" firstHeaderRow="0" firstDataRow="1" firstDataCol="4"/>
  <pivotFields count="46">
    <pivotField axis="axisRow" showDropDowns="1" compact="0" outline="0" subtotalTop="1" dragToRow="1" dragToCol="1" dragToPage="1" dragToData="1" dragOff="1" showAll="0" topAutoShow="1" itemPageCount="10" sortType="manual" defaultSubtotal="0">
      <items count="16">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53">
        <item t="data" sd="1" m="1" x="46"/>
        <item t="data" sd="1" m="1" x="49"/>
        <item t="data" sd="1" m="1" x="50"/>
        <item t="data" sd="1" m="1" x="51"/>
        <item t="data" sd="1" m="1" x="31"/>
        <item t="data" sd="1" m="1" x="32"/>
        <item t="data" sd="1" x="0"/>
        <item t="data" sd="1" m="1" x="47"/>
        <item t="data" sd="1" m="1" x="48"/>
        <item t="data" sd="1" m="1" x="33"/>
        <item t="data" sd="1" m="1" x="13"/>
        <item t="data" sd="1" m="1" x="39"/>
        <item t="data" sd="1" m="1" x="40"/>
        <item t="data" sd="1" m="1" x="41"/>
        <item t="data" sd="1" m="1" x="42"/>
        <item t="data" sd="1" m="1" x="43"/>
        <item t="data" sd="1" m="1" x="44"/>
        <item t="data" sd="1" m="1" x="45"/>
        <item t="data" sd="1" m="1" x="36"/>
        <item t="data" sd="1" m="1" x="37"/>
        <item t="data" sd="1" m="1" x="38"/>
        <item t="data" sd="1" m="1" x="17"/>
        <item t="data" sd="1" m="1" x="34"/>
        <item t="data" sd="1" m="1" x="19"/>
        <item t="data" sd="1" m="1" x="20"/>
        <item t="data" sd="1" m="1" x="21"/>
        <item t="data" sd="1" m="1" x="22"/>
        <item t="data" sd="1" m="1" x="23"/>
        <item t="data" sd="1" m="1" x="24"/>
        <item t="data" sd="1" m="1" x="25"/>
        <item t="data" sd="1" m="1" x="26"/>
        <item t="data" sd="1" m="1" x="27"/>
        <item t="data" sd="1" m="1" x="28"/>
        <item t="data" sd="1" m="1" x="35"/>
        <item t="data" sd="1" m="1" x="29"/>
        <item t="data" sd="1" m="1" x="30"/>
        <item t="data" sd="1" m="1" x="18"/>
        <item t="data" sd="1" m="1" x="1"/>
        <item t="data" sd="1" m="1" x="2"/>
        <item t="data" sd="1" m="1" x="3"/>
        <item t="data" sd="1" m="1" x="4"/>
        <item t="data" sd="1" m="1" x="5"/>
        <item t="data" sd="1" m="1" x="6"/>
        <item t="data" sd="1" m="1" x="7"/>
        <item t="data" sd="1" m="1" x="8"/>
        <item t="data" sd="1" m="1" x="9"/>
        <item t="data" sd="1" m="1" x="16"/>
        <item t="data" sd="1" m="1" x="11"/>
        <item t="data" sd="1" m="1" x="12"/>
        <item t="data" sd="1" m="1" x="15"/>
        <item t="data" sd="1" m="1" x="14"/>
        <item t="data" sd="1" m="1" x="10"/>
        <item t="default" sd="1"/>
      </items>
    </pivotField>
    <pivotField axis="axisRow" showDropDowns="1" compact="0" outline="0" subtotalTop="1" dragToRow="1" dragToCol="1" dragToPage="1" dragToData="1" dragOff="1" showAll="0" topAutoShow="1" itemPageCount="10" sortType="manual" defaultSubtotal="0">
      <items count="68">
        <item t="data" sd="1" m="1" x="16"/>
        <item t="data" sd="1" m="1" x="67"/>
        <item t="data" sd="1" m="1" x="60"/>
        <item t="data" sd="1" m="1" x="50"/>
        <item t="data" sd="1" m="1" x="66"/>
        <item t="data" sd="1" m="1" x="63"/>
        <item t="data" sd="1" m="1" x="65"/>
        <item t="data" sd="1" m="1" x="62"/>
        <item t="data" sd="1" m="1" x="12"/>
        <item t="data" sd="1" m="1" x="13"/>
        <item t="data" sd="1" m="1" x="64"/>
        <item t="data" sd="1" m="1" x="22"/>
        <item t="data" sd="1" m="1" x="59"/>
        <item t="data" sd="1" m="1" x="61"/>
        <item t="data" sd="1" x="3"/>
        <item t="data" sd="1" x="1"/>
        <item t="data" sd="1" m="1" x="42"/>
        <item t="data" sd="1" m="1" x="44"/>
        <item t="data" sd="1" x="2"/>
        <item t="data" sd="1" m="1" x="46"/>
        <item t="data" sd="1" m="1" x="8"/>
        <item t="data" sd="1" m="1" x="9"/>
        <item t="data" sd="1" m="1" x="10"/>
        <item t="data" sd="1" m="1" x="11"/>
        <item t="data" sd="1" m="1" x="57"/>
        <item t="data" sd="1" m="1" x="54"/>
        <item t="data" sd="1" m="1" x="55"/>
        <item t="data" sd="1" m="1" x="56"/>
        <item t="data" sd="1" m="1" x="58"/>
        <item t="data" sd="1" m="1" x="51"/>
        <item t="data" sd="1" m="1" x="52"/>
        <item t="data" sd="1" m="1" x="53"/>
        <item t="data" sd="1" m="1" x="48"/>
        <item t="data" sd="1" m="1" x="49"/>
        <item t="data" sd="1" m="1" x="32"/>
        <item t="data" sd="1" m="1" x="33"/>
        <item t="data" sd="1" m="1" x="43"/>
        <item t="data" sd="1" m="1" x="36"/>
        <item t="data" sd="1" m="1" x="38"/>
        <item t="data" sd="1" m="1" x="47"/>
        <item t="data" sd="1" m="1" x="45"/>
        <item t="data" sd="1" m="1" x="31"/>
        <item t="data" sd="1" m="1" x="34"/>
        <item t="data" sd="1" m="1" x="35"/>
        <item t="data" sd="1" m="1" x="37"/>
        <item t="data" sd="1" m="1" x="39"/>
        <item t="data" sd="1" m="1" x="40"/>
        <item t="data" sd="1" m="1" x="41"/>
        <item t="data" sd="1" m="1" x="23"/>
        <item t="data" sd="1" m="1" x="24"/>
        <item t="data" sd="1" m="1" x="25"/>
        <item t="data" sd="1" m="1" x="26"/>
        <item t="data" sd="1" m="1" x="27"/>
        <item t="data" sd="1" m="1" x="28"/>
        <item t="data" sd="1" m="1" x="29"/>
        <item t="data" sd="1" m="1" x="4"/>
        <item t="data" sd="1" m="1" x="5"/>
        <item t="data" sd="1" m="1" x="6"/>
        <item t="data" sd="1" m="1" x="7"/>
        <item t="data" sd="1" m="1" x="30"/>
        <item t="data" sd="1" m="1" x="17"/>
        <item t="data" sd="1" m="1" x="18"/>
        <item t="data" sd="1" m="1" x="19"/>
        <item t="data" sd="1" m="1" x="20"/>
        <item t="data" sd="1" m="1" x="21"/>
        <item t="data" sd="1" m="1" x="14"/>
        <item t="data" sd="1" m="1" x="15"/>
        <item t="data" sd="1" x="0"/>
      </items>
    </pivotField>
    <pivotField axis="axisRow" showDropDowns="1" compact="0" outline="0" subtotalTop="1" dragToRow="1" dragToCol="1" dragToPage="1" dragToData="1" dragOff="1" showAll="0" topAutoShow="1" itemPageCount="10" sortType="manual" defaultSubtotal="0">
      <items count="426">
        <item t="data" sd="1" m="1" x="94"/>
        <item t="data" sd="1" m="1" x="416"/>
        <item t="data" sd="1" m="1" x="415"/>
        <item t="data" sd="1" m="1" x="101"/>
        <item t="data" sd="1" m="1" x="423"/>
        <item t="data" sd="1" x="19"/>
        <item t="data" sd="1" x="13"/>
        <item t="data" sd="1" x="23"/>
        <item t="data" sd="1" x="9"/>
        <item t="data" sd="1" m="1" x="413"/>
        <item t="data" sd="1" m="1" x="112"/>
        <item t="data" sd="1" m="1" x="45"/>
        <item t="data" sd="1" m="1" x="111"/>
        <item t="data" sd="1" m="1" x="104"/>
        <item t="data" sd="1" x="0"/>
        <item t="data" sd="1" m="1" x="412"/>
        <item t="data" sd="1" m="1" x="122"/>
        <item t="data" sd="1" x="22"/>
        <item t="data" sd="1" m="1" x="26"/>
        <item t="data" sd="1" m="1" x="103"/>
        <item t="data" sd="1" m="1" x="424"/>
        <item t="data" sd="1" m="1" x="425"/>
        <item t="data" sd="1" m="1" x="414"/>
        <item t="data" sd="1" m="1" x="152"/>
        <item t="data" sd="1" m="1" x="153"/>
        <item t="data" sd="1" m="1" x="410"/>
        <item t="data" sd="1" m="1" x="422"/>
        <item t="data" sd="1" m="1" x="421"/>
        <item t="data" sd="1" m="1" x="418"/>
        <item t="data" sd="1" m="1" x="419"/>
        <item t="data" sd="1" m="1" x="420"/>
        <item t="data" sd="1" m="1" x="123"/>
        <item t="data" sd="1" m="1" x="417"/>
        <item t="data" sd="1" m="1" x="50"/>
        <item t="data" sd="1" m="1" x="52"/>
        <item t="data" sd="1" m="1" x="411"/>
        <item t="data" sd="1" m="1" x="391"/>
        <item t="data" sd="1" m="1" x="392"/>
        <item t="data" sd="1" x="3"/>
        <item t="data" sd="1" m="1" x="393"/>
        <item t="data" sd="1" m="1" x="128"/>
        <item t="data" sd="1" m="1" x="129"/>
        <item t="data" sd="1" m="1" x="394"/>
        <item t="data" sd="1" x="6"/>
        <item t="data" sd="1" m="1" x="363"/>
        <item t="data" sd="1" m="1" x="395"/>
        <item t="data" sd="1" m="1" x="396"/>
        <item t="data" sd="1" x="11"/>
        <item t="data" sd="1" m="1" x="397"/>
        <item t="data" sd="1" m="1" x="398"/>
        <item t="data" sd="1" m="1" x="108"/>
        <item t="data" sd="1" m="1" x="399"/>
        <item t="data" sd="1" x="16"/>
        <item t="data" sd="1" x="17"/>
        <item t="data" sd="1" m="1" x="400"/>
        <item t="data" sd="1" m="1" x="361"/>
        <item t="data" sd="1" m="1" x="109"/>
        <item t="data" sd="1" m="1" x="402"/>
        <item t="data" sd="1" x="1"/>
        <item t="data" sd="1" x="2"/>
        <item t="data" sd="1" x="4"/>
        <item t="data" sd="1" m="1" x="93"/>
        <item t="data" sd="1" m="1" x="77"/>
        <item t="data" sd="1" m="1" x="408"/>
        <item t="data" sd="1" m="1" x="161"/>
        <item t="data" sd="1" m="1" x="166"/>
        <item t="data" sd="1" m="1" x="409"/>
        <item t="data" sd="1" x="21"/>
        <item t="data" sd="1" m="1" x="362"/>
        <item t="data" sd="1" m="1" x="364"/>
        <item t="data" sd="1" m="1" x="365"/>
        <item t="data" sd="1" m="1" x="407"/>
        <item t="data" sd="1" m="1" x="366"/>
        <item t="data" sd="1" m="1" x="406"/>
        <item t="data" sd="1" m="1" x="404"/>
        <item t="data" sd="1" m="1" x="405"/>
        <item t="data" sd="1" m="1" x="403"/>
        <item t="data" sd="1" m="1" x="79"/>
        <item t="data" sd="1" x="18"/>
        <item t="data" sd="1" m="1" x="390"/>
        <item t="data" sd="1" m="1" x="401"/>
        <item t="data" sd="1" m="1" x="382"/>
        <item t="data" sd="1" m="1" x="383"/>
        <item t="data" sd="1" m="1" x="168"/>
        <item t="data" sd="1" m="1" x="169"/>
        <item t="data" sd="1" m="1" x="171"/>
        <item t="data" sd="1" m="1" x="172"/>
        <item t="data" sd="1" m="1" x="384"/>
        <item t="data" sd="1" m="1" x="385"/>
        <item t="data" sd="1" m="1" x="386"/>
        <item t="data" sd="1" m="1" x="387"/>
        <item t="data" sd="1" m="1" x="177"/>
        <item t="data" sd="1" m="1" x="178"/>
        <item t="data" sd="1" m="1" x="180"/>
        <item t="data" sd="1" m="1" x="181"/>
        <item t="data" sd="1" m="1" x="388"/>
        <item t="data" sd="1" m="1" x="378"/>
        <item t="data" sd="1" m="1" x="389"/>
        <item t="data" sd="1" m="1" x="380"/>
        <item t="data" sd="1" m="1" x="381"/>
        <item t="data" sd="1" m="1" x="371"/>
        <item t="data" sd="1" m="1" x="372"/>
        <item t="data" sd="1" m="1" x="373"/>
        <item t="data" sd="1" m="1" x="374"/>
        <item t="data" sd="1" m="1" x="375"/>
        <item t="data" sd="1" m="1" x="376"/>
        <item t="data" sd="1" m="1" x="377"/>
        <item t="data" sd="1" m="1" x="379"/>
        <item t="data" sd="1" m="1" x="167"/>
        <item t="data" sd="1" m="1" x="170"/>
        <item t="data" sd="1" m="1" x="174"/>
        <item t="data" sd="1" m="1" x="370"/>
        <item t="data" sd="1" m="1" x="176"/>
        <item t="data" sd="1" m="1" x="179"/>
        <item t="data" sd="1" m="1" x="184"/>
        <item t="data" sd="1" m="1" x="185"/>
        <item t="data" sd="1" m="1" x="186"/>
        <item t="data" sd="1" m="1" x="187"/>
        <item t="data" sd="1" m="1" x="188"/>
        <item t="data" sd="1" m="1" x="189"/>
        <item t="data" sd="1" m="1" x="190"/>
        <item t="data" sd="1" m="1" x="191"/>
        <item t="data" sd="1" m="1" x="192"/>
        <item t="data" sd="1" m="1" x="193"/>
        <item t="data" sd="1" m="1" x="194"/>
        <item t="data" sd="1" m="1" x="195"/>
        <item t="data" sd="1" m="1" x="196"/>
        <item t="data" sd="1" m="1" x="197"/>
        <item t="data" sd="1" m="1" x="198"/>
        <item t="data" sd="1" m="1" x="368"/>
        <item t="data" sd="1" m="1" x="369"/>
        <item t="data" sd="1" m="1" x="175"/>
        <item t="data" sd="1" m="1" x="199"/>
        <item t="data" sd="1" m="1" x="202"/>
        <item t="data" sd="1" m="1" x="203"/>
        <item t="data" sd="1" m="1" x="204"/>
        <item t="data" sd="1" m="1" x="205"/>
        <item t="data" sd="1" m="1" x="206"/>
        <item t="data" sd="1" m="1" x="207"/>
        <item t="data" sd="1" m="1" x="208"/>
        <item t="data" sd="1" m="1" x="209"/>
        <item t="data" sd="1" m="1" x="210"/>
        <item t="data" sd="1" m="1" x="211"/>
        <item t="data" sd="1" m="1" x="212"/>
        <item t="data" sd="1" m="1" x="213"/>
        <item t="data" sd="1" m="1" x="214"/>
        <item t="data" sd="1" m="1" x="215"/>
        <item t="data" sd="1" m="1" x="216"/>
        <item t="data" sd="1" m="1" x="173"/>
        <item t="data" sd="1" m="1" x="200"/>
        <item t="data" sd="1" m="1" x="201"/>
        <item t="data" sd="1" m="1" x="217"/>
        <item t="data" sd="1" m="1" x="218"/>
        <item t="data" sd="1" m="1" x="219"/>
        <item t="data" sd="1" m="1" x="220"/>
        <item t="data" sd="1" m="1" x="221"/>
        <item t="data" sd="1" m="1" x="222"/>
        <item t="data" sd="1" m="1" x="223"/>
        <item t="data" sd="1" m="1" x="224"/>
        <item t="data" sd="1" m="1" x="225"/>
        <item t="data" sd="1" m="1" x="226"/>
        <item t="data" sd="1" m="1" x="227"/>
        <item t="data" sd="1" m="1" x="228"/>
        <item t="data" sd="1" m="1" x="229"/>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2"/>
        <item t="data" sd="1" m="1" x="243"/>
        <item t="data" sd="1" m="1" x="244"/>
        <item t="data" sd="1" m="1" x="245"/>
        <item t="data" sd="1" m="1" x="246"/>
        <item t="data" sd="1" m="1" x="247"/>
        <item t="data" sd="1" m="1" x="248"/>
        <item t="data" sd="1" m="1" x="249"/>
        <item t="data" sd="1" m="1" x="250"/>
        <item t="data" sd="1" m="1" x="251"/>
        <item t="data" sd="1" m="1" x="252"/>
        <item t="data" sd="1" m="1" x="253"/>
        <item t="data" sd="1" m="1" x="254"/>
        <item t="data" sd="1" m="1" x="255"/>
        <item t="data" sd="1" m="1" x="256"/>
        <item t="data" sd="1" m="1" x="257"/>
        <item t="data" sd="1" m="1" x="258"/>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73"/>
        <item t="data" sd="1" m="1" x="274"/>
        <item t="data" sd="1" m="1" x="275"/>
        <item t="data" sd="1" m="1" x="276"/>
        <item t="data" sd="1" m="1" x="277"/>
        <item t="data" sd="1" m="1" x="278"/>
        <item t="data" sd="1" m="1" x="279"/>
        <item t="data" sd="1" m="1" x="280"/>
        <item t="data" sd="1" m="1" x="281"/>
        <item t="data" sd="1" m="1" x="282"/>
        <item t="data" sd="1" m="1" x="283"/>
        <item t="data" sd="1" m="1" x="284"/>
        <item t="data" sd="1" m="1" x="285"/>
        <item t="data" sd="1" m="1" x="286"/>
        <item t="data" sd="1" m="1" x="287"/>
        <item t="data" sd="1" m="1" x="288"/>
        <item t="data" sd="1" m="1" x="289"/>
        <item t="data" sd="1" m="1" x="290"/>
        <item t="data" sd="1" m="1" x="291"/>
        <item t="data" sd="1" m="1" x="292"/>
        <item t="data" sd="1" m="1" x="293"/>
        <item t="data" sd="1" m="1" x="294"/>
        <item t="data" sd="1" m="1" x="295"/>
        <item t="data" sd="1" m="1" x="296"/>
        <item t="data" sd="1" m="1" x="297"/>
        <item t="data" sd="1" m="1" x="298"/>
        <item t="data" sd="1" m="1" x="299"/>
        <item t="data" sd="1" m="1" x="300"/>
        <item t="data" sd="1" m="1" x="301"/>
        <item t="data" sd="1" m="1" x="302"/>
        <item t="data" sd="1" m="1" x="303"/>
        <item t="data" sd="1" m="1" x="304"/>
        <item t="data" sd="1" m="1" x="305"/>
        <item t="data" sd="1" m="1" x="306"/>
        <item t="data" sd="1" m="1" x="307"/>
        <item t="data" sd="1" m="1" x="308"/>
        <item t="data" sd="1" m="1" x="309"/>
        <item t="data" sd="1" m="1" x="310"/>
        <item t="data" sd="1" m="1" x="311"/>
        <item t="data" sd="1" m="1" x="312"/>
        <item t="data" sd="1" m="1" x="313"/>
        <item t="data" sd="1" m="1" x="314"/>
        <item t="data" sd="1" m="1" x="315"/>
        <item t="data" sd="1" m="1" x="316"/>
        <item t="data" sd="1" m="1" x="317"/>
        <item t="data" sd="1" m="1" x="318"/>
        <item t="data" sd="1" m="1" x="319"/>
        <item t="data" sd="1" m="1" x="320"/>
        <item t="data" sd="1" m="1" x="321"/>
        <item t="data" sd="1" m="1" x="322"/>
        <item t="data" sd="1" m="1" x="323"/>
        <item t="data" sd="1" m="1" x="324"/>
        <item t="data" sd="1" m="1" x="325"/>
        <item t="data" sd="1" m="1" x="326"/>
        <item t="data" sd="1" m="1" x="327"/>
        <item t="data" sd="1" m="1" x="328"/>
        <item t="data" sd="1" m="1" x="329"/>
        <item t="data" sd="1" m="1" x="330"/>
        <item t="data" sd="1" m="1" x="331"/>
        <item t="data" sd="1" m="1" x="332"/>
        <item t="data" sd="1" m="1" x="333"/>
        <item t="data" sd="1" m="1" x="334"/>
        <item t="data" sd="1" m="1" x="367"/>
        <item t="data" sd="1" m="1" x="335"/>
        <item t="data" sd="1" m="1" x="336"/>
        <item t="data" sd="1" m="1" x="337"/>
        <item t="data" sd="1" m="1" x="338"/>
        <item t="data" sd="1" m="1" x="339"/>
        <item t="data" sd="1" m="1" x="340"/>
        <item t="data" sd="1" m="1" x="341"/>
        <item t="data" sd="1" m="1" x="342"/>
        <item t="data" sd="1" m="1" x="343"/>
        <item t="data" sd="1" m="1" x="344"/>
        <item t="data" sd="1" m="1" x="345"/>
        <item t="data" sd="1" m="1" x="346"/>
        <item t="data" sd="1" m="1" x="347"/>
        <item t="data" sd="1" m="1" x="348"/>
        <item t="data" sd="1" m="1" x="349"/>
        <item t="data" sd="1" m="1" x="350"/>
        <item t="data" sd="1" m="1" x="351"/>
        <item t="data" sd="1" m="1" x="352"/>
        <item t="data" sd="1" m="1" x="353"/>
        <item t="data" sd="1" m="1" x="354"/>
        <item t="data" sd="1" m="1" x="182"/>
        <item t="data" sd="1" m="1" x="183"/>
        <item t="data" sd="1" m="1" x="24"/>
        <item t="data" sd="1" m="1" x="25"/>
        <item t="data" sd="1" m="1" x="27"/>
        <item t="data" sd="1" m="1" x="28"/>
        <item t="data" sd="1" m="1" x="97"/>
        <item t="data" sd="1" m="1" x="98"/>
        <item t="data" sd="1" m="1" x="31"/>
        <item t="data" sd="1" m="1" x="99"/>
        <item t="data" sd="1" m="1" x="355"/>
        <item t="data" sd="1" m="1" x="356"/>
        <item t="data" sd="1" m="1" x="357"/>
        <item t="data" sd="1" m="1" x="131"/>
        <item t="data" sd="1" m="1" x="358"/>
        <item t="data" sd="1" m="1" x="102"/>
        <item t="data" sd="1" m="1" x="359"/>
        <item t="data" sd="1" m="1" x="360"/>
        <item t="data" sd="1" m="1" x="46"/>
        <item t="data" sd="1" m="1" x="47"/>
        <item t="data" sd="1" m="1" x="48"/>
        <item t="data" sd="1" m="1" x="49"/>
        <item t="data" sd="1" m="1" x="33"/>
        <item t="data" sd="1" m="1" x="34"/>
        <item t="data" sd="1" m="1" x="36"/>
        <item t="data" sd="1" m="1" x="51"/>
        <item t="data" sd="1" m="1" x="100"/>
        <item t="data" sd="1" m="1" x="132"/>
        <item t="data" sd="1" m="1" x="133"/>
        <item t="data" sd="1" m="1" x="134"/>
        <item t="data" sd="1" m="1" x="135"/>
        <item t="data" sd="1" m="1" x="136"/>
        <item t="data" sd="1" m="1" x="137"/>
        <item t="data" sd="1" m="1" x="138"/>
        <item t="data" sd="1" m="1" x="139"/>
        <item t="data" sd="1" m="1" x="140"/>
        <item t="data" sd="1" m="1" x="141"/>
        <item t="data" sd="1" m="1" x="142"/>
        <item t="data" sd="1" m="1" x="143"/>
        <item t="data" sd="1" m="1" x="144"/>
        <item t="data" sd="1" m="1" x="145"/>
        <item t="data" sd="1" m="1" x="146"/>
        <item t="data" sd="1" m="1" x="147"/>
        <item t="data" sd="1" m="1" x="148"/>
        <item t="data" sd="1" m="1" x="149"/>
        <item t="data" sd="1" m="1" x="150"/>
        <item t="data" sd="1" m="1" x="151"/>
        <item t="data" sd="1" m="1" x="154"/>
        <item t="data" sd="1" m="1" x="155"/>
        <item t="data" sd="1" x="14"/>
        <item t="data" sd="1" m="1" x="156"/>
        <item t="data" sd="1" m="1" x="157"/>
        <item t="data" sd="1" m="1" x="158"/>
        <item t="data" sd="1" m="1" x="159"/>
        <item t="data" sd="1" m="1" x="160"/>
        <item t="data" sd="1" m="1" x="162"/>
        <item t="data" sd="1" m="1" x="163"/>
        <item t="data" sd="1" m="1" x="164"/>
        <item t="data" sd="1" m="1" x="165"/>
        <item t="data" sd="1" m="1" x="124"/>
        <item t="data" sd="1" m="1" x="125"/>
        <item t="data" sd="1" m="1" x="126"/>
        <item t="data" sd="1" m="1" x="127"/>
        <item t="data" sd="1" m="1" x="130"/>
        <item t="data" sd="1" m="1" x="113"/>
        <item t="data" sd="1" m="1" x="114"/>
        <item t="data" sd="1" m="1" x="115"/>
        <item t="data" sd="1" m="1" x="116"/>
        <item t="data" sd="1" m="1" x="117"/>
        <item t="data" sd="1" m="1" x="118"/>
        <item t="data" sd="1" m="1" x="119"/>
        <item t="data" sd="1" m="1" x="120"/>
        <item t="data" sd="1" m="1" x="121"/>
        <item t="data" sd="1" m="1" x="105"/>
        <item t="data" sd="1" m="1" x="106"/>
        <item t="data" sd="1" m="1" x="107"/>
        <item t="data" sd="1" m="1" x="110"/>
        <item t="data" sd="1" m="1" x="95"/>
        <item t="data" sd="1" x="7"/>
        <item t="data" sd="1" x="8"/>
        <item t="data" sd="1" x="10"/>
        <item t="data" sd="1" x="12"/>
        <item t="data" sd="1" m="1" x="96"/>
        <item t="data" sd="1" x="15"/>
        <item t="data" sd="1" x="20"/>
        <item t="data" sd="1" x="5"/>
        <item t="data" sd="1" m="1" x="92"/>
        <item t="data" sd="1" m="1" x="90"/>
        <item t="data" sd="1" m="1" x="91"/>
        <item t="data" sd="1" m="1" x="58"/>
        <item t="data" sd="1" m="1" x="59"/>
        <item t="data" sd="1" m="1" x="89"/>
        <item t="data" sd="1" m="1" x="71"/>
        <item t="data" sd="1" m="1" x="73"/>
        <item t="data" sd="1" m="1" x="74"/>
        <item t="data" sd="1" m="1" x="53"/>
        <item t="data" sd="1" m="1" x="57"/>
        <item t="data" sd="1" m="1" x="69"/>
        <item t="data" sd="1" m="1" x="60"/>
        <item t="data" sd="1" m="1" x="80"/>
        <item t="data" sd="1" m="1" x="81"/>
        <item t="data" sd="1" m="1" x="82"/>
        <item t="data" sd="1" m="1" x="83"/>
        <item t="data" sd="1" m="1" x="84"/>
        <item t="data" sd="1" m="1" x="85"/>
        <item t="data" sd="1" m="1" x="86"/>
        <item t="data" sd="1" m="1" x="87"/>
        <item t="data" sd="1" m="1" x="88"/>
        <item t="data" sd="1" m="1" x="54"/>
        <item t="data" sd="1" m="1" x="55"/>
        <item t="data" sd="1" m="1" x="56"/>
        <item t="data" sd="1" m="1" x="61"/>
        <item t="data" sd="1" m="1" x="62"/>
        <item t="data" sd="1" m="1" x="63"/>
        <item t="data" sd="1" m="1" x="64"/>
        <item t="data" sd="1" m="1" x="65"/>
        <item t="data" sd="1" m="1" x="66"/>
        <item t="data" sd="1" m="1" x="67"/>
        <item t="data" sd="1" m="1" x="68"/>
        <item t="data" sd="1" m="1" x="70"/>
        <item t="data" sd="1" m="1" x="72"/>
        <item t="data" sd="1" m="1" x="75"/>
        <item t="data" sd="1" m="1" x="76"/>
        <item t="data" sd="1" m="1" x="78"/>
        <item t="data" sd="1" m="1" x="29"/>
        <item t="data" sd="1" m="1" x="30"/>
        <item t="data" sd="1" m="1" x="32"/>
        <item t="data" sd="1" m="1" x="35"/>
        <item t="data" sd="1" m="1" x="37"/>
        <item t="data" sd="1" m="1" x="38"/>
        <item t="data" sd="1" m="1" x="39"/>
        <item t="data" sd="1" m="1" x="40"/>
        <item t="data" sd="1" m="1" x="41"/>
        <item t="data" sd="1" m="1" x="42"/>
        <item t="data" sd="1" m="1" x="43"/>
        <item t="data" sd="1" m="1" x="4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sum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4">
    <field x="2"/>
    <field x="3"/>
    <field x="4"/>
    <field x="0"/>
  </rowFields>
  <rowItems count="26">
    <i t="data" r="0" i="0">
      <x v="6"/>
      <x v="14"/>
      <x v="7"/>
      <x v="5"/>
    </i>
    <i t="data" r="1" i="0">
      <x v="15"/>
      <x v="6"/>
      <x v="1"/>
    </i>
    <i t="data" r="2" i="0">
      <x v="8"/>
      <x v="1"/>
    </i>
    <i t="data" r="2" i="0">
      <x v="43"/>
      <x v="1"/>
    </i>
    <i t="data" r="2" i="0">
      <x v="47"/>
      <x v="1"/>
    </i>
    <i t="data" r="2" i="0">
      <x v="339"/>
      <x v="1"/>
    </i>
    <i t="data" r="2" i="0">
      <x v="368"/>
      <x v="1"/>
    </i>
    <i t="data" r="2" i="0">
      <x v="369"/>
      <x v="1"/>
    </i>
    <i t="data" r="2" i="0">
      <x v="370"/>
      <x v="1"/>
    </i>
    <i t="data" r="2" i="0">
      <x v="371"/>
      <x v="1"/>
    </i>
    <i t="data" r="2" i="0">
      <x v="373"/>
      <x v="1"/>
    </i>
    <i t="data" r="2" i="0">
      <x v="375"/>
      <x v="1"/>
    </i>
    <i t="data" r="1" i="0">
      <x v="18"/>
      <x v="5"/>
      <x v="1"/>
    </i>
    <i t="data" r="2" i="0">
      <x v="17"/>
      <x v="4"/>
    </i>
    <i t="data" r="2" i="0">
      <x v="52"/>
      <x v="1"/>
    </i>
    <i t="data" r="2" i="0">
      <x v="53"/>
      <x v="1"/>
    </i>
    <i t="data" r="2" i="0">
      <x v="67"/>
      <x v="1"/>
    </i>
    <i t="data" r="2" i="0">
      <x v="78"/>
      <x v="1"/>
    </i>
    <i t="data" r="2" i="0">
      <x v="374"/>
      <x v="1"/>
    </i>
    <i t="data" r="1" i="0">
      <x v="67"/>
      <x v="14"/>
      <x v="1"/>
    </i>
    <i t="data" r="2" i="0">
      <x v="38"/>
      <x v="1"/>
    </i>
    <i t="data" r="2" i="0">
      <x v="58"/>
      <x v="1"/>
    </i>
    <i t="data" r="2" i="0">
      <x v="59"/>
      <x v="1"/>
    </i>
    <i t="data" r="2" i="0">
      <x v="60"/>
      <x v="1"/>
    </i>
    <i t="default" r="0" i="0">
      <x v="6"/>
    </i>
    <i t="grand" r="0" i="0">
      <x v="0"/>
    </i>
  </rowItems>
  <colFields count="1">
    <field x="-2"/>
  </colFields>
  <colItems count="4">
    <i t="data" r="0" i="0">
      <x v="0"/>
    </i>
    <i t="data" r="0" i="1">
      <x v="1"/>
    </i>
    <i t="data" r="0" i="2">
      <x v="2"/>
    </i>
    <i t="data" r="0" i="3">
      <x v="3"/>
    </i>
  </colItems>
  <dataFields count="4">
    <dataField name="_Effort" fld="35" subtotal="sum" showDataAs="normal" baseField="2" baseItem="11" numFmtId="165"/>
    <dataField name="_Costs" fld="39" subtotal="sum" showDataAs="normal" baseField="0" baseItem="0" numFmtId="4"/>
    <dataField name="_Price" fld="41" subtotal="sum" showDataAs="normal" baseField="0" baseItem="0" numFmtId="4"/>
    <dataField name="_Margin" fld="42" subtotal="sum" showDataAs="normal" baseField="0" baseItem="0" numFmtId="4"/>
  </dataFields>
  <formats count="11">
    <format action="formatting" dxfId="393">
      <pivotArea type="normal" dataOnly="1" outline="0" collapsedLevelsAreSubtotals="1" fieldPosition="0"/>
    </format>
    <format action="formatting" dxfId="392">
      <pivotArea type="normal" dataOnly="0" labelOnly="1" outline="0" fieldPosition="0">
        <references count="1">
          <reference field="4294967294">
            <x v="0"/>
          </reference>
        </references>
      </pivotArea>
    </format>
    <format action="formatting" dxfId="391">
      <pivotArea type="normal" dataOnly="0" labelOnly="1" grandRow="1" outline="0" fieldPosition="0"/>
    </format>
    <format action="formatting" dxfId="390">
      <pivotArea field="0" type="button" dataOnly="0" labelOnly="1" outline="0" axis="axisRow" fieldPosition="3"/>
    </format>
    <format action="formatting" dxfId="389">
      <pivotArea type="normal" dataOnly="0" labelOnly="1" outline="0" fieldPosition="0">
        <references count="1">
          <reference field="4294967294">
            <x v="0"/>
          </reference>
        </references>
      </pivotArea>
    </format>
    <format action="formatting" dxfId="388">
      <pivotArea field="10" type="button" dataOnly="0" labelOnly="1" outline="0"/>
    </format>
    <format action="formatting" dxfId="387">
      <pivotArea type="normal" dataOnly="0" labelOnly="1" outline="0" axis="axisValues" fieldPosition="0"/>
    </format>
    <format action="formatting" dxfId="386">
      <pivotArea type="normal" dataOnly="1" outline="0" fieldPosition="0">
        <references count="1">
          <reference field="4294967294">
            <x v="1"/>
          </reference>
        </references>
      </pivotArea>
    </format>
    <format action="formatting" dxfId="385">
      <pivotArea type="normal" dataOnly="1" outline="0" fieldPosition="0">
        <references count="1">
          <reference field="4294967294">
            <x v="2"/>
          </reference>
        </references>
      </pivotArea>
    </format>
    <format action="formatting" dxfId="384">
      <pivotArea type="normal" dataOnly="1" outline="0" fieldPosition="0">
        <references count="1">
          <reference field="4294967294">
            <x v="3"/>
          </reference>
        </references>
      </pivotArea>
    </format>
    <format action="formatting" dxfId="383">
      <pivotArea type="normal" dataOnly="0" labelOnly="1" outline="0" fieldPosition="0">
        <references count="1">
          <reference field="4294967294">
            <x v="0"/>
            <x v="1"/>
            <x v="2"/>
            <x v="3"/>
          </reference>
        </references>
      </pivotArea>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sk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3" fieldListSortAscending="0" mdxSubqueries="0" applyNumberFormats="0" applyBorderFormats="0" applyFontFormats="0" applyPatternFormats="0" applyAlignmentFormats="0" applyWidthHeightFormats="1" r:id="rId1">
  <location ref="A4:E6" firstHeaderRow="1" firstDataRow="2" firstDataCol="4"/>
  <pivotFields count="46">
    <pivotField axis="axisRow" showDropDowns="1" compact="0" outline="0" subtotalTop="1" dragToRow="1" dragToCol="1" dragToPage="1" dragToData="1" dragOff="1" showAll="0" topAutoShow="1" itemPageCount="10" sortType="manual" defaultSubtotal="0">
      <items count="16">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53">
        <item t="data" sd="1" m="1" x="46"/>
        <item t="data" sd="1" m="1" x="49"/>
        <item t="data" sd="1" m="1" x="50"/>
        <item t="data" sd="1" m="1" x="51"/>
        <item t="data" sd="1" m="1" x="31"/>
        <item t="data" sd="1" m="1" x="32"/>
        <item t="data" sd="1" x="0"/>
        <item t="data" sd="1" m="1" x="47"/>
        <item t="data" sd="1" m="1" x="48"/>
        <item t="data" sd="1" m="1" x="33"/>
        <item t="data" sd="1" m="1" x="13"/>
        <item t="data" sd="1" m="1" x="39"/>
        <item t="data" sd="1" m="1" x="40"/>
        <item t="data" sd="1" m="1" x="41"/>
        <item t="data" sd="1" m="1" x="42"/>
        <item t="data" sd="1" m="1" x="43"/>
        <item t="data" sd="1" m="1" x="44"/>
        <item t="data" sd="1" m="1" x="45"/>
        <item t="data" sd="1" m="1" x="36"/>
        <item t="data" sd="1" m="1" x="37"/>
        <item t="data" sd="1" m="1" x="38"/>
        <item t="data" sd="1" m="1" x="17"/>
        <item t="data" sd="1" m="1" x="34"/>
        <item t="data" sd="1" m="1" x="19"/>
        <item t="data" sd="1" m="1" x="20"/>
        <item t="data" sd="1" m="1" x="21"/>
        <item t="data" sd="1" m="1" x="22"/>
        <item t="data" sd="1" m="1" x="23"/>
        <item t="data" sd="1" m="1" x="24"/>
        <item t="data" sd="1" m="1" x="25"/>
        <item t="data" sd="1" m="1" x="26"/>
        <item t="data" sd="1" m="1" x="27"/>
        <item t="data" sd="1" m="1" x="28"/>
        <item t="data" sd="1" m="1" x="35"/>
        <item t="data" sd="1" m="1" x="29"/>
        <item t="data" sd="1" m="1" x="30"/>
        <item t="data" sd="1" m="1" x="18"/>
        <item t="data" sd="1" m="1" x="1"/>
        <item t="data" sd="1" m="1" x="2"/>
        <item t="data" sd="1" m="1" x="3"/>
        <item t="data" sd="1" m="1" x="4"/>
        <item t="data" sd="1" m="1" x="5"/>
        <item t="data" sd="1" m="1" x="6"/>
        <item t="data" sd="1" m="1" x="7"/>
        <item t="data" sd="1" m="1" x="8"/>
        <item t="data" sd="1" m="1" x="9"/>
        <item t="data" sd="1" m="1" x="16"/>
        <item t="data" sd="1" m="1" x="11"/>
        <item t="data" sd="1" m="1" x="12"/>
        <item t="data" sd="1" m="1" x="15"/>
        <item t="data" sd="1" m="1" x="14"/>
        <item t="data" sd="1" m="1" x="10"/>
        <item t="default" sd="1"/>
      </items>
    </pivotField>
    <pivotField axis="axisRow" showDropDowns="1" compact="0" outline="0" subtotalTop="1" dragToRow="1" dragToCol="1" dragToPage="1" dragToData="1" dragOff="1" showAll="0" topAutoShow="1" itemPageCount="10" sortType="manual" defaultSubtotal="0">
      <items count="68">
        <item t="data" sd="1" m="1" x="16"/>
        <item t="data" sd="1" m="1" x="67"/>
        <item t="data" sd="1" m="1" x="60"/>
        <item t="data" sd="1" m="1" x="50"/>
        <item t="data" sd="1" m="1" x="66"/>
        <item t="data" sd="1" m="1" x="63"/>
        <item t="data" sd="1" m="1" x="65"/>
        <item t="data" sd="1" m="1" x="62"/>
        <item t="data" sd="1" m="1" x="12"/>
        <item t="data" sd="1" m="1" x="13"/>
        <item t="data" sd="1" m="1" x="64"/>
        <item t="data" sd="1" m="1" x="22"/>
        <item t="data" sd="1" m="1" x="59"/>
        <item t="data" sd="1" m="1" x="61"/>
        <item t="data" sd="1" x="3"/>
        <item t="data" sd="1" x="1"/>
        <item t="data" sd="1" m="1" x="42"/>
        <item t="data" sd="1" m="1" x="44"/>
        <item t="data" sd="1" x="2"/>
        <item t="data" sd="1" m="1" x="46"/>
        <item t="data" sd="1" m="1" x="8"/>
        <item t="data" sd="1" m="1" x="9"/>
        <item t="data" sd="1" m="1" x="10"/>
        <item t="data" sd="1" m="1" x="11"/>
        <item t="data" sd="1" m="1" x="57"/>
        <item t="data" sd="1" m="1" x="54"/>
        <item t="data" sd="1" m="1" x="55"/>
        <item t="data" sd="1" m="1" x="56"/>
        <item t="data" sd="1" m="1" x="58"/>
        <item t="data" sd="1" m="1" x="51"/>
        <item t="data" sd="1" m="1" x="52"/>
        <item t="data" sd="1" m="1" x="53"/>
        <item t="data" sd="1" m="1" x="48"/>
        <item t="data" sd="1" m="1" x="49"/>
        <item t="data" sd="1" m="1" x="32"/>
        <item t="data" sd="1" m="1" x="33"/>
        <item t="data" sd="1" m="1" x="43"/>
        <item t="data" sd="1" m="1" x="36"/>
        <item t="data" sd="1" m="1" x="38"/>
        <item t="data" sd="1" m="1" x="47"/>
        <item t="data" sd="1" m="1" x="45"/>
        <item t="data" sd="1" m="1" x="31"/>
        <item t="data" sd="1" m="1" x="34"/>
        <item t="data" sd="1" m="1" x="35"/>
        <item t="data" sd="1" m="1" x="37"/>
        <item t="data" sd="1" m="1" x="39"/>
        <item t="data" sd="1" m="1" x="40"/>
        <item t="data" sd="1" m="1" x="41"/>
        <item t="data" sd="1" m="1" x="23"/>
        <item t="data" sd="1" m="1" x="24"/>
        <item t="data" sd="1" m="1" x="25"/>
        <item t="data" sd="1" m="1" x="26"/>
        <item t="data" sd="1" m="1" x="27"/>
        <item t="data" sd="1" m="1" x="28"/>
        <item t="data" sd="1" m="1" x="29"/>
        <item t="data" sd="1" m="1" x="4"/>
        <item t="data" sd="1" m="1" x="5"/>
        <item t="data" sd="1" m="1" x="6"/>
        <item t="data" sd="1" m="1" x="7"/>
        <item t="data" sd="1" m="1" x="30"/>
        <item t="data" sd="1" m="1" x="17"/>
        <item t="data" sd="1" m="1" x="18"/>
        <item t="data" sd="1" m="1" x="19"/>
        <item t="data" sd="1" m="1" x="20"/>
        <item t="data" sd="1" m="1" x="21"/>
        <item t="data" sd="1" m="1" x="14"/>
        <item t="data" sd="1" m="1" x="15"/>
        <item t="data" sd="1" x="0"/>
      </items>
    </pivotField>
    <pivotField axis="axisRow" showDropDowns="1" compact="0" outline="0" subtotalTop="1" dragToRow="1" dragToCol="1" dragToPage="1" dragToData="1" dragOff="1" showAll="0" topAutoShow="1" itemPageCount="10" sortType="manual" defaultSubtotal="0">
      <items count="426">
        <item t="data" sd="1" m="1" x="94"/>
        <item t="data" sd="1" m="1" x="416"/>
        <item t="data" sd="1" m="1" x="415"/>
        <item t="data" sd="1" m="1" x="101"/>
        <item t="data" sd="1" m="1" x="423"/>
        <item t="data" sd="1" x="19"/>
        <item t="data" sd="1" x="13"/>
        <item t="data" sd="1" x="23"/>
        <item t="data" sd="1" x="9"/>
        <item t="data" sd="1" m="1" x="413"/>
        <item t="data" sd="1" m="1" x="112"/>
        <item t="data" sd="1" m="1" x="45"/>
        <item t="data" sd="1" m="1" x="111"/>
        <item t="data" sd="1" m="1" x="104"/>
        <item t="data" sd="1" x="0"/>
        <item t="data" sd="1" m="1" x="412"/>
        <item t="data" sd="1" m="1" x="122"/>
        <item t="data" sd="1" x="22"/>
        <item t="data" sd="1" m="1" x="26"/>
        <item t="data" sd="1" m="1" x="103"/>
        <item t="data" sd="1" m="1" x="424"/>
        <item t="data" sd="1" m="1" x="425"/>
        <item t="data" sd="1" m="1" x="414"/>
        <item t="data" sd="1" m="1" x="152"/>
        <item t="data" sd="1" m="1" x="153"/>
        <item t="data" sd="1" m="1" x="410"/>
        <item t="data" sd="1" m="1" x="422"/>
        <item t="data" sd="1" m="1" x="421"/>
        <item t="data" sd="1" m="1" x="418"/>
        <item t="data" sd="1" m="1" x="419"/>
        <item t="data" sd="1" m="1" x="420"/>
        <item t="data" sd="1" m="1" x="123"/>
        <item t="data" sd="1" m="1" x="417"/>
        <item t="data" sd="1" m="1" x="50"/>
        <item t="data" sd="1" m="1" x="52"/>
        <item t="data" sd="1" m="1" x="411"/>
        <item t="data" sd="1" m="1" x="391"/>
        <item t="data" sd="1" m="1" x="392"/>
        <item t="data" sd="1" x="3"/>
        <item t="data" sd="1" m="1" x="393"/>
        <item t="data" sd="1" m="1" x="128"/>
        <item t="data" sd="1" m="1" x="129"/>
        <item t="data" sd="1" m="1" x="394"/>
        <item t="data" sd="1" x="6"/>
        <item t="data" sd="1" m="1" x="363"/>
        <item t="data" sd="1" m="1" x="395"/>
        <item t="data" sd="1" m="1" x="396"/>
        <item t="data" sd="1" x="11"/>
        <item t="data" sd="1" m="1" x="397"/>
        <item t="data" sd="1" m="1" x="398"/>
        <item t="data" sd="1" m="1" x="108"/>
        <item t="data" sd="1" m="1" x="399"/>
        <item t="data" sd="1" x="16"/>
        <item t="data" sd="1" x="17"/>
        <item t="data" sd="1" m="1" x="400"/>
        <item t="data" sd="1" m="1" x="361"/>
        <item t="data" sd="1" m="1" x="109"/>
        <item t="data" sd="1" m="1" x="402"/>
        <item t="data" sd="1" x="1"/>
        <item t="data" sd="1" x="2"/>
        <item t="data" sd="1" x="4"/>
        <item t="data" sd="1" m="1" x="93"/>
        <item t="data" sd="1" m="1" x="77"/>
        <item t="data" sd="1" m="1" x="408"/>
        <item t="data" sd="1" m="1" x="161"/>
        <item t="data" sd="1" m="1" x="166"/>
        <item t="data" sd="1" m="1" x="409"/>
        <item t="data" sd="1" x="21"/>
        <item t="data" sd="1" m="1" x="362"/>
        <item t="data" sd="1" m="1" x="364"/>
        <item t="data" sd="1" m="1" x="365"/>
        <item t="data" sd="1" m="1" x="407"/>
        <item t="data" sd="1" m="1" x="366"/>
        <item t="data" sd="1" m="1" x="406"/>
        <item t="data" sd="1" m="1" x="404"/>
        <item t="data" sd="1" m="1" x="405"/>
        <item t="data" sd="1" m="1" x="403"/>
        <item t="data" sd="1" m="1" x="79"/>
        <item t="data" sd="1" x="18"/>
        <item t="data" sd="1" m="1" x="390"/>
        <item t="data" sd="1" m="1" x="401"/>
        <item t="data" sd="1" m="1" x="382"/>
        <item t="data" sd="1" m="1" x="383"/>
        <item t="data" sd="1" m="1" x="168"/>
        <item t="data" sd="1" m="1" x="169"/>
        <item t="data" sd="1" m="1" x="171"/>
        <item t="data" sd="1" m="1" x="172"/>
        <item t="data" sd="1" m="1" x="384"/>
        <item t="data" sd="1" m="1" x="385"/>
        <item t="data" sd="1" m="1" x="386"/>
        <item t="data" sd="1" m="1" x="387"/>
        <item t="data" sd="1" m="1" x="177"/>
        <item t="data" sd="1" m="1" x="178"/>
        <item t="data" sd="1" m="1" x="180"/>
        <item t="data" sd="1" m="1" x="181"/>
        <item t="data" sd="1" m="1" x="388"/>
        <item t="data" sd="1" m="1" x="378"/>
        <item t="data" sd="1" m="1" x="389"/>
        <item t="data" sd="1" m="1" x="380"/>
        <item t="data" sd="1" m="1" x="381"/>
        <item t="data" sd="1" m="1" x="371"/>
        <item t="data" sd="1" m="1" x="372"/>
        <item t="data" sd="1" m="1" x="373"/>
        <item t="data" sd="1" m="1" x="374"/>
        <item t="data" sd="1" m="1" x="375"/>
        <item t="data" sd="1" m="1" x="376"/>
        <item t="data" sd="1" m="1" x="377"/>
        <item t="data" sd="1" m="1" x="379"/>
        <item t="data" sd="1" m="1" x="167"/>
        <item t="data" sd="1" m="1" x="170"/>
        <item t="data" sd="1" m="1" x="174"/>
        <item t="data" sd="1" m="1" x="370"/>
        <item t="data" sd="1" m="1" x="176"/>
        <item t="data" sd="1" m="1" x="179"/>
        <item t="data" sd="1" m="1" x="184"/>
        <item t="data" sd="1" m="1" x="185"/>
        <item t="data" sd="1" m="1" x="186"/>
        <item t="data" sd="1" m="1" x="187"/>
        <item t="data" sd="1" m="1" x="188"/>
        <item t="data" sd="1" m="1" x="189"/>
        <item t="data" sd="1" m="1" x="190"/>
        <item t="data" sd="1" m="1" x="191"/>
        <item t="data" sd="1" m="1" x="192"/>
        <item t="data" sd="1" m="1" x="193"/>
        <item t="data" sd="1" m="1" x="194"/>
        <item t="data" sd="1" m="1" x="195"/>
        <item t="data" sd="1" m="1" x="196"/>
        <item t="data" sd="1" m="1" x="197"/>
        <item t="data" sd="1" m="1" x="198"/>
        <item t="data" sd="1" m="1" x="368"/>
        <item t="data" sd="1" m="1" x="369"/>
        <item t="data" sd="1" m="1" x="175"/>
        <item t="data" sd="1" m="1" x="199"/>
        <item t="data" sd="1" m="1" x="202"/>
        <item t="data" sd="1" m="1" x="203"/>
        <item t="data" sd="1" m="1" x="204"/>
        <item t="data" sd="1" m="1" x="205"/>
        <item t="data" sd="1" m="1" x="206"/>
        <item t="data" sd="1" m="1" x="207"/>
        <item t="data" sd="1" m="1" x="208"/>
        <item t="data" sd="1" m="1" x="209"/>
        <item t="data" sd="1" m="1" x="210"/>
        <item t="data" sd="1" m="1" x="211"/>
        <item t="data" sd="1" m="1" x="212"/>
        <item t="data" sd="1" m="1" x="213"/>
        <item t="data" sd="1" m="1" x="214"/>
        <item t="data" sd="1" m="1" x="215"/>
        <item t="data" sd="1" m="1" x="216"/>
        <item t="data" sd="1" m="1" x="173"/>
        <item t="data" sd="1" m="1" x="200"/>
        <item t="data" sd="1" m="1" x="201"/>
        <item t="data" sd="1" m="1" x="217"/>
        <item t="data" sd="1" m="1" x="218"/>
        <item t="data" sd="1" m="1" x="219"/>
        <item t="data" sd="1" m="1" x="220"/>
        <item t="data" sd="1" m="1" x="221"/>
        <item t="data" sd="1" m="1" x="222"/>
        <item t="data" sd="1" m="1" x="223"/>
        <item t="data" sd="1" m="1" x="224"/>
        <item t="data" sd="1" m="1" x="225"/>
        <item t="data" sd="1" m="1" x="226"/>
        <item t="data" sd="1" m="1" x="227"/>
        <item t="data" sd="1" m="1" x="228"/>
        <item t="data" sd="1" m="1" x="229"/>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2"/>
        <item t="data" sd="1" m="1" x="243"/>
        <item t="data" sd="1" m="1" x="244"/>
        <item t="data" sd="1" m="1" x="245"/>
        <item t="data" sd="1" m="1" x="246"/>
        <item t="data" sd="1" m="1" x="247"/>
        <item t="data" sd="1" m="1" x="248"/>
        <item t="data" sd="1" m="1" x="249"/>
        <item t="data" sd="1" m="1" x="250"/>
        <item t="data" sd="1" m="1" x="251"/>
        <item t="data" sd="1" m="1" x="252"/>
        <item t="data" sd="1" m="1" x="253"/>
        <item t="data" sd="1" m="1" x="254"/>
        <item t="data" sd="1" m="1" x="255"/>
        <item t="data" sd="1" m="1" x="256"/>
        <item t="data" sd="1" m="1" x="257"/>
        <item t="data" sd="1" m="1" x="258"/>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73"/>
        <item t="data" sd="1" m="1" x="274"/>
        <item t="data" sd="1" m="1" x="275"/>
        <item t="data" sd="1" m="1" x="276"/>
        <item t="data" sd="1" m="1" x="277"/>
        <item t="data" sd="1" m="1" x="278"/>
        <item t="data" sd="1" m="1" x="279"/>
        <item t="data" sd="1" m="1" x="280"/>
        <item t="data" sd="1" m="1" x="281"/>
        <item t="data" sd="1" m="1" x="282"/>
        <item t="data" sd="1" m="1" x="283"/>
        <item t="data" sd="1" m="1" x="284"/>
        <item t="data" sd="1" m="1" x="285"/>
        <item t="data" sd="1" m="1" x="286"/>
        <item t="data" sd="1" m="1" x="287"/>
        <item t="data" sd="1" m="1" x="288"/>
        <item t="data" sd="1" m="1" x="289"/>
        <item t="data" sd="1" m="1" x="290"/>
        <item t="data" sd="1" m="1" x="291"/>
        <item t="data" sd="1" m="1" x="292"/>
        <item t="data" sd="1" m="1" x="293"/>
        <item t="data" sd="1" m="1" x="294"/>
        <item t="data" sd="1" m="1" x="295"/>
        <item t="data" sd="1" m="1" x="296"/>
        <item t="data" sd="1" m="1" x="297"/>
        <item t="data" sd="1" m="1" x="298"/>
        <item t="data" sd="1" m="1" x="299"/>
        <item t="data" sd="1" m="1" x="300"/>
        <item t="data" sd="1" m="1" x="301"/>
        <item t="data" sd="1" m="1" x="302"/>
        <item t="data" sd="1" m="1" x="303"/>
        <item t="data" sd="1" m="1" x="304"/>
        <item t="data" sd="1" m="1" x="305"/>
        <item t="data" sd="1" m="1" x="306"/>
        <item t="data" sd="1" m="1" x="307"/>
        <item t="data" sd="1" m="1" x="308"/>
        <item t="data" sd="1" m="1" x="309"/>
        <item t="data" sd="1" m="1" x="310"/>
        <item t="data" sd="1" m="1" x="311"/>
        <item t="data" sd="1" m="1" x="312"/>
        <item t="data" sd="1" m="1" x="313"/>
        <item t="data" sd="1" m="1" x="314"/>
        <item t="data" sd="1" m="1" x="315"/>
        <item t="data" sd="1" m="1" x="316"/>
        <item t="data" sd="1" m="1" x="317"/>
        <item t="data" sd="1" m="1" x="318"/>
        <item t="data" sd="1" m="1" x="319"/>
        <item t="data" sd="1" m="1" x="320"/>
        <item t="data" sd="1" m="1" x="321"/>
        <item t="data" sd="1" m="1" x="322"/>
        <item t="data" sd="1" m="1" x="323"/>
        <item t="data" sd="1" m="1" x="324"/>
        <item t="data" sd="1" m="1" x="325"/>
        <item t="data" sd="1" m="1" x="326"/>
        <item t="data" sd="1" m="1" x="327"/>
        <item t="data" sd="1" m="1" x="328"/>
        <item t="data" sd="1" m="1" x="329"/>
        <item t="data" sd="1" m="1" x="330"/>
        <item t="data" sd="1" m="1" x="331"/>
        <item t="data" sd="1" m="1" x="332"/>
        <item t="data" sd="1" m="1" x="333"/>
        <item t="data" sd="1" m="1" x="334"/>
        <item t="data" sd="1" m="1" x="367"/>
        <item t="data" sd="1" m="1" x="335"/>
        <item t="data" sd="1" m="1" x="336"/>
        <item t="data" sd="1" m="1" x="337"/>
        <item t="data" sd="1" m="1" x="338"/>
        <item t="data" sd="1" m="1" x="339"/>
        <item t="data" sd="1" m="1" x="340"/>
        <item t="data" sd="1" m="1" x="341"/>
        <item t="data" sd="1" m="1" x="342"/>
        <item t="data" sd="1" m="1" x="343"/>
        <item t="data" sd="1" m="1" x="344"/>
        <item t="data" sd="1" m="1" x="345"/>
        <item t="data" sd="1" m="1" x="346"/>
        <item t="data" sd="1" m="1" x="347"/>
        <item t="data" sd="1" m="1" x="348"/>
        <item t="data" sd="1" m="1" x="349"/>
        <item t="data" sd="1" m="1" x="350"/>
        <item t="data" sd="1" m="1" x="351"/>
        <item t="data" sd="1" m="1" x="352"/>
        <item t="data" sd="1" m="1" x="353"/>
        <item t="data" sd="1" m="1" x="354"/>
        <item t="data" sd="1" m="1" x="182"/>
        <item t="data" sd="1" m="1" x="183"/>
        <item t="data" sd="1" m="1" x="24"/>
        <item t="data" sd="1" m="1" x="25"/>
        <item t="data" sd="1" m="1" x="27"/>
        <item t="data" sd="1" m="1" x="28"/>
        <item t="data" sd="1" m="1" x="97"/>
        <item t="data" sd="1" m="1" x="98"/>
        <item t="data" sd="1" m="1" x="31"/>
        <item t="data" sd="1" m="1" x="99"/>
        <item t="data" sd="1" m="1" x="355"/>
        <item t="data" sd="1" m="1" x="356"/>
        <item t="data" sd="1" m="1" x="357"/>
        <item t="data" sd="1" m="1" x="131"/>
        <item t="data" sd="1" m="1" x="358"/>
        <item t="data" sd="1" m="1" x="102"/>
        <item t="data" sd="1" m="1" x="359"/>
        <item t="data" sd="1" m="1" x="360"/>
        <item t="data" sd="1" m="1" x="46"/>
        <item t="data" sd="1" m="1" x="47"/>
        <item t="data" sd="1" m="1" x="48"/>
        <item t="data" sd="1" m="1" x="49"/>
        <item t="data" sd="1" m="1" x="33"/>
        <item t="data" sd="1" m="1" x="34"/>
        <item t="data" sd="1" m="1" x="36"/>
        <item t="data" sd="1" m="1" x="51"/>
        <item t="data" sd="1" m="1" x="100"/>
        <item t="data" sd="1" m="1" x="132"/>
        <item t="data" sd="1" m="1" x="133"/>
        <item t="data" sd="1" m="1" x="134"/>
        <item t="data" sd="1" m="1" x="135"/>
        <item t="data" sd="1" m="1" x="136"/>
        <item t="data" sd="1" m="1" x="137"/>
        <item t="data" sd="1" m="1" x="138"/>
        <item t="data" sd="1" m="1" x="139"/>
        <item t="data" sd="1" m="1" x="140"/>
        <item t="data" sd="1" m="1" x="141"/>
        <item t="data" sd="1" m="1" x="142"/>
        <item t="data" sd="1" m="1" x="143"/>
        <item t="data" sd="1" m="1" x="144"/>
        <item t="data" sd="1" m="1" x="145"/>
        <item t="data" sd="1" m="1" x="146"/>
        <item t="data" sd="1" m="1" x="147"/>
        <item t="data" sd="1" m="1" x="148"/>
        <item t="data" sd="1" m="1" x="149"/>
        <item t="data" sd="1" m="1" x="150"/>
        <item t="data" sd="1" m="1" x="151"/>
        <item t="data" sd="1" m="1" x="154"/>
        <item t="data" sd="1" m="1" x="155"/>
        <item t="data" sd="1" x="14"/>
        <item t="data" sd="1" m="1" x="156"/>
        <item t="data" sd="1" m="1" x="157"/>
        <item t="data" sd="1" m="1" x="158"/>
        <item t="data" sd="1" m="1" x="159"/>
        <item t="data" sd="1" m="1" x="160"/>
        <item t="data" sd="1" m="1" x="162"/>
        <item t="data" sd="1" m="1" x="163"/>
        <item t="data" sd="1" m="1" x="164"/>
        <item t="data" sd="1" m="1" x="165"/>
        <item t="data" sd="1" m="1" x="124"/>
        <item t="data" sd="1" m="1" x="125"/>
        <item t="data" sd="1" m="1" x="126"/>
        <item t="data" sd="1" m="1" x="127"/>
        <item t="data" sd="1" m="1" x="130"/>
        <item t="data" sd="1" m="1" x="113"/>
        <item t="data" sd="1" m="1" x="114"/>
        <item t="data" sd="1" m="1" x="115"/>
        <item t="data" sd="1" m="1" x="116"/>
        <item t="data" sd="1" m="1" x="117"/>
        <item t="data" sd="1" m="1" x="118"/>
        <item t="data" sd="1" m="1" x="119"/>
        <item t="data" sd="1" m="1" x="120"/>
        <item t="data" sd="1" m="1" x="121"/>
        <item t="data" sd="1" m="1" x="105"/>
        <item t="data" sd="1" m="1" x="106"/>
        <item t="data" sd="1" m="1" x="107"/>
        <item t="data" sd="1" m="1" x="110"/>
        <item t="data" sd="1" m="1" x="95"/>
        <item t="data" sd="1" x="7"/>
        <item t="data" sd="1" x="8"/>
        <item t="data" sd="1" x="10"/>
        <item t="data" sd="1" x="12"/>
        <item t="data" sd="1" m="1" x="96"/>
        <item t="data" sd="1" x="15"/>
        <item t="data" sd="1" x="20"/>
        <item t="data" sd="1" x="5"/>
        <item t="data" sd="1" m="1" x="92"/>
        <item t="data" sd="1" m="1" x="90"/>
        <item t="data" sd="1" m="1" x="91"/>
        <item t="data" sd="1" m="1" x="58"/>
        <item t="data" sd="1" m="1" x="59"/>
        <item t="data" sd="1" m="1" x="89"/>
        <item t="data" sd="1" m="1" x="71"/>
        <item t="data" sd="1" m="1" x="73"/>
        <item t="data" sd="1" m="1" x="74"/>
        <item t="data" sd="1" m="1" x="53"/>
        <item t="data" sd="1" m="1" x="57"/>
        <item t="data" sd="1" m="1" x="69"/>
        <item t="data" sd="1" m="1" x="60"/>
        <item t="data" sd="1" m="1" x="80"/>
        <item t="data" sd="1" m="1" x="81"/>
        <item t="data" sd="1" m="1" x="82"/>
        <item t="data" sd="1" m="1" x="83"/>
        <item t="data" sd="1" m="1" x="84"/>
        <item t="data" sd="1" m="1" x="85"/>
        <item t="data" sd="1" m="1" x="86"/>
        <item t="data" sd="1" m="1" x="87"/>
        <item t="data" sd="1" m="1" x="88"/>
        <item t="data" sd="1" m="1" x="54"/>
        <item t="data" sd="1" m="1" x="55"/>
        <item t="data" sd="1" m="1" x="56"/>
        <item t="data" sd="1" m="1" x="61"/>
        <item t="data" sd="1" m="1" x="62"/>
        <item t="data" sd="1" m="1" x="63"/>
        <item t="data" sd="1" m="1" x="64"/>
        <item t="data" sd="1" m="1" x="65"/>
        <item t="data" sd="1" m="1" x="66"/>
        <item t="data" sd="1" m="1" x="67"/>
        <item t="data" sd="1" m="1" x="68"/>
        <item t="data" sd="1" m="1" x="70"/>
        <item t="data" sd="1" m="1" x="72"/>
        <item t="data" sd="1" m="1" x="75"/>
        <item t="data" sd="1" m="1" x="76"/>
        <item t="data" sd="1" m="1" x="78"/>
        <item t="data" sd="1" m="1" x="29"/>
        <item t="data" sd="1" m="1" x="30"/>
        <item t="data" sd="1" m="1" x="32"/>
        <item t="data" sd="1" m="1" x="35"/>
        <item t="data" sd="1" m="1" x="37"/>
        <item t="data" sd="1" m="1" x="38"/>
        <item t="data" sd="1" m="1" x="39"/>
        <item t="data" sd="1" m="1" x="40"/>
        <item t="data" sd="1" m="1" x="41"/>
        <item t="data" sd="1" m="1" x="42"/>
        <item t="data" sd="1" m="1" x="43"/>
        <item t="data" sd="1" m="1" x="4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sum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numFmtId="14" outline="0" subtotalTop="1" dragToRow="1" dragToCol="1" dragToPage="1" dragToData="1" dragOff="1" showAll="0" topAutoShow="1" itemPageCount="10" sortType="ascending" defaultSubtotal="1">
      <items count="248">
        <item t="data" h="1" sd="1" m="1" x="64"/>
        <item t="data" h="1" sd="1" m="1" x="246"/>
        <item t="data" h="1" sd="1" m="1" x="91"/>
        <item t="data" sd="1" m="1" x="61"/>
        <item t="data" h="1" sd="1" m="1" x="99"/>
        <item t="data" sd="1" m="1" x="229"/>
        <item t="data" h="1" sd="1" m="1" x="100"/>
        <item t="data" h="1" sd="1" m="1" x="101"/>
        <item t="data" h="1" sd="1" m="1" x="102"/>
        <item t="data" h="1" sd="1" m="1" x="103"/>
        <item t="data" sd="1" m="1" x="104"/>
        <item t="data" h="1" sd="1" m="1" x="105"/>
        <item t="data" h="1" sd="1" m="1" x="106"/>
        <item t="data" h="1" sd="1" m="1" x="107"/>
        <item t="data" h="1" sd="1" m="1" x="108"/>
        <item t="data" sd="1" m="1" x="230"/>
        <item t="data" h="1" sd="1" m="1" x="109"/>
        <item t="data" h="1" sd="1" m="1" x="110"/>
        <item t="data" h="1" sd="1" m="1" x="111"/>
        <item t="data" h="1" sd="1" m="1" x="112"/>
        <item t="data" sd="1" m="1" x="231"/>
        <item t="data" h="1" sd="1" m="1" x="113"/>
        <item t="data" h="1" sd="1" m="1" x="114"/>
        <item t="data" h="1" sd="1" m="1" x="115"/>
        <item t="data" h="1" sd="1" m="1" x="116"/>
        <item t="data" h="1" sd="1" m="1" x="117"/>
        <item t="data" sd="1" m="1" x="232"/>
        <item t="data" h="1" sd="1" m="1" x="118"/>
        <item t="data" h="1" sd="1" m="1" x="119"/>
        <item t="data" h="1" sd="1" m="1" x="120"/>
        <item t="data" h="1" sd="1" m="1" x="121"/>
        <item t="data" sd="1" m="1" x="233"/>
        <item t="data" h="1" sd="1" m="1" x="122"/>
        <item t="data" h="1" sd="1" m="1" x="123"/>
        <item t="data" h="1" sd="1" m="1" x="124"/>
        <item t="data" h="1" sd="1" m="1" x="125"/>
        <item t="data" sd="1" m="1" x="234"/>
        <item t="data" h="1" sd="1" m="1" x="126"/>
        <item t="data" h="1" sd="1" m="1" x="127"/>
        <item t="data" h="1" sd="1" m="1" x="128"/>
        <item t="data" h="1" sd="1" m="1" x="129"/>
        <item t="data" h="1" sd="1" m="1" x="130"/>
        <item t="data" sd="1" m="1" x="235"/>
        <item t="data" h="1" sd="1" m="1" x="131"/>
        <item t="data" h="1" sd="1" m="1" x="132"/>
        <item t="data" h="1" sd="1" m="1" x="133"/>
        <item t="data" h="1" sd="1" m="1" x="134"/>
        <item t="data" sd="1" m="1" x="236"/>
        <item t="data" h="1" sd="1" m="1" x="135"/>
        <item t="data" h="1" sd="1" m="1" x="136"/>
        <item t="data" h="1" sd="1" m="1" x="137"/>
        <item t="data" h="1" sd="1" m="1" x="138"/>
        <item t="data" sd="1" m="1" x="62"/>
        <item t="data" h="1" sd="1" m="1" x="139"/>
        <item t="data" h="1" sd="1" m="1" x="140"/>
        <item t="data" h="1" sd="1" m="1" x="141"/>
        <item t="data" h="1" sd="1" m="1" x="142"/>
        <item t="data" sd="1" m="1" x="237"/>
        <item t="data" h="1" sd="1" m="1" x="143"/>
        <item t="data" h="1" sd="1" m="1" x="144"/>
        <item t="data" h="1" sd="1" m="1" x="145"/>
        <item t="data" h="1" sd="1" m="1" x="146"/>
        <item t="data" sd="1" m="1" x="238"/>
        <item t="data" h="1" sd="1" m="1" x="147"/>
        <item t="data" h="1" sd="1" m="1" x="148"/>
        <item t="data" h="1" sd="1" m="1" x="149"/>
        <item t="data" h="1" sd="1" m="1" x="150"/>
        <item t="data" sd="1" m="1" x="151"/>
        <item t="data" h="1" sd="1" m="1" x="152"/>
        <item t="data" h="1" sd="1" m="1" x="153"/>
        <item t="data" h="1" sd="1" m="1" x="154"/>
        <item t="data" h="1" sd="1" m="1" x="155"/>
        <item t="data" sd="1" m="1" x="239"/>
        <item t="data" h="1" sd="1" m="1" x="156"/>
        <item t="data" h="1" sd="1" m="1" x="157"/>
        <item t="data" h="1" sd="1" m="1" x="158"/>
        <item t="data" h="1" sd="1" m="1" x="159"/>
        <item t="data" sd="1" m="1" x="240"/>
        <item t="data" h="1" sd="1" m="1" x="160"/>
        <item t="data" h="1" sd="1" m="1" x="161"/>
        <item t="data" h="1" sd="1" m="1" x="162"/>
        <item t="data" h="1" sd="1" m="1" x="163"/>
        <item t="data" sd="1" m="1" x="164"/>
        <item t="data" sd="1" m="1" x="165"/>
        <item t="data" sd="1" m="1" x="166"/>
        <item t="data" sd="1" m="1" x="167"/>
        <item t="data" sd="1" m="1" x="168"/>
        <item t="data" sd="1" m="1" x="241"/>
        <item t="data" sd="1" m="1" x="169"/>
        <item t="data" sd="1" m="1" x="170"/>
        <item t="data" sd="1" m="1" x="171"/>
        <item t="data" sd="1" m="1" x="172"/>
        <item t="data" sd="1" m="1" x="242"/>
        <item t="data" sd="1" m="1" x="173"/>
        <item t="data" sd="1" m="1" x="174"/>
        <item t="data" sd="1" m="1" x="175"/>
        <item t="data" sd="1" m="1" x="176"/>
        <item t="data" sd="1" m="1" x="177"/>
        <item t="data" sd="1" m="1" x="243"/>
        <item t="data" sd="1" m="1" x="178"/>
        <item t="data" sd="1" m="1" x="179"/>
        <item t="data" sd="1" m="1" x="180"/>
        <item t="data" sd="1" m="1" x="181"/>
        <item t="data" sd="1" m="1" x="244"/>
        <item t="data" sd="1" m="1" x="182"/>
        <item t="data" sd="1" m="1" x="183"/>
        <item t="data" sd="1" m="1" x="184"/>
        <item t="data" sd="1" m="1" x="185"/>
        <item t="data" sd="1" m="1" x="245"/>
        <item t="data" sd="1" m="1" x="186"/>
        <item t="data" sd="1" m="1" x="187"/>
        <item t="data" sd="1" m="1" x="188"/>
        <item t="data" sd="1" m="1" x="189"/>
        <item t="data" sd="1" m="1" x="65"/>
        <item t="data" sd="1" m="1" x="1"/>
        <item t="data" sd="1" m="1" x="66"/>
        <item t="data" sd="1" m="1" x="67"/>
        <item t="data" sd="1" m="1" x="68"/>
        <item t="data" sd="1" m="1" x="69"/>
        <item t="data" sd="1" m="1" x="2"/>
        <item t="data" sd="1" m="1" x="70"/>
        <item t="data" sd="1" m="1" x="71"/>
        <item t="data" sd="1" m="1" x="72"/>
        <item t="data" sd="1" m="1" x="18"/>
        <item t="data" sd="1" m="1" x="3"/>
        <item t="data" sd="1" m="1" x="19"/>
        <item t="data" sd="1" m="1" x="20"/>
        <item t="data" sd="1" m="1" x="21"/>
        <item t="data" sd="1" m="1" x="22"/>
        <item t="data" sd="1" m="1" x="23"/>
        <item t="data" sd="1" m="1" x="4"/>
        <item t="data" sd="1" m="1" x="24"/>
        <item t="data" sd="1" m="1" x="25"/>
        <item t="data" sd="1" m="1" x="26"/>
        <item t="data" sd="1" m="1" x="27"/>
        <item t="data" sd="1" m="1" x="5"/>
        <item t="data" sd="1" m="1" x="28"/>
        <item t="data" sd="1" m="1" x="29"/>
        <item t="data" sd="1" m="1" x="30"/>
        <item t="data" sd="1" m="1" x="31"/>
        <item t="data" sd="1" m="1" x="6"/>
        <item t="data" sd="1" m="1" x="32"/>
        <item t="data" sd="1" m="1" x="33"/>
        <item t="data" sd="1" m="1" x="34"/>
        <item t="data" sd="1" m="1" x="35"/>
        <item t="data" sd="1" m="1" x="36"/>
        <item t="data" sd="1" m="1" x="7"/>
        <item t="data" sd="1" m="1" x="37"/>
        <item t="data" sd="1" m="1" x="38"/>
        <item t="data" sd="1" m="1" x="39"/>
        <item t="data" sd="1" m="1" x="40"/>
        <item t="data" sd="1" m="1" x="8"/>
        <item t="data" sd="1" m="1" x="41"/>
        <item t="data" sd="1" m="1" x="42"/>
        <item t="data" sd="1" m="1" x="43"/>
        <item t="data" sd="1" m="1" x="44"/>
        <item t="data" sd="1" m="1" x="9"/>
        <item t="data" sd="1" m="1" x="45"/>
        <item t="data" sd="1" m="1" x="46"/>
        <item t="data" sd="1" m="1" x="47"/>
        <item t="data" sd="1" m="1" x="48"/>
        <item t="data" sd="1" m="1" x="10"/>
        <item t="data" sd="1" m="1" x="49"/>
        <item t="data" sd="1" m="1" x="50"/>
        <item t="data" sd="1" m="1" x="51"/>
        <item t="data" sd="1" m="1" x="52"/>
        <item t="data" sd="1" m="1" x="11"/>
        <item t="data" sd="1" m="1" x="53"/>
        <item t="data" sd="1" m="1" x="54"/>
        <item t="data" sd="1" m="1" x="55"/>
        <item t="data" sd="1" m="1" x="56"/>
        <item t="data" sd="1" m="1" x="12"/>
        <item t="data" sd="1" m="1" x="57"/>
        <item t="data" h="1" sd="1" m="1" x="58"/>
        <item t="data" h="1" sd="1" m="1" x="59"/>
        <item t="data" h="1" sd="1" m="1" x="60"/>
        <item t="data" sd="1" m="1" x="13"/>
        <item t="data" h="1" sd="1" m="1" x="73"/>
        <item t="data" h="1" sd="1" m="1" x="74"/>
        <item t="data" h="1" sd="1" m="1" x="75"/>
        <item t="data" h="1" sd="1" m="1" x="76"/>
        <item t="data" sd="1" m="1" x="14"/>
        <item t="data" h="1" sd="1" m="1" x="77"/>
        <item t="data" h="1" sd="1" m="1" x="78"/>
        <item t="data" h="1" sd="1" m="1" x="79"/>
        <item t="data" h="1" sd="1" m="1" x="80"/>
        <item t="data" sd="1" m="1" x="15"/>
        <item t="data" h="1" sd="1" m="1" x="81"/>
        <item t="data" h="1" sd="1" m="1" x="82"/>
        <item t="data" h="1" sd="1" m="1" x="83"/>
        <item t="data" h="1" sd="1" m="1" x="84"/>
        <item t="data" h="1" sd="1" m="1" x="85"/>
        <item t="data" sd="1" m="1" x="16"/>
        <item t="data" h="1" sd="1" m="1" x="86"/>
        <item t="data" h="1" sd="1" m="1" x="87"/>
        <item t="data" h="1" sd="1" m="1" x="88"/>
        <item t="data" h="1" sd="1" m="1" x="89"/>
        <item t="data" sd="1" m="1" x="17"/>
        <item t="data" h="1" sd="1" m="1" x="90"/>
        <item t="data" h="1" sd="1" m="1" x="190"/>
        <item t="data" h="1" sd="1" m="1" x="191"/>
        <item t="data" h="1" sd="1" m="1" x="192"/>
        <item t="data" sd="1" m="1" x="92"/>
        <item t="data" h="1" sd="1" m="1" x="193"/>
        <item t="data" h="1" sd="1" m="1" x="194"/>
        <item t="data" h="1" sd="1" m="1" x="195"/>
        <item t="data" h="1" sd="1" m="1" x="196"/>
        <item t="data" sd="1" m="1" x="93"/>
        <item t="data" h="1" sd="1" m="1" x="197"/>
        <item t="data" h="1" sd="1" m="1" x="198"/>
        <item t="data" h="1" sd="1" m="1" x="199"/>
        <item t="data" h="1" sd="1" m="1" x="200"/>
        <item t="data" sd="1" m="1" x="94"/>
        <item t="data" h="1" sd="1" m="1" x="201"/>
        <item t="data" h="1" sd="1" m="1" x="202"/>
        <item t="data" h="1" sd="1" m="1" x="203"/>
        <item t="data" h="1" sd="1" m="1" x="204"/>
        <item t="data" h="1" sd="1" m="1" x="205"/>
        <item t="data" sd="1" m="1" x="95"/>
        <item t="data" h="1" sd="1" m="1" x="206"/>
        <item t="data" h="1" sd="1" m="1" x="207"/>
        <item t="data" h="1" sd="1" m="1" x="208"/>
        <item t="data" h="1" sd="1" m="1" x="209"/>
        <item t="data" sd="1" m="1" x="96"/>
        <item t="data" h="1" sd="1" m="1" x="210"/>
        <item t="data" h="1" sd="1" m="1" x="211"/>
        <item t="data" h="1" sd="1" m="1" x="212"/>
        <item t="data" h="1" sd="1" m="1" x="213"/>
        <item t="data" sd="1" m="1" x="97"/>
        <item t="data" h="1" sd="1" m="1" x="214"/>
        <item t="data" h="1" sd="1" m="1" x="215"/>
        <item t="data" h="1" sd="1" m="1" x="216"/>
        <item t="data" h="1" sd="1" m="1" x="217"/>
        <item t="data" h="1" sd="1" m="1" x="218"/>
        <item t="data" sd="1" m="1" x="98"/>
        <item t="data" h="1" sd="1" m="1" x="219"/>
        <item t="data" h="1" sd="1" m="1" x="220"/>
        <item t="data" h="1" sd="1" m="1" x="221"/>
        <item t="data" h="1" sd="1" m="1" x="222"/>
        <item t="data" sd="1" m="1" x="63"/>
        <item t="data" h="1" sd="1" m="1" x="223"/>
        <item t="data" h="1" sd="1" m="1" x="224"/>
        <item t="data" h="1" sd="1" m="1" x="225"/>
        <item t="data" h="1" sd="1" m="1" x="226"/>
        <item t="data" sd="1" m="1" x="227"/>
        <item t="data" h="1" sd="1" m="1" x="228"/>
        <item t="data" h="1" sd="1" x="0"/>
        <item t="default" sd="1"/>
      </items>
    </pivotField>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4">
    <field x="2"/>
    <field x="3"/>
    <field x="4"/>
    <field x="0"/>
  </rowFields>
  <rowItems count="1">
    <i t="grand" r="0" i="0">
      <x v="0"/>
    </i>
  </rowItems>
  <colFields count="1">
    <field x="34"/>
  </colFields>
  <colItems count="1">
    <i t="grand" r="0" i="0">
      <x v="0"/>
    </i>
  </colItems>
  <dataFields count="1">
    <dataField name="_Effort" fld="35" subtotal="sum" showDataAs="normal" baseField="2" baseItem="11" numFmtId="165"/>
  </dataFields>
  <formats count="7">
    <format action="formatting" dxfId="382">
      <pivotArea type="normal" dataOnly="0" labelOnly="1" outline="0" fieldPosition="0">
        <references count="1">
          <reference field="4294967294">
            <x v="0"/>
          </reference>
        </references>
      </pivotArea>
    </format>
    <format action="formatting" dxfId="381">
      <pivotArea type="normal" dataOnly="0" labelOnly="1" grandRow="1" outline="0" fieldPosition="0"/>
    </format>
    <format action="formatting" dxfId="380">
      <pivotArea field="0" type="button" dataOnly="0" labelOnly="1" outline="0" axis="axisRow" fieldPosition="3"/>
    </format>
    <format action="formatting" dxfId="379">
      <pivotArea type="normal" dataOnly="0" labelOnly="1" outline="0" fieldPosition="0">
        <references count="1">
          <reference field="4294967294">
            <x v="0"/>
          </reference>
        </references>
      </pivotArea>
    </format>
    <format action="formatting" dxfId="378">
      <pivotArea field="10" type="button" dataOnly="0" labelOnly="1" outline="0"/>
    </format>
    <format action="formatting" dxfId="377">
      <pivotArea type="normal" dataOnly="1" outline="0" collapsedLevelsAreSubtotals="1" fieldPosition="0"/>
    </format>
    <format action="formatting" dxfId="376">
      <pivotArea type="normal" dataOnly="0" labelOnly="1" grandCol="1" outline="0" fieldPosition="0"/>
    </format>
  </formats>
  <chartFormats count="20">
    <chartFormat chart="0" format="11" series="1">
      <pivotArea type="data" dataOnly="1" outline="0" fieldPosition="0">
        <references count="5">
          <reference field="4294967294" selected="0">
            <x v="0"/>
          </reference>
          <reference field="0" selected="0">
            <x v="0"/>
          </reference>
          <reference field="2" selected="0">
            <x v="4"/>
          </reference>
          <reference field="3" selected="0">
            <x v="35"/>
          </reference>
          <reference field="4" selected="0">
            <x v="44"/>
          </reference>
        </references>
      </pivotArea>
    </chartFormat>
    <chartFormat chart="0" format="12" series="1">
      <pivotArea type="data" dataOnly="1" outline="0" fieldPosition="0">
        <references count="5">
          <reference field="4294967294" selected="0">
            <x v="0"/>
          </reference>
          <reference field="0" selected="0">
            <x v="0"/>
          </reference>
          <reference field="2" selected="0">
            <x v="4"/>
          </reference>
          <reference field="3" selected="0">
            <x v="35"/>
          </reference>
          <reference field="4" selected="0">
            <x v="68"/>
          </reference>
        </references>
      </pivotArea>
    </chartFormat>
    <chartFormat chart="0" format="13" series="1">
      <pivotArea type="data" dataOnly="1" outline="0" fieldPosition="0">
        <references count="5">
          <reference field="4294967294" selected="0">
            <x v="0"/>
          </reference>
          <reference field="0" selected="0">
            <x v="1"/>
          </reference>
          <reference field="2" selected="0">
            <x v="4"/>
          </reference>
          <reference field="3" selected="0">
            <x v="36"/>
          </reference>
          <reference field="4" selected="0">
            <x v="69"/>
          </reference>
        </references>
      </pivotArea>
    </chartFormat>
    <chartFormat chart="0" format="14" series="1">
      <pivotArea type="data" dataOnly="1" outline="0" fieldPosition="0">
        <references count="5">
          <reference field="4294967294" selected="0">
            <x v="0"/>
          </reference>
          <reference field="0" selected="0">
            <x v="1"/>
          </reference>
          <reference field="2" selected="0">
            <x v="5"/>
          </reference>
          <reference field="3" selected="0">
            <x v="16"/>
          </reference>
          <reference field="4" selected="0">
            <x v="14"/>
          </reference>
        </references>
      </pivotArea>
    </chartFormat>
    <chartFormat chart="0" format="15" series="1">
      <pivotArea type="data" dataOnly="1" outline="0" fieldPosition="0">
        <references count="5">
          <reference field="4294967294" selected="0">
            <x v="0"/>
          </reference>
          <reference field="0" selected="0">
            <x v="1"/>
          </reference>
          <reference field="2" selected="0">
            <x v="5"/>
          </reference>
          <reference field="3" selected="0">
            <x v="36"/>
          </reference>
          <reference field="4" selected="0">
            <x v="70"/>
          </reference>
        </references>
      </pivotArea>
    </chartFormat>
    <chartFormat chart="0" format="16" series="1">
      <pivotArea type="data" dataOnly="1" outline="0" fieldPosition="0">
        <references count="5">
          <reference field="4294967294" selected="0">
            <x v="0"/>
          </reference>
          <reference field="0" selected="0">
            <x v="0"/>
          </reference>
          <reference field="2" selected="0">
            <x v="5"/>
          </reference>
          <reference field="3" selected="0">
            <x v="37"/>
          </reference>
          <reference field="4" selected="0">
            <x v="6"/>
          </reference>
        </references>
      </pivotArea>
    </chartFormat>
    <chartFormat chart="0" format="17" series="1">
      <pivotArea type="data" dataOnly="1" outline="0" fieldPosition="0">
        <references count="5">
          <reference field="4294967294" selected="0">
            <x v="0"/>
          </reference>
          <reference field="0" selected="0">
            <x v="0"/>
          </reference>
          <reference field="2" selected="0">
            <x v="5"/>
          </reference>
          <reference field="3" selected="0">
            <x v="37"/>
          </reference>
          <reference field="4" selected="0">
            <x v="43"/>
          </reference>
        </references>
      </pivotArea>
    </chartFormat>
    <chartFormat chart="0" format="18" series="1">
      <pivotArea type="data" dataOnly="1" outline="0" fieldPosition="0">
        <references count="5">
          <reference field="4294967294" selected="0">
            <x v="0"/>
          </reference>
          <reference field="0" selected="0">
            <x v="0"/>
          </reference>
          <reference field="2" selected="0">
            <x v="5"/>
          </reference>
          <reference field="3" selected="0">
            <x v="37"/>
          </reference>
          <reference field="4" selected="0">
            <x v="44"/>
          </reference>
        </references>
      </pivotArea>
    </chartFormat>
    <chartFormat chart="0" format="19" series="1">
      <pivotArea type="data" dataOnly="1" outline="0" fieldPosition="0">
        <references count="5">
          <reference field="4294967294" selected="0">
            <x v="0"/>
          </reference>
          <reference field="0" selected="0">
            <x v="0"/>
          </reference>
          <reference field="2" selected="0">
            <x v="5"/>
          </reference>
          <reference field="3" selected="0">
            <x v="37"/>
          </reference>
          <reference field="4" selected="0">
            <x v="68"/>
          </reference>
        </references>
      </pivotArea>
    </chartFormat>
    <chartFormat chart="0" format="20" series="1">
      <pivotArea type="data" dataOnly="1" outline="0" fieldPosition="0">
        <references count="5">
          <reference field="4294967294" selected="0">
            <x v="0"/>
          </reference>
          <reference field="0" selected="0">
            <x v="5"/>
          </reference>
          <reference field="2" selected="0">
            <x v="0"/>
          </reference>
          <reference field="3" selected="0">
            <x v="14"/>
          </reference>
          <reference field="4" selected="0">
            <x v="7"/>
          </reference>
        </references>
      </pivotArea>
    </chartFormat>
    <chartFormat chart="0" format="21" series="1">
      <pivotArea type="data" dataOnly="1" outline="0" fieldPosition="0">
        <references count="5">
          <reference field="4294967294" selected="0">
            <x v="0"/>
          </reference>
          <reference field="0" selected="0">
            <x v="4"/>
          </reference>
          <reference field="2" selected="0">
            <x v="0"/>
          </reference>
          <reference field="3" selected="0">
            <x v="17"/>
          </reference>
          <reference field="4" selected="0">
            <x v="17"/>
          </reference>
        </references>
      </pivotArea>
    </chartFormat>
    <chartFormat chart="0" format="22" series="1">
      <pivotArea type="data" dataOnly="1" outline="0" fieldPosition="0">
        <references count="5">
          <reference field="4294967294" selected="0">
            <x v="0"/>
          </reference>
          <reference field="0" selected="0">
            <x v="1"/>
          </reference>
          <reference field="2" selected="0">
            <x v="0"/>
          </reference>
          <reference field="3" selected="0">
            <x v="38"/>
          </reference>
          <reference field="4" selected="0">
            <x v="52"/>
          </reference>
        </references>
      </pivotArea>
    </chartFormat>
    <chartFormat chart="0" format="23" series="1">
      <pivotArea type="data" dataOnly="1" outline="0" fieldPosition="0">
        <references count="5">
          <reference field="4294967294" selected="0">
            <x v="0"/>
          </reference>
          <reference field="0" selected="0">
            <x v="1"/>
          </reference>
          <reference field="2" selected="0">
            <x v="0"/>
          </reference>
          <reference field="3" selected="0">
            <x v="38"/>
          </reference>
          <reference field="4" selected="0">
            <x v="72"/>
          </reference>
        </references>
      </pivotArea>
    </chartFormat>
    <chartFormat chart="0" format="24" series="1">
      <pivotArea type="data" dataOnly="1" outline="0" fieldPosition="0">
        <references count="5">
          <reference field="4294967294" selected="0">
            <x v="0"/>
          </reference>
          <reference field="0" selected="0">
            <x v="1"/>
          </reference>
          <reference field="2" selected="0">
            <x v="4"/>
          </reference>
          <reference field="3" selected="0">
            <x v="16"/>
          </reference>
          <reference field="4" selected="0">
            <x v="14"/>
          </reference>
        </references>
      </pivotArea>
    </chartFormat>
    <chartFormat chart="0" format="25" series="1">
      <pivotArea type="data" dataOnly="1" outline="0" fieldPosition="0">
        <references count="5">
          <reference field="4294967294" selected="0">
            <x v="0"/>
          </reference>
          <reference field="0" selected="0">
            <x v="0"/>
          </reference>
          <reference field="2" selected="0">
            <x v="4"/>
          </reference>
          <reference field="3" selected="0">
            <x v="34"/>
          </reference>
          <reference field="4" selected="0">
            <x v="6"/>
          </reference>
        </references>
      </pivotArea>
    </chartFormat>
    <chartFormat chart="0" format="26" series="1">
      <pivotArea type="data" dataOnly="1" outline="0" fieldPosition="0">
        <references count="5">
          <reference field="4294967294" selected="0">
            <x v="0"/>
          </reference>
          <reference field="0" selected="0">
            <x v="0"/>
          </reference>
          <reference field="2" selected="0">
            <x v="4"/>
          </reference>
          <reference field="3" selected="0">
            <x v="34"/>
          </reference>
          <reference field="4" selected="0">
            <x v="43"/>
          </reference>
        </references>
      </pivotArea>
    </chartFormat>
    <chartFormat chart="0" format="27" series="1">
      <pivotArea type="data" dataOnly="1" outline="0" fieldPosition="0">
        <references count="5">
          <reference field="4294967294" selected="0">
            <x v="0"/>
          </reference>
          <reference field="0" selected="0">
            <x v="0"/>
          </reference>
          <reference field="2" selected="0">
            <x v="4"/>
          </reference>
          <reference field="3" selected="0">
            <x v="34"/>
          </reference>
          <reference field="4" selected="0">
            <x v="44"/>
          </reference>
        </references>
      </pivotArea>
    </chartFormat>
    <chartFormat chart="0" format="28" series="1">
      <pivotArea type="data" dataOnly="1" outline="0" fieldPosition="0">
        <references count="5">
          <reference field="4294967294" selected="0">
            <x v="0"/>
          </reference>
          <reference field="0" selected="0">
            <x v="0"/>
          </reference>
          <reference field="2" selected="0">
            <x v="4"/>
          </reference>
          <reference field="3" selected="0">
            <x v="34"/>
          </reference>
          <reference field="4" selected="0">
            <x v="68"/>
          </reference>
        </references>
      </pivotArea>
    </chartFormat>
    <chartFormat chart="0" format="29" series="1">
      <pivotArea type="data" dataOnly="1" outline="0" fieldPosition="0">
        <references count="5">
          <reference field="4294967294" selected="0">
            <x v="0"/>
          </reference>
          <reference field="0" selected="0">
            <x v="0"/>
          </reference>
          <reference field="2" selected="0">
            <x v="4"/>
          </reference>
          <reference field="3" selected="0">
            <x v="35"/>
          </reference>
          <reference field="4" selected="0">
            <x v="6"/>
          </reference>
        </references>
      </pivotArea>
    </chartFormat>
    <chartFormat chart="0" format="30" series="1">
      <pivotArea type="data" dataOnly="1" outline="0" fieldPosition="0">
        <references count="5">
          <reference field="4294967294" selected="0">
            <x v="0"/>
          </reference>
          <reference field="0" selected="0">
            <x v="0"/>
          </reference>
          <reference field="2" selected="0">
            <x v="4"/>
          </reference>
          <reference field="3" selected="0">
            <x v="35"/>
          </reference>
          <reference field="4" selected="0">
            <x v="43"/>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sk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9" fieldListSortAscending="0" mdxSubqueries="0" applyNumberFormats="0" applyBorderFormats="0" applyFontFormats="0" applyPatternFormats="0" applyAlignmentFormats="0" applyWidthHeightFormats="1" r:id="rId1">
  <location ref="A31:B33" firstHeaderRow="1" firstDataRow="2" firstDataCol="1"/>
  <pivotFields count="46">
    <pivotField showDropDowns="1" compact="0" outline="0" subtotalTop="1" dragToRow="1" dragToCol="1" dragToPage="1" dragToData="1" dragOff="1" showAll="0" topAutoShow="1" itemPageCount="10" sortType="manual" defaultSubtotal="0">
      <items count="16">
        <item t="data" sd="1" m="1" x="3"/>
        <item t="data" sd="1" x="0"/>
        <item t="data" h="1" sd="1" m="1" x="9"/>
        <item t="data" h="1" sd="1" m="1" x="13"/>
        <item t="data" sd="1" x="1"/>
        <item t="data" sd="1" x="2"/>
        <item t="data" h="1" sd="1" m="1" x="5"/>
        <item t="data" h="1" sd="1" m="1" x="12"/>
        <item t="data" h="1" sd="1" m="1" x="10"/>
        <item t="data" h="1" sd="1" m="1" x="11"/>
        <item t="data" h="1" sd="1" m="1" x="14"/>
        <item t="data" h="1" sd="1" m="1" x="8"/>
        <item t="data" sd="1" m="1" x="15"/>
        <item t="data" sd="1" m="1" x="7"/>
        <item t="data" h="1" sd="1" m="1" x="6"/>
        <item t="data" h="1" sd="1" m="1" x="4"/>
      </items>
    </pivotField>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1">
      <items count="53">
        <item t="data" sd="1" m="1" x="46"/>
        <item t="data" sd="1" m="1" x="49"/>
        <item t="data" sd="1" m="1" x="50"/>
        <item t="data" sd="1" m="1" x="51"/>
        <item t="data" sd="1" m="1" x="31"/>
        <item t="data" sd="1" m="1" x="32"/>
        <item t="data" sd="1" x="0"/>
        <item t="data" sd="1" m="1" x="47"/>
        <item t="data" sd="1" m="1" x="48"/>
        <item t="data" sd="1" m="1" x="33"/>
        <item t="data" sd="1" m="1" x="13"/>
        <item t="data" sd="1" m="1" x="39"/>
        <item t="data" sd="1" m="1" x="40"/>
        <item t="data" sd="1" m="1" x="41"/>
        <item t="data" sd="1" m="1" x="42"/>
        <item t="data" sd="1" m="1" x="43"/>
        <item t="data" sd="1" m="1" x="44"/>
        <item t="data" sd="1" m="1" x="45"/>
        <item t="data" sd="1" m="1" x="36"/>
        <item t="data" sd="1" m="1" x="37"/>
        <item t="data" sd="1" m="1" x="38"/>
        <item t="data" sd="1" m="1" x="17"/>
        <item t="data" sd="1" m="1" x="34"/>
        <item t="data" sd="1" m="1" x="19"/>
        <item t="data" sd="1" m="1" x="20"/>
        <item t="data" sd="1" m="1" x="21"/>
        <item t="data" sd="1" m="1" x="22"/>
        <item t="data" sd="1" m="1" x="23"/>
        <item t="data" sd="1" m="1" x="24"/>
        <item t="data" sd="1" m="1" x="25"/>
        <item t="data" sd="1" m="1" x="26"/>
        <item t="data" sd="1" m="1" x="27"/>
        <item t="data" sd="1" m="1" x="28"/>
        <item t="data" sd="1" m="1" x="35"/>
        <item t="data" sd="1" m="1" x="29"/>
        <item t="data" sd="1" m="1" x="30"/>
        <item t="data" sd="1" m="1" x="18"/>
        <item t="data" sd="1" m="1" x="1"/>
        <item t="data" sd="1" m="1" x="2"/>
        <item t="data" sd="1" m="1" x="3"/>
        <item t="data" sd="1" m="1" x="4"/>
        <item t="data" sd="1" m="1" x="5"/>
        <item t="data" sd="1" m="1" x="6"/>
        <item t="data" sd="1" m="1" x="7"/>
        <item t="data" sd="1" m="1" x="8"/>
        <item t="data" sd="1" m="1" x="9"/>
        <item t="data" sd="1" m="1" x="16"/>
        <item t="data" sd="1" m="1" x="11"/>
        <item t="data" sd="1" m="1" x="12"/>
        <item t="data" sd="1" m="1" x="15"/>
        <item t="data" sd="1" m="1" x="14"/>
        <item t="data" sd="1" m="1" x="10"/>
        <item t="default" sd="1"/>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sum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numFmtId="14" outline="0" subtotalTop="1" dragToRow="1" dragToCol="1" dragToPage="1" dragToData="1" dragOff="1" showAll="0" topAutoShow="1" itemPageCount="10" sortType="ascending" defaultSubtotal="1">
      <items count="248">
        <item t="data" h="1" sd="1" m="1" x="64"/>
        <item t="data" sd="1" m="1" x="246"/>
        <item t="data" sd="1" m="1" x="91"/>
        <item t="data" sd="1" m="1" x="61"/>
        <item t="data" sd="1" m="1" x="99"/>
        <item t="data" sd="1" m="1" x="229"/>
        <item t="data" sd="1" m="1" x="100"/>
        <item t="data" sd="1" m="1" x="101"/>
        <item t="data" sd="1" m="1" x="102"/>
        <item t="data" sd="1" m="1" x="103"/>
        <item t="data" sd="1" m="1" x="104"/>
        <item t="data" sd="1" m="1" x="105"/>
        <item t="data" sd="1" m="1" x="106"/>
        <item t="data" sd="1" m="1" x="107"/>
        <item t="data" sd="1" m="1" x="108"/>
        <item t="data" sd="1" m="1" x="230"/>
        <item t="data" sd="1" m="1" x="109"/>
        <item t="data" sd="1" m="1" x="110"/>
        <item t="data" sd="1" m="1" x="111"/>
        <item t="data" sd="1" m="1" x="112"/>
        <item t="data" sd="1" m="1" x="231"/>
        <item t="data" sd="1" m="1" x="113"/>
        <item t="data" sd="1" m="1" x="114"/>
        <item t="data" sd="1" m="1" x="115"/>
        <item t="data" sd="1" m="1" x="116"/>
        <item t="data" sd="1" m="1" x="117"/>
        <item t="data" sd="1" m="1" x="232"/>
        <item t="data" sd="1" m="1" x="118"/>
        <item t="data" sd="1" m="1" x="119"/>
        <item t="data" sd="1" m="1" x="120"/>
        <item t="data" sd="1" m="1" x="121"/>
        <item t="data" sd="1" m="1" x="233"/>
        <item t="data" sd="1" m="1" x="122"/>
        <item t="data" sd="1" m="1" x="123"/>
        <item t="data" sd="1" m="1" x="124"/>
        <item t="data" sd="1" m="1" x="125"/>
        <item t="data" sd="1" m="1" x="234"/>
        <item t="data" sd="1" m="1" x="126"/>
        <item t="data" sd="1" m="1" x="127"/>
        <item t="data" sd="1" m="1" x="128"/>
        <item t="data" sd="1" m="1" x="129"/>
        <item t="data" sd="1" m="1" x="130"/>
        <item t="data" sd="1" m="1" x="235"/>
        <item t="data" sd="1" m="1" x="131"/>
        <item t="data" sd="1" m="1" x="132"/>
        <item t="data" sd="1" m="1" x="133"/>
        <item t="data" sd="1" m="1" x="134"/>
        <item t="data" sd="1" m="1" x="236"/>
        <item t="data" sd="1" m="1" x="135"/>
        <item t="data" sd="1" m="1" x="136"/>
        <item t="data" sd="1" m="1" x="137"/>
        <item t="data" sd="1" m="1" x="138"/>
        <item t="data" sd="1" m="1" x="62"/>
        <item t="data" sd="1" m="1" x="139"/>
        <item t="data" sd="1" m="1" x="140"/>
        <item t="data" sd="1" m="1" x="141"/>
        <item t="data" sd="1" m="1" x="142"/>
        <item t="data" sd="1" m="1" x="237"/>
        <item t="data" sd="1" m="1" x="143"/>
        <item t="data" sd="1" m="1" x="144"/>
        <item t="data" sd="1" m="1" x="145"/>
        <item t="data" sd="1" m="1" x="146"/>
        <item t="data" sd="1" m="1" x="238"/>
        <item t="data" sd="1" m="1" x="147"/>
        <item t="data" sd="1" m="1" x="148"/>
        <item t="data" sd="1" m="1" x="149"/>
        <item t="data" sd="1" m="1" x="150"/>
        <item t="data" sd="1" m="1" x="151"/>
        <item t="data" sd="1" m="1" x="152"/>
        <item t="data" sd="1" m="1" x="153"/>
        <item t="data" sd="1" m="1" x="154"/>
        <item t="data" sd="1" m="1" x="155"/>
        <item t="data" sd="1" m="1" x="239"/>
        <item t="data" sd="1" m="1" x="156"/>
        <item t="data" sd="1" m="1" x="157"/>
        <item t="data" sd="1" m="1" x="158"/>
        <item t="data" sd="1" m="1" x="159"/>
        <item t="data" sd="1" m="1" x="240"/>
        <item t="data" sd="1" m="1" x="160"/>
        <item t="data" sd="1" m="1" x="161"/>
        <item t="data" sd="1" m="1" x="162"/>
        <item t="data" sd="1" m="1" x="163"/>
        <item t="data" sd="1" m="1" x="164"/>
        <item t="data" sd="1" m="1" x="165"/>
        <item t="data" sd="1" m="1" x="166"/>
        <item t="data" sd="1" m="1" x="167"/>
        <item t="data" sd="1" m="1" x="168"/>
        <item t="data" sd="1" m="1" x="241"/>
        <item t="data" sd="1" m="1" x="169"/>
        <item t="data" sd="1" m="1" x="170"/>
        <item t="data" sd="1" m="1" x="171"/>
        <item t="data" sd="1" m="1" x="172"/>
        <item t="data" sd="1" m="1" x="242"/>
        <item t="data" sd="1" m="1" x="173"/>
        <item t="data" sd="1" m="1" x="174"/>
        <item t="data" sd="1" m="1" x="175"/>
        <item t="data" sd="1" m="1" x="176"/>
        <item t="data" sd="1" m="1" x="177"/>
        <item t="data" sd="1" m="1" x="243"/>
        <item t="data" sd="1" m="1" x="178"/>
        <item t="data" sd="1" m="1" x="179"/>
        <item t="data" sd="1" m="1" x="180"/>
        <item t="data" sd="1" m="1" x="181"/>
        <item t="data" sd="1" m="1" x="244"/>
        <item t="data" sd="1" m="1" x="182"/>
        <item t="data" sd="1" m="1" x="183"/>
        <item t="data" sd="1" m="1" x="184"/>
        <item t="data" sd="1" m="1" x="185"/>
        <item t="data" sd="1" m="1" x="245"/>
        <item t="data" sd="1" m="1" x="186"/>
        <item t="data" sd="1" m="1" x="187"/>
        <item t="data" sd="1" m="1" x="188"/>
        <item t="data" sd="1" m="1" x="189"/>
        <item t="data" sd="1" m="1" x="65"/>
        <item t="data" sd="1" m="1" x="1"/>
        <item t="data" sd="1" m="1" x="66"/>
        <item t="data" sd="1" m="1" x="67"/>
        <item t="data" sd="1" m="1" x="68"/>
        <item t="data" sd="1" m="1" x="69"/>
        <item t="data" sd="1" m="1" x="2"/>
        <item t="data" sd="1" m="1" x="70"/>
        <item t="data" sd="1" m="1" x="71"/>
        <item t="data" sd="1" m="1" x="72"/>
        <item t="data" sd="1" m="1" x="18"/>
        <item t="data" sd="1" m="1" x="3"/>
        <item t="data" sd="1" m="1" x="19"/>
        <item t="data" sd="1" m="1" x="20"/>
        <item t="data" sd="1" m="1" x="21"/>
        <item t="data" sd="1" m="1" x="22"/>
        <item t="data" sd="1" m="1" x="23"/>
        <item t="data" sd="1" m="1" x="4"/>
        <item t="data" sd="1" m="1" x="24"/>
        <item t="data" sd="1" m="1" x="25"/>
        <item t="data" sd="1" m="1" x="26"/>
        <item t="data" sd="1" m="1" x="27"/>
        <item t="data" sd="1" m="1" x="5"/>
        <item t="data" sd="1" m="1" x="28"/>
        <item t="data" sd="1" m="1" x="29"/>
        <item t="data" sd="1" m="1" x="30"/>
        <item t="data" sd="1" m="1" x="31"/>
        <item t="data" sd="1" m="1" x="6"/>
        <item t="data" sd="1" m="1" x="32"/>
        <item t="data" sd="1" m="1" x="33"/>
        <item t="data" sd="1" m="1" x="34"/>
        <item t="data" sd="1" m="1" x="35"/>
        <item t="data" sd="1" m="1" x="36"/>
        <item t="data" sd="1" m="1" x="7"/>
        <item t="data" sd="1" m="1" x="37"/>
        <item t="data" sd="1" m="1" x="38"/>
        <item t="data" sd="1" m="1" x="39"/>
        <item t="data" sd="1" m="1" x="40"/>
        <item t="data" sd="1" m="1" x="8"/>
        <item t="data" sd="1" m="1" x="41"/>
        <item t="data" sd="1" m="1" x="42"/>
        <item t="data" sd="1" m="1" x="43"/>
        <item t="data" sd="1" m="1" x="44"/>
        <item t="data" sd="1" m="1" x="9"/>
        <item t="data" sd="1" m="1" x="45"/>
        <item t="data" sd="1" m="1" x="46"/>
        <item t="data" sd="1" m="1" x="47"/>
        <item t="data" sd="1" m="1" x="48"/>
        <item t="data" sd="1" m="1" x="10"/>
        <item t="data" sd="1" m="1" x="49"/>
        <item t="data" sd="1" m="1" x="50"/>
        <item t="data" sd="1" m="1" x="51"/>
        <item t="data" sd="1" m="1" x="52"/>
        <item t="data" sd="1" m="1" x="11"/>
        <item t="data" sd="1" m="1" x="53"/>
        <item t="data" sd="1" m="1" x="54"/>
        <item t="data" sd="1" m="1" x="55"/>
        <item t="data" sd="1" m="1" x="56"/>
        <item t="data" sd="1" m="1" x="12"/>
        <item t="data" sd="1" m="1" x="57"/>
        <item t="data" sd="1" m="1" x="58"/>
        <item t="data" sd="1" m="1" x="59"/>
        <item t="data" sd="1" m="1" x="60"/>
        <item t="data" sd="1" m="1" x="13"/>
        <item t="data" sd="1" m="1" x="73"/>
        <item t="data" sd="1" m="1" x="74"/>
        <item t="data" sd="1" m="1" x="75"/>
        <item t="data" sd="1" m="1" x="76"/>
        <item t="data" sd="1" m="1" x="14"/>
        <item t="data" sd="1" m="1" x="77"/>
        <item t="data" sd="1" m="1" x="78"/>
        <item t="data" sd="1" m="1" x="79"/>
        <item t="data" sd="1" m="1" x="80"/>
        <item t="data" sd="1" m="1" x="15"/>
        <item t="data" sd="1" m="1" x="81"/>
        <item t="data" sd="1" m="1" x="82"/>
        <item t="data" sd="1" m="1" x="83"/>
        <item t="data" sd="1" m="1" x="84"/>
        <item t="data" sd="1" m="1" x="85"/>
        <item t="data" sd="1" m="1" x="16"/>
        <item t="data" sd="1" m="1" x="86"/>
        <item t="data" sd="1" m="1" x="87"/>
        <item t="data" sd="1" m="1" x="88"/>
        <item t="data" sd="1" m="1" x="89"/>
        <item t="data" sd="1" m="1" x="17"/>
        <item t="data" sd="1" m="1" x="90"/>
        <item t="data" sd="1" m="1" x="190"/>
        <item t="data" sd="1" m="1" x="191"/>
        <item t="data" sd="1" m="1" x="192"/>
        <item t="data" sd="1" m="1" x="92"/>
        <item t="data" sd="1" m="1" x="193"/>
        <item t="data" sd="1" m="1" x="194"/>
        <item t="data" sd="1" m="1" x="195"/>
        <item t="data" sd="1" m="1" x="196"/>
        <item t="data" sd="1" m="1" x="93"/>
        <item t="data" sd="1" m="1" x="197"/>
        <item t="data" sd="1" m="1" x="198"/>
        <item t="data" sd="1" m="1" x="199"/>
        <item t="data" sd="1" m="1" x="200"/>
        <item t="data" sd="1" m="1" x="94"/>
        <item t="data" sd="1" m="1" x="201"/>
        <item t="data" sd="1" m="1" x="202"/>
        <item t="data" sd="1" m="1" x="203"/>
        <item t="data" sd="1" m="1" x="204"/>
        <item t="data" sd="1" m="1" x="205"/>
        <item t="data" sd="1" m="1" x="95"/>
        <item t="data" sd="1" m="1" x="206"/>
        <item t="data" sd="1" m="1" x="207"/>
        <item t="data" sd="1" m="1" x="208"/>
        <item t="data" sd="1" m="1" x="209"/>
        <item t="data" sd="1" m="1" x="96"/>
        <item t="data" sd="1" m="1" x="210"/>
        <item t="data" sd="1" m="1" x="211"/>
        <item t="data" sd="1" m="1" x="212"/>
        <item t="data" sd="1" m="1" x="213"/>
        <item t="data" sd="1" m="1" x="97"/>
        <item t="data" sd="1" m="1" x="214"/>
        <item t="data" sd="1" m="1" x="215"/>
        <item t="data" sd="1" m="1" x="216"/>
        <item t="data" sd="1" m="1" x="217"/>
        <item t="data" sd="1" m="1" x="218"/>
        <item t="data" sd="1" m="1" x="98"/>
        <item t="data" sd="1" m="1" x="219"/>
        <item t="data" sd="1" m="1" x="220"/>
        <item t="data" sd="1" m="1" x="221"/>
        <item t="data" sd="1" m="1" x="222"/>
        <item t="data" sd="1" m="1" x="63"/>
        <item t="data" sd="1" m="1" x="223"/>
        <item t="data" sd="1" m="1" x="224"/>
        <item t="data" sd="1" m="1" x="225"/>
        <item t="data" sd="1" m="1" x="226"/>
        <item t="data" sd="1" m="1" x="227"/>
        <item t="data" sd="1" m="1" x="228"/>
        <item t="data" h="1" sd="1" x="0"/>
        <item t="default" sd="1"/>
      </items>
    </pivotField>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1">
    <field x="34"/>
  </rowFields>
  <rowItems count="1">
    <i t="grand" r="0" i="0">
      <x v="0"/>
    </i>
  </rowItems>
  <colFields count="1">
    <field x="2"/>
  </colFields>
  <colItems count="1">
    <i t="grand" r="0" i="0">
      <x v="0"/>
    </i>
  </colItems>
  <dataFields count="1">
    <dataField name="_Effort" fld="35" subtotal="sum" showDataAs="normal" baseField="2" baseItem="11" numFmtId="165"/>
  </dataFields>
  <formats count="7">
    <format action="formatting" dxfId="375">
      <pivotArea type="normal" dataOnly="0" labelOnly="1" outline="0" fieldPosition="0">
        <references count="1">
          <reference field="4294967294">
            <x v="0"/>
          </reference>
        </references>
      </pivotArea>
    </format>
    <format action="formatting" dxfId="374">
      <pivotArea type="normal" dataOnly="0" labelOnly="1" grandRow="1" outline="0" fieldPosition="0"/>
    </format>
    <format action="formatting" dxfId="373">
      <pivotArea field="0" type="button" dataOnly="0" labelOnly="1" outline="0"/>
    </format>
    <format action="formatting" dxfId="372">
      <pivotArea type="normal" dataOnly="0" labelOnly="1" outline="0" fieldPosition="0">
        <references count="1">
          <reference field="4294967294">
            <x v="0"/>
          </reference>
        </references>
      </pivotArea>
    </format>
    <format action="formatting" dxfId="371">
      <pivotArea field="10" type="button" dataOnly="0" labelOnly="1" outline="0"/>
    </format>
    <format action="formatting" dxfId="370">
      <pivotArea type="normal" dataOnly="1" outline="0" collapsedLevelsAreSubtotals="1" fieldPosition="0"/>
    </format>
    <format action="formatting" dxfId="369">
      <pivotArea type="normal" dataOnly="0" labelOnly="1" grandCol="1" outline="0" fieldPosition="0"/>
    </format>
  </formats>
  <chartFormats count="48">
    <chartFormat chart="3" format="83" series="1">
      <pivotArea type="data" dataOnly="1" outline="0" fieldPosition="0">
        <references count="2">
          <reference field="4294967294" selected="0">
            <x v="0"/>
          </reference>
          <reference field="2" selected="0">
            <x v="0"/>
          </reference>
        </references>
      </pivotArea>
    </chartFormat>
    <chartFormat chart="3" format="84" series="1">
      <pivotArea type="data" dataOnly="1" outline="0" fieldPosition="0">
        <references count="2">
          <reference field="4294967294" selected="0">
            <x v="0"/>
          </reference>
          <reference field="2" selected="0">
            <x v="4"/>
          </reference>
        </references>
      </pivotArea>
    </chartFormat>
    <chartFormat chart="3" format="85" series="1">
      <pivotArea type="data" dataOnly="1" outline="0" fieldPosition="0">
        <references count="2">
          <reference field="4294967294" selected="0">
            <x v="0"/>
          </reference>
          <reference field="2" selected="0">
            <x v="5"/>
          </reference>
        </references>
      </pivotArea>
    </chartFormat>
    <chartFormat chart="3" format="86" series="1">
      <pivotArea type="data" dataOnly="1" outline="0" fieldPosition="0">
        <references count="2">
          <reference field="4294967294" selected="0">
            <x v="0"/>
          </reference>
          <reference field="2" selected="0">
            <x v="6"/>
          </reference>
        </references>
      </pivotArea>
    </chartFormat>
    <chartFormat chart="3" format="87" series="1">
      <pivotArea type="data" dataOnly="1" outline="0" fieldPosition="0">
        <references count="2">
          <reference field="4294967294" selected="0">
            <x v="0"/>
          </reference>
          <reference field="2" selected="0">
            <x v="10"/>
          </reference>
        </references>
      </pivotArea>
    </chartFormat>
    <chartFormat chart="3" format="88" series="1">
      <pivotArea type="data" dataOnly="1" outline="0" fieldPosition="0">
        <references count="2">
          <reference field="4294967294" selected="0">
            <x v="0"/>
          </reference>
          <reference field="2" selected="0">
            <x v="9"/>
          </reference>
        </references>
      </pivotArea>
    </chartFormat>
    <chartFormat chart="3" format="89" series="1">
      <pivotArea type="data" dataOnly="1" outline="0" fieldPosition="0">
        <references count="2">
          <reference field="4294967294" selected="0">
            <x v="0"/>
          </reference>
          <reference field="2" selected="0">
            <x v="16"/>
          </reference>
        </references>
      </pivotArea>
    </chartFormat>
    <chartFormat chart="3" format="90" series="1">
      <pivotArea type="data" dataOnly="1" outline="0" fieldPosition="0">
        <references count="2">
          <reference field="4294967294" selected="0">
            <x v="0"/>
          </reference>
          <reference field="2" selected="0">
            <x v="11"/>
          </reference>
        </references>
      </pivotArea>
    </chartFormat>
    <chartFormat chart="3" format="91" series="1">
      <pivotArea type="data" dataOnly="1" outline="0" fieldPosition="0">
        <references count="2">
          <reference field="4294967294" selected="0">
            <x v="0"/>
          </reference>
          <reference field="2" selected="0">
            <x v="12"/>
          </reference>
        </references>
      </pivotArea>
    </chartFormat>
    <chartFormat chart="3" format="92" series="1">
      <pivotArea type="data" dataOnly="1" outline="0" fieldPosition="0">
        <references count="2">
          <reference field="4294967294" selected="0">
            <x v="0"/>
          </reference>
          <reference field="2" selected="0">
            <x v="13"/>
          </reference>
        </references>
      </pivotArea>
    </chartFormat>
    <chartFormat chart="3" format="93" series="1">
      <pivotArea type="data" dataOnly="1" outline="0" fieldPosition="0">
        <references count="2">
          <reference field="4294967294" selected="0">
            <x v="0"/>
          </reference>
          <reference field="2" selected="0">
            <x v="14"/>
          </reference>
        </references>
      </pivotArea>
    </chartFormat>
    <chartFormat chart="3" format="94" series="1">
      <pivotArea type="data" dataOnly="1" outline="0" fieldPosition="0">
        <references count="2">
          <reference field="4294967294" selected="0">
            <x v="0"/>
          </reference>
          <reference field="2" selected="0">
            <x v="15"/>
          </reference>
        </references>
      </pivotArea>
    </chartFormat>
    <chartFormat chart="3" format="95" series="1">
      <pivotArea type="data" dataOnly="1" outline="0" fieldPosition="0">
        <references count="2">
          <reference field="4294967294" selected="0">
            <x v="0"/>
          </reference>
          <reference field="2" selected="0">
            <x v="17"/>
          </reference>
        </references>
      </pivotArea>
    </chartFormat>
    <chartFormat chart="3" format="96" series="1">
      <pivotArea type="data" dataOnly="1" outline="0" fieldPosition="0">
        <references count="2">
          <reference field="4294967294" selected="0">
            <x v="0"/>
          </reference>
          <reference field="2" selected="0">
            <x v="18"/>
          </reference>
        </references>
      </pivotArea>
    </chartFormat>
    <chartFormat chart="3" format="97" series="1">
      <pivotArea type="data" dataOnly="1" outline="0" fieldPosition="0">
        <references count="2">
          <reference field="4294967294" selected="0">
            <x v="0"/>
          </reference>
          <reference field="2" selected="0">
            <x v="19"/>
          </reference>
        </references>
      </pivotArea>
    </chartFormat>
    <chartFormat chart="3" format="98" series="1">
      <pivotArea type="data" dataOnly="1" outline="0" fieldPosition="0">
        <references count="2">
          <reference field="4294967294" selected="0">
            <x v="0"/>
          </reference>
          <reference field="2" selected="0">
            <x v="20"/>
          </reference>
        </references>
      </pivotArea>
    </chartFormat>
    <chartFormat chart="3" format="99" series="1">
      <pivotArea type="data" dataOnly="1" outline="0" fieldPosition="0">
        <references count="2">
          <reference field="4294967294" selected="0">
            <x v="0"/>
          </reference>
          <reference field="2" selected="0">
            <x v="21"/>
          </reference>
        </references>
      </pivotArea>
    </chartFormat>
    <chartFormat chart="3" format="100" series="1">
      <pivotArea type="data" dataOnly="1" outline="0" fieldPosition="0">
        <references count="2">
          <reference field="4294967294" selected="0">
            <x v="0"/>
          </reference>
          <reference field="2" selected="0">
            <x v="22"/>
          </reference>
        </references>
      </pivotArea>
    </chartFormat>
    <chartFormat chart="3" format="101" series="1">
      <pivotArea type="data" dataOnly="1" outline="0" fieldPosition="0">
        <references count="2">
          <reference field="4294967294" selected="0">
            <x v="0"/>
          </reference>
          <reference field="2" selected="0">
            <x v="23"/>
          </reference>
        </references>
      </pivotArea>
    </chartFormat>
    <chartFormat chart="3" format="102" series="1">
      <pivotArea type="data" dataOnly="1" outline="0" fieldPosition="0">
        <references count="2">
          <reference field="4294967294" selected="0">
            <x v="0"/>
          </reference>
          <reference field="2" selected="0">
            <x v="24"/>
          </reference>
        </references>
      </pivotArea>
    </chartFormat>
    <chartFormat chart="3" format="103" series="1">
      <pivotArea type="data" dataOnly="1" outline="0" fieldPosition="0">
        <references count="2">
          <reference field="4294967294" selected="0">
            <x v="0"/>
          </reference>
          <reference field="2" selected="0">
            <x v="25"/>
          </reference>
        </references>
      </pivotArea>
    </chartFormat>
    <chartFormat chart="3" format="104" series="1">
      <pivotArea type="data" dataOnly="1" outline="0" fieldPosition="0">
        <references count="2">
          <reference field="4294967294" selected="0">
            <x v="0"/>
          </reference>
          <reference field="2" selected="0">
            <x v="26"/>
          </reference>
        </references>
      </pivotArea>
    </chartFormat>
    <chartFormat chart="3" format="105" series="1">
      <pivotArea type="data" dataOnly="1" outline="0" fieldPosition="0">
        <references count="2">
          <reference field="4294967294" selected="0">
            <x v="0"/>
          </reference>
          <reference field="2" selected="0">
            <x v="27"/>
          </reference>
        </references>
      </pivotArea>
    </chartFormat>
    <chartFormat chart="3" format="106" series="1">
      <pivotArea type="data" dataOnly="1" outline="0" fieldPosition="0">
        <references count="2">
          <reference field="4294967294" selected="0">
            <x v="0"/>
          </reference>
          <reference field="2" selected="0">
            <x v="28"/>
          </reference>
        </references>
      </pivotArea>
    </chartFormat>
    <chartFormat chart="3" format="107" series="1">
      <pivotArea type="data" dataOnly="1" outline="0" fieldPosition="0">
        <references count="2">
          <reference field="4294967294" selected="0">
            <x v="0"/>
          </reference>
          <reference field="2" selected="0">
            <x v="29"/>
          </reference>
        </references>
      </pivotArea>
    </chartFormat>
    <chartFormat chart="3" format="108" series="1">
      <pivotArea type="data" dataOnly="1" outline="0" fieldPosition="0">
        <references count="2">
          <reference field="4294967294" selected="0">
            <x v="0"/>
          </reference>
          <reference field="2" selected="0">
            <x v="30"/>
          </reference>
        </references>
      </pivotArea>
    </chartFormat>
    <chartFormat chart="3" format="109" series="1">
      <pivotArea type="data" dataOnly="1" outline="0" fieldPosition="0">
        <references count="2">
          <reference field="4294967294" selected="0">
            <x v="0"/>
          </reference>
          <reference field="2" selected="0">
            <x v="31"/>
          </reference>
        </references>
      </pivotArea>
    </chartFormat>
    <chartFormat chart="3" format="110" series="1">
      <pivotArea type="data" dataOnly="1" outline="0" fieldPosition="0">
        <references count="2">
          <reference field="4294967294" selected="0">
            <x v="0"/>
          </reference>
          <reference field="2" selected="0">
            <x v="32"/>
          </reference>
        </references>
      </pivotArea>
    </chartFormat>
    <chartFormat chart="3" format="111" series="1">
      <pivotArea type="data" dataOnly="1" outline="0" fieldPosition="0">
        <references count="2">
          <reference field="4294967294" selected="0">
            <x v="0"/>
          </reference>
          <reference field="2" selected="0">
            <x v="33"/>
          </reference>
        </references>
      </pivotArea>
    </chartFormat>
    <chartFormat chart="3" format="112" series="1">
      <pivotArea type="data" dataOnly="1" outline="0" fieldPosition="0">
        <references count="2">
          <reference field="4294967294" selected="0">
            <x v="0"/>
          </reference>
          <reference field="2" selected="0">
            <x v="34"/>
          </reference>
        </references>
      </pivotArea>
    </chartFormat>
    <chartFormat chart="3" format="113" series="1">
      <pivotArea type="data" dataOnly="1" outline="0" fieldPosition="0">
        <references count="2">
          <reference field="4294967294" selected="0">
            <x v="0"/>
          </reference>
          <reference field="2" selected="0">
            <x v="35"/>
          </reference>
        </references>
      </pivotArea>
    </chartFormat>
    <chartFormat chart="3" format="114" series="1">
      <pivotArea type="data" dataOnly="1" outline="0" fieldPosition="0">
        <references count="2">
          <reference field="4294967294" selected="0">
            <x v="0"/>
          </reference>
          <reference field="2" selected="0">
            <x v="36"/>
          </reference>
        </references>
      </pivotArea>
    </chartFormat>
    <chartFormat chart="3" format="115" series="1">
      <pivotArea type="data" dataOnly="1" outline="0" fieldPosition="0">
        <references count="2">
          <reference field="4294967294" selected="0">
            <x v="0"/>
          </reference>
          <reference field="2" selected="0">
            <x v="37"/>
          </reference>
        </references>
      </pivotArea>
    </chartFormat>
    <chartFormat chart="3" format="116" series="1">
      <pivotArea type="data" dataOnly="1" outline="0" fieldPosition="0">
        <references count="2">
          <reference field="4294967294" selected="0">
            <x v="0"/>
          </reference>
          <reference field="2" selected="0">
            <x v="38"/>
          </reference>
        </references>
      </pivotArea>
    </chartFormat>
    <chartFormat chart="3" format="117" series="1">
      <pivotArea type="data" dataOnly="1" outline="0" fieldPosition="0">
        <references count="2">
          <reference field="4294967294" selected="0">
            <x v="0"/>
          </reference>
          <reference field="2" selected="0">
            <x v="39"/>
          </reference>
        </references>
      </pivotArea>
    </chartFormat>
    <chartFormat chart="3" format="118" series="1">
      <pivotArea type="data" dataOnly="1" outline="0" fieldPosition="0">
        <references count="2">
          <reference field="4294967294" selected="0">
            <x v="0"/>
          </reference>
          <reference field="2" selected="0">
            <x v="40"/>
          </reference>
        </references>
      </pivotArea>
    </chartFormat>
    <chartFormat chart="3" format="119" series="1">
      <pivotArea type="data" dataOnly="1" outline="0" fieldPosition="0">
        <references count="2">
          <reference field="4294967294" selected="0">
            <x v="0"/>
          </reference>
          <reference field="2" selected="0">
            <x v="41"/>
          </reference>
        </references>
      </pivotArea>
    </chartFormat>
    <chartFormat chart="3" format="120" series="1">
      <pivotArea type="data" dataOnly="1" outline="0" fieldPosition="0">
        <references count="2">
          <reference field="4294967294" selected="0">
            <x v="0"/>
          </reference>
          <reference field="2" selected="0">
            <x v="42"/>
          </reference>
        </references>
      </pivotArea>
    </chartFormat>
    <chartFormat chart="3" format="121" series="0">
      <pivotArea type="data" dataOnly="1" outline="0" fieldPosition="0">
        <references count="3">
          <reference field="4294967294" selected="0">
            <x v="0"/>
          </reference>
          <reference field="2" selected="0">
            <x v="40"/>
          </reference>
          <reference field="34" selected="0">
            <x v="149"/>
          </reference>
        </references>
      </pivotArea>
    </chartFormat>
    <chartFormat chart="3" format="122" series="1">
      <pivotArea type="data" dataOnly="1" outline="0" fieldPosition="0">
        <references count="1">
          <reference field="4294967294" selected="0">
            <x v="0"/>
          </reference>
        </references>
      </pivotArea>
    </chartFormat>
    <chartFormat chart="3" format="123" series="1">
      <pivotArea type="data" dataOnly="1" outline="0" fieldPosition="0">
        <references count="2">
          <reference field="4294967294" selected="0">
            <x v="0"/>
          </reference>
          <reference field="2" selected="0">
            <x v="44"/>
          </reference>
        </references>
      </pivotArea>
    </chartFormat>
    <chartFormat chart="3" format="124" series="1">
      <pivotArea type="data" dataOnly="1" outline="0" fieldPosition="0">
        <references count="2">
          <reference field="4294967294" selected="0">
            <x v="0"/>
          </reference>
          <reference field="2" selected="0">
            <x v="45"/>
          </reference>
        </references>
      </pivotArea>
    </chartFormat>
    <chartFormat chart="3" format="125" series="1">
      <pivotArea type="data" dataOnly="1" outline="0" fieldPosition="0">
        <references count="2">
          <reference field="4294967294" selected="0">
            <x v="0"/>
          </reference>
          <reference field="2" selected="0">
            <x v="46"/>
          </reference>
        </references>
      </pivotArea>
    </chartFormat>
    <chartFormat chart="3" format="126" series="1">
      <pivotArea type="data" dataOnly="1" outline="0" fieldPosition="0">
        <references count="2">
          <reference field="4294967294" selected="0">
            <x v="0"/>
          </reference>
          <reference field="2" selected="0">
            <x v="47"/>
          </reference>
        </references>
      </pivotArea>
    </chartFormat>
    <chartFormat chart="3" format="127" series="1">
      <pivotArea type="data" dataOnly="1" outline="0" fieldPosition="0">
        <references count="2">
          <reference field="4294967294" selected="0">
            <x v="0"/>
          </reference>
          <reference field="2" selected="0">
            <x v="48"/>
          </reference>
        </references>
      </pivotArea>
    </chartFormat>
    <chartFormat chart="3" format="128" series="1">
      <pivotArea type="data" dataOnly="1" outline="0" fieldPosition="0">
        <references count="2">
          <reference field="4294967294" selected="0">
            <x v="0"/>
          </reference>
          <reference field="2" selected="0">
            <x v="51"/>
          </reference>
        </references>
      </pivotArea>
    </chartFormat>
    <chartFormat chart="3" format="129" series="1">
      <pivotArea type="data" dataOnly="1" outline="0" fieldPosition="0">
        <references count="2">
          <reference field="4294967294" selected="0">
            <x v="0"/>
          </reference>
          <reference field="2" selected="0">
            <x v="43"/>
          </reference>
        </references>
      </pivotArea>
    </chartFormat>
    <chartFormat chart="3" format="130" series="1">
      <pivotArea type="data" dataOnly="1" outline="0" fieldPosition="0">
        <references count="2">
          <reference field="4294967294" selected="0">
            <x v="0"/>
          </reference>
          <reference field="2" selected="0">
            <x v="50"/>
          </reference>
        </references>
      </pivotArea>
    </chartFormat>
  </chart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Featur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4:J5" firstHeaderRow="0" firstDataRow="1" firstDataCol="6"/>
  <pivotFields count="46">
    <pivotField axis="axisRow" showDropDowns="1" compact="0" outline="0" subtotalTop="1" dragToRow="1" dragToCol="1" dragToPage="1" dragToData="1" dragOff="1" showAll="0" topAutoShow="1" itemPageCount="10" sortType="manual" defaultSubtotal="0">
      <items count="16">
        <item t="data" sd="1" m="1" x="3"/>
        <item t="data" h="1" sd="1" x="0"/>
        <item t="data" h="1" sd="1" m="1" x="9"/>
        <item t="data" h="1" sd="1" m="1" x="13"/>
        <item t="data" h="1" sd="1" x="1"/>
        <item t="data" h="1" sd="1" x="2"/>
        <item t="data" h="1" sd="1" m="1" x="5"/>
        <item t="data" h="1" sd="1" m="1" x="12"/>
        <item t="data" h="1" sd="1" m="1" x="10"/>
        <item t="data" sd="1" m="1" x="11"/>
        <item t="data" h="1" sd="1" m="1" x="14"/>
        <item t="data" h="1" sd="1" m="1" x="8"/>
        <item t="data" h="1" sd="1" m="1" x="15"/>
        <item t="data" h="1" sd="1" m="1" x="7"/>
        <item t="data" h="1" sd="1" m="1" x="6"/>
        <item t="data" h="1"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60">
        <item t="data" sd="1" m="1" x="1"/>
        <item t="data" sd="1" m="1" x="59"/>
        <item t="data" sd="1" m="1" x="58"/>
        <item t="data" sd="1" m="1" x="57"/>
        <item t="data" sd="1" m="1" x="55"/>
        <item t="data" sd="1" m="1" x="2"/>
        <item t="data" sd="1" m="1" x="3"/>
        <item t="data" sd="1" m="1" x="4"/>
        <item t="data" sd="1" m="1" x="5"/>
        <item t="data" sd="1" m="1" x="6"/>
        <item t="data" sd="1" m="1" x="7"/>
        <item t="data" sd="1" m="1" x="8"/>
        <item t="data" sd="1" m="1" x="9"/>
        <item t="data" sd="1" x="0"/>
        <item t="data" sd="1" m="1" x="54"/>
        <item t="data" sd="1" m="1" x="56"/>
        <item t="data" sd="1" m="1" x="53"/>
        <item t="data" sd="1" m="1" x="51"/>
        <item t="data" sd="1" m="1" x="52"/>
        <item t="data" sd="1" m="1" x="46"/>
        <item t="data" sd="1" m="1" x="48"/>
        <item t="data" sd="1" m="1" x="49"/>
        <item t="data" sd="1" m="1" x="47"/>
        <item t="data" sd="1" m="1" x="50"/>
        <item t="data" sd="1" m="1" x="10"/>
        <item t="data" sd="1" m="1" x="11"/>
        <item t="data" sd="1" m="1" x="12"/>
        <item t="data" sd="1" m="1" x="13"/>
        <item t="data" sd="1" m="1" x="14"/>
        <item t="data" sd="1" m="1" x="15"/>
        <item t="data" sd="1" m="1" x="16"/>
        <item t="data" sd="1" m="1" x="17"/>
        <item t="data" sd="1" m="1" x="18"/>
        <item t="data" sd="1" m="1" x="19"/>
        <item t="data" sd="1" m="1" x="20"/>
        <item t="data" sd="1" m="1" x="21"/>
        <item t="data" sd="1" m="1" x="22"/>
        <item t="data" sd="1" m="1" x="23"/>
        <item t="data" sd="1" m="1" x="24"/>
        <item t="data" sd="1" m="1" x="26"/>
        <item t="data" sd="1" m="1" x="27"/>
        <item t="data" sd="1" m="1" x="25"/>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24">
        <item t="data" sd="1" m="1" x="1"/>
        <item t="data" sd="1" m="1" x="2"/>
        <item t="data" sd="1" x="0"/>
        <item t="data" sd="1" m="1" x="20"/>
        <item t="data" sd="1" m="1" x="21"/>
        <item t="data" sd="1" m="1" x="22"/>
        <item t="data" sd="1" m="1" x="19"/>
        <item t="data" sd="1" m="1" x="16"/>
        <item t="data" sd="1" m="1" x="17"/>
        <item t="data" sd="1" m="1" x="18"/>
        <item t="data" sd="1" m="1" x="13"/>
        <item t="data" sd="1" m="1" x="14"/>
        <item t="data" sd="1" m="1" x="15"/>
        <item t="data" sd="1" m="1" x="9"/>
        <item t="data" sd="1" m="1" x="10"/>
        <item t="data" sd="1" m="1" x="11"/>
        <item t="data" sd="1" m="1" x="12"/>
        <item t="data" sd="1" m="1" x="8"/>
        <item t="data" sd="1" m="1" x="7"/>
        <item t="data" sd="1" m="1" x="3"/>
        <item t="data" sd="1" m="1" x="4"/>
        <item t="data" sd="1" m="1" x="6"/>
        <item t="data" sd="1" m="1" x="5"/>
        <item t="default" sd="1"/>
      </items>
    </pivotField>
    <pivotField axis="axisRow" showDropDowns="1" compact="0" outline="0" subtotalTop="1" dragToRow="1" dragToCol="1" dragToPage="1" dragToData="1" dragOff="1" showAll="0" topAutoShow="1" itemPageCount="10" sortType="manual" defaultSubtotal="0">
      <items count="33">
        <item t="data" sd="1" m="1" x="26"/>
        <item t="data" sd="1" m="1" x="27"/>
        <item t="data" sd="1" m="1" x="28"/>
        <item t="data" sd="1" m="1" x="29"/>
        <item t="data" sd="1" m="1" x="30"/>
        <item t="data" sd="1" m="1" x="31"/>
        <item t="data" sd="1" m="1" x="32"/>
        <item t="data" sd="1" x="0"/>
        <item t="data" sd="1" m="1" x="23"/>
        <item t="data" sd="1" m="1" x="24"/>
        <item t="data" sd="1" m="1" x="25"/>
        <item t="data" sd="1" m="1" x="14"/>
        <item t="data" sd="1" m="1" x="15"/>
        <item t="data" sd="1" m="1" x="16"/>
        <item t="data" sd="1" m="1" x="17"/>
        <item t="data" sd="1" m="1" x="22"/>
        <item t="data" sd="1" m="1" x="19"/>
        <item t="data" sd="1" m="1" x="20"/>
        <item t="data" sd="1" m="1" x="21"/>
        <item t="data" sd="1" m="1" x="18"/>
        <item t="data" sd="1" m="1" x="5"/>
        <item t="data" sd="1" m="1" x="6"/>
        <item t="data" sd="1" m="1" x="7"/>
        <item t="data" sd="1" m="1" x="8"/>
        <item t="data" sd="1" m="1" x="9"/>
        <item t="data" sd="1" m="1" x="10"/>
        <item t="data" sd="1" m="1" x="11"/>
        <item t="data" sd="1" m="1" x="12"/>
        <item t="data" sd="1" m="1" x="13"/>
        <item t="data" sd="1" m="1" x="1"/>
        <item t="data" sd="1" m="1" x="2"/>
        <item t="data" sd="1" m="1" x="3"/>
        <item t="data" sd="1" m="1" x="4"/>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axis="axisRow" showDropDowns="1" compact="0" outline="0" subtotalTop="1" dragToRow="1" dragToCol="1" dragToPage="1" dragToData="1" dragOff="1" showAll="0" topAutoShow="1" itemPageCount="10" sortType="manual" defaultSubtotal="0">
      <items count="49">
        <item t="data" sd="1" x="0"/>
        <item t="data" sd="1" m="1" x="45"/>
        <item t="data" sd="1" m="1" x="42"/>
        <item t="data" sd="1" m="1" x="48"/>
        <item t="data" sd="1" m="1" x="43"/>
        <item t="data" sd="1" m="1" x="40"/>
        <item t="data" sd="1" m="1" x="44"/>
        <item t="data" sd="1" m="1" x="46"/>
        <item t="data" sd="1" m="1" x="47"/>
        <item t="data" sd="1" m="1" x="39"/>
        <item t="data" sd="1" m="1" x="41"/>
        <item t="data" sd="1" m="1" x="36"/>
        <item t="data" sd="1" m="1" x="37"/>
        <item t="data" sd="1" m="1" x="38"/>
        <item t="data" sd="1" m="1" x="1"/>
        <item t="data" sd="1" m="1" x="2"/>
        <item t="data" sd="1" m="1" x="3"/>
        <item t="data" sd="1" m="1" x="4"/>
        <item t="data" sd="1" m="1" x="5"/>
        <item t="data" sd="1" m="1" x="6"/>
        <item t="data" sd="1" m="1" x="7"/>
        <item t="data" sd="1" m="1" x="8"/>
        <item t="data" sd="1" m="1" x="34"/>
        <item t="data" sd="1" m="1" x="35"/>
        <item t="data" sd="1" m="1" x="9"/>
        <item t="data" sd="1" m="1" x="10"/>
        <item t="data" sd="1" m="1" x="11"/>
        <item t="data" sd="1" m="1" x="12"/>
        <item t="data" sd="1" m="1" x="13"/>
        <item t="data" sd="1" m="1" x="14"/>
        <item t="data" sd="1" m="1" x="15"/>
        <item t="data" sd="1" m="1" x="16"/>
        <item t="data" sd="1" m="1" x="17"/>
        <item t="data" sd="1" m="1" x="18"/>
        <item t="data" sd="1" m="1" x="19"/>
        <item t="data" sd="1" m="1" x="20"/>
        <item t="data" sd="1" m="1" x="21"/>
        <item t="data" sd="1" m="1" x="22"/>
        <item t="data" sd="1" m="1" x="23"/>
        <item t="data" sd="1" m="1" x="24"/>
        <item t="data" sd="1" m="1" x="25"/>
        <item t="data" sd="1" m="1" x="26"/>
        <item t="data" sd="1" m="1" x="27"/>
        <item t="data" sd="1" m="1" x="28"/>
        <item t="data" sd="1" m="1" x="29"/>
        <item t="data" sd="1" m="1" x="30"/>
        <item t="data" sd="1" m="1" x="31"/>
        <item t="data" sd="1" m="1" x="32"/>
        <item t="data" sd="1" m="1" x="33"/>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sum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6">
    <field x="7"/>
    <field x="8"/>
    <field x="10"/>
    <field x="11"/>
    <field x="5"/>
    <field x="0"/>
  </rowFields>
  <rowItems count="1">
    <i t="grand" r="0" i="0">
      <x v="0"/>
    </i>
  </rowItems>
  <colFields count="1">
    <field x="-2"/>
  </colFields>
  <colItems count="4">
    <i t="data" r="0" i="0">
      <x v="0"/>
    </i>
    <i t="data" r="0" i="1">
      <x v="1"/>
    </i>
    <i t="data" r="0" i="2">
      <x v="2"/>
    </i>
    <i t="data" r="0" i="3">
      <x v="3"/>
    </i>
  </colItems>
  <dataFields count="4">
    <dataField name="_Effort" fld="35" subtotal="sum" showDataAs="normal" baseField="2" baseItem="11" numFmtId="165"/>
    <dataField name="_Costs" fld="39" subtotal="sum" showDataAs="normal" baseField="0" baseItem="0" numFmtId="4"/>
    <dataField name="_Price" fld="41" subtotal="sum" showDataAs="normal" baseField="0" baseItem="0" numFmtId="4"/>
    <dataField name="_Margin" fld="42" subtotal="sum" showDataAs="normal" baseField="0" baseItem="0" numFmtId="4"/>
  </dataFields>
  <formats count="12">
    <format action="formatting" dxfId="368">
      <pivotArea type="normal" dataOnly="0" labelOnly="1" outline="0" fieldPosition="0">
        <references count="1">
          <reference field="0"/>
        </references>
      </pivotArea>
    </format>
    <format action="formatting" dxfId="367">
      <pivotArea type="normal" dataOnly="1" outline="0" collapsedLevelsAreSubtotals="1" fieldPosition="0"/>
    </format>
    <format action="formatting" dxfId="366">
      <pivotArea type="normal" dataOnly="0" labelOnly="1" outline="0" fieldPosition="0">
        <references count="1">
          <reference field="4294967294">
            <x v="0"/>
          </reference>
        </references>
      </pivotArea>
    </format>
    <format action="formatting" dxfId="365">
      <pivotArea type="normal" dataOnly="0" labelOnly="1" grandRow="1" outline="0" fieldPosition="0"/>
    </format>
    <format action="formatting" dxfId="364">
      <pivotArea field="0" type="button" dataOnly="0" labelOnly="1" outline="0" axis="axisRow" fieldPosition="5"/>
    </format>
    <format action="formatting" dxfId="363">
      <pivotArea type="normal" dataOnly="0" labelOnly="1" outline="0" fieldPosition="0">
        <references count="1">
          <reference field="4294967294">
            <x v="0"/>
          </reference>
        </references>
      </pivotArea>
    </format>
    <format action="formatting" dxfId="362">
      <pivotArea field="10" type="button" dataOnly="0" labelOnly="1" outline="0" axis="axisRow" fieldPosition="2"/>
    </format>
    <format action="formatting" dxfId="361">
      <pivotArea type="normal" dataOnly="1" outline="0" fieldPosition="0">
        <references count="1">
          <reference field="4294967294">
            <x v="1"/>
          </reference>
        </references>
      </pivotArea>
    </format>
    <format action="formatting" dxfId="360">
      <pivotArea type="normal" dataOnly="1" outline="0" fieldPosition="0">
        <references count="1">
          <reference field="4294967294">
            <x v="2"/>
          </reference>
        </references>
      </pivotArea>
    </format>
    <format action="formatting" dxfId="359">
      <pivotArea type="normal" dataOnly="1" outline="0" fieldPosition="0">
        <references count="1">
          <reference field="4294967294">
            <x v="3"/>
          </reference>
        </references>
      </pivotArea>
    </format>
    <format action="formatting" dxfId="358">
      <pivotArea type="normal" dataOnly="1" outline="0" fieldPosition="0">
        <references count="1">
          <reference field="4294967294" selected="0">
            <x v="1"/>
            <x v="2"/>
            <x v="3"/>
          </reference>
        </references>
      </pivotArea>
    </format>
    <format action="formatting" dxfId="357">
      <pivotArea type="normal" dataOnly="0" labelOnly="1" outline="0" fieldPosition="0">
        <references count="1">
          <reference field="4294967294">
            <x v="1"/>
            <x v="2"/>
            <x v="3"/>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Rol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I8" firstHeaderRow="0" firstDataRow="1" firstDataCol="5" rowPageCount="1" colPageCount="1"/>
  <pivotFields count="46">
    <pivotField axis="axisPage" showDropDowns="1" compact="0" outline="0" subtotalTop="1" dragToRow="1" dragToCol="1" multipleItemSelectionAllowed="1" dragToPage="1" dragToData="1" dragOff="1" showAll="0" topAutoShow="1" itemPageCount="10" sortType="manual" defaultSubtotal="1">
      <items count="17">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68">
        <item t="data" sd="1" m="1" x="65"/>
        <item t="data" sd="1" m="1" x="63"/>
        <item t="data" sd="1" m="1" x="2"/>
        <item t="data" sd="1" m="1" x="59"/>
        <item t="data" sd="1" m="1" x="62"/>
        <item t="data" sd="1" m="1" x="56"/>
        <item t="data" sd="1" m="1" x="61"/>
        <item t="data" sd="1" m="1" x="5"/>
        <item t="data" sd="1" m="1" x="3"/>
        <item t="data" sd="1" m="1" x="7"/>
        <item t="data" sd="1" m="1" x="44"/>
        <item t="data" sd="1" m="1" x="57"/>
        <item t="data" sd="1" m="1" x="8"/>
        <item t="data" sd="1" m="1" x="38"/>
        <item t="data" sd="1" m="1" x="39"/>
        <item t="data" sd="1" m="1" x="45"/>
        <item t="data" sd="1" m="1" x="46"/>
        <item t="data" sd="1" m="1" x="43"/>
        <item t="data" sd="1" m="1" x="47"/>
        <item t="data" sd="1" m="1" x="12"/>
        <item t="data" sd="1" m="1" x="52"/>
        <item t="data" sd="1" m="1" x="54"/>
        <item t="data" sd="1" m="1" x="66"/>
        <item t="data" sd="1" m="1" x="58"/>
        <item t="data" sd="1" m="1" x="55"/>
        <item t="data" sd="1" m="1" x="67"/>
        <item t="data" sd="1" m="1" x="60"/>
        <item t="data" sd="1" m="1" x="64"/>
        <item t="data" sd="1" m="1" x="9"/>
        <item t="data" sd="1" m="1" x="48"/>
        <item t="data" sd="1" m="1" x="49"/>
        <item t="data" sd="1" m="1" x="42"/>
        <item t="data" sd="1" m="1" x="41"/>
        <item t="data" sd="1" m="1" x="40"/>
        <item t="data" sd="1" m="1" x="53"/>
        <item t="data" sd="1" m="1" x="50"/>
        <item t="data" sd="1" m="1" x="51"/>
        <item t="data" sd="1" x="0"/>
        <item t="data" sd="1" m="1" x="1"/>
        <item t="data" sd="1" m="1" x="6"/>
        <item t="data" sd="1" m="1" x="4"/>
        <item t="data" sd="1" m="1" x="13"/>
        <item t="data" sd="1" m="1" x="14"/>
        <item t="data" sd="1" m="1" x="37"/>
        <item t="data" sd="1" m="1" x="24"/>
        <item t="data" sd="1" m="1" x="23"/>
        <item t="data" sd="1" m="1" x="19"/>
        <item t="data" sd="1" m="1" x="20"/>
        <item t="data" sd="1" m="1" x="16"/>
        <item t="data" sd="1" m="1" x="15"/>
        <item t="data" sd="1" m="1" x="17"/>
        <item t="data" sd="1" m="1" x="18"/>
        <item t="data" sd="1" m="1" x="21"/>
        <item t="data" sd="1" m="1" x="22"/>
        <item t="data" sd="1" m="1" x="32"/>
        <item t="data" sd="1" m="1" x="33"/>
        <item t="data" sd="1" m="1" x="25"/>
        <item t="data" sd="1" m="1" x="35"/>
        <item t="data" sd="1" m="1" x="36"/>
        <item t="data" sd="1" m="1" x="34"/>
        <item t="data" sd="1" m="1" x="31"/>
        <item t="data" sd="1" m="1" x="29"/>
        <item t="data" sd="1" m="1" x="26"/>
        <item t="data" sd="1" m="1" x="30"/>
        <item t="data" sd="1" m="1" x="27"/>
        <item t="data" sd="1" m="1" x="28"/>
        <item t="data" sd="1" m="1" x="11"/>
        <item t="data" sd="1" m="1" x="10"/>
      </items>
    </pivotField>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4">
        <item t="data" sd="1" m="1" x="6"/>
        <item t="data" sd="1" m="1" x="3"/>
        <item t="data" sd="1" m="1" x="1"/>
        <item t="data" sd="1" x="0"/>
        <item t="data" sd="1" m="1" x="5"/>
        <item t="data" sd="1" m="1" x="13"/>
        <item t="data" sd="1" m="1" x="9"/>
        <item t="data" sd="1" m="1" x="10"/>
        <item t="data" sd="1" m="1" x="11"/>
        <item t="data" sd="1" m="1" x="12"/>
        <item t="data" sd="1" m="1" x="4"/>
        <item t="data" sd="1" m="1" x="8"/>
        <item t="data" sd="1" m="1" x="7"/>
        <item t="data" sd="1" m="1" x="2"/>
      </items>
    </pivotField>
    <pivotField axis="axisRow" showDropDowns="1" compact="0" outline="0" subtotalTop="1" dragToRow="1" dragToCol="1" dragToPage="1" dragToData="1" dragOff="1" showAll="0" topAutoShow="1" itemPageCount="10" sortType="manual" defaultSubtotal="0">
      <items count="9">
        <item t="data" sd="1" x="0"/>
        <item t="data" sd="1" m="1" x="1"/>
        <item t="data" sd="1" m="1" x="4"/>
        <item t="data" sd="1" m="1" x="6"/>
        <item t="data" sd="1" m="1" x="7"/>
        <item t="data" sd="1" m="1" x="8"/>
        <item t="data" sd="1" m="1" x="2"/>
        <item t="data" sd="1" m="1" x="5"/>
        <item t="data" sd="1" m="1" x="3"/>
      </items>
    </pivotField>
    <pivotField showDropDowns="1" compact="0" numFmtId="164"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0">
        <item t="data" sd="1" x="0"/>
        <item t="data" sd="1" m="1" x="4"/>
        <item t="data" sd="1" m="1" x="5"/>
        <item t="data" sd="1" m="1" x="6"/>
        <item t="data" sd="1" m="1" x="7"/>
        <item t="data" sd="1" m="1" x="8"/>
        <item t="data" sd="1" m="1" x="9"/>
        <item t="data" sd="1" m="1" x="1"/>
        <item t="data" sd="1" m="1" x="2"/>
        <item t="data" sd="1" m="1" x="3"/>
      </items>
    </pivotField>
    <pivotField axis="axisRow" showDropDowns="1" compact="0" outline="0" subtotalTop="1" dragToRow="1" dragToCol="1" dragToPage="1" dragToData="1" dragOff="1" showAll="0" topAutoShow="1" itemPageCount="10" sortType="manual" defaultSubtotal="0">
      <items count="10">
        <item t="data" sd="1" x="0"/>
        <item t="data" sd="1" m="1" x="1"/>
        <item t="data" sd="1" m="1" x="2"/>
        <item t="data" sd="1" m="1" x="5"/>
        <item t="data" sd="1" m="1" x="4"/>
        <item t="data" sd="1" m="1" x="9"/>
        <item t="data" sd="1" m="1" x="6"/>
        <item t="data" sd="1" m="1" x="7"/>
        <item t="data" sd="1" m="1" x="8"/>
        <item t="data" sd="1" m="1" x="3"/>
      </items>
    </pivotField>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5">
    <field x="26"/>
    <field x="29"/>
    <field x="30"/>
    <field x="32"/>
    <field x="33"/>
  </rowFields>
  <rowItems count="2">
    <i t="data" r="0" i="0">
      <x v="37"/>
      <x v="3"/>
      <x v="0"/>
      <x v="0"/>
      <x v="0"/>
    </i>
    <i t="grand" r="0" i="0">
      <x v="0"/>
    </i>
  </rowItems>
  <colFields count="1">
    <field x="-2"/>
  </colFields>
  <colItems count="4">
    <i t="data" r="0" i="0">
      <x v="0"/>
    </i>
    <i t="data" r="0" i="1">
      <x v="1"/>
    </i>
    <i t="data" r="0" i="2">
      <x v="2"/>
    </i>
    <i t="data" r="0" i="3">
      <x v="3"/>
    </i>
  </colItems>
  <pageFields count="1">
    <pageField fld="0" hier="-1"/>
  </pageFields>
  <dataFields count="4">
    <dataField name="_Effort" fld="35" subtotal="sum" showDataAs="normal" baseField="31" baseItem="3" numFmtId="165"/>
    <dataField name="_Costs" fld="39" subtotal="sum" showDataAs="normal" baseField="31" baseItem="3" numFmtId="4"/>
    <dataField name="_Price" fld="41" subtotal="sum" showDataAs="normal" baseField="31" baseItem="3" numFmtId="4"/>
    <dataField name="_Margin" fld="42" subtotal="sum" showDataAs="normal" baseField="31" baseItem="3" numFmtId="4"/>
  </dataFields>
  <formats count="12">
    <format action="formatting" dxfId="356">
      <pivotArea type="normal" dataOnly="0" labelOnly="1" grandRow="1" outline="0" fieldPosition="0"/>
    </format>
    <format action="formatting" dxfId="355">
      <pivotArea field="10" type="button" dataOnly="0" labelOnly="1" outline="0"/>
    </format>
    <format action="formatting" dxfId="354">
      <pivotArea field="0" type="button" dataOnly="0" labelOnly="1" outline="0" axis="axisPage" fieldPosition="0"/>
    </format>
    <format action="formatting" dxfId="353">
      <pivotArea field="10" type="button" dataOnly="0" labelOnly="1" outline="0"/>
    </format>
    <format action="formatting" dxfId="352">
      <pivotArea field="0" type="button" dataOnly="0" labelOnly="1" outline="0" axis="axisPage" fieldPosition="0"/>
    </format>
    <format action="formatting" dxfId="351">
      <pivotArea type="normal" dataOnly="1" outline="0" fieldPosition="0">
        <references count="1">
          <reference field="4294967294">
            <x v="1"/>
          </reference>
        </references>
      </pivotArea>
    </format>
    <format action="formatting" dxfId="350">
      <pivotArea type="normal" dataOnly="1" outline="0" fieldPosition="0">
        <references count="1">
          <reference field="4294967294">
            <x v="0"/>
          </reference>
        </references>
      </pivotArea>
    </format>
    <format action="formatting" dxfId="349">
      <pivotArea type="normal" dataOnly="1" outline="0" collapsedLevelsAreSubtotals="1" fieldPosition="0"/>
    </format>
    <format action="formatting" dxfId="348">
      <pivotArea type="normal" dataOnly="1" outline="0" fieldPosition="0">
        <references count="1">
          <reference field="4294967294" selected="0">
            <x v="0"/>
            <x v="1"/>
          </reference>
        </references>
      </pivotArea>
    </format>
    <format action="formatting" dxfId="347">
      <pivotArea type="normal" dataOnly="1" outline="0" fieldPosition="0">
        <references count="1">
          <reference field="4294967294">
            <x v="2"/>
          </reference>
        </references>
      </pivotArea>
    </format>
    <format action="formatting" dxfId="346">
      <pivotArea type="normal" dataOnly="1" outline="0" fieldPosition="0">
        <references count="1">
          <reference field="4294967294">
            <x v="3"/>
          </reference>
        </references>
      </pivotArea>
    </format>
    <format action="formatting" dxfId="345">
      <pivotArea type="normal" dataOnly="0" labelOnly="1" outline="0" fieldPosition="0">
        <references count="1">
          <reference field="4294967294">
            <x v="0"/>
            <x v="1"/>
            <x v="2"/>
            <x v="3"/>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Rol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12" fieldListSortAscending="0" mdxSubqueries="0" applyNumberFormats="0" applyBorderFormats="0" applyFontFormats="0" applyPatternFormats="0" applyAlignmentFormats="0" applyWidthHeightFormats="1" r:id="rId1">
  <location ref="A36:B38" firstHeaderRow="1" firstDataRow="1" firstDataCol="1" rowPageCount="4" colPageCount="1"/>
  <pivotFields count="46">
    <pivotField showDropDowns="1" compact="0" outline="0" subtotalTop="1" dragToRow="1" dragToCol="1" dragToPage="1" dragToData="1" dragOff="1" showAll="0" topAutoShow="1" itemPageCount="10" sortType="manual" defaultSubtotal="1">
      <items count="17">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68">
        <item t="data" sd="1" m="1" x="65"/>
        <item t="data" sd="1" m="1" x="63"/>
        <item t="data" sd="1" m="1" x="2"/>
        <item t="data" sd="1" m="1" x="59"/>
        <item t="data" sd="1" m="1" x="62"/>
        <item t="data" sd="1" m="1" x="56"/>
        <item t="data" sd="1" m="1" x="61"/>
        <item t="data" sd="1" m="1" x="5"/>
        <item t="data" sd="1" m="1" x="3"/>
        <item t="data" sd="1" m="1" x="7"/>
        <item t="data" sd="1" m="1" x="44"/>
        <item t="data" sd="1" m="1" x="57"/>
        <item t="data" sd="1" m="1" x="8"/>
        <item t="data" sd="1" m="1" x="38"/>
        <item t="data" sd="1" m="1" x="39"/>
        <item t="data" sd="1" m="1" x="45"/>
        <item t="data" sd="1" m="1" x="46"/>
        <item t="data" sd="1" m="1" x="43"/>
        <item t="data" sd="1" m="1" x="47"/>
        <item t="data" sd="1" m="1" x="12"/>
        <item t="data" sd="1" m="1" x="52"/>
        <item t="data" sd="1" m="1" x="54"/>
        <item t="data" sd="1" m="1" x="66"/>
        <item t="data" sd="1" m="1" x="58"/>
        <item t="data" sd="1" m="1" x="55"/>
        <item t="data" sd="1" m="1" x="67"/>
        <item t="data" sd="1" m="1" x="60"/>
        <item t="data" sd="1" m="1" x="64"/>
        <item t="data" sd="1" m="1" x="9"/>
        <item t="data" sd="1" m="1" x="48"/>
        <item t="data" sd="1" m="1" x="49"/>
        <item t="data" sd="1" m="1" x="42"/>
        <item t="data" sd="1" m="1" x="41"/>
        <item t="data" sd="1" m="1" x="40"/>
        <item t="data" sd="1" m="1" x="53"/>
        <item t="data" sd="1" m="1" x="50"/>
        <item t="data" sd="1" m="1" x="51"/>
        <item t="data" sd="1" x="0"/>
        <item t="data" sd="1" m="1" x="1"/>
        <item t="data" sd="1" m="1" x="6"/>
        <item t="data" sd="1" m="1" x="4"/>
        <item t="data" sd="1" m="1" x="13"/>
        <item t="data" sd="1" m="1" x="14"/>
        <item t="data" sd="1" m="1" x="37"/>
        <item t="data" sd="1" m="1" x="24"/>
        <item t="data" sd="1" m="1" x="23"/>
        <item t="data" sd="1" m="1" x="19"/>
        <item t="data" sd="1" m="1" x="20"/>
        <item t="data" sd="1" m="1" x="16"/>
        <item t="data" sd="1" m="1" x="15"/>
        <item t="data" sd="1" m="1" x="17"/>
        <item t="data" sd="1" m="1" x="18"/>
        <item t="data" sd="1" m="1" x="21"/>
        <item t="data" sd="1" m="1" x="22"/>
        <item t="data" sd="1" m="1" x="32"/>
        <item t="data" sd="1" m="1" x="33"/>
        <item t="data" sd="1" m="1" x="25"/>
        <item t="data" sd="1" m="1" x="35"/>
        <item t="data" sd="1" m="1" x="36"/>
        <item t="data" sd="1" m="1" x="34"/>
        <item t="data" sd="1" m="1" x="31"/>
        <item t="data" sd="1" m="1" x="29"/>
        <item t="data" sd="1" m="1" x="26"/>
        <item t="data" sd="1" m="1" x="30"/>
        <item t="data" sd="1" m="1" x="27"/>
        <item t="data" sd="1" m="1" x="28"/>
        <item t="data" sd="1" m="1" x="11"/>
        <item t="data" sd="1" m="1" x="10"/>
      </items>
    </pivotField>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0">
      <items count="14">
        <item t="data" sd="1" m="1" x="6"/>
        <item t="data" sd="1" m="1" x="3"/>
        <item t="data" sd="1" m="1" x="1"/>
        <item t="data" sd="1" x="0"/>
        <item t="data" sd="1" m="1" x="5"/>
        <item t="data" sd="1" m="1" x="13"/>
        <item t="data" sd="1" m="1" x="9"/>
        <item t="data" sd="1" m="1" x="10"/>
        <item t="data" sd="1" m="1" x="11"/>
        <item t="data" sd="1" m="1" x="12"/>
        <item t="data" sd="1" m="1" x="4"/>
        <item t="data" sd="1" m="1" x="8"/>
        <item t="data" sd="1" m="1" x="7"/>
        <item t="data" sd="1" m="1" x="2"/>
      </items>
    </pivotField>
    <pivotField axis="axisPage" showDropDowns="1" compact="0" outline="0" subtotalTop="1" dragToRow="1" dragToCol="1" dragToPage="1" dragToData="1" dragOff="1" showAll="0" topAutoShow="1" itemPageCount="10" sortType="manual" defaultSubtotal="0">
      <items count="9">
        <item t="data" sd="1" x="0"/>
        <item t="data" sd="1" m="1" x="1"/>
        <item t="data" sd="1" m="1" x="4"/>
        <item t="data" sd="1" m="1" x="6"/>
        <item t="data" sd="1" m="1" x="7"/>
        <item t="data" sd="1" m="1" x="8"/>
        <item t="data" sd="1" m="1" x="2"/>
        <item t="data" sd="1" m="1" x="5"/>
        <item t="data" sd="1" m="1" x="3"/>
      </items>
    </pivotField>
    <pivotField showDropDowns="1" compact="0" numFmtId="164"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0">
      <items count="10">
        <item t="data" sd="1" x="0"/>
        <item t="data" sd="1" m="1" x="4"/>
        <item t="data" sd="1" m="1" x="5"/>
        <item t="data" sd="1" m="1" x="6"/>
        <item t="data" sd="1" m="1" x="7"/>
        <item t="data" sd="1" m="1" x="8"/>
        <item t="data" sd="1" m="1" x="9"/>
        <item t="data" sd="1" m="1" x="1"/>
        <item t="data" sd="1" m="1" x="2"/>
        <item t="data" sd="1" m="1" x="3"/>
      </items>
    </pivotField>
    <pivotField axis="axisPage" showDropDowns="1" compact="0" outline="0" subtotalTop="1" dragToRow="1" dragToCol="1" dragToPage="1" dragToData="1" dragOff="1" showAll="0" topAutoShow="1" itemPageCount="10" sortType="manual" defaultSubtotal="0">
      <items count="10">
        <item t="data" sd="1" x="0"/>
        <item t="data" sd="1" m="1" x="1"/>
        <item t="data" sd="1" m="1" x="2"/>
        <item t="data" sd="1" m="1" x="5"/>
        <item t="data" sd="1" m="1" x="4"/>
        <item t="data" sd="1" m="1" x="9"/>
        <item t="data" sd="1" m="1" x="6"/>
        <item t="data" sd="1" m="1" x="7"/>
        <item t="data" sd="1" m="1" x="8"/>
        <item t="data" sd="1" m="1" x="3"/>
      </items>
    </pivotField>
    <pivotField showDropDowns="1" compact="0" numFmtId="14" outline="0" subtotalTop="1" dragToRow="1" dragToCol="1" dragToPage="1" dragToData="1" dragOff="1" showAll="0" topAutoShow="1" itemPageCount="10" sortType="ascending"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1">
    <field x="26"/>
  </rowFields>
  <rowItems count="2">
    <i t="data" r="0" i="0">
      <x v="37"/>
    </i>
    <i t="grand" r="0" i="0">
      <x v="0"/>
    </i>
  </rowItems>
  <colItems count="1">
    <i t="data" r="0" i="0"/>
  </colItems>
  <pageFields count="4">
    <pageField fld="29" hier="-1"/>
    <pageField fld="30" hier="-1"/>
    <pageField fld="32" hier="-1"/>
    <pageField fld="33" hier="-1"/>
  </pageFields>
  <dataFields count="1">
    <dataField name="Summe von Effort" fld="35" subtotal="sum" showDataAs="normal" baseField="29" baseItem="0" numFmtId="165"/>
  </dataFields>
  <formats count="7">
    <format action="formatting" dxfId="344">
      <pivotArea type="normal" dataOnly="1" outline="0" collapsedLevelsAreSubtotals="1" fieldPosition="0"/>
    </format>
    <format action="formatting" dxfId="343">
      <pivotArea type="normal" dataOnly="0" labelOnly="1" grandRow="1" outline="0" fieldPosition="0"/>
    </format>
    <format action="formatting" dxfId="342">
      <pivotArea field="10" type="button" dataOnly="0" labelOnly="1" outline="0"/>
    </format>
    <format action="formatting" dxfId="341">
      <pivotArea field="0" type="button" dataOnly="0" labelOnly="1" outline="0"/>
    </format>
    <format action="formatting" dxfId="340">
      <pivotArea field="10" type="button" dataOnly="0" labelOnly="1" outline="0"/>
    </format>
    <format action="formatting" dxfId="339">
      <pivotArea field="0" type="button" dataOnly="0" labelOnly="1" outline="0"/>
    </format>
    <format action="formatting" dxfId="338">
      <pivotArea type="normal" dataOnly="1" outline="0" fieldPosition="0">
        <references count="1">
          <reference field="4294967294">
            <x v="0"/>
          </reference>
        </references>
      </pivotArea>
    </format>
  </formats>
  <chartFormats count="13">
    <chartFormat chart="7" format="0" series="1">
      <pivotArea type="data" dataOnly="1" outline="0" fieldPosition="0">
        <references count="1">
          <reference field="4294967294" selected="0">
            <x v="0"/>
          </reference>
        </references>
      </pivotArea>
    </chartFormat>
    <chartFormat chart="7" format="1" series="0">
      <pivotArea type="data" dataOnly="1" outline="0" fieldPosition="0">
        <references count="2">
          <reference field="4294967294" selected="0">
            <x v="0"/>
          </reference>
          <reference field="26" selected="0">
            <x v="7"/>
          </reference>
        </references>
      </pivotArea>
    </chartFormat>
    <chartFormat chart="7" format="2" series="0">
      <pivotArea type="data" dataOnly="1" outline="0" fieldPosition="0">
        <references count="2">
          <reference field="4294967294" selected="0">
            <x v="0"/>
          </reference>
          <reference field="26" selected="0">
            <x v="9"/>
          </reference>
        </references>
      </pivotArea>
    </chartFormat>
    <chartFormat chart="7" format="3" series="0">
      <pivotArea type="data" dataOnly="1" outline="0" fieldPosition="0">
        <references count="2">
          <reference field="4294967294" selected="0">
            <x v="0"/>
          </reference>
          <reference field="26" selected="0">
            <x v="10"/>
          </reference>
        </references>
      </pivotArea>
    </chartFormat>
    <chartFormat chart="7" format="4" series="0">
      <pivotArea type="data" dataOnly="1" outline="0" fieldPosition="0">
        <references count="2">
          <reference field="4294967294" selected="0">
            <x v="0"/>
          </reference>
          <reference field="26" selected="0">
            <x v="12"/>
          </reference>
        </references>
      </pivotArea>
    </chartFormat>
    <chartFormat chart="7" format="5" series="0">
      <pivotArea type="data" dataOnly="1" outline="0" fieldPosition="0">
        <references count="2">
          <reference field="4294967294" selected="0">
            <x v="0"/>
          </reference>
          <reference field="26" selected="0">
            <x v="13"/>
          </reference>
        </references>
      </pivotArea>
    </chartFormat>
    <chartFormat chart="7" format="6" series="0">
      <pivotArea type="data" dataOnly="1" outline="0" fieldPosition="0">
        <references count="2">
          <reference field="4294967294" selected="0">
            <x v="0"/>
          </reference>
          <reference field="26" selected="0">
            <x v="15"/>
          </reference>
        </references>
      </pivotArea>
    </chartFormat>
    <chartFormat chart="7" format="7" series="0">
      <pivotArea type="data" dataOnly="1" outline="0" fieldPosition="0">
        <references count="2">
          <reference field="4294967294" selected="0">
            <x v="0"/>
          </reference>
          <reference field="26" selected="0">
            <x v="17"/>
          </reference>
        </references>
      </pivotArea>
    </chartFormat>
    <chartFormat chart="7" format="8" series="0">
      <pivotArea type="data" dataOnly="1" outline="0" fieldPosition="0">
        <references count="2">
          <reference field="4294967294" selected="0">
            <x v="0"/>
          </reference>
          <reference field="26" selected="0">
            <x v="19"/>
          </reference>
        </references>
      </pivotArea>
    </chartFormat>
    <chartFormat chart="7" format="9" series="0">
      <pivotArea type="data" dataOnly="1" outline="0" fieldPosition="0">
        <references count="2">
          <reference field="4294967294" selected="0">
            <x v="0"/>
          </reference>
          <reference field="26" selected="0">
            <x v="28"/>
          </reference>
        </references>
      </pivotArea>
    </chartFormat>
    <chartFormat chart="7" format="10" series="0">
      <pivotArea type="data" dataOnly="1" outline="0" fieldPosition="0">
        <references count="2">
          <reference field="4294967294" selected="0">
            <x v="0"/>
          </reference>
          <reference field="26" selected="0">
            <x v="14"/>
          </reference>
        </references>
      </pivotArea>
    </chartFormat>
    <chartFormat chart="7" format="11" series="0">
      <pivotArea type="data" dataOnly="1" outline="0" fieldPosition="0">
        <references count="2">
          <reference field="4294967294" selected="0">
            <x v="0"/>
          </reference>
          <reference field="26" selected="0">
            <x v="37"/>
          </reference>
        </references>
      </pivotArea>
    </chartFormat>
    <chartFormat chart="7" format="12" series="0">
      <pivotArea type="data" dataOnly="1" outline="0" fieldPosition="0">
        <references count="2">
          <reference field="4294967294" selected="0">
            <x v="0"/>
          </reference>
          <reference field="26" selected="0">
            <x v="2"/>
          </reference>
        </references>
      </pivotArea>
    </chartFormat>
  </chart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Rol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4:G7" firstHeaderRow="1" firstDataRow="2" firstDataCol="5"/>
  <pivotFields count="46">
    <pivotField showDropDowns="1" compact="0" outline="0" subtotalTop="1" dragToRow="1" dragToCol="1" dragToPage="1" dragToData="1" dragOff="1" showAll="0" topAutoShow="1" itemPageCount="10" sortType="manual" defaultSubtotal="1">
      <items count="17">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68">
        <item t="data" sd="1" m="1" x="65"/>
        <item t="data" sd="1" m="1" x="63"/>
        <item t="data" sd="1" m="1" x="2"/>
        <item t="data" sd="1" m="1" x="59"/>
        <item t="data" sd="1" m="1" x="62"/>
        <item t="data" sd="1" m="1" x="56"/>
        <item t="data" sd="1" m="1" x="61"/>
        <item t="data" sd="1" m="1" x="5"/>
        <item t="data" sd="1" m="1" x="3"/>
        <item t="data" sd="1" m="1" x="7"/>
        <item t="data" sd="1" m="1" x="44"/>
        <item t="data" sd="1" m="1" x="57"/>
        <item t="data" sd="1" m="1" x="8"/>
        <item t="data" sd="1" m="1" x="38"/>
        <item t="data" sd="1" m="1" x="39"/>
        <item t="data" sd="1" m="1" x="45"/>
        <item t="data" sd="1" m="1" x="46"/>
        <item t="data" sd="1" m="1" x="43"/>
        <item t="data" sd="1" m="1" x="47"/>
        <item t="data" sd="1" m="1" x="12"/>
        <item t="data" sd="1" m="1" x="52"/>
        <item t="data" sd="1" m="1" x="54"/>
        <item t="data" sd="1" m="1" x="66"/>
        <item t="data" sd="1" m="1" x="58"/>
        <item t="data" sd="1" m="1" x="55"/>
        <item t="data" sd="1" m="1" x="67"/>
        <item t="data" sd="1" m="1" x="60"/>
        <item t="data" sd="1" m="1" x="64"/>
        <item t="data" sd="1" m="1" x="9"/>
        <item t="data" sd="1" m="1" x="48"/>
        <item t="data" sd="1" m="1" x="49"/>
        <item t="data" sd="1" m="1" x="42"/>
        <item t="data" sd="1" m="1" x="41"/>
        <item t="data" sd="1" m="1" x="40"/>
        <item t="data" sd="1" m="1" x="53"/>
        <item t="data" sd="1" m="1" x="50"/>
        <item t="data" sd="1" m="1" x="51"/>
        <item t="data" sd="1" x="0"/>
        <item t="data" sd="1" m="1" x="1"/>
        <item t="data" sd="1" m="1" x="6"/>
        <item t="data" sd="1" m="1" x="4"/>
        <item t="data" sd="1" m="1" x="13"/>
        <item t="data" sd="1" m="1" x="14"/>
        <item t="data" sd="1" m="1" x="37"/>
        <item t="data" sd="1" m="1" x="24"/>
        <item t="data" sd="1" m="1" x="23"/>
        <item t="data" sd="1" m="1" x="19"/>
        <item t="data" sd="1" m="1" x="20"/>
        <item t="data" sd="1" m="1" x="16"/>
        <item t="data" sd="1" m="1" x="15"/>
        <item t="data" sd="1" m="1" x="17"/>
        <item t="data" sd="1" m="1" x="18"/>
        <item t="data" sd="1" m="1" x="21"/>
        <item t="data" sd="1" m="1" x="22"/>
        <item t="data" sd="1" m="1" x="32"/>
        <item t="data" sd="1" m="1" x="33"/>
        <item t="data" sd="1" m="1" x="25"/>
        <item t="data" sd="1" m="1" x="35"/>
        <item t="data" sd="1" m="1" x="36"/>
        <item t="data" sd="1" m="1" x="34"/>
        <item t="data" sd="1" m="1" x="31"/>
        <item t="data" sd="1" m="1" x="29"/>
        <item t="data" sd="1" m="1" x="26"/>
        <item t="data" sd="1" m="1" x="30"/>
        <item t="data" sd="1" m="1" x="27"/>
        <item t="data" sd="1" m="1" x="28"/>
        <item t="data" sd="1" m="1" x="11"/>
        <item t="data" sd="1" m="1" x="10"/>
      </items>
    </pivotField>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4">
        <item t="data" sd="1" m="1" x="6"/>
        <item t="data" sd="1" m="1" x="3"/>
        <item t="data" sd="1" m="1" x="1"/>
        <item t="data" sd="1" x="0"/>
        <item t="data" sd="1" m="1" x="5"/>
        <item t="data" sd="1" m="1" x="13"/>
        <item t="data" sd="1" m="1" x="9"/>
        <item t="data" sd="1" m="1" x="10"/>
        <item t="data" sd="1" m="1" x="11"/>
        <item t="data" sd="1" m="1" x="12"/>
        <item t="data" sd="1" m="1" x="4"/>
        <item t="data" sd="1" m="1" x="8"/>
        <item t="data" sd="1" m="1" x="7"/>
        <item t="data" sd="1" m="1" x="2"/>
      </items>
    </pivotField>
    <pivotField axis="axisRow" showDropDowns="1" compact="0" outline="0" subtotalTop="1" dragToRow="1" dragToCol="1" dragToPage="1" dragToData="1" dragOff="1" showAll="0" topAutoShow="1" itemPageCount="10" sortType="manual" defaultSubtotal="0">
      <items count="9">
        <item t="data" sd="1" x="0"/>
        <item t="data" sd="1" m="1" x="1"/>
        <item t="data" sd="1" m="1" x="4"/>
        <item t="data" sd="1" m="1" x="6"/>
        <item t="data" sd="1" m="1" x="7"/>
        <item t="data" sd="1" m="1" x="8"/>
        <item t="data" sd="1" m="1" x="2"/>
        <item t="data" sd="1" m="1" x="5"/>
        <item t="data" sd="1" m="1" x="3"/>
      </items>
    </pivotField>
    <pivotField showDropDowns="1" compact="0" numFmtId="164"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0">
        <item t="data" sd="1" x="0"/>
        <item t="data" sd="1" m="1" x="4"/>
        <item t="data" sd="1" m="1" x="5"/>
        <item t="data" sd="1" m="1" x="6"/>
        <item t="data" sd="1" m="1" x="7"/>
        <item t="data" sd="1" m="1" x="8"/>
        <item t="data" sd="1" m="1" x="9"/>
        <item t="data" sd="1" m="1" x="1"/>
        <item t="data" sd="1" m="1" x="2"/>
        <item t="data" sd="1" m="1" x="3"/>
      </items>
    </pivotField>
    <pivotField axis="axisRow" showDropDowns="1" compact="0" outline="0" subtotalTop="1" dragToRow="1" dragToCol="1" dragToPage="1" dragToData="1" dragOff="1" showAll="0" topAutoShow="1" itemPageCount="10" sortType="manual" defaultSubtotal="0">
      <items count="10">
        <item t="data" sd="1" x="0"/>
        <item t="data" sd="1" m="1" x="1"/>
        <item t="data" sd="1" m="1" x="2"/>
        <item t="data" sd="1" m="1" x="5"/>
        <item t="data" sd="1" m="1" x="4"/>
        <item t="data" sd="1" m="1" x="9"/>
        <item t="data" sd="1" m="1" x="6"/>
        <item t="data" sd="1" m="1" x="7"/>
        <item t="data" sd="1" m="1" x="8"/>
        <item t="data" sd="1" m="1" x="3"/>
      </items>
    </pivotField>
    <pivotField axis="axisCol" showDropDowns="1" compact="0" numFmtId="14" outline="0" subtotalTop="1" dragToRow="1" dragToCol="1" dragToPage="1" dragToData="1" dragOff="1" showAll="0" topAutoShow="1" itemPageCount="10" sortType="ascending" defaultSubtotal="1">
      <items count="248">
        <item t="data" sd="1" m="1" x="64"/>
        <item t="data" sd="1" m="1" x="246"/>
        <item t="data" sd="1" m="1" x="91"/>
        <item t="data" sd="1" m="1" x="61"/>
        <item t="data" sd="1" m="1" x="99"/>
        <item t="data" sd="1" m="1" x="229"/>
        <item t="data" sd="1" m="1" x="100"/>
        <item t="data" sd="1" m="1" x="101"/>
        <item t="data" sd="1" m="1" x="102"/>
        <item t="data" sd="1" m="1" x="103"/>
        <item t="data" sd="1" m="1" x="104"/>
        <item t="data" sd="1" m="1" x="105"/>
        <item t="data" sd="1" m="1" x="106"/>
        <item t="data" sd="1" m="1" x="107"/>
        <item t="data" sd="1" m="1" x="108"/>
        <item t="data" sd="1" m="1" x="230"/>
        <item t="data" sd="1" m="1" x="109"/>
        <item t="data" sd="1" m="1" x="110"/>
        <item t="data" sd="1" m="1" x="111"/>
        <item t="data" sd="1" m="1" x="112"/>
        <item t="data" sd="1" m="1" x="231"/>
        <item t="data" sd="1" m="1" x="113"/>
        <item t="data" sd="1" m="1" x="114"/>
        <item t="data" sd="1" m="1" x="115"/>
        <item t="data" sd="1" m="1" x="116"/>
        <item t="data" sd="1" m="1" x="117"/>
        <item t="data" sd="1" m="1" x="232"/>
        <item t="data" sd="1" m="1" x="118"/>
        <item t="data" sd="1" m="1" x="119"/>
        <item t="data" sd="1" m="1" x="120"/>
        <item t="data" sd="1" m="1" x="121"/>
        <item t="data" sd="1" m="1" x="233"/>
        <item t="data" sd="1" m="1" x="122"/>
        <item t="data" sd="1" m="1" x="123"/>
        <item t="data" sd="1" m="1" x="124"/>
        <item t="data" sd="1" m="1" x="125"/>
        <item t="data" sd="1" m="1" x="234"/>
        <item t="data" sd="1" m="1" x="126"/>
        <item t="data" sd="1" m="1" x="127"/>
        <item t="data" sd="1" m="1" x="128"/>
        <item t="data" sd="1" m="1" x="129"/>
        <item t="data" sd="1" m="1" x="130"/>
        <item t="data" sd="1" m="1" x="235"/>
        <item t="data" sd="1" m="1" x="131"/>
        <item t="data" sd="1" m="1" x="132"/>
        <item t="data" sd="1" m="1" x="133"/>
        <item t="data" sd="1" m="1" x="134"/>
        <item t="data" sd="1" m="1" x="236"/>
        <item t="data" sd="1" m="1" x="135"/>
        <item t="data" sd="1" m="1" x="136"/>
        <item t="data" sd="1" m="1" x="137"/>
        <item t="data" sd="1" m="1" x="138"/>
        <item t="data" sd="1" m="1" x="62"/>
        <item t="data" sd="1" m="1" x="139"/>
        <item t="data" sd="1" m="1" x="140"/>
        <item t="data" sd="1" m="1" x="141"/>
        <item t="data" sd="1" m="1" x="142"/>
        <item t="data" sd="1" m="1" x="237"/>
        <item t="data" sd="1" m="1" x="143"/>
        <item t="data" sd="1" m="1" x="144"/>
        <item t="data" sd="1" m="1" x="145"/>
        <item t="data" sd="1" m="1" x="146"/>
        <item t="data" sd="1" m="1" x="238"/>
        <item t="data" sd="1" m="1" x="147"/>
        <item t="data" sd="1" m="1" x="148"/>
        <item t="data" sd="1" m="1" x="149"/>
        <item t="data" sd="1" m="1" x="150"/>
        <item t="data" sd="1" m="1" x="151"/>
        <item t="data" sd="1" m="1" x="152"/>
        <item t="data" sd="1" m="1" x="153"/>
        <item t="data" sd="1" m="1" x="154"/>
        <item t="data" sd="1" m="1" x="155"/>
        <item t="data" sd="1" m="1" x="239"/>
        <item t="data" sd="1" m="1" x="156"/>
        <item t="data" sd="1" m="1" x="157"/>
        <item t="data" sd="1" m="1" x="158"/>
        <item t="data" sd="1" m="1" x="159"/>
        <item t="data" sd="1" m="1" x="240"/>
        <item t="data" sd="1" m="1" x="160"/>
        <item t="data" sd="1" m="1" x="161"/>
        <item t="data" sd="1" m="1" x="162"/>
        <item t="data" sd="1" m="1" x="163"/>
        <item t="data" sd="1" m="1" x="164"/>
        <item t="data" sd="1" m="1" x="165"/>
        <item t="data" sd="1" m="1" x="166"/>
        <item t="data" sd="1" m="1" x="167"/>
        <item t="data" sd="1" m="1" x="168"/>
        <item t="data" sd="1" m="1" x="241"/>
        <item t="data" sd="1" m="1" x="169"/>
        <item t="data" sd="1" m="1" x="170"/>
        <item t="data" sd="1" m="1" x="171"/>
        <item t="data" sd="1" m="1" x="172"/>
        <item t="data" sd="1" m="1" x="242"/>
        <item t="data" sd="1" m="1" x="173"/>
        <item t="data" sd="1" m="1" x="174"/>
        <item t="data" sd="1" m="1" x="175"/>
        <item t="data" sd="1" m="1" x="176"/>
        <item t="data" sd="1" m="1" x="177"/>
        <item t="data" sd="1" m="1" x="243"/>
        <item t="data" sd="1" m="1" x="178"/>
        <item t="data" sd="1" m="1" x="179"/>
        <item t="data" sd="1" m="1" x="180"/>
        <item t="data" sd="1" m="1" x="181"/>
        <item t="data" sd="1" m="1" x="244"/>
        <item t="data" sd="1" m="1" x="182"/>
        <item t="data" sd="1" m="1" x="183"/>
        <item t="data" sd="1" m="1" x="184"/>
        <item t="data" sd="1" m="1" x="185"/>
        <item t="data" sd="1" m="1" x="245"/>
        <item t="data" sd="1" m="1" x="186"/>
        <item t="data" sd="1" m="1" x="187"/>
        <item t="data" sd="1" m="1" x="188"/>
        <item t="data" sd="1" m="1" x="189"/>
        <item t="data" sd="1" m="1" x="65"/>
        <item t="data" sd="1" m="1" x="1"/>
        <item t="data" sd="1" m="1" x="66"/>
        <item t="data" sd="1" m="1" x="67"/>
        <item t="data" sd="1" m="1" x="68"/>
        <item t="data" sd="1" m="1" x="69"/>
        <item t="data" sd="1" m="1" x="2"/>
        <item t="data" sd="1" m="1" x="70"/>
        <item t="data" sd="1" m="1" x="71"/>
        <item t="data" sd="1" m="1" x="72"/>
        <item t="data" sd="1" m="1" x="18"/>
        <item t="data" sd="1" m="1" x="3"/>
        <item t="data" sd="1" m="1" x="19"/>
        <item t="data" sd="1" m="1" x="20"/>
        <item t="data" sd="1" m="1" x="21"/>
        <item t="data" sd="1" m="1" x="22"/>
        <item t="data" sd="1" m="1" x="23"/>
        <item t="data" sd="1" m="1" x="4"/>
        <item t="data" sd="1" m="1" x="24"/>
        <item t="data" sd="1" m="1" x="25"/>
        <item t="data" sd="1" m="1" x="26"/>
        <item t="data" sd="1" m="1" x="27"/>
        <item t="data" sd="1" m="1" x="5"/>
        <item t="data" sd="1" m="1" x="28"/>
        <item t="data" sd="1" m="1" x="29"/>
        <item t="data" sd="1" m="1" x="30"/>
        <item t="data" sd="1" m="1" x="31"/>
        <item t="data" sd="1" m="1" x="6"/>
        <item t="data" sd="1" m="1" x="32"/>
        <item t="data" sd="1" m="1" x="33"/>
        <item t="data" sd="1" m="1" x="34"/>
        <item t="data" sd="1" m="1" x="35"/>
        <item t="data" sd="1" m="1" x="36"/>
        <item t="data" sd="1" m="1" x="7"/>
        <item t="data" sd="1" m="1" x="37"/>
        <item t="data" sd="1" m="1" x="38"/>
        <item t="data" sd="1" m="1" x="39"/>
        <item t="data" sd="1" m="1" x="40"/>
        <item t="data" sd="1" m="1" x="8"/>
        <item t="data" sd="1" m="1" x="41"/>
        <item t="data" sd="1" m="1" x="42"/>
        <item t="data" sd="1" m="1" x="43"/>
        <item t="data" sd="1" m="1" x="44"/>
        <item t="data" sd="1" m="1" x="9"/>
        <item t="data" sd="1" m="1" x="45"/>
        <item t="data" sd="1" m="1" x="46"/>
        <item t="data" sd="1" m="1" x="47"/>
        <item t="data" sd="1" m="1" x="48"/>
        <item t="data" sd="1" m="1" x="10"/>
        <item t="data" sd="1" m="1" x="49"/>
        <item t="data" sd="1" m="1" x="50"/>
        <item t="data" sd="1" m="1" x="51"/>
        <item t="data" sd="1" m="1" x="52"/>
        <item t="data" sd="1" m="1" x="11"/>
        <item t="data" sd="1" m="1" x="53"/>
        <item t="data" sd="1" m="1" x="54"/>
        <item t="data" sd="1" m="1" x="55"/>
        <item t="data" sd="1" m="1" x="56"/>
        <item t="data" sd="1" m="1" x="12"/>
        <item t="data" sd="1" m="1" x="57"/>
        <item t="data" sd="1" m="1" x="58"/>
        <item t="data" sd="1" m="1" x="59"/>
        <item t="data" sd="1" m="1" x="60"/>
        <item t="data" sd="1" m="1" x="13"/>
        <item t="data" sd="1" m="1" x="73"/>
        <item t="data" sd="1" m="1" x="74"/>
        <item t="data" sd="1" m="1" x="75"/>
        <item t="data" sd="1" m="1" x="76"/>
        <item t="data" sd="1" m="1" x="14"/>
        <item t="data" sd="1" m="1" x="77"/>
        <item t="data" sd="1" m="1" x="78"/>
        <item t="data" sd="1" m="1" x="79"/>
        <item t="data" sd="1" m="1" x="80"/>
        <item t="data" sd="1" m="1" x="15"/>
        <item t="data" sd="1" m="1" x="81"/>
        <item t="data" sd="1" m="1" x="82"/>
        <item t="data" sd="1" m="1" x="83"/>
        <item t="data" sd="1" m="1" x="84"/>
        <item t="data" sd="1" m="1" x="85"/>
        <item t="data" sd="1" m="1" x="16"/>
        <item t="data" sd="1" m="1" x="86"/>
        <item t="data" sd="1" m="1" x="87"/>
        <item t="data" sd="1" m="1" x="88"/>
        <item t="data" sd="1" m="1" x="89"/>
        <item t="data" sd="1" m="1" x="17"/>
        <item t="data" sd="1" m="1" x="90"/>
        <item t="data" sd="1" m="1" x="190"/>
        <item t="data" sd="1" m="1" x="191"/>
        <item t="data" sd="1" m="1" x="192"/>
        <item t="data" sd="1" m="1" x="92"/>
        <item t="data" sd="1" m="1" x="193"/>
        <item t="data" sd="1" m="1" x="194"/>
        <item t="data" sd="1" m="1" x="195"/>
        <item t="data" sd="1" m="1" x="196"/>
        <item t="data" sd="1" m="1" x="93"/>
        <item t="data" sd="1" m="1" x="197"/>
        <item t="data" sd="1" m="1" x="198"/>
        <item t="data" sd="1" m="1" x="199"/>
        <item t="data" sd="1" m="1" x="200"/>
        <item t="data" sd="1" m="1" x="94"/>
        <item t="data" sd="1" m="1" x="201"/>
        <item t="data" sd="1" m="1" x="202"/>
        <item t="data" sd="1" m="1" x="203"/>
        <item t="data" sd="1" m="1" x="204"/>
        <item t="data" sd="1" m="1" x="205"/>
        <item t="data" sd="1" m="1" x="95"/>
        <item t="data" sd="1" m="1" x="206"/>
        <item t="data" sd="1" m="1" x="207"/>
        <item t="data" sd="1" m="1" x="208"/>
        <item t="data" sd="1" m="1" x="209"/>
        <item t="data" sd="1" m="1" x="96"/>
        <item t="data" sd="1" m="1" x="210"/>
        <item t="data" sd="1" m="1" x="211"/>
        <item t="data" sd="1" m="1" x="212"/>
        <item t="data" sd="1" m="1" x="213"/>
        <item t="data" sd="1" m="1" x="97"/>
        <item t="data" sd="1" m="1" x="214"/>
        <item t="data" sd="1" m="1" x="215"/>
        <item t="data" sd="1" m="1" x="216"/>
        <item t="data" sd="1" m="1" x="217"/>
        <item t="data" sd="1" m="1" x="218"/>
        <item t="data" sd="1" m="1" x="98"/>
        <item t="data" sd="1" m="1" x="219"/>
        <item t="data" sd="1" m="1" x="220"/>
        <item t="data" sd="1" m="1" x="221"/>
        <item t="data" sd="1" m="1" x="222"/>
        <item t="data" sd="1" m="1" x="63"/>
        <item t="data" sd="1" m="1" x="223"/>
        <item t="data" sd="1" m="1" x="224"/>
        <item t="data" sd="1" m="1" x="225"/>
        <item t="data" sd="1" m="1" x="226"/>
        <item t="data" sd="1" m="1" x="227"/>
        <item t="data" sd="1" m="1" x="228"/>
        <item t="data" sd="1" x="0"/>
        <item t="default" sd="1"/>
      </items>
    </pivotField>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5">
    <field x="26"/>
    <field x="29"/>
    <field x="30"/>
    <field x="32"/>
    <field x="33"/>
  </rowFields>
  <rowItems count="2">
    <i t="data" r="0" i="0">
      <x v="37"/>
      <x v="3"/>
      <x v="0"/>
      <x v="0"/>
      <x v="0"/>
    </i>
    <i t="grand" r="0" i="0">
      <x v="0"/>
    </i>
  </rowItems>
  <colFields count="1">
    <field x="34"/>
  </colFields>
  <colItems count="2">
    <i t="data" r="0" i="0">
      <x v="246"/>
    </i>
    <i t="grand" r="0" i="0">
      <x v="0"/>
    </i>
  </colItems>
  <dataFields count="1">
    <dataField name="Summe von Effort" fld="35" subtotal="sum" showDataAs="normal" baseField="29" baseItem="0" numFmtId="165"/>
  </dataFields>
  <formats count="7">
    <format action="formatting" dxfId="337">
      <pivotArea type="normal" dataOnly="1" outline="0" collapsedLevelsAreSubtotals="1" fieldPosition="0"/>
    </format>
    <format action="formatting" dxfId="336">
      <pivotArea type="normal" dataOnly="0" labelOnly="1" grandRow="1" outline="0" fieldPosition="0"/>
    </format>
    <format action="formatting" dxfId="335">
      <pivotArea field="10" type="button" dataOnly="0" labelOnly="1" outline="0"/>
    </format>
    <format action="formatting" dxfId="334">
      <pivotArea field="0" type="button" dataOnly="0" labelOnly="1" outline="0"/>
    </format>
    <format action="formatting" dxfId="333">
      <pivotArea field="10" type="button" dataOnly="0" labelOnly="1" outline="0"/>
    </format>
    <format action="formatting" dxfId="332">
      <pivotArea field="0" type="button" dataOnly="0" labelOnly="1" outline="0"/>
    </format>
    <format action="formatting" dxfId="331">
      <pivotArea type="normal" dataOnly="1" outline="0" fieldPosition="0">
        <references count="1">
          <reference field="4294967294">
            <x v="0"/>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Rol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2" fieldListSortAscending="0" mdxSubqueries="0" applyNumberFormats="0" applyBorderFormats="0" applyFontFormats="0" applyPatternFormats="0" applyAlignmentFormats="0" applyWidthHeightFormats="1" r:id="rId1">
  <location ref="A36:B38" firstHeaderRow="1" firstDataRow="2" firstDataCol="1" rowPageCount="4" colPageCount="1"/>
  <pivotFields count="46">
    <pivotField showDropDowns="1" compact="0" outline="0" subtotalTop="1" dragToRow="1" dragToCol="1" dragToPage="1" dragToData="1" dragOff="1" showAll="0" topAutoShow="1" itemPageCount="10" sortType="manual" defaultSubtotal="1">
      <items count="17">
        <item t="data" sd="1" m="1" x="3"/>
        <item t="data" sd="1" x="0"/>
        <item t="data" sd="1" m="1" x="9"/>
        <item t="data" sd="1" m="1" x="13"/>
        <item t="data" sd="1" x="1"/>
        <item t="data" sd="1" x="2"/>
        <item t="data" sd="1" m="1" x="5"/>
        <item t="data" sd="1" m="1" x="12"/>
        <item t="data" sd="1" m="1" x="10"/>
        <item t="data" sd="1" m="1" x="11"/>
        <item t="data" sd="1" m="1" x="14"/>
        <item t="data" sd="1" m="1" x="8"/>
        <item t="data" sd="1" m="1" x="15"/>
        <item t="data" sd="1" m="1" x="7"/>
        <item t="data" sd="1" m="1" x="6"/>
        <item t="data" sd="1" m="1" x="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0">
      <items count="68">
        <item t="data" sd="1" m="1" x="65"/>
        <item t="data" sd="1" m="1" x="63"/>
        <item t="data" sd="1" m="1" x="2"/>
        <item t="data" sd="1" m="1" x="59"/>
        <item t="data" sd="1" m="1" x="62"/>
        <item t="data" sd="1" m="1" x="56"/>
        <item t="data" sd="1" m="1" x="61"/>
        <item t="data" sd="1" m="1" x="5"/>
        <item t="data" sd="1" m="1" x="3"/>
        <item t="data" sd="1" m="1" x="7"/>
        <item t="data" sd="1" m="1" x="44"/>
        <item t="data" sd="1" m="1" x="57"/>
        <item t="data" sd="1" m="1" x="8"/>
        <item t="data" sd="1" m="1" x="38"/>
        <item t="data" sd="1" m="1" x="39"/>
        <item t="data" sd="1" m="1" x="45"/>
        <item t="data" sd="1" m="1" x="46"/>
        <item t="data" sd="1" m="1" x="43"/>
        <item t="data" sd="1" m="1" x="47"/>
        <item t="data" sd="1" m="1" x="12"/>
        <item t="data" sd="1" m="1" x="52"/>
        <item t="data" sd="1" m="1" x="54"/>
        <item t="data" sd="1" m="1" x="66"/>
        <item t="data" sd="1" m="1" x="58"/>
        <item t="data" sd="1" m="1" x="55"/>
        <item t="data" sd="1" m="1" x="67"/>
        <item t="data" sd="1" m="1" x="60"/>
        <item t="data" sd="1" m="1" x="64"/>
        <item t="data" sd="1" m="1" x="9"/>
        <item t="data" sd="1" m="1" x="48"/>
        <item t="data" sd="1" m="1" x="49"/>
        <item t="data" sd="1" m="1" x="42"/>
        <item t="data" sd="1" m="1" x="41"/>
        <item t="data" sd="1" m="1" x="40"/>
        <item t="data" sd="1" m="1" x="53"/>
        <item t="data" sd="1" m="1" x="50"/>
        <item t="data" sd="1" m="1" x="51"/>
        <item t="data" sd="1" x="0"/>
        <item t="data" sd="1" m="1" x="1"/>
        <item t="data" sd="1" m="1" x="6"/>
        <item t="data" sd="1" m="1" x="4"/>
        <item t="data" sd="1" m="1" x="13"/>
        <item t="data" sd="1" m="1" x="14"/>
        <item t="data" sd="1" m="1" x="37"/>
        <item t="data" sd="1" m="1" x="24"/>
        <item t="data" sd="1" m="1" x="23"/>
        <item t="data" sd="1" m="1" x="19"/>
        <item t="data" sd="1" m="1" x="20"/>
        <item t="data" sd="1" m="1" x="16"/>
        <item t="data" sd="1" m="1" x="15"/>
        <item t="data" sd="1" m="1" x="17"/>
        <item t="data" sd="1" m="1" x="18"/>
        <item t="data" sd="1" m="1" x="21"/>
        <item t="data" sd="1" m="1" x="22"/>
        <item t="data" sd="1" m="1" x="32"/>
        <item t="data" sd="1" m="1" x="33"/>
        <item t="data" sd="1" m="1" x="25"/>
        <item t="data" sd="1" m="1" x="35"/>
        <item t="data" sd="1" m="1" x="36"/>
        <item t="data" sd="1" m="1" x="34"/>
        <item t="data" sd="1" m="1" x="31"/>
        <item t="data" sd="1" m="1" x="29"/>
        <item t="data" sd="1" m="1" x="26"/>
        <item t="data" sd="1" m="1" x="30"/>
        <item t="data" sd="1" m="1" x="27"/>
        <item t="data" sd="1" m="1" x="28"/>
        <item t="data" sd="1" m="1" x="11"/>
        <item t="data" sd="1" m="1" x="10"/>
      </items>
    </pivotField>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0">
      <items count="14">
        <item t="data" sd="1" m="1" x="9"/>
        <item t="data" sd="1" m="1" x="6"/>
        <item t="data" sd="1" m="1" x="3"/>
        <item t="data" sd="1" m="1" x="1"/>
        <item t="data" sd="1" x="0"/>
        <item t="data" sd="1" m="1" x="13"/>
        <item t="data" sd="1" m="1" x="10"/>
        <item t="data" sd="1" m="1" x="11"/>
        <item t="data" sd="1" m="1" x="12"/>
        <item t="data" sd="1" m="1" x="5"/>
        <item t="data" sd="1" m="1" x="4"/>
        <item t="data" sd="1" m="1" x="8"/>
        <item t="data" sd="1" m="1" x="7"/>
        <item t="data" sd="1" m="1" x="2"/>
      </items>
    </pivotField>
    <pivotField axis="axisPage" showDropDowns="1" compact="0" outline="0" subtotalTop="1" dragToRow="1" dragToCol="1" dragToPage="1" dragToData="1" dragOff="1" showAll="0" topAutoShow="1" itemPageCount="10" sortType="manual" defaultSubtotal="0">
      <items count="9">
        <item t="data" sd="1" x="0"/>
        <item t="data" sd="1" m="1" x="1"/>
        <item t="data" sd="1" m="1" x="6"/>
        <item t="data" sd="1" m="1" x="7"/>
        <item t="data" sd="1" m="1" x="8"/>
        <item t="data" sd="1" m="1" x="4"/>
        <item t="data" sd="1" m="1" x="2"/>
        <item t="data" sd="1" m="1" x="5"/>
        <item t="data" sd="1" m="1" x="3"/>
      </items>
    </pivotField>
    <pivotField showDropDowns="1" compact="0" numFmtId="164"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0">
      <items count="10">
        <item t="data" sd="1" x="0"/>
        <item t="data" sd="1" m="1" x="5"/>
        <item t="data" sd="1" m="1" x="1"/>
        <item t="data" sd="1" m="1" x="6"/>
        <item t="data" sd="1" m="1" x="7"/>
        <item t="data" sd="1" m="1" x="8"/>
        <item t="data" sd="1" m="1" x="9"/>
        <item t="data" sd="1" m="1" x="4"/>
        <item t="data" sd="1" m="1" x="2"/>
        <item t="data" sd="1" m="1" x="3"/>
      </items>
    </pivotField>
    <pivotField axis="axisPage" showDropDowns="1" compact="0" outline="0" subtotalTop="1" dragToRow="1" dragToCol="1" dragToPage="1" dragToData="1" dragOff="1" showAll="0" topAutoShow="1" itemPageCount="10" sortType="manual" defaultSubtotal="0">
      <items count="10">
        <item t="data" sd="1" x="0"/>
        <item t="data" sd="1" m="1" x="9"/>
        <item t="data" sd="1" m="1" x="1"/>
        <item t="data" sd="1" m="1" x="2"/>
        <item t="data" sd="1" m="1" x="6"/>
        <item t="data" sd="1" m="1" x="7"/>
        <item t="data" sd="1" m="1" x="5"/>
        <item t="data" sd="1" m="1" x="8"/>
        <item t="data" sd="1" m="1" x="4"/>
        <item t="data" sd="1" m="1" x="3"/>
      </items>
    </pivotField>
    <pivotField axis="axisRow" showDropDowns="1" compact="0" numFmtId="14" outline="0" subtotalTop="1" dragToRow="1" dragToCol="1" dragToPage="1" dragToData="1" dragOff="1" showAll="0" topAutoShow="1" itemPageCount="10" sortType="ascending" defaultSubtotal="1">
      <items count="248">
        <item t="data" h="1" sd="1" m="1" x="64"/>
        <item t="data" sd="1" m="1" x="246"/>
        <item t="data" sd="1" m="1" x="91"/>
        <item t="data" sd="1" m="1" x="61"/>
        <item t="data" sd="1" m="1" x="99"/>
        <item t="data" sd="1" m="1" x="229"/>
        <item t="data" sd="1" m="1" x="100"/>
        <item t="data" sd="1" m="1" x="101"/>
        <item t="data" sd="1" m="1" x="102"/>
        <item t="data" sd="1" m="1" x="103"/>
        <item t="data" sd="1" m="1" x="104"/>
        <item t="data" sd="1" m="1" x="105"/>
        <item t="data" sd="1" m="1" x="106"/>
        <item t="data" sd="1" m="1" x="107"/>
        <item t="data" sd="1" m="1" x="108"/>
        <item t="data" sd="1" m="1" x="230"/>
        <item t="data" sd="1" m="1" x="109"/>
        <item t="data" sd="1" m="1" x="110"/>
        <item t="data" sd="1" m="1" x="111"/>
        <item t="data" sd="1" m="1" x="112"/>
        <item t="data" sd="1" m="1" x="231"/>
        <item t="data" sd="1" m="1" x="113"/>
        <item t="data" sd="1" m="1" x="114"/>
        <item t="data" sd="1" m="1" x="115"/>
        <item t="data" sd="1" m="1" x="116"/>
        <item t="data" sd="1" m="1" x="117"/>
        <item t="data" sd="1" m="1" x="232"/>
        <item t="data" sd="1" m="1" x="118"/>
        <item t="data" sd="1" m="1" x="119"/>
        <item t="data" sd="1" m="1" x="120"/>
        <item t="data" sd="1" m="1" x="121"/>
        <item t="data" sd="1" m="1" x="233"/>
        <item t="data" sd="1" m="1" x="122"/>
        <item t="data" sd="1" m="1" x="123"/>
        <item t="data" sd="1" m="1" x="124"/>
        <item t="data" sd="1" m="1" x="125"/>
        <item t="data" sd="1" m="1" x="234"/>
        <item t="data" sd="1" m="1" x="126"/>
        <item t="data" sd="1" m="1" x="127"/>
        <item t="data" sd="1" m="1" x="128"/>
        <item t="data" sd="1" m="1" x="129"/>
        <item t="data" sd="1" m="1" x="130"/>
        <item t="data" sd="1" m="1" x="235"/>
        <item t="data" sd="1" m="1" x="131"/>
        <item t="data" sd="1" m="1" x="132"/>
        <item t="data" sd="1" m="1" x="133"/>
        <item t="data" sd="1" m="1" x="134"/>
        <item t="data" sd="1" m="1" x="236"/>
        <item t="data" sd="1" m="1" x="135"/>
        <item t="data" sd="1" m="1" x="136"/>
        <item t="data" sd="1" m="1" x="137"/>
        <item t="data" sd="1" m="1" x="138"/>
        <item t="data" sd="1" m="1" x="62"/>
        <item t="data" sd="1" m="1" x="139"/>
        <item t="data" sd="1" m="1" x="140"/>
        <item t="data" sd="1" m="1" x="141"/>
        <item t="data" sd="1" m="1" x="142"/>
        <item t="data" sd="1" m="1" x="237"/>
        <item t="data" sd="1" m="1" x="143"/>
        <item t="data" sd="1" m="1" x="144"/>
        <item t="data" sd="1" m="1" x="145"/>
        <item t="data" sd="1" m="1" x="146"/>
        <item t="data" sd="1" m="1" x="238"/>
        <item t="data" sd="1" m="1" x="147"/>
        <item t="data" sd="1" m="1" x="148"/>
        <item t="data" sd="1" m="1" x="149"/>
        <item t="data" sd="1" m="1" x="150"/>
        <item t="data" sd="1" m="1" x="151"/>
        <item t="data" sd="1" m="1" x="152"/>
        <item t="data" sd="1" m="1" x="153"/>
        <item t="data" sd="1" m="1" x="154"/>
        <item t="data" sd="1" m="1" x="155"/>
        <item t="data" sd="1" m="1" x="239"/>
        <item t="data" sd="1" m="1" x="156"/>
        <item t="data" sd="1" m="1" x="157"/>
        <item t="data" sd="1" m="1" x="158"/>
        <item t="data" sd="1" m="1" x="159"/>
        <item t="data" sd="1" m="1" x="240"/>
        <item t="data" sd="1" m="1" x="160"/>
        <item t="data" sd="1" m="1" x="161"/>
        <item t="data" sd="1" m="1" x="162"/>
        <item t="data" sd="1" m="1" x="163"/>
        <item t="data" sd="1" m="1" x="164"/>
        <item t="data" sd="1" m="1" x="165"/>
        <item t="data" sd="1" m="1" x="166"/>
        <item t="data" sd="1" m="1" x="167"/>
        <item t="data" sd="1" m="1" x="168"/>
        <item t="data" sd="1" m="1" x="241"/>
        <item t="data" sd="1" m="1" x="169"/>
        <item t="data" sd="1" m="1" x="170"/>
        <item t="data" sd="1" m="1" x="171"/>
        <item t="data" sd="1" m="1" x="172"/>
        <item t="data" sd="1" m="1" x="242"/>
        <item t="data" sd="1" m="1" x="173"/>
        <item t="data" sd="1" m="1" x="174"/>
        <item t="data" sd="1" m="1" x="175"/>
        <item t="data" sd="1" m="1" x="176"/>
        <item t="data" sd="1" m="1" x="177"/>
        <item t="data" sd="1" m="1" x="243"/>
        <item t="data" sd="1" m="1" x="178"/>
        <item t="data" sd="1" m="1" x="179"/>
        <item t="data" sd="1" m="1" x="180"/>
        <item t="data" sd="1" m="1" x="181"/>
        <item t="data" sd="1" m="1" x="244"/>
        <item t="data" sd="1" m="1" x="182"/>
        <item t="data" sd="1" m="1" x="183"/>
        <item t="data" sd="1" m="1" x="184"/>
        <item t="data" sd="1" m="1" x="185"/>
        <item t="data" sd="1" m="1" x="245"/>
        <item t="data" sd="1" m="1" x="186"/>
        <item t="data" sd="1" m="1" x="187"/>
        <item t="data" sd="1" m="1" x="188"/>
        <item t="data" sd="1" m="1" x="189"/>
        <item t="data" sd="1" m="1" x="65"/>
        <item t="data" sd="1" m="1" x="1"/>
        <item t="data" sd="1" m="1" x="66"/>
        <item t="data" sd="1" m="1" x="67"/>
        <item t="data" sd="1" m="1" x="68"/>
        <item t="data" sd="1" m="1" x="69"/>
        <item t="data" sd="1" m="1" x="2"/>
        <item t="data" sd="1" m="1" x="70"/>
        <item t="data" sd="1" m="1" x="71"/>
        <item t="data" sd="1" m="1" x="72"/>
        <item t="data" sd="1" m="1" x="18"/>
        <item t="data" sd="1" m="1" x="3"/>
        <item t="data" sd="1" m="1" x="19"/>
        <item t="data" sd="1" m="1" x="20"/>
        <item t="data" sd="1" m="1" x="21"/>
        <item t="data" sd="1" m="1" x="22"/>
        <item t="data" sd="1" m="1" x="23"/>
        <item t="data" sd="1" m="1" x="4"/>
        <item t="data" sd="1" m="1" x="24"/>
        <item t="data" sd="1" m="1" x="25"/>
        <item t="data" sd="1" m="1" x="26"/>
        <item t="data" sd="1" m="1" x="27"/>
        <item t="data" sd="1" m="1" x="5"/>
        <item t="data" sd="1" m="1" x="28"/>
        <item t="data" sd="1" m="1" x="29"/>
        <item t="data" sd="1" m="1" x="30"/>
        <item t="data" sd="1" m="1" x="31"/>
        <item t="data" sd="1" m="1" x="6"/>
        <item t="data" sd="1" m="1" x="32"/>
        <item t="data" sd="1" m="1" x="33"/>
        <item t="data" sd="1" m="1" x="34"/>
        <item t="data" sd="1" m="1" x="35"/>
        <item t="data" sd="1" m="1" x="36"/>
        <item t="data" sd="1" m="1" x="7"/>
        <item t="data" sd="1" m="1" x="37"/>
        <item t="data" sd="1" m="1" x="38"/>
        <item t="data" sd="1" m="1" x="39"/>
        <item t="data" sd="1" m="1" x="40"/>
        <item t="data" sd="1" m="1" x="8"/>
        <item t="data" sd="1" m="1" x="41"/>
        <item t="data" sd="1" m="1" x="42"/>
        <item t="data" sd="1" m="1" x="43"/>
        <item t="data" sd="1" m="1" x="44"/>
        <item t="data" sd="1" m="1" x="9"/>
        <item t="data" sd="1" m="1" x="45"/>
        <item t="data" sd="1" m="1" x="46"/>
        <item t="data" sd="1" m="1" x="47"/>
        <item t="data" sd="1" m="1" x="48"/>
        <item t="data" sd="1" m="1" x="10"/>
        <item t="data" sd="1" m="1" x="49"/>
        <item t="data" sd="1" m="1" x="50"/>
        <item t="data" sd="1" m="1" x="51"/>
        <item t="data" sd="1" m="1" x="52"/>
        <item t="data" sd="1" m="1" x="11"/>
        <item t="data" sd="1" m="1" x="53"/>
        <item t="data" sd="1" m="1" x="54"/>
        <item t="data" sd="1" m="1" x="55"/>
        <item t="data" sd="1" m="1" x="56"/>
        <item t="data" sd="1" m="1" x="12"/>
        <item t="data" sd="1" m="1" x="57"/>
        <item t="data" sd="1" m="1" x="58"/>
        <item t="data" sd="1" m="1" x="59"/>
        <item t="data" sd="1" m="1" x="60"/>
        <item t="data" sd="1" m="1" x="13"/>
        <item t="data" sd="1" m="1" x="73"/>
        <item t="data" sd="1" m="1" x="74"/>
        <item t="data" sd="1" m="1" x="75"/>
        <item t="data" sd="1" m="1" x="76"/>
        <item t="data" sd="1" m="1" x="14"/>
        <item t="data" sd="1" m="1" x="77"/>
        <item t="data" sd="1" m="1" x="78"/>
        <item t="data" sd="1" m="1" x="79"/>
        <item t="data" sd="1" m="1" x="80"/>
        <item t="data" sd="1" m="1" x="15"/>
        <item t="data" sd="1" m="1" x="81"/>
        <item t="data" sd="1" m="1" x="82"/>
        <item t="data" sd="1" m="1" x="83"/>
        <item t="data" sd="1" m="1" x="84"/>
        <item t="data" sd="1" m="1" x="85"/>
        <item t="data" sd="1" m="1" x="16"/>
        <item t="data" sd="1" m="1" x="86"/>
        <item t="data" sd="1" m="1" x="87"/>
        <item t="data" sd="1" m="1" x="88"/>
        <item t="data" sd="1" m="1" x="89"/>
        <item t="data" sd="1" m="1" x="17"/>
        <item t="data" sd="1" m="1" x="90"/>
        <item t="data" sd="1" m="1" x="190"/>
        <item t="data" sd="1" m="1" x="191"/>
        <item t="data" sd="1" m="1" x="192"/>
        <item t="data" sd="1" m="1" x="92"/>
        <item t="data" sd="1" m="1" x="193"/>
        <item t="data" sd="1" m="1" x="194"/>
        <item t="data" sd="1" m="1" x="195"/>
        <item t="data" sd="1" m="1" x="196"/>
        <item t="data" sd="1" m="1" x="93"/>
        <item t="data" sd="1" m="1" x="197"/>
        <item t="data" sd="1" m="1" x="198"/>
        <item t="data" sd="1" m="1" x="199"/>
        <item t="data" sd="1" m="1" x="200"/>
        <item t="data" sd="1" m="1" x="94"/>
        <item t="data" sd="1" m="1" x="201"/>
        <item t="data" sd="1" m="1" x="202"/>
        <item t="data" sd="1" m="1" x="203"/>
        <item t="data" sd="1" m="1" x="204"/>
        <item t="data" sd="1" m="1" x="205"/>
        <item t="data" sd="1" m="1" x="95"/>
        <item t="data" sd="1" m="1" x="206"/>
        <item t="data" sd="1" m="1" x="207"/>
        <item t="data" sd="1" m="1" x="208"/>
        <item t="data" sd="1" m="1" x="209"/>
        <item t="data" sd="1" m="1" x="96"/>
        <item t="data" sd="1" m="1" x="210"/>
        <item t="data" sd="1" m="1" x="211"/>
        <item t="data" sd="1" m="1" x="212"/>
        <item t="data" sd="1" m="1" x="213"/>
        <item t="data" sd="1" m="1" x="97"/>
        <item t="data" sd="1" m="1" x="214"/>
        <item t="data" sd="1" m="1" x="215"/>
        <item t="data" sd="1" m="1" x="216"/>
        <item t="data" sd="1" m="1" x="217"/>
        <item t="data" sd="1" m="1" x="218"/>
        <item t="data" sd="1" m="1" x="98"/>
        <item t="data" sd="1" m="1" x="219"/>
        <item t="data" sd="1" m="1" x="220"/>
        <item t="data" sd="1" m="1" x="221"/>
        <item t="data" sd="1" m="1" x="222"/>
        <item t="data" sd="1" m="1" x="63"/>
        <item t="data" sd="1" m="1" x="223"/>
        <item t="data" sd="1" m="1" x="224"/>
        <item t="data" sd="1" m="1" x="225"/>
        <item t="data" sd="1" m="1" x="226"/>
        <item t="data" sd="1" m="1" x="227"/>
        <item t="data" sd="1" m="1" x="228"/>
        <item t="data" h="1" sd="1" x="0"/>
        <item t="default" sd="1"/>
      </items>
    </pivotField>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1">
    <field x="34"/>
  </rowFields>
  <rowItems count="1">
    <i t="grand" r="0" i="0">
      <x v="0"/>
    </i>
  </rowItems>
  <colFields count="1">
    <field x="26"/>
  </colFields>
  <colItems count="1">
    <i t="grand" r="0" i="0">
      <x v="0"/>
    </i>
  </colItems>
  <pageFields count="4">
    <pageField fld="29" hier="-1"/>
    <pageField fld="30" hier="-1"/>
    <pageField fld="32" hier="-1"/>
    <pageField fld="33" hier="-1"/>
  </pageFields>
  <dataFields count="1">
    <dataField name="Summe von Effort" fld="35" subtotal="sum" showDataAs="normal" baseField="29" baseItem="0" numFmtId="165"/>
  </dataFields>
  <formats count="7">
    <format action="formatting" dxfId="330">
      <pivotArea type="normal" dataOnly="1" outline="0" collapsedLevelsAreSubtotals="1" fieldPosition="0"/>
    </format>
    <format action="formatting" dxfId="329">
      <pivotArea type="normal" dataOnly="0" labelOnly="1" grandRow="1" outline="0" fieldPosition="0"/>
    </format>
    <format action="formatting" dxfId="328">
      <pivotArea field="10" type="button" dataOnly="0" labelOnly="1" outline="0"/>
    </format>
    <format action="formatting" dxfId="327">
      <pivotArea field="0" type="button" dataOnly="0" labelOnly="1" outline="0"/>
    </format>
    <format action="formatting" dxfId="326">
      <pivotArea field="10" type="button" dataOnly="0" labelOnly="1" outline="0"/>
    </format>
    <format action="formatting" dxfId="325">
      <pivotArea field="0" type="button" dataOnly="0" labelOnly="1" outline="0"/>
    </format>
    <format action="formatting" dxfId="324">
      <pivotArea type="normal" dataOnly="1" outline="0" fieldPosition="0">
        <references count="1">
          <reference field="4294967294">
            <x v="0"/>
          </reference>
        </references>
      </pivotArea>
    </format>
  </formats>
  <chartFormats count="50">
    <chartFormat chart="0" format="71" series="1">
      <pivotArea type="data" dataOnly="1" outline="0" fieldPosition="0">
        <references count="2">
          <reference field="4294967294" selected="0">
            <x v="0"/>
          </reference>
          <reference field="26" selected="0">
            <x v="9"/>
          </reference>
        </references>
      </pivotArea>
    </chartFormat>
    <chartFormat chart="0" format="72" series="1">
      <pivotArea type="data" dataOnly="1" outline="0" fieldPosition="0">
        <references count="2">
          <reference field="4294967294" selected="0">
            <x v="0"/>
          </reference>
          <reference field="26" selected="0">
            <x v="10"/>
          </reference>
        </references>
      </pivotArea>
    </chartFormat>
    <chartFormat chart="0" format="73" series="1">
      <pivotArea type="data" dataOnly="1" outline="0" fieldPosition="0">
        <references count="2">
          <reference field="4294967294" selected="0">
            <x v="0"/>
          </reference>
          <reference field="26" selected="0">
            <x v="12"/>
          </reference>
        </references>
      </pivotArea>
    </chartFormat>
    <chartFormat chart="0" format="74" series="1">
      <pivotArea type="data" dataOnly="1" outline="0" fieldPosition="0">
        <references count="2">
          <reference field="4294967294" selected="0">
            <x v="0"/>
          </reference>
          <reference field="26" selected="0">
            <x v="13"/>
          </reference>
        </references>
      </pivotArea>
    </chartFormat>
    <chartFormat chart="0" format="75" series="1">
      <pivotArea type="data" dataOnly="1" outline="0" fieldPosition="0">
        <references count="2">
          <reference field="4294967294" selected="0">
            <x v="0"/>
          </reference>
          <reference field="26" selected="0">
            <x v="15"/>
          </reference>
        </references>
      </pivotArea>
    </chartFormat>
    <chartFormat chart="0" format="76" series="1">
      <pivotArea type="data" dataOnly="1" outline="0" fieldPosition="0">
        <references count="2">
          <reference field="4294967294" selected="0">
            <x v="0"/>
          </reference>
          <reference field="26" selected="0">
            <x v="19"/>
          </reference>
        </references>
      </pivotArea>
    </chartFormat>
    <chartFormat chart="0" format="77" series="1">
      <pivotArea type="data" dataOnly="1" outline="0" fieldPosition="0">
        <references count="2">
          <reference field="4294967294" selected="0">
            <x v="0"/>
          </reference>
          <reference field="26" selected="0">
            <x v="28"/>
          </reference>
        </references>
      </pivotArea>
    </chartFormat>
    <chartFormat chart="0" format="78" series="1">
      <pivotArea type="data" dataOnly="1" outline="0" fieldPosition="0">
        <references count="2">
          <reference field="4294967294" selected="0">
            <x v="0"/>
          </reference>
          <reference field="26" selected="0">
            <x v="7"/>
          </reference>
        </references>
      </pivotArea>
    </chartFormat>
    <chartFormat chart="0" format="79" series="1">
      <pivotArea type="data" dataOnly="1" outline="0" fieldPosition="0">
        <references count="2">
          <reference field="4294967294" selected="0">
            <x v="0"/>
          </reference>
          <reference field="26" selected="0">
            <x v="17"/>
          </reference>
        </references>
      </pivotArea>
    </chartFormat>
    <chartFormat chart="0" format="80" series="1">
      <pivotArea type="data" dataOnly="1" outline="0" fieldPosition="0">
        <references count="1">
          <reference field="4294967294" selected="0">
            <x v="0"/>
          </reference>
        </references>
      </pivotArea>
    </chartFormat>
    <chartFormat chart="0" format="81" series="1">
      <pivotArea type="data" dataOnly="1" outline="0" fieldPosition="0">
        <references count="2">
          <reference field="4294967294" selected="0">
            <x v="0"/>
          </reference>
          <reference field="26" selected="0">
            <x v="14"/>
          </reference>
        </references>
      </pivotArea>
    </chartFormat>
    <chartFormat chart="0" format="82" series="1">
      <pivotArea type="data" dataOnly="1" outline="0" fieldPosition="0">
        <references count="2">
          <reference field="4294967294" selected="0">
            <x v="0"/>
          </reference>
          <reference field="26" selected="0">
            <x v="18"/>
          </reference>
        </references>
      </pivotArea>
    </chartFormat>
    <chartFormat chart="0" format="83" series="1">
      <pivotArea type="data" dataOnly="1" outline="0" fieldPosition="0">
        <references count="2">
          <reference field="4294967294" selected="0">
            <x v="0"/>
          </reference>
          <reference field="26" selected="0">
            <x v="29"/>
          </reference>
        </references>
      </pivotArea>
    </chartFormat>
    <chartFormat chart="0" format="84" series="1">
      <pivotArea type="data" dataOnly="1" outline="0" fieldPosition="0">
        <references count="2">
          <reference field="4294967294" selected="0">
            <x v="0"/>
          </reference>
          <reference field="26" selected="0">
            <x v="30"/>
          </reference>
        </references>
      </pivotArea>
    </chartFormat>
    <chartFormat chart="0" format="85" series="1">
      <pivotArea type="data" dataOnly="1" outline="0" fieldPosition="0">
        <references count="2">
          <reference field="4294967294" selected="0">
            <x v="0"/>
          </reference>
          <reference field="26" selected="0">
            <x v="31"/>
          </reference>
        </references>
      </pivotArea>
    </chartFormat>
    <chartFormat chart="0" format="86" series="1">
      <pivotArea type="data" dataOnly="1" outline="0" fieldPosition="0">
        <references count="2">
          <reference field="4294967294" selected="0">
            <x v="0"/>
          </reference>
          <reference field="26" selected="0">
            <x v="32"/>
          </reference>
        </references>
      </pivotArea>
    </chartFormat>
    <chartFormat chart="0" format="87" series="1">
      <pivotArea type="data" dataOnly="1" outline="0" fieldPosition="0">
        <references count="2">
          <reference field="4294967294" selected="0">
            <x v="0"/>
          </reference>
          <reference field="26" selected="0">
            <x v="33"/>
          </reference>
        </references>
      </pivotArea>
    </chartFormat>
    <chartFormat chart="0" format="90" series="1">
      <pivotArea type="data" dataOnly="1" outline="0" fieldPosition="0">
        <references count="2">
          <reference field="4294967294" selected="0">
            <x v="0"/>
          </reference>
          <reference field="26" selected="0">
            <x v="2"/>
          </reference>
        </references>
      </pivotArea>
    </chartFormat>
    <chartFormat chart="0" format="91" series="1">
      <pivotArea type="data" dataOnly="1" outline="0" fieldPosition="0">
        <references count="2">
          <reference field="4294967294" selected="0">
            <x v="0"/>
          </reference>
          <reference field="26" selected="0">
            <x v="8"/>
          </reference>
        </references>
      </pivotArea>
    </chartFormat>
    <chartFormat chart="0" format="92" series="1">
      <pivotArea type="data" dataOnly="1" outline="0" fieldPosition="0">
        <references count="2">
          <reference field="4294967294" selected="0">
            <x v="0"/>
          </reference>
          <reference field="26" selected="0">
            <x v="41"/>
          </reference>
        </references>
      </pivotArea>
    </chartFormat>
    <chartFormat chart="0" format="93" series="1">
      <pivotArea type="data" dataOnly="1" outline="0" fieldPosition="0">
        <references count="2">
          <reference field="4294967294" selected="0">
            <x v="0"/>
          </reference>
          <reference field="26" selected="0">
            <x v="42"/>
          </reference>
        </references>
      </pivotArea>
    </chartFormat>
    <chartFormat chart="0" format="94" series="1">
      <pivotArea type="data" dataOnly="1" outline="0" fieldPosition="0">
        <references count="2">
          <reference field="4294967294" selected="0">
            <x v="0"/>
          </reference>
          <reference field="26" selected="0">
            <x v="43"/>
          </reference>
        </references>
      </pivotArea>
    </chartFormat>
    <chartFormat chart="0" format="95" series="1">
      <pivotArea type="data" dataOnly="1" outline="0" fieldPosition="0">
        <references count="2">
          <reference field="4294967294" selected="0">
            <x v="0"/>
          </reference>
          <reference field="26" selected="0">
            <x v="44"/>
          </reference>
        </references>
      </pivotArea>
    </chartFormat>
    <chartFormat chart="0" format="96" series="1">
      <pivotArea type="data" dataOnly="1" outline="0" fieldPosition="0">
        <references count="2">
          <reference field="4294967294" selected="0">
            <x v="0"/>
          </reference>
          <reference field="26" selected="0">
            <x v="45"/>
          </reference>
        </references>
      </pivotArea>
    </chartFormat>
    <chartFormat chart="0" format="97" series="1">
      <pivotArea type="data" dataOnly="1" outline="0" fieldPosition="0">
        <references count="2">
          <reference field="4294967294" selected="0">
            <x v="0"/>
          </reference>
          <reference field="26" selected="0">
            <x v="46"/>
          </reference>
        </references>
      </pivotArea>
    </chartFormat>
    <chartFormat chart="0" format="98" series="1">
      <pivotArea type="data" dataOnly="1" outline="0" fieldPosition="0">
        <references count="2">
          <reference field="4294967294" selected="0">
            <x v="0"/>
          </reference>
          <reference field="26" selected="0">
            <x v="47"/>
          </reference>
        </references>
      </pivotArea>
    </chartFormat>
    <chartFormat chart="0" format="99" series="1">
      <pivotArea type="data" dataOnly="1" outline="0" fieldPosition="0">
        <references count="2">
          <reference field="4294967294" selected="0">
            <x v="0"/>
          </reference>
          <reference field="26" selected="0">
            <x v="48"/>
          </reference>
        </references>
      </pivotArea>
    </chartFormat>
    <chartFormat chart="0" format="100" series="1">
      <pivotArea type="data" dataOnly="1" outline="0" fieldPosition="0">
        <references count="2">
          <reference field="4294967294" selected="0">
            <x v="0"/>
          </reference>
          <reference field="26" selected="0">
            <x v="49"/>
          </reference>
        </references>
      </pivotArea>
    </chartFormat>
    <chartFormat chart="0" format="101" series="1">
      <pivotArea type="data" dataOnly="1" outline="0" fieldPosition="0">
        <references count="2">
          <reference field="4294967294" selected="0">
            <x v="0"/>
          </reference>
          <reference field="26" selected="0">
            <x v="50"/>
          </reference>
        </references>
      </pivotArea>
    </chartFormat>
    <chartFormat chart="0" format="102" series="1">
      <pivotArea type="data" dataOnly="1" outline="0" fieldPosition="0">
        <references count="2">
          <reference field="4294967294" selected="0">
            <x v="0"/>
          </reference>
          <reference field="26" selected="0">
            <x v="51"/>
          </reference>
        </references>
      </pivotArea>
    </chartFormat>
    <chartFormat chart="0" format="103" series="1">
      <pivotArea type="data" dataOnly="1" outline="0" fieldPosition="0">
        <references count="2">
          <reference field="4294967294" selected="0">
            <x v="0"/>
          </reference>
          <reference field="26" selected="0">
            <x v="52"/>
          </reference>
        </references>
      </pivotArea>
    </chartFormat>
    <chartFormat chart="0" format="104" series="1">
      <pivotArea type="data" dataOnly="1" outline="0" fieldPosition="0">
        <references count="2">
          <reference field="4294967294" selected="0">
            <x v="0"/>
          </reference>
          <reference field="26" selected="0">
            <x v="37"/>
          </reference>
        </references>
      </pivotArea>
    </chartFormat>
    <chartFormat chart="0" format="105" series="1">
      <pivotArea type="data" dataOnly="1" outline="0" fieldPosition="0">
        <references count="2">
          <reference field="4294967294" selected="0">
            <x v="0"/>
          </reference>
          <reference field="26" selected="0">
            <x v="54"/>
          </reference>
        </references>
      </pivotArea>
    </chartFormat>
    <chartFormat chart="0" format="106" series="1">
      <pivotArea type="data" dataOnly="1" outline="0" fieldPosition="0">
        <references count="2">
          <reference field="4294967294" selected="0">
            <x v="0"/>
          </reference>
          <reference field="26" selected="0">
            <x v="55"/>
          </reference>
        </references>
      </pivotArea>
    </chartFormat>
    <chartFormat chart="0" format="107" series="1">
      <pivotArea type="data" dataOnly="1" outline="0" fieldPosition="0">
        <references count="2">
          <reference field="4294967294" selected="0">
            <x v="0"/>
          </reference>
          <reference field="26" selected="0">
            <x v="57"/>
          </reference>
        </references>
      </pivotArea>
    </chartFormat>
    <chartFormat chart="0" format="108" series="1">
      <pivotArea type="data" dataOnly="1" outline="0" fieldPosition="0">
        <references count="2">
          <reference field="4294967294" selected="0">
            <x v="0"/>
          </reference>
          <reference field="26" selected="0">
            <x v="58"/>
          </reference>
        </references>
      </pivotArea>
    </chartFormat>
    <chartFormat chart="0" format="109" series="1">
      <pivotArea type="data" dataOnly="1" outline="0" fieldPosition="0">
        <references count="2">
          <reference field="4294967294" selected="0">
            <x v="0"/>
          </reference>
          <reference field="26" selected="0">
            <x v="59"/>
          </reference>
        </references>
      </pivotArea>
    </chartFormat>
    <chartFormat chart="0" format="110" series="1">
      <pivotArea type="data" dataOnly="1" outline="0" fieldPosition="0">
        <references count="2">
          <reference field="4294967294" selected="0">
            <x v="0"/>
          </reference>
          <reference field="26" selected="0">
            <x v="53"/>
          </reference>
        </references>
      </pivotArea>
    </chartFormat>
    <chartFormat chart="0" format="111" series="1">
      <pivotArea type="data" dataOnly="1" outline="0" fieldPosition="0">
        <references count="2">
          <reference field="4294967294" selected="0">
            <x v="0"/>
          </reference>
          <reference field="26" selected="0">
            <x v="56"/>
          </reference>
        </references>
      </pivotArea>
    </chartFormat>
    <chartFormat chart="0" format="112" series="1">
      <pivotArea type="data" dataOnly="1" outline="0" fieldPosition="0">
        <references count="2">
          <reference field="4294967294" selected="0">
            <x v="0"/>
          </reference>
          <reference field="26" selected="0">
            <x v="60"/>
          </reference>
        </references>
      </pivotArea>
    </chartFormat>
    <chartFormat chart="0" format="113" series="1">
      <pivotArea type="data" dataOnly="1" outline="0" fieldPosition="0">
        <references count="2">
          <reference field="4294967294" selected="0">
            <x v="0"/>
          </reference>
          <reference field="26" selected="0">
            <x v="61"/>
          </reference>
        </references>
      </pivotArea>
    </chartFormat>
    <chartFormat chart="0" format="114" series="1">
      <pivotArea type="data" dataOnly="1" outline="0" fieldPosition="0">
        <references count="2">
          <reference field="4294967294" selected="0">
            <x v="0"/>
          </reference>
          <reference field="26" selected="0">
            <x v="62"/>
          </reference>
        </references>
      </pivotArea>
    </chartFormat>
    <chartFormat chart="0" format="115" series="1">
      <pivotArea type="data" dataOnly="1" outline="0" fieldPosition="0">
        <references count="2">
          <reference field="4294967294" selected="0">
            <x v="0"/>
          </reference>
          <reference field="26" selected="0">
            <x v="63"/>
          </reference>
        </references>
      </pivotArea>
    </chartFormat>
    <chartFormat chart="0" format="116" series="1">
      <pivotArea type="data" dataOnly="1" outline="0" fieldPosition="0">
        <references count="2">
          <reference field="4294967294" selected="0">
            <x v="0"/>
          </reference>
          <reference field="26" selected="0">
            <x v="64"/>
          </reference>
        </references>
      </pivotArea>
    </chartFormat>
    <chartFormat chart="0" format="117" series="1">
      <pivotArea type="data" dataOnly="1" outline="0" fieldPosition="0">
        <references count="2">
          <reference field="4294967294" selected="0">
            <x v="0"/>
          </reference>
          <reference field="26" selected="0">
            <x v="65"/>
          </reference>
        </references>
      </pivotArea>
    </chartFormat>
    <chartFormat chart="0" format="118" series="1">
      <pivotArea type="data" dataOnly="1" outline="0" fieldPosition="0">
        <references count="2">
          <reference field="4294967294" selected="0">
            <x v="0"/>
          </reference>
          <reference field="26" selected="0">
            <x v="38"/>
          </reference>
        </references>
      </pivotArea>
    </chartFormat>
    <chartFormat chart="0" format="119" series="1">
      <pivotArea type="data" dataOnly="1" outline="0" fieldPosition="0">
        <references count="2">
          <reference field="4294967294" selected="0">
            <x v="0"/>
          </reference>
          <reference field="26" selected="0">
            <x v="39"/>
          </reference>
        </references>
      </pivotArea>
    </chartFormat>
    <chartFormat chart="0" format="120" series="1">
      <pivotArea type="data" dataOnly="1" outline="0" fieldPosition="0">
        <references count="2">
          <reference field="4294967294" selected="0">
            <x v="0"/>
          </reference>
          <reference field="26" selected="0">
            <x v="40"/>
          </reference>
        </references>
      </pivotArea>
    </chartFormat>
    <chartFormat chart="0" format="121" series="1">
      <pivotArea type="data" dataOnly="1" outline="0" fieldPosition="0">
        <references count="2">
          <reference field="4294967294" selected="0">
            <x v="0"/>
          </reference>
          <reference field="26" selected="0">
            <x v="66"/>
          </reference>
        </references>
      </pivotArea>
    </chartFormat>
    <chartFormat chart="0" format="122" series="1">
      <pivotArea type="data" dataOnly="1" outline="0" fieldPosition="0">
        <references count="2">
          <reference field="4294967294" selected="0">
            <x v="0"/>
          </reference>
          <reference field="26" selected="0">
            <x v="67"/>
          </reference>
        </references>
      </pivotArea>
    </chartFormat>
  </chart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1" cacheId="1" dataOnRows="0" dataCaption="Werte"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H7" firstHeaderRow="0" firstDataRow="1" firstDataCol="2" rowPageCount="1" colPageCount="1"/>
  <pivotFields count="46">
    <pivotField axis="axisPage" showDropDowns="1" compact="0" outline="0" subtotalTop="1" dragToRow="1" dragToCol="1" multipleItemSelectionAllowed="1" dragToPage="1" dragToData="1" dragOff="1" showAll="0" topAutoShow="1" itemPageCount="10" sortType="manual" defaultSubtotal="0">
      <items count="16">
        <item t="data" h="1" sd="1" m="1" x="3"/>
        <item t="data" h="1" sd="1" m="1" x="14"/>
        <item t="data" h="1" sd="1" m="1" x="6"/>
        <item t="data" h="1" sd="1" m="1" x="9"/>
        <item t="data" h="1" sd="1" m="1" x="11"/>
        <item t="data" h="1" sd="1" m="1" x="12"/>
        <item t="data" h="1" sd="1" m="1" x="10"/>
        <item t="data" h="1" sd="1" x="0"/>
        <item t="data" h="1" sd="1" m="1" x="7"/>
        <item t="data" h="1" sd="1" m="1" x="15"/>
        <item t="data" h="1" sd="1" m="1" x="5"/>
        <item t="data" h="1" sd="1" x="1"/>
        <item t="data" h="1" sd="1" x="2"/>
        <item t="data" h="1" sd="1" m="1" x="13"/>
        <item t="data" h="1" sd="1" m="1" x="8"/>
        <item t="data"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5">
        <item t="data" sd="1" m="1" x="1"/>
        <item t="data" sd="1" m="1" x="11"/>
        <item t="data" sd="1" m="1" x="12"/>
        <item t="data" sd="1" m="1" x="13"/>
        <item t="data" sd="1" m="1" x="14"/>
        <item t="data" sd="1" m="1" x="2"/>
        <item t="data" sd="1" m="1" x="3"/>
        <item t="data" sd="1" m="1" x="4"/>
        <item t="data" sd="1" m="1" x="5"/>
        <item t="data" sd="1" m="1" x="6"/>
        <item t="data" sd="1" m="1" x="7"/>
        <item t="data" sd="1" m="1" x="8"/>
        <item t="data" sd="1" m="1" x="9"/>
        <item t="data" sd="1" x="0"/>
        <item t="data" sd="1" m="1" x="10"/>
      </items>
    </pivotField>
    <pivotField axis="axisRow" showDropDowns="1" compact="0" outline="0" subtotalTop="1" dragToRow="1" dragToCol="1" dragToPage="1" dragToData="1" dragOff="1" showAll="0" topAutoShow="1" itemPageCount="10" sortType="manual" defaultSubtotal="0">
      <items count="35">
        <item t="data" sd="1" m="1" x="22"/>
        <item t="data" sd="1" m="1" x="9"/>
        <item t="data" sd="1" m="1" x="23"/>
        <item t="data" sd="1" m="1" x="34"/>
        <item t="data" sd="1" m="1" x="25"/>
        <item t="data" sd="1" m="1" x="31"/>
        <item t="data" sd="1" m="1" x="30"/>
        <item t="data" sd="1" m="1" x="32"/>
        <item t="data" sd="1" m="1" x="33"/>
        <item t="data" sd="1" m="1" x="26"/>
        <item t="data" sd="1" m="1" x="27"/>
        <item t="data" sd="1" m="1" x="28"/>
        <item t="data" sd="1" m="1" x="29"/>
        <item t="data" sd="1" x="0"/>
        <item t="data" sd="1" m="1" x="24"/>
        <item t="data" sd="1" m="1" x="1"/>
        <item t="data" sd="1" m="1" x="2"/>
        <item t="data" sd="1" m="1" x="3"/>
        <item t="data" sd="1" m="1" x="4"/>
        <item t="data" sd="1" m="1" x="5"/>
        <item t="data" sd="1" m="1" x="6"/>
        <item t="data" sd="1" m="1" x="7"/>
        <item t="data" sd="1" m="1" x="20"/>
        <item t="data" sd="1" m="1" x="21"/>
        <item t="data" sd="1" m="1" x="10"/>
        <item t="data" sd="1" m="1" x="11"/>
        <item t="data" sd="1" m="1" x="12"/>
        <item t="data" sd="1" m="1" x="13"/>
        <item t="data" sd="1" m="1" x="14"/>
        <item t="data" sd="1" m="1" x="15"/>
        <item t="data" sd="1" m="1" x="16"/>
        <item t="data" sd="1" m="1" x="17"/>
        <item t="data" sd="1" m="1" x="18"/>
        <item t="data" sd="1" m="1" x="19"/>
        <item t="data" sd="1" m="1" x="8"/>
      </items>
    </pivotField>
    <pivotField showDropDowns="1" compact="0" outline="0" subtotalTop="1" dragToRow="1" dragToCol="1" dragToPage="1" dragToData="1" dragOff="1" showAll="0" topAutoShow="1" itemPageCount="10" sortType="manual" defaultSubtotal="1"/>
    <pivotField dataField="1" showDropDowns="1" compact="0" numFmtId="9"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dataField="1" showDropDowns="1" compact="0" numFmtId="165"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numFmtId="165"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dataField="1"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2">
    <field x="17"/>
    <field x="18"/>
  </rowFields>
  <rowItems count="1">
    <i t="grand" r="0" i="0">
      <x v="0"/>
    </i>
  </rowItems>
  <colFields count="1">
    <field x="-2"/>
  </colFields>
  <colItems count="6">
    <i t="data" r="0" i="0">
      <x v="0"/>
    </i>
    <i t="data" r="0" i="1">
      <x v="1"/>
    </i>
    <i t="data" r="0" i="2">
      <x v="2"/>
    </i>
    <i t="data" r="0" i="3">
      <x v="3"/>
    </i>
    <i t="data" r="0" i="4">
      <x v="4"/>
    </i>
    <i t="data" r="0" i="5">
      <x v="5"/>
    </i>
  </colItems>
  <pageFields count="1">
    <pageField fld="0" hier="-1"/>
  </pageFields>
  <dataFields count="6">
    <dataField name="_Risk impact" fld="23" subtotal="sum" showDataAs="normal" baseField="18" baseItem="16" numFmtId="165"/>
    <dataField name="_Risk likelihood" fld="20" subtotal="average" showDataAs="normal" baseField="18" baseItem="15" numFmtId="164"/>
    <dataField name="Weighted risk impact" fld="35" subtotal="sum" showDataAs="normal" baseField="18" baseItem="0" numFmtId="165"/>
    <dataField name="_Costs" fld="39" subtotal="sum" showDataAs="normal" baseField="18" baseItem="1" numFmtId="4"/>
    <dataField name="_Price" fld="41" subtotal="sum" showDataAs="normal" baseField="18" baseItem="1" numFmtId="4"/>
    <dataField name="_Margin" fld="42" subtotal="sum" showDataAs="normal" baseField="18" baseItem="1" numFmtId="4"/>
  </dataFields>
  <formats count="8">
    <format action="formatting" dxfId="323">
      <pivotArea type="normal" dataOnly="0" labelOnly="1" outline="0" axis="axisValues" fieldPosition="0"/>
    </format>
    <format action="formatting" dxfId="322">
      <pivotArea type="normal" dataOnly="1" outline="0" fieldPosition="0">
        <references count="1">
          <reference field="4294967294" selected="0">
            <x v="3"/>
          </reference>
        </references>
      </pivotArea>
    </format>
    <format action="formatting" dxfId="321">
      <pivotArea type="normal" dataOnly="1" outline="0" fieldPosition="0">
        <references count="1">
          <reference field="4294967294">
            <x v="3"/>
          </reference>
        </references>
      </pivotArea>
    </format>
    <format action="formatting" dxfId="320">
      <pivotArea type="normal" dataOnly="1" outline="0" fieldPosition="0">
        <references count="1">
          <reference field="4294967294">
            <x v="4"/>
          </reference>
        </references>
      </pivotArea>
    </format>
    <format action="formatting" dxfId="319">
      <pivotArea type="normal" dataOnly="1" outline="0" fieldPosition="0">
        <references count="1">
          <reference field="4294967294">
            <x v="5"/>
          </reference>
        </references>
      </pivotArea>
    </format>
    <format action="formatting" dxfId="318">
      <pivotArea type="normal" dataOnly="1" outline="0" fieldPosition="0">
        <references count="1">
          <reference field="4294967294">
            <x v="1"/>
          </reference>
        </references>
      </pivotArea>
    </format>
    <format action="formatting" dxfId="317">
      <pivotArea type="normal" dataOnly="1" outline="0" collapsedLevelsAreSubtotals="1" fieldPosition="0"/>
    </format>
    <format action="formatting" dxfId="316">
      <pivotArea type="normal" dataOnly="0" labelOnly="1" outline="0" fieldPosition="0">
        <references count="1">
          <reference field="4294967294">
            <x v="0"/>
            <x v="1"/>
            <x v="2"/>
            <x v="3"/>
            <x v="4"/>
            <x v="5"/>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Roles" cacheId="1" dataOnRows="0" dataCaption="Werte" showError="0" showMissing="1" updatedVersion="8" minRefreshableVersion="3"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4:F32" firstHeaderRow="0" firstDataRow="1" firstDataCol="3"/>
  <pivotFields count="46">
    <pivotField axis="axisRow" showDropDowns="1" compact="0" outline="0" subtotalTop="1" dragToRow="1" dragToCol="1" dragToPage="1" dragToData="1" dragOff="1" showAll="0" topAutoShow="1" itemPageCount="10" sortType="manual" defaultSubtotal="1">
      <items count="17">
        <item t="data" sd="1" m="1" x="3"/>
        <item t="data" sd="1" x="0"/>
        <item t="data" sd="1" m="1" x="9"/>
        <item t="data" sd="1" m="1" x="13"/>
        <item t="data" sd="1" x="1"/>
        <item t="data" sd="1" x="2"/>
        <item t="data" h="1" sd="1" m="1" x="5"/>
        <item t="data" sd="1" m="1" x="12"/>
        <item t="data" sd="1" m="1" x="10"/>
        <item t="data" sd="1" m="1" x="11"/>
        <item t="data" h="1" sd="1" m="1" x="14"/>
        <item t="data" sd="1" m="1" x="8"/>
        <item t="data" sd="1" m="1" x="15"/>
        <item t="data" sd="1" m="1" x="7"/>
        <item t="data" h="1" sd="1" m="1" x="6"/>
        <item t="data" sd="1" m="1" x="4"/>
        <item t="default" sd="1"/>
      </items>
    </pivotField>
    <pivotField axis="axisRow" showDropDowns="1" compact="0" outline="0" subtotalTop="1" dragToRow="1" dragToCol="1" dragToPage="1" dragToData="1" dragOff="1" showAll="0" topAutoShow="1" itemPageCount="10" sortType="manual" defaultSubtotal="1">
      <items count="250">
        <item t="data" sd="1" x="0"/>
        <item t="data" sd="1" x="9"/>
        <item t="data" sd="1" x="10"/>
        <item t="data" sd="1" x="11"/>
        <item t="data" sd="1" x="12"/>
        <item t="data" sd="1" x="13"/>
        <item t="data" sd="1" x="16"/>
        <item t="data" sd="1" x="17"/>
        <item t="data" sd="1" x="18"/>
        <item t="data" sd="1" x="1"/>
        <item t="data" sd="1" x="19"/>
        <item t="data" sd="1" x="20"/>
        <item t="data" sd="1" x="21"/>
        <item t="data" sd="1" x="22"/>
        <item t="data" sd="1" m="1" x="24"/>
        <item t="data" sd="1" x="23"/>
        <item t="data" sd="1" x="2"/>
        <item t="data" sd="1" x="3"/>
        <item t="data" sd="1" x="4"/>
        <item t="data" sd="1" x="5"/>
        <item t="data" sd="1" x="6"/>
        <item t="data" sd="1" x="7"/>
        <item t="data" sd="1" x="8"/>
        <item t="data" sd="1" m="1" x="50"/>
        <item t="data" sd="1" x="14"/>
        <item t="data" sd="1" x="15"/>
        <item t="data" sd="1" m="1" x="25"/>
        <item t="data" sd="1" m="1" x="26"/>
        <item t="data" sd="1" m="1" x="208"/>
        <item t="data" sd="1" m="1" x="209"/>
        <item t="data" sd="1" m="1" x="210"/>
        <item t="data" sd="1" m="1" x="211"/>
        <item t="data" sd="1" m="1" x="214"/>
        <item t="data" sd="1" m="1" x="215"/>
        <item t="data" sd="1" m="1" x="216"/>
        <item t="data" sd="1" m="1" x="217"/>
        <item t="data" sd="1" m="1" x="218"/>
        <item t="data" sd="1" m="1" x="219"/>
        <item t="data" sd="1" m="1" x="239"/>
        <item t="data" sd="1" m="1" x="212"/>
        <item t="data" sd="1" m="1" x="213"/>
        <item t="data" sd="1" m="1" x="240"/>
        <item t="data" sd="1" m="1" x="248"/>
        <item t="data" sd="1" m="1" x="223"/>
        <item t="data" sd="1" m="1" x="246"/>
        <item t="data" sd="1" m="1" x="247"/>
        <item t="data" sd="1" m="1" x="238"/>
        <item t="data" sd="1" m="1" x="224"/>
        <item t="data" sd="1" m="1" x="27"/>
        <item t="data" sd="1" m="1" x="241"/>
        <item t="data" sd="1" m="1" x="242"/>
        <item t="data" sd="1" m="1" x="243"/>
        <item t="data" sd="1" m="1" x="244"/>
        <item t="data" sd="1" m="1" x="245"/>
        <item t="data" sd="1" m="1" x="220"/>
        <item t="data" sd="1" m="1" x="221"/>
        <item t="data" sd="1" m="1" x="222"/>
        <item t="data" sd="1" m="1" x="28"/>
        <item t="data" sd="1" m="1" x="226"/>
        <item t="data" sd="1" m="1" x="227"/>
        <item t="data" sd="1" m="1" x="2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229"/>
        <item t="data" sd="1" m="1" x="44"/>
        <item t="data" sd="1" m="1" x="69"/>
        <item t="data" sd="1" m="1" x="77"/>
        <item t="data" sd="1" m="1" x="76"/>
        <item t="data" sd="1" m="1" x="75"/>
        <item t="data" sd="1" m="1" x="74"/>
        <item t="data" sd="1" m="1" x="73"/>
        <item t="data" sd="1" m="1" x="72"/>
        <item t="data" sd="1" m="1" x="48"/>
        <item t="data" sd="1" m="1" x="49"/>
        <item t="data" sd="1" m="1" x="47"/>
        <item t="data" sd="1" m="1" x="46"/>
        <item t="data" sd="1" m="1" x="230"/>
        <item t="data" sd="1" m="1" x="231"/>
        <item t="data" sd="1" m="1" x="232"/>
        <item t="data" sd="1" m="1" x="45"/>
        <item t="data" sd="1" m="1" x="233"/>
        <item t="data" sd="1" m="1" x="234"/>
        <item t="data" sd="1" m="1" x="235"/>
        <item t="data" sd="1" m="1" x="236"/>
        <item t="data" sd="1" m="1" x="237"/>
        <item t="data" sd="1" m="1" x="78"/>
        <item t="data" sd="1" m="1" x="79"/>
        <item t="data" sd="1" m="1" x="80"/>
        <item t="data" sd="1" m="1" x="81"/>
        <item t="data" sd="1" m="1" x="82"/>
        <item t="data" sd="1" m="1" x="83"/>
        <item t="data" sd="1" m="1" x="84"/>
        <item t="data" sd="1" m="1" x="85"/>
        <item t="data" sd="1" m="1" x="86"/>
        <item t="data" sd="1" m="1" x="87"/>
        <item t="data" sd="1" m="1" x="88"/>
        <item t="data" sd="1" m="1" x="89"/>
        <item t="data" sd="1" m="1" x="90"/>
        <item t="data" sd="1" m="1" x="91"/>
        <item t="data" sd="1" m="1" x="92"/>
        <item t="data" sd="1" m="1" x="93"/>
        <item t="data" sd="1" m="1" x="94"/>
        <item t="data" sd="1" m="1" x="95"/>
        <item t="data" sd="1" m="1" x="96"/>
        <item t="data" sd="1" m="1" x="97"/>
        <item t="data" sd="1" m="1" x="98"/>
        <item t="data" sd="1" m="1" x="99"/>
        <item t="data" sd="1" m="1" x="100"/>
        <item t="data" sd="1" m="1" x="101"/>
        <item t="data" sd="1" m="1" x="102"/>
        <item t="data" sd="1" m="1" x="103"/>
        <item t="data" sd="1" m="1" x="104"/>
        <item t="data" sd="1" m="1" x="105"/>
        <item t="data" sd="1" m="1" x="106"/>
        <item t="data" sd="1" m="1" x="107"/>
        <item t="data" sd="1" m="1" x="108"/>
        <item t="data" sd="1" m="1" x="109"/>
        <item t="data" sd="1" m="1" x="110"/>
        <item t="data" sd="1" m="1" x="111"/>
        <item t="data" sd="1" m="1" x="112"/>
        <item t="data" sd="1" m="1" x="113"/>
        <item t="data" sd="1" m="1" x="114"/>
        <item t="data" sd="1" m="1" x="115"/>
        <item t="data" sd="1" m="1" x="116"/>
        <item t="data" sd="1" m="1" x="117"/>
        <item t="data" sd="1" m="1" x="118"/>
        <item t="data" sd="1" m="1" x="119"/>
        <item t="data" sd="1" m="1" x="120"/>
        <item t="data" sd="1" m="1" x="121"/>
        <item t="data" sd="1" m="1" x="122"/>
        <item t="data" sd="1" m="1" x="123"/>
        <item t="data" sd="1" m="1" x="124"/>
        <item t="data" sd="1" m="1" x="125"/>
        <item t="data" sd="1" m="1" x="126"/>
        <item t="data" sd="1" m="1" x="127"/>
        <item t="data" sd="1" m="1" x="128"/>
        <item t="data" sd="1" m="1" x="129"/>
        <item t="data" sd="1" m="1" x="130"/>
        <item t="data" sd="1" m="1" x="131"/>
        <item t="data" sd="1" m="1" x="132"/>
        <item t="data" sd="1" m="1" x="133"/>
        <item t="data" sd="1" m="1" x="134"/>
        <item t="data" sd="1" m="1" x="135"/>
        <item t="data" sd="1" m="1" x="136"/>
        <item t="data" sd="1" m="1" x="137"/>
        <item t="data" sd="1" m="1" x="138"/>
        <item t="data" sd="1" m="1" x="139"/>
        <item t="data" sd="1" m="1" x="140"/>
        <item t="data" sd="1" m="1" x="141"/>
        <item t="data" sd="1" m="1" x="142"/>
        <item t="data" sd="1" m="1" x="143"/>
        <item t="data" sd="1" m="1" x="144"/>
        <item t="data" sd="1" m="1" x="145"/>
        <item t="data" sd="1" m="1" x="146"/>
        <item t="data" sd="1" m="1" x="147"/>
        <item t="data" sd="1" m="1" x="148"/>
        <item t="data" sd="1" m="1" x="149"/>
        <item t="data" sd="1" m="1" x="150"/>
        <item t="data" sd="1" m="1" x="151"/>
        <item t="data" sd="1" m="1" x="152"/>
        <item t="data" sd="1" m="1" x="153"/>
        <item t="data" sd="1" m="1" x="154"/>
        <item t="data" sd="1" m="1" x="155"/>
        <item t="data" sd="1" m="1" x="156"/>
        <item t="data" sd="1" m="1" x="157"/>
        <item t="data" sd="1" m="1" x="158"/>
        <item t="data" sd="1" m="1" x="159"/>
        <item t="data" sd="1" m="1" x="160"/>
        <item t="data" sd="1" m="1" x="161"/>
        <item t="data" sd="1" m="1" x="162"/>
        <item t="data" sd="1" m="1" x="163"/>
        <item t="data" sd="1" m="1" x="164"/>
        <item t="data" sd="1" m="1" x="165"/>
        <item t="data" sd="1" m="1" x="166"/>
        <item t="data" sd="1" m="1" x="167"/>
        <item t="data" sd="1" m="1" x="168"/>
        <item t="data" sd="1" m="1" x="169"/>
        <item t="data" sd="1" m="1" x="170"/>
        <item t="data" sd="1" m="1" x="171"/>
        <item t="data" sd="1" m="1" x="172"/>
        <item t="data" sd="1" m="1" x="173"/>
        <item t="data" sd="1" m="1" x="174"/>
        <item t="data" sd="1" m="1" x="175"/>
        <item t="data" sd="1" m="1" x="176"/>
        <item t="data" sd="1" m="1" x="177"/>
        <item t="data" sd="1" m="1" x="178"/>
        <item t="data" sd="1" m="1" x="179"/>
        <item t="data" sd="1" m="1" x="180"/>
        <item t="data" sd="1" m="1" x="181"/>
        <item t="data" sd="1" m="1" x="182"/>
        <item t="data" sd="1" m="1" x="183"/>
        <item t="data" sd="1" m="1" x="184"/>
        <item t="data" sd="1" m="1" x="185"/>
        <item t="data" sd="1" m="1" x="186"/>
        <item t="data" sd="1" m="1" x="187"/>
        <item t="data" sd="1" m="1" x="225"/>
        <item t="data" sd="1" m="1" x="188"/>
        <item t="data" sd="1" m="1" x="189"/>
        <item t="data" sd="1" m="1" x="190"/>
        <item t="data" sd="1" m="1" x="191"/>
        <item t="data" sd="1" m="1" x="192"/>
        <item t="data" sd="1" m="1" x="193"/>
        <item t="data" sd="1" m="1" x="194"/>
        <item t="data" sd="1" m="1" x="195"/>
        <item t="data" sd="1" m="1" x="196"/>
        <item t="data" sd="1" m="1" x="197"/>
        <item t="data" sd="1" m="1" x="198"/>
        <item t="data" sd="1" m="1" x="199"/>
        <item t="data" sd="1" m="1" x="200"/>
        <item t="data" sd="1" m="1" x="201"/>
        <item t="data" sd="1" m="1" x="202"/>
        <item t="data" sd="1" m="1" x="203"/>
        <item t="data" sd="1" m="1" x="204"/>
        <item t="data" sd="1" m="1" x="205"/>
        <item t="data" sd="1" m="1" x="206"/>
        <item t="data" sd="1" m="1" x="207"/>
        <item t="data" sd="1" m="1" x="70"/>
        <item t="data" sd="1" m="1" x="71"/>
        <item t="data" sd="1" m="1" x="52"/>
        <item t="data" sd="1" m="1" x="56"/>
        <item t="data" sd="1" m="1" x="65"/>
        <item t="data" sd="1" m="1" x="67"/>
        <item t="data" sd="1" m="1" x="68"/>
        <item t="data" sd="1" m="1" x="57"/>
        <item t="data" sd="1" m="1" x="66"/>
        <item t="data" sd="1" m="1" x="58"/>
        <item t="data" sd="1" m="1" x="59"/>
        <item t="data" sd="1" m="1" x="60"/>
        <item t="data" sd="1" m="1" x="61"/>
        <item t="data" sd="1" m="1" x="62"/>
        <item t="data" sd="1" m="1" x="63"/>
        <item t="data" sd="1" m="1" x="64"/>
        <item t="data" sd="1" m="1" x="51"/>
        <item t="data" sd="1" m="1" x="53"/>
        <item t="data" sd="1" m="1" x="54"/>
        <item t="data" sd="1" m="1" x="55"/>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426">
        <item t="data" sd="1" m="1" x="94"/>
        <item t="data" sd="1" x="19"/>
        <item t="data" sd="1" x="13"/>
        <item t="data" sd="1" x="23"/>
        <item t="data" sd="1" x="9"/>
        <item t="data" sd="1" m="1" x="413"/>
        <item t="data" sd="1" m="1" x="45"/>
        <item t="data" sd="1" m="1" x="104"/>
        <item t="data" sd="1" x="0"/>
        <item t="data" sd="1" m="1" x="412"/>
        <item t="data" sd="1" m="1" x="122"/>
        <item t="data" sd="1" x="22"/>
        <item t="data" sd="1" m="1" x="26"/>
        <item t="data" sd="1" m="1" x="103"/>
        <item t="data" sd="1" m="1" x="425"/>
        <item t="data" sd="1" m="1" x="152"/>
        <item t="data" sd="1" m="1" x="153"/>
        <item t="data" sd="1" m="1" x="422"/>
        <item t="data" sd="1" m="1" x="421"/>
        <item t="data" sd="1" m="1" x="418"/>
        <item t="data" sd="1" m="1" x="419"/>
        <item t="data" sd="1" m="1" x="420"/>
        <item t="data" sd="1" m="1" x="417"/>
        <item t="data" sd="1" m="1" x="52"/>
        <item t="data" sd="1" m="1" x="111"/>
        <item t="data" sd="1" m="1" x="112"/>
        <item t="data" sd="1" m="1" x="424"/>
        <item t="data" sd="1" m="1" x="416"/>
        <item t="data" sd="1" m="1" x="414"/>
        <item t="data" sd="1" m="1" x="410"/>
        <item t="data" sd="1" m="1" x="415"/>
        <item t="data" sd="1" m="1" x="123"/>
        <item t="data" sd="1" m="1" x="50"/>
        <item t="data" sd="1" m="1" x="101"/>
        <item t="data" sd="1" m="1" x="423"/>
        <item t="data" sd="1" m="1" x="411"/>
        <item t="data" sd="1" m="1" x="391"/>
        <item t="data" sd="1" m="1" x="392"/>
        <item t="data" sd="1" x="3"/>
        <item t="data" sd="1" m="1" x="393"/>
        <item t="data" sd="1" m="1" x="128"/>
        <item t="data" sd="1" m="1" x="129"/>
        <item t="data" sd="1" m="1" x="394"/>
        <item t="data" sd="1" x="6"/>
        <item t="data" sd="1" m="1" x="363"/>
        <item t="data" sd="1" m="1" x="395"/>
        <item t="data" sd="1" m="1" x="396"/>
        <item t="data" sd="1" x="11"/>
        <item t="data" sd="1" m="1" x="397"/>
        <item t="data" sd="1" m="1" x="398"/>
        <item t="data" sd="1" m="1" x="108"/>
        <item t="data" sd="1" m="1" x="399"/>
        <item t="data" sd="1" x="16"/>
        <item t="data" sd="1" x="17"/>
        <item t="data" sd="1" m="1" x="400"/>
        <item t="data" sd="1" m="1" x="361"/>
        <item t="data" sd="1" m="1" x="109"/>
        <item t="data" sd="1" m="1" x="402"/>
        <item t="data" sd="1" x="1"/>
        <item t="data" sd="1" x="2"/>
        <item t="data" sd="1" x="4"/>
        <item t="data" sd="1" m="1" x="93"/>
        <item t="data" sd="1" m="1" x="77"/>
        <item t="data" sd="1" m="1" x="408"/>
        <item t="data" sd="1" m="1" x="161"/>
        <item t="data" sd="1" m="1" x="166"/>
        <item t="data" sd="1" m="1" x="409"/>
        <item t="data" sd="1" x="21"/>
        <item t="data" sd="1" m="1" x="362"/>
        <item t="data" sd="1" m="1" x="364"/>
        <item t="data" sd="1" m="1" x="365"/>
        <item t="data" sd="1" m="1" x="407"/>
        <item t="data" sd="1" m="1" x="366"/>
        <item t="data" sd="1" m="1" x="406"/>
        <item t="data" sd="1" m="1" x="404"/>
        <item t="data" sd="1" m="1" x="405"/>
        <item t="data" sd="1" m="1" x="403"/>
        <item t="data" sd="1" m="1" x="79"/>
        <item t="data" sd="1" x="18"/>
        <item t="data" sd="1" m="1" x="390"/>
        <item t="data" sd="1" m="1" x="401"/>
        <item t="data" sd="1" m="1" x="382"/>
        <item t="data" sd="1" m="1" x="383"/>
        <item t="data" sd="1" m="1" x="168"/>
        <item t="data" sd="1" m="1" x="169"/>
        <item t="data" sd="1" m="1" x="171"/>
        <item t="data" sd="1" m="1" x="172"/>
        <item t="data" sd="1" m="1" x="384"/>
        <item t="data" sd="1" m="1" x="385"/>
        <item t="data" sd="1" m="1" x="386"/>
        <item t="data" sd="1" m="1" x="387"/>
        <item t="data" sd="1" m="1" x="177"/>
        <item t="data" sd="1" m="1" x="178"/>
        <item t="data" sd="1" m="1" x="180"/>
        <item t="data" sd="1" m="1" x="181"/>
        <item t="data" sd="1" m="1" x="388"/>
        <item t="data" sd="1" m="1" x="378"/>
        <item t="data" sd="1" m="1" x="389"/>
        <item t="data" sd="1" m="1" x="380"/>
        <item t="data" sd="1" m="1" x="381"/>
        <item t="data" sd="1" m="1" x="371"/>
        <item t="data" sd="1" m="1" x="372"/>
        <item t="data" sd="1" m="1" x="373"/>
        <item t="data" sd="1" m="1" x="374"/>
        <item t="data" sd="1" m="1" x="375"/>
        <item t="data" sd="1" m="1" x="376"/>
        <item t="data" sd="1" m="1" x="377"/>
        <item t="data" sd="1" m="1" x="379"/>
        <item t="data" sd="1" m="1" x="167"/>
        <item t="data" sd="1" m="1" x="170"/>
        <item t="data" sd="1" m="1" x="174"/>
        <item t="data" sd="1" m="1" x="370"/>
        <item t="data" sd="1" m="1" x="176"/>
        <item t="data" sd="1" m="1" x="179"/>
        <item t="data" sd="1" m="1" x="184"/>
        <item t="data" sd="1" m="1" x="185"/>
        <item t="data" sd="1" m="1" x="186"/>
        <item t="data" sd="1" m="1" x="187"/>
        <item t="data" sd="1" m="1" x="188"/>
        <item t="data" sd="1" m="1" x="189"/>
        <item t="data" sd="1" m="1" x="190"/>
        <item t="data" sd="1" m="1" x="191"/>
        <item t="data" sd="1" m="1" x="192"/>
        <item t="data" sd="1" m="1" x="193"/>
        <item t="data" sd="1" m="1" x="194"/>
        <item t="data" sd="1" m="1" x="195"/>
        <item t="data" sd="1" m="1" x="196"/>
        <item t="data" sd="1" m="1" x="197"/>
        <item t="data" sd="1" m="1" x="198"/>
        <item t="data" sd="1" m="1" x="368"/>
        <item t="data" sd="1" m="1" x="369"/>
        <item t="data" sd="1" m="1" x="175"/>
        <item t="data" sd="1" m="1" x="199"/>
        <item t="data" sd="1" m="1" x="202"/>
        <item t="data" sd="1" m="1" x="203"/>
        <item t="data" sd="1" m="1" x="204"/>
        <item t="data" sd="1" m="1" x="205"/>
        <item t="data" sd="1" m="1" x="206"/>
        <item t="data" sd="1" m="1" x="207"/>
        <item t="data" sd="1" m="1" x="208"/>
        <item t="data" sd="1" m="1" x="209"/>
        <item t="data" sd="1" m="1" x="210"/>
        <item t="data" sd="1" m="1" x="211"/>
        <item t="data" sd="1" m="1" x="212"/>
        <item t="data" sd="1" m="1" x="213"/>
        <item t="data" sd="1" m="1" x="214"/>
        <item t="data" sd="1" m="1" x="215"/>
        <item t="data" sd="1" m="1" x="216"/>
        <item t="data" sd="1" m="1" x="173"/>
        <item t="data" sd="1" m="1" x="200"/>
        <item t="data" sd="1" m="1" x="201"/>
        <item t="data" sd="1" m="1" x="217"/>
        <item t="data" sd="1" m="1" x="218"/>
        <item t="data" sd="1" m="1" x="219"/>
        <item t="data" sd="1" m="1" x="220"/>
        <item t="data" sd="1" m="1" x="221"/>
        <item t="data" sd="1" m="1" x="222"/>
        <item t="data" sd="1" m="1" x="223"/>
        <item t="data" sd="1" m="1" x="224"/>
        <item t="data" sd="1" m="1" x="225"/>
        <item t="data" sd="1" m="1" x="226"/>
        <item t="data" sd="1" m="1" x="227"/>
        <item t="data" sd="1" m="1" x="228"/>
        <item t="data" sd="1" m="1" x="229"/>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2"/>
        <item t="data" sd="1" m="1" x="243"/>
        <item t="data" sd="1" m="1" x="244"/>
        <item t="data" sd="1" m="1" x="245"/>
        <item t="data" sd="1" m="1" x="246"/>
        <item t="data" sd="1" m="1" x="247"/>
        <item t="data" sd="1" m="1" x="248"/>
        <item t="data" sd="1" m="1" x="249"/>
        <item t="data" sd="1" m="1" x="250"/>
        <item t="data" sd="1" m="1" x="251"/>
        <item t="data" sd="1" m="1" x="252"/>
        <item t="data" sd="1" m="1" x="253"/>
        <item t="data" sd="1" m="1" x="254"/>
        <item t="data" sd="1" m="1" x="255"/>
        <item t="data" sd="1" m="1" x="256"/>
        <item t="data" sd="1" m="1" x="257"/>
        <item t="data" sd="1" m="1" x="258"/>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73"/>
        <item t="data" sd="1" m="1" x="274"/>
        <item t="data" sd="1" m="1" x="275"/>
        <item t="data" sd="1" m="1" x="276"/>
        <item t="data" sd="1" m="1" x="277"/>
        <item t="data" sd="1" m="1" x="278"/>
        <item t="data" sd="1" m="1" x="279"/>
        <item t="data" sd="1" m="1" x="280"/>
        <item t="data" sd="1" m="1" x="281"/>
        <item t="data" sd="1" m="1" x="282"/>
        <item t="data" sd="1" m="1" x="283"/>
        <item t="data" sd="1" m="1" x="284"/>
        <item t="data" sd="1" m="1" x="285"/>
        <item t="data" sd="1" m="1" x="286"/>
        <item t="data" sd="1" m="1" x="287"/>
        <item t="data" sd="1" m="1" x="288"/>
        <item t="data" sd="1" m="1" x="289"/>
        <item t="data" sd="1" m="1" x="290"/>
        <item t="data" sd="1" m="1" x="291"/>
        <item t="data" sd="1" m="1" x="292"/>
        <item t="data" sd="1" m="1" x="293"/>
        <item t="data" sd="1" m="1" x="294"/>
        <item t="data" sd="1" m="1" x="295"/>
        <item t="data" sd="1" m="1" x="296"/>
        <item t="data" sd="1" m="1" x="297"/>
        <item t="data" sd="1" m="1" x="298"/>
        <item t="data" sd="1" m="1" x="299"/>
        <item t="data" sd="1" m="1" x="300"/>
        <item t="data" sd="1" m="1" x="301"/>
        <item t="data" sd="1" m="1" x="302"/>
        <item t="data" sd="1" m="1" x="303"/>
        <item t="data" sd="1" m="1" x="304"/>
        <item t="data" sd="1" m="1" x="305"/>
        <item t="data" sd="1" m="1" x="306"/>
        <item t="data" sd="1" m="1" x="307"/>
        <item t="data" sd="1" m="1" x="308"/>
        <item t="data" sd="1" m="1" x="309"/>
        <item t="data" sd="1" m="1" x="310"/>
        <item t="data" sd="1" m="1" x="311"/>
        <item t="data" sd="1" m="1" x="312"/>
        <item t="data" sd="1" m="1" x="313"/>
        <item t="data" sd="1" m="1" x="314"/>
        <item t="data" sd="1" m="1" x="315"/>
        <item t="data" sd="1" m="1" x="316"/>
        <item t="data" sd="1" m="1" x="317"/>
        <item t="data" sd="1" m="1" x="318"/>
        <item t="data" sd="1" m="1" x="319"/>
        <item t="data" sd="1" m="1" x="320"/>
        <item t="data" sd="1" m="1" x="321"/>
        <item t="data" sd="1" m="1" x="322"/>
        <item t="data" sd="1" m="1" x="323"/>
        <item t="data" sd="1" m="1" x="324"/>
        <item t="data" sd="1" m="1" x="325"/>
        <item t="data" sd="1" m="1" x="326"/>
        <item t="data" sd="1" m="1" x="327"/>
        <item t="data" sd="1" m="1" x="328"/>
        <item t="data" sd="1" m="1" x="329"/>
        <item t="data" sd="1" m="1" x="330"/>
        <item t="data" sd="1" m="1" x="331"/>
        <item t="data" sd="1" m="1" x="332"/>
        <item t="data" sd="1" m="1" x="333"/>
        <item t="data" sd="1" m="1" x="334"/>
        <item t="data" sd="1" m="1" x="367"/>
        <item t="data" sd="1" m="1" x="335"/>
        <item t="data" sd="1" m="1" x="336"/>
        <item t="data" sd="1" m="1" x="337"/>
        <item t="data" sd="1" m="1" x="338"/>
        <item t="data" sd="1" m="1" x="339"/>
        <item t="data" sd="1" m="1" x="340"/>
        <item t="data" sd="1" m="1" x="341"/>
        <item t="data" sd="1" m="1" x="342"/>
        <item t="data" sd="1" m="1" x="343"/>
        <item t="data" sd="1" m="1" x="344"/>
        <item t="data" sd="1" m="1" x="345"/>
        <item t="data" sd="1" m="1" x="346"/>
        <item t="data" sd="1" m="1" x="347"/>
        <item t="data" sd="1" m="1" x="348"/>
        <item t="data" sd="1" m="1" x="349"/>
        <item t="data" sd="1" m="1" x="350"/>
        <item t="data" sd="1" m="1" x="351"/>
        <item t="data" sd="1" m="1" x="352"/>
        <item t="data" sd="1" m="1" x="353"/>
        <item t="data" sd="1" m="1" x="354"/>
        <item t="data" sd="1" m="1" x="182"/>
        <item t="data" sd="1" m="1" x="183"/>
        <item t="data" sd="1" m="1" x="24"/>
        <item t="data" sd="1" m="1" x="25"/>
        <item t="data" sd="1" m="1" x="27"/>
        <item t="data" sd="1" m="1" x="28"/>
        <item t="data" sd="1" m="1" x="97"/>
        <item t="data" sd="1" m="1" x="98"/>
        <item t="data" sd="1" m="1" x="31"/>
        <item t="data" sd="1" m="1" x="99"/>
        <item t="data" sd="1" m="1" x="355"/>
        <item t="data" sd="1" m="1" x="356"/>
        <item t="data" sd="1" m="1" x="357"/>
        <item t="data" sd="1" m="1" x="131"/>
        <item t="data" sd="1" m="1" x="358"/>
        <item t="data" sd="1" m="1" x="102"/>
        <item t="data" sd="1" m="1" x="359"/>
        <item t="data" sd="1" m="1" x="360"/>
        <item t="data" sd="1" m="1" x="46"/>
        <item t="data" sd="1" m="1" x="47"/>
        <item t="data" sd="1" m="1" x="48"/>
        <item t="data" sd="1" m="1" x="49"/>
        <item t="data" sd="1" m="1" x="33"/>
        <item t="data" sd="1" m="1" x="34"/>
        <item t="data" sd="1" m="1" x="36"/>
        <item t="data" sd="1" m="1" x="51"/>
        <item t="data" sd="1" m="1" x="100"/>
        <item t="data" sd="1" m="1" x="132"/>
        <item t="data" sd="1" m="1" x="133"/>
        <item t="data" sd="1" m="1" x="134"/>
        <item t="data" sd="1" m="1" x="135"/>
        <item t="data" sd="1" m="1" x="136"/>
        <item t="data" sd="1" m="1" x="137"/>
        <item t="data" sd="1" m="1" x="138"/>
        <item t="data" sd="1" m="1" x="139"/>
        <item t="data" sd="1" m="1" x="140"/>
        <item t="data" sd="1" m="1" x="141"/>
        <item t="data" sd="1" m="1" x="142"/>
        <item t="data" sd="1" m="1" x="143"/>
        <item t="data" sd="1" m="1" x="144"/>
        <item t="data" sd="1" m="1" x="145"/>
        <item t="data" sd="1" m="1" x="146"/>
        <item t="data" sd="1" m="1" x="147"/>
        <item t="data" sd="1" m="1" x="148"/>
        <item t="data" sd="1" m="1" x="149"/>
        <item t="data" sd="1" m="1" x="150"/>
        <item t="data" sd="1" m="1" x="151"/>
        <item t="data" sd="1" m="1" x="154"/>
        <item t="data" sd="1" m="1" x="155"/>
        <item t="data" sd="1" x="14"/>
        <item t="data" sd="1" m="1" x="156"/>
        <item t="data" sd="1" m="1" x="157"/>
        <item t="data" sd="1" m="1" x="158"/>
        <item t="data" sd="1" m="1" x="159"/>
        <item t="data" sd="1" m="1" x="160"/>
        <item t="data" sd="1" m="1" x="162"/>
        <item t="data" sd="1" m="1" x="163"/>
        <item t="data" sd="1" m="1" x="164"/>
        <item t="data" sd="1" m="1" x="165"/>
        <item t="data" sd="1" m="1" x="124"/>
        <item t="data" sd="1" m="1" x="125"/>
        <item t="data" sd="1" m="1" x="126"/>
        <item t="data" sd="1" m="1" x="127"/>
        <item t="data" sd="1" m="1" x="130"/>
        <item t="data" sd="1" m="1" x="113"/>
        <item t="data" sd="1" m="1" x="114"/>
        <item t="data" sd="1" m="1" x="115"/>
        <item t="data" sd="1" m="1" x="116"/>
        <item t="data" sd="1" m="1" x="117"/>
        <item t="data" sd="1" m="1" x="118"/>
        <item t="data" sd="1" m="1" x="119"/>
        <item t="data" sd="1" m="1" x="120"/>
        <item t="data" sd="1" m="1" x="121"/>
        <item t="data" sd="1" m="1" x="105"/>
        <item t="data" sd="1" m="1" x="106"/>
        <item t="data" sd="1" m="1" x="107"/>
        <item t="data" sd="1" m="1" x="110"/>
        <item t="data" sd="1" m="1" x="95"/>
        <item t="data" sd="1" x="7"/>
        <item t="data" sd="1" x="8"/>
        <item t="data" sd="1" x="10"/>
        <item t="data" sd="1" x="12"/>
        <item t="data" sd="1" m="1" x="96"/>
        <item t="data" sd="1" x="15"/>
        <item t="data" sd="1" x="20"/>
        <item t="data" sd="1" x="5"/>
        <item t="data" sd="1" m="1" x="92"/>
        <item t="data" sd="1" m="1" x="90"/>
        <item t="data" sd="1" m="1" x="91"/>
        <item t="data" sd="1" m="1" x="58"/>
        <item t="data" sd="1" m="1" x="59"/>
        <item t="data" sd="1" m="1" x="89"/>
        <item t="data" sd="1" m="1" x="71"/>
        <item t="data" sd="1" m="1" x="73"/>
        <item t="data" sd="1" m="1" x="74"/>
        <item t="data" sd="1" m="1" x="53"/>
        <item t="data" sd="1" m="1" x="57"/>
        <item t="data" sd="1" m="1" x="69"/>
        <item t="data" sd="1" m="1" x="60"/>
        <item t="data" sd="1" m="1" x="80"/>
        <item t="data" sd="1" m="1" x="81"/>
        <item t="data" sd="1" m="1" x="82"/>
        <item t="data" sd="1" m="1" x="83"/>
        <item t="data" sd="1" m="1" x="84"/>
        <item t="data" sd="1" m="1" x="85"/>
        <item t="data" sd="1" m="1" x="86"/>
        <item t="data" sd="1" m="1" x="87"/>
        <item t="data" sd="1" m="1" x="88"/>
        <item t="data" sd="1" m="1" x="54"/>
        <item t="data" sd="1" m="1" x="55"/>
        <item t="data" sd="1" m="1" x="56"/>
        <item t="data" sd="1" m="1" x="61"/>
        <item t="data" sd="1" m="1" x="62"/>
        <item t="data" sd="1" m="1" x="63"/>
        <item t="data" sd="1" m="1" x="64"/>
        <item t="data" sd="1" m="1" x="65"/>
        <item t="data" sd="1" m="1" x="66"/>
        <item t="data" sd="1" m="1" x="67"/>
        <item t="data" sd="1" m="1" x="68"/>
        <item t="data" sd="1" m="1" x="70"/>
        <item t="data" sd="1" m="1" x="72"/>
        <item t="data" sd="1" m="1" x="75"/>
        <item t="data" sd="1" m="1" x="76"/>
        <item t="data" sd="1" m="1" x="78"/>
        <item t="data" sd="1" m="1" x="29"/>
        <item t="data" sd="1" m="1" x="30"/>
        <item t="data" sd="1" m="1" x="32"/>
        <item t="data" sd="1" m="1" x="35"/>
        <item t="data" sd="1" m="1" x="37"/>
        <item t="data" sd="1" m="1" x="38"/>
        <item t="data" sd="1" m="1" x="39"/>
        <item t="data" sd="1" m="1" x="40"/>
        <item t="data" sd="1" m="1" x="41"/>
        <item t="data" sd="1" m="1" x="42"/>
        <item t="data" sd="1" m="1" x="43"/>
        <item t="data" sd="1" m="1" x="4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items count="96">
        <item t="data" sd="1" m="1" x="51"/>
        <item t="data" sd="1" m="1" x="52"/>
        <item t="data" sd="1" m="1" x="53"/>
        <item t="data" sd="1" m="1" x="54"/>
        <item t="data" sd="1" m="1" x="91"/>
        <item t="data" sd="1" x="0"/>
        <item t="data" sd="1" m="1" x="94"/>
        <item t="data" sd="1" m="1" x="86"/>
        <item t="data" sd="1" m="1" x="58"/>
        <item t="data" sd="1" m="1" x="59"/>
        <item t="data" sd="1" m="1" x="60"/>
        <item t="data" sd="1" m="1" x="61"/>
        <item t="data" sd="1" m="1" x="62"/>
        <item t="data" sd="1" m="1" x="63"/>
        <item t="data" sd="1" m="1" x="64"/>
        <item t="data" sd="1" m="1" x="65"/>
        <item t="data" sd="1" m="1" x="66"/>
        <item t="data" sd="1" m="1" x="67"/>
        <item t="data" sd="1" m="1" x="92"/>
        <item t="data" sd="1" m="1" x="93"/>
        <item t="data" sd="1" m="1" x="95"/>
        <item t="data" sd="1" m="1" x="88"/>
        <item t="data" sd="1" m="1" x="89"/>
        <item t="data" sd="1" m="1" x="90"/>
        <item t="data" sd="1" m="1" x="1"/>
        <item t="data" sd="1" m="1" x="2"/>
        <item t="data" sd="1" m="1" x="3"/>
        <item t="data" sd="1" m="1" x="4"/>
        <item t="data" sd="1" m="1" x="5"/>
        <item t="data" sd="1" m="1" x="6"/>
        <item t="data" sd="1" m="1" x="7"/>
        <item t="data" sd="1" m="1" x="8"/>
        <item t="data" sd="1" m="1" x="87"/>
        <item t="data" sd="1" m="1" x="85"/>
        <item t="data" sd="1" m="1" x="56"/>
        <item t="data" sd="1" m="1" x="55"/>
        <item t="data" sd="1" m="1" x="57"/>
        <item t="data" sd="1" m="1" x="78"/>
        <item t="data" sd="1" m="1" x="79"/>
        <item t="data" sd="1" m="1" x="80"/>
        <item t="data" sd="1" m="1" x="81"/>
        <item t="data" sd="1" m="1" x="82"/>
        <item t="data" sd="1" m="1" x="83"/>
        <item t="data" sd="1" m="1" x="84"/>
        <item t="data" sd="1" m="1" x="68"/>
        <item t="data" sd="1" m="1" x="69"/>
        <item t="data" sd="1" m="1" x="70"/>
        <item t="data" sd="1" m="1" x="71"/>
        <item t="data" sd="1" m="1" x="72"/>
        <item t="data" sd="1" m="1" x="73"/>
        <item t="data" sd="1" m="1" x="74"/>
        <item t="data" sd="1" m="1" x="75"/>
        <item t="data" sd="1" m="1" x="76"/>
        <item t="data" sd="1" m="1" x="77"/>
        <item t="data" sd="1" m="1" x="27"/>
        <item t="data" sd="1" m="1" x="28"/>
        <item t="data" sd="1" m="1" x="29"/>
        <item t="data" sd="1" m="1" x="30"/>
        <item t="data" sd="1" m="1" x="31"/>
        <item t="data" sd="1" m="1" x="32"/>
        <item t="data" sd="1" m="1" x="33"/>
        <item t="data" sd="1" m="1" x="34"/>
        <item t="data" sd="1" m="1" x="35"/>
        <item t="data" sd="1" m="1" x="36"/>
        <item t="data" sd="1" m="1" x="37"/>
        <item t="data" sd="1" m="1" x="38"/>
        <item t="data" sd="1" m="1" x="39"/>
        <item t="data" sd="1" m="1" x="40"/>
        <item t="data" sd="1" m="1" x="41"/>
        <item t="data" sd="1" m="1" x="42"/>
        <item t="data" sd="1" m="1" x="43"/>
        <item t="data" sd="1" m="1" x="44"/>
        <item t="data" sd="1" m="1" x="45"/>
        <item t="data" sd="1" m="1" x="46"/>
        <item t="data" sd="1" m="1" x="47"/>
        <item t="data" sd="1" m="1" x="48"/>
        <item t="data" sd="1" m="1" x="49"/>
        <item t="data" sd="1" m="1" x="50"/>
        <item t="data" sd="1" m="1" x="9"/>
        <item t="data" sd="1" m="1" x="10"/>
        <item t="data" sd="1" m="1" x="11"/>
        <item t="data" sd="1" m="1" x="12"/>
        <item t="data" sd="1" m="1" x="13"/>
        <item t="data" sd="1" m="1" x="16"/>
        <item t="data" sd="1" m="1" x="17"/>
        <item t="data" sd="1" m="1" x="18"/>
        <item t="data" sd="1" m="1" x="19"/>
        <item t="data" sd="1" m="1" x="20"/>
        <item t="data" sd="1" m="1" x="21"/>
        <item t="data" sd="1" m="1" x="22"/>
        <item t="data" sd="1" m="1" x="23"/>
        <item t="data" sd="1" m="1" x="24"/>
        <item t="data" sd="1" m="1" x="25"/>
        <item t="data" sd="1" m="1" x="26"/>
        <item t="data" sd="1" m="1" x="14"/>
        <item t="data" sd="1" m="1" x="15"/>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sumSubtotal="1"/>
    <pivotField showDropDowns="1" compact="0" outline="0" subtotalTop="1" dragToRow="1" dragToCol="1" dragToPage="1" dragToData="1" dragOff="1" showAll="0" topAutoShow="1" itemPageCount="10" sortType="manual" defaultSubtotal="1"/>
    <pivotField showDropDowns="1" compact="0" numFmtId="9"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64"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numFmtId="14"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4" outline="0" subtotalTop="1" dragToRow="1" dragToCol="1" dragToPage="1" dragToData="1" dragOff="1" showAll="0" topAutoShow="1" itemPageCount="10" sortType="manual" defaultSubtotal="1"/>
    <pivotField showDropDowns="1" compact="0" numFmtId="165" outline="0" subtotalTop="1" dragToRow="1" dragToCol="1" dragToPage="1" dragToData="1" dragOff="1" showAll="0" topAutoShow="1" itemPageCount="10" sortType="manual" defaultSubtotal="1"/>
    <pivotField showDropDowns="1" compact="0" outline="0" subtotalTop="1" dragToRow="0" dragToCol="0" dragToPage="0" dragToData="1" dragOff="1" showAll="0" topAutoShow="1" itemPageCount="10" sortType="manual" defaultSubtotal="0"/>
  </pivotFields>
  <rowFields count="3">
    <field x="0"/>
    <field x="4"/>
    <field x="1"/>
  </rowFields>
  <rowItems count="28">
    <i t="data" r="0" i="0">
      <x v="1"/>
      <x v="1"/>
      <x v="10"/>
    </i>
    <i t="data" r="1" i="0">
      <x v="2"/>
      <x v="5"/>
    </i>
    <i t="data" r="1" i="0">
      <x v="4"/>
      <x v="1"/>
    </i>
    <i t="data" r="1" i="0">
      <x v="8"/>
      <x v="0"/>
    </i>
    <i t="data" r="1" i="0">
      <x v="38"/>
      <x v="17"/>
    </i>
    <i t="data" r="1" i="0">
      <x v="43"/>
      <x v="20"/>
    </i>
    <i t="data" r="1" i="0">
      <x v="47"/>
      <x v="3"/>
    </i>
    <i t="data" r="1" i="0">
      <x v="52"/>
      <x v="6"/>
    </i>
    <i t="data" r="1" i="0">
      <x v="53"/>
      <x v="7"/>
    </i>
    <i t="data" r="1" i="0">
      <x v="58"/>
      <x v="9"/>
    </i>
    <i t="data" r="1" i="0">
      <x v="59"/>
      <x v="16"/>
    </i>
    <i t="data" r="1" i="0">
      <x v="60"/>
      <x v="18"/>
    </i>
    <i t="data" r="1" i="0">
      <x v="67"/>
      <x v="12"/>
    </i>
    <i t="data" r="1" i="0">
      <x v="78"/>
      <x v="8"/>
    </i>
    <i t="data" r="1" i="0">
      <x v="339"/>
      <x v="24"/>
    </i>
    <i t="data" r="1" i="0">
      <x v="368"/>
      <x v="21"/>
    </i>
    <i t="data" r="1" i="0">
      <x v="369"/>
      <x v="22"/>
    </i>
    <i t="data" r="1" i="0">
      <x v="370"/>
      <x v="2"/>
    </i>
    <i t="data" r="1" i="0">
      <x v="371"/>
      <x v="4"/>
    </i>
    <i t="data" r="1" i="0">
      <x v="373"/>
      <x v="25"/>
    </i>
    <i t="data" r="1" i="0">
      <x v="374"/>
      <x v="11"/>
    </i>
    <i t="data" r="1" i="0">
      <x v="375"/>
      <x v="19"/>
    </i>
    <i t="default" r="0" i="0">
      <x v="1"/>
    </i>
    <i t="data" r="0" i="0">
      <x v="4"/>
      <x v="11"/>
      <x v="13"/>
    </i>
    <i t="default" r="0" i="0">
      <x v="4"/>
    </i>
    <i t="data" r="0" i="0">
      <x v="5"/>
      <x v="3"/>
      <x v="15"/>
    </i>
    <i t="default" r="0" i="0">
      <x v="5"/>
    </i>
    <i t="grand" r="0" i="0">
      <x v="0"/>
    </i>
  </rowItems>
  <colFields count="1">
    <field x="-2"/>
  </colFields>
  <colItems count="3">
    <i t="data" r="0" i="0">
      <x v="0"/>
    </i>
    <i t="data" r="0" i="1">
      <x v="1"/>
    </i>
    <i t="data" r="0" i="2">
      <x v="2"/>
    </i>
  </colItems>
  <dataFields count="3">
    <dataField name="Total Effort" fld="35" subtotal="sum" showDataAs="normal" baseField="0" baseItem="0" numFmtId="165"/>
    <dataField name="Total Effort (first team)" fld="36" subtotal="sum" showDataAs="normal" baseField="0" baseItem="0" numFmtId="165"/>
    <dataField name="Total effort (second team)" fld="37" subtotal="sum" showDataAs="normal" baseField="0" baseItem="0" numFmtId="165"/>
  </dataFields>
  <formats count="9">
    <format action="formatting" dxfId="315">
      <pivotArea type="normal" dataOnly="0" labelOnly="1" grandRow="1" outline="0" fieldPosition="0"/>
    </format>
    <format action="formatting" dxfId="314">
      <pivotArea field="10" type="button" dataOnly="0" labelOnly="1" outline="0"/>
    </format>
    <format action="formatting" dxfId="313">
      <pivotArea field="10" type="button" dataOnly="0" labelOnly="1" outline="0"/>
    </format>
    <format action="formatting" dxfId="312">
      <pivotArea type="normal" dataOnly="1" outline="0" fieldPosition="0">
        <references count="1">
          <reference field="4294967294">
            <x v="0"/>
          </reference>
        </references>
      </pivotArea>
    </format>
    <format action="formatting" dxfId="311">
      <pivotArea type="normal" dataOnly="1" outline="0" fieldPosition="0">
        <references count="1">
          <reference field="4294967294">
            <x v="1"/>
          </reference>
        </references>
      </pivotArea>
    </format>
    <format action="formatting" dxfId="310">
      <pivotArea type="normal" dataOnly="1" outline="0" fieldPosition="0">
        <references count="1">
          <reference field="4294967294">
            <x v="2"/>
          </reference>
        </references>
      </pivotArea>
    </format>
    <format action="formatting" dxfId="309">
      <pivotArea type="normal" dataOnly="1" outline="0" collapsedLevelsAreSubtotals="1" fieldPosition="0"/>
    </format>
    <format action="formatting" dxfId="308">
      <pivotArea type="normal" dataOnly="0" labelOnly="1" outline="0" fieldPosition="0">
        <references count="1">
          <reference field="4294967294">
            <x v="0"/>
            <x v="1"/>
            <x v="2"/>
          </reference>
        </references>
      </pivotArea>
    </format>
    <format action="formatting" dxfId="307">
      <pivotArea field="0" type="button" dataOnly="0" labelOnly="1" outline="0" axis="axisRow"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blCalcTeam" displayName="tblCalcTeam" ref="A22:B23" headerRowCount="1" insertRow="1" totalsRowShown="0" headerRowDxfId="608" dataDxfId="606" headerRowBorderDxfId="607" tableBorderDxfId="605" totalsRowBorderDxfId="604">
  <tableColumns count="2">
    <tableColumn id="1" name="Team member" dataDxfId="603"/>
    <tableColumn id="2" name="Team member role in proposal process" dataDxfId="602"/>
  </tableColumns>
  <tableStyleInfo name="TableStyleLight9" showFirstColumn="0" showLastColumn="0" showRowStripes="1" showColumnStripes="0"/>
</table>
</file>

<file path=xl/tables/table2.xml><?xml version="1.0" encoding="utf-8"?>
<table xmlns="http://schemas.openxmlformats.org/spreadsheetml/2006/main" id="2" name="Tabelle9" displayName="Tabelle9" ref="A4:E9" headerRowCount="1" totalsRowShown="0" dataDxfId="601">
  <tableColumns count="5">
    <tableColumn id="1" name="Milestone" dataDxfId="600"/>
    <tableColumn id="7" name="Title" dataDxfId="599"/>
    <tableColumn id="10" name="Effort" dataDxfId="598"/>
    <tableColumn id="8" name="Date" dataDxfId="597"/>
    <tableColumn id="9" name="Depencency" dataDxfId="596"/>
  </tableColumns>
  <tableStyleInfo name="TableStyleLight9" showFirstColumn="0" showLastColumn="0" showRowStripes="1" showColumnStripes="0"/>
</table>
</file>

<file path=xl/tables/table3.xml><?xml version="1.0" encoding="utf-8"?>
<table xmlns="http://schemas.openxmlformats.org/spreadsheetml/2006/main" id="3" name="Tabelle911" displayName="Tabelle911" ref="A11:E16" headerRowCount="1" totalsRowShown="0" dataDxfId="595">
  <tableColumns count="5">
    <tableColumn id="1" name="Milestone" dataDxfId="594"/>
    <tableColumn id="7" name="Title" dataDxfId="593"/>
    <tableColumn id="2" name="Task group" dataDxfId="592"/>
    <tableColumn id="4" name="Summary task" dataDxfId="591"/>
    <tableColumn id="5" name="Percentage" dataDxfId="590"/>
  </tableColumns>
  <tableStyleInfo name="TableStyleLight9" showFirstColumn="0" showLastColumn="0" showRowStripes="1" showColumnStripes="0"/>
</table>
</file>

<file path=xl/tables/table4.xml><?xml version="1.0" encoding="utf-8"?>
<table xmlns="http://schemas.openxmlformats.org/spreadsheetml/2006/main" id="4" name="tblHistoryOfChanges" displayName="tblHistoryOfChanges" ref="A5:C7" headerRowCount="1" totalsRowShown="0" headerRowDxfId="589" dataDxfId="588">
  <autoFilter ref="A5:C7"/>
  <tableColumns count="3">
    <tableColumn id="1" name="Date of change" dataDxfId="587"/>
    <tableColumn id="2" name="Description" dataDxfId="586"/>
    <tableColumn id="3" name="Author" dataDxfId="585"/>
  </tableColumns>
  <tableStyleInfo name="TableStyleLight9" showFirstColumn="0" showLastColumn="0" showRowStripes="1" showColumnStripes="0"/>
</table>
</file>

<file path=xl/tables/table5.xml><?xml version="1.0" encoding="utf-8"?>
<table xmlns="http://schemas.openxmlformats.org/spreadsheetml/2006/main" id="5" name="tblRisksForChart" displayName="tblRisksForChart" ref="O4:S6" headerRowCount="1" insertRow="1" totalsRowCount="1">
  <tableColumns count="5">
    <tableColumn id="1" name="ID" totalsRowLabel="Ergebnis"/>
    <tableColumn id="2" name="Risk title"/>
    <tableColumn id="5" name="Risk likelihood" dataDxfId="491" totalsRowDxfId="490"/>
    <tableColumn id="6" name="Risk impact" dataDxfId="489" totalsRowDxfId="488"/>
    <tableColumn id="7" name="Weighted risk impact" totalsRowFunction="sum" dataDxfId="487" totalsRowDxfId="486"/>
  </tableColumns>
  <tableStyleInfo name="TableStyleMedium2" showFirstColumn="0" showLastColumn="0" showRowStripes="1" showColumnStripes="0"/>
</table>
</file>

<file path=xl/tables/table6.xml><?xml version="1.0" encoding="utf-8"?>
<table xmlns="http://schemas.openxmlformats.org/spreadsheetml/2006/main" id="6" name="tblDataPool" displayName="tblDataPool" ref="A5:AS29" headerRowCount="1" headerRowDxfId="485" dataDxfId="484">
  <autoFilter ref="A5:AS29"/>
  <tableColumns count="45">
    <tableColumn id="14" name="Item type" dataDxfId="483" totalsRowDxfId="482"/>
    <tableColumn id="1" name="Task id" totalsRowLabel="Ergebnis" dataDxfId="481" totalsRowDxfId="480"/>
    <tableColumn id="36" name="Task group" dataDxfId="479" totalsRowDxfId="478"/>
    <tableColumn id="2" name="Summary task" dataDxfId="477" totalsRowDxfId="476"/>
    <tableColumn id="3" name="Task" dataDxfId="475" totalsRowDxfId="474"/>
    <tableColumn id="4" name="Feature id" dataDxfId="473" totalsRowDxfId="472"/>
    <tableColumn id="44" name="Feature range" dataDxfId="471" totalsRowDxfId="470"/>
    <tableColumn id="37" name="Feature group" dataDxfId="469" totalsRowDxfId="468"/>
    <tableColumn id="22" name="Feature sub group" dataDxfId="467" totalsRowDxfId="466"/>
    <tableColumn id="29" name="Feature task no" dataDxfId="465" totalsRowDxfId="464"/>
    <tableColumn id="5" name="Feature" dataDxfId="463" totalsRowDxfId="462"/>
    <tableColumn id="6" name="Sub feature" dataDxfId="461" totalsRowDxfId="460"/>
    <tableColumn id="28" name="Costs id" dataDxfId="459" totalsRowDxfId="458"/>
    <tableColumn id="27" name="Cost descr" dataDxfId="457" totalsRowDxfId="456"/>
    <tableColumn id="7" name="Assumptions" dataDxfId="455" totalsRowDxfId="454"/>
    <tableColumn id="9" name="Ref. id" dataDxfId="453" totalsRowDxfId="452"/>
    <tableColumn id="8" name="Risks" dataDxfId="451" totalsRowDxfId="450"/>
    <tableColumn id="18" name="Risk id" dataDxfId="449" totalsRowDxfId="448"/>
    <tableColumn id="17" name="Risk title" dataDxfId="447" totalsRowDxfId="446"/>
    <tableColumn id="16" name="Risk description" dataDxfId="445" totalsRowDxfId="444"/>
    <tableColumn id="15" name="Risk likelihood" dataDxfId="443" totalsRowDxfId="442" dataCellStyle="Prozent"/>
    <tableColumn id="33" name="Risk likelihood (first team)" dataDxfId="441" totalsRowDxfId="440" dataCellStyle="Prozent"/>
    <tableColumn id="32" name="Risk likelihood (second team)" dataDxfId="439" totalsRowDxfId="438" dataCellStyle="Prozent"/>
    <tableColumn id="19" name="Risk impact" dataDxfId="437" totalsRowDxfId="436"/>
    <tableColumn id="35" name="Risk impact (first team)" dataDxfId="435" totalsRowDxfId="434"/>
    <tableColumn id="34" name="Risk impact (second team)" dataDxfId="433" totalsRowDxfId="432"/>
    <tableColumn id="10" name="Project Role" dataDxfId="431" totalsRowDxfId="430"/>
    <tableColumn id="20" name="Sub role" dataDxfId="429" totalsRowDxfId="428"/>
    <tableColumn id="13" name="Sub role percentage" dataDxfId="427" totalsRowDxfId="426" dataCellStyle="Prozent"/>
    <tableColumn id="41" name="Company" dataDxfId="425" totalsRowDxfId="424"/>
    <tableColumn id="40" name="Country" dataDxfId="423" totalsRowDxfId="422"/>
    <tableColumn id="43" name="Inflation rate" dataDxfId="421" totalsRowDxfId="420"/>
    <tableColumn id="39" name="Location" dataDxfId="419" totalsRowDxfId="418"/>
    <tableColumn id="38" name="Seniority Level" dataDxfId="417" totalsRowDxfId="416"/>
    <tableColumn id="42" name="Period start" dataDxfId="415" totalsRowDxfId="414"/>
    <tableColumn id="11" name="Effort" totalsRowFunction="sum" dataDxfId="413" totalsRowDxfId="412"/>
    <tableColumn id="31" name="Effort (first team)" totalsRowFunction="sum" dataDxfId="411" totalsRowDxfId="410"/>
    <tableColumn id="30" name="Effort (second team)" totalsRowFunction="sum" dataDxfId="409" totalsRowDxfId="408"/>
    <tableColumn id="24" name="Daily costs" dataDxfId="407" totalsRowDxfId="406"/>
    <tableColumn id="23" name="Costs" totalsRowFunction="sum" dataDxfId="405" totalsRowDxfId="404"/>
    <tableColumn id="12" name="Daily rate" dataDxfId="403" totalsRowDxfId="402"/>
    <tableColumn id="25" name="Price" totalsRowFunction="sum" dataDxfId="401" totalsRowDxfId="400"/>
    <tableColumn id="26" name="Margin" totalsRowFunction="sum" dataDxfId="399" totalsRowDxfId="398"/>
    <tableColumn id="21" name="Gross profit" dataDxfId="397" totalsRowDxfId="396"/>
    <tableColumn id="45" name="Effort contractor" dataDxfId="395" totalsRowDxfId="394"/>
  </tableColumns>
  <tableStyleInfo name="TableStyleMedium1" showFirstColumn="0" showLastColumn="0" showRowStripes="1" showColumnStripes="0"/>
</table>
</file>

<file path=xl/tables/table7.xml><?xml version="1.0" encoding="utf-8"?>
<table xmlns="http://schemas.openxmlformats.org/spreadsheetml/2006/main" id="7" name="tblCountries" displayName="tblCountries" ref="A6:B20" headerRowCount="1" totalsRowShown="0" dataDxfId="306">
  <autoFilter ref="A6:B20"/>
  <tableColumns count="2">
    <tableColumn id="1" name="Country" dataDxfId="305"/>
    <tableColumn id="2" name="Inflation rate" dataDxfId="304"/>
  </tableColumns>
  <tableStyleInfo name="TableStyleLight9" showFirstColumn="0" showLastColumn="0" showRowStripes="1" showColumnStripes="0"/>
</table>
</file>

<file path=xl/tables/table8.xml><?xml version="1.0" encoding="utf-8"?>
<table xmlns="http://schemas.openxmlformats.org/spreadsheetml/2006/main" id="8" name="tblCompanies" displayName="tblCompanies" ref="A6:B38" headerRowCount="1" totalsRowShown="0" dataDxfId="303">
  <autoFilter ref="A6:B38"/>
  <tableColumns count="2">
    <tableColumn id="1" name="Company" dataDxfId="302"/>
    <tableColumn id="2" name="Accounting-related company" dataDxfId="301"/>
  </tableColumns>
  <tableStyleInfo name="TableStyleLight9" showFirstColumn="0" showLastColumn="0" showRowStripes="1" showColumnStripes="0"/>
</table>
</file>

<file path=xl/tables/table9.xml><?xml version="1.0" encoding="utf-8"?>
<table xmlns="http://schemas.openxmlformats.org/spreadsheetml/2006/main" id="9" name="tblLocations" displayName="tblLocations" ref="A6:A12" headerRowCount="1" totalsRowShown="0" dataDxfId="300">
  <autoFilter ref="A6:A12"/>
  <tableColumns count="1">
    <tableColumn id="1" name="Location" dataDxfId="299"/>
  </tableColumns>
  <tableStyleInfo name="TableStyleLight9" showFirstColumn="0" showLastColumn="0" showRowStripes="1" showColumnStripes="0"/>
</table>
</file>

<file path=xl/tables/table10.xml><?xml version="1.0" encoding="utf-8"?>
<table xmlns="http://schemas.openxmlformats.org/spreadsheetml/2006/main" id="10" name="tblSeniorityLevels" displayName="tblSeniorityLevels" ref="A6:A12" headerRowCount="1" totalsRowShown="0" dataDxfId="298">
  <autoFilter ref="A6:A12"/>
  <tableColumns count="1">
    <tableColumn id="1" name="Seniority Level" dataDxfId="297"/>
  </tableColumns>
  <tableStyleInfo name="TableStyleLight9" showFirstColumn="0" showLastColumn="0" showRowStripes="1" showColumnStripes="0"/>
</table>
</file>

<file path=xl/tables/table11.xml><?xml version="1.0" encoding="utf-8"?>
<table xmlns="http://schemas.openxmlformats.org/spreadsheetml/2006/main" id="11" name="tblLog" displayName="tblLog" ref="A7:C8" headerRowCount="1" insertRow="1" totalsRowShown="0" headerRowDxfId="296" dataDxfId="295">
  <autoFilter ref="A7:C8"/>
  <tableColumns count="3">
    <tableColumn id="1" name="Date/Time" dataDxfId="294"/>
    <tableColumn id="2" name="Log type" dataDxfId="293"/>
    <tableColumn id="3" name="Log description" dataDxfId="292"/>
  </tableColumns>
  <tableStyleInfo name="TableStyleLight13" showFirstColumn="0" showLastColumn="0" showRowStripes="1" showColumnStripes="0"/>
</table>
</file>

<file path=xl/tables/table12.xml><?xml version="1.0" encoding="utf-8"?>
<table xmlns="http://schemas.openxmlformats.org/spreadsheetml/2006/main" id="12" name="tblTemplates" displayName="tblTemplates" ref="A3:F12" headerRowCount="1" totalsRowShown="0" headerRowDxfId="291" dataDxfId="290">
  <autoFilter ref="A3:F12"/>
  <tableColumns count="6">
    <tableColumn id="1" name="Template" dataDxfId="289"/>
    <tableColumn id="2" name="Description" dataDxfId="288"/>
    <tableColumn id="3" name="Created" dataDxfId="287"/>
    <tableColumn id="4" name="Last updated" dataDxfId="286"/>
    <tableColumn id="5" name="Company" dataDxfId="285"/>
    <tableColumn id="6" name="Business Area/Line" dataDxfId="284"/>
  </tableColumns>
  <tableStyleInfo name="TableStyleLight9" showFirstColumn="0" showLastColumn="0" showRowStripes="1" showColumnStripes="0"/>
</table>
</file>

<file path=xl/tables/table13.xml><?xml version="1.0" encoding="utf-8"?>
<table xmlns="http://schemas.openxmlformats.org/spreadsheetml/2006/main" id="13" name="general_dev_de_tblConfigs" displayName="general_dev_de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14.xml><?xml version="1.0" encoding="utf-8"?>
<table xmlns="http://schemas.openxmlformats.org/spreadsheetml/2006/main" id="14" name="general_dev_de_tblCalcTeam" displayName="general_dev_de_tblCalcTeam" ref="A17:B18" headerRowCount="1" insertRow="1" totalsRowShown="0" headerRowDxfId="283" dataDxfId="281" headerRowBorderDxfId="282" tableBorderDxfId="280" totalsRowBorderDxfId="279">
  <tableColumns count="2">
    <tableColumn id="1" name="Team member" dataDxfId="278"/>
    <tableColumn id="2" name="Team member role in proposal process" dataDxfId="277"/>
  </tableColumns>
  <tableStyleInfo name="TableStyleLight9" showFirstColumn="0" showLastColumn="0" showRowStripes="1" showColumnStripes="0"/>
</table>
</file>

<file path=xl/tables/table15.xml><?xml version="1.0" encoding="utf-8"?>
<table xmlns="http://schemas.openxmlformats.org/spreadsheetml/2006/main" id="15" name="general_dev_de_tblOtherCosts" displayName="general_dev_de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16.xml><?xml version="1.0" encoding="utf-8"?>
<table xmlns="http://schemas.openxmlformats.org/spreadsheetml/2006/main" id="16" name="general_dev_de_tblRisks" displayName="general_dev_de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17.xml><?xml version="1.0" encoding="utf-8"?>
<table xmlns="http://schemas.openxmlformats.org/spreadsheetml/2006/main" id="17" name="general_dev_de_tblTasks" displayName="general_dev_de_tblTasks" ref="A26:AT51" headerRowCount="1" totalsRowShown="0">
  <autoFilter ref="A26:AT51"/>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18.xml><?xml version="1.0" encoding="utf-8"?>
<table xmlns="http://schemas.openxmlformats.org/spreadsheetml/2006/main" id="18" name="general_dev_de_tblSeniorityLevels" displayName="general_dev_de_tblSeniorityLevels" ref="A53:A59" headerRowCount="1" totalsRowShown="0" dataDxfId="276">
  <autoFilter ref="A53:A59"/>
  <tableColumns count="1">
    <tableColumn id="1" name="Seniority Level" dataDxfId="275"/>
  </tableColumns>
  <tableStyleInfo name="TableStyleLight9" showFirstColumn="0" showLastColumn="0" showRowStripes="1" showColumnStripes="0"/>
</table>
</file>

<file path=xl/tables/table19.xml><?xml version="1.0" encoding="utf-8"?>
<table xmlns="http://schemas.openxmlformats.org/spreadsheetml/2006/main" id="19" name="general_dev_de_tblLocations" displayName="general_dev_de_tblLocations" ref="A61:A67" headerRowCount="1" totalsRowShown="0" dataDxfId="274">
  <autoFilter ref="A61:A67"/>
  <tableColumns count="1">
    <tableColumn id="1" name="Location" dataDxfId="273"/>
  </tableColumns>
  <tableStyleInfo name="TableStyleLight9" showFirstColumn="0" showLastColumn="0" showRowStripes="1" showColumnStripes="0"/>
</table>
</file>

<file path=xl/tables/table20.xml><?xml version="1.0" encoding="utf-8"?>
<table xmlns="http://schemas.openxmlformats.org/spreadsheetml/2006/main" id="20" name="general_dev_de_tblCompanies" displayName="general_dev_de_tblCompanies" ref="A69:B101" headerRowCount="1" totalsRowShown="0" dataDxfId="272">
  <autoFilter ref="A69:B101"/>
  <tableColumns count="2">
    <tableColumn id="1" name="Company" dataDxfId="271"/>
    <tableColumn id="2" name="Accounting-related company" dataDxfId="270"/>
  </tableColumns>
  <tableStyleInfo name="TableStyleLight9" showFirstColumn="0" showLastColumn="0" showRowStripes="1" showColumnStripes="0"/>
</table>
</file>

<file path=xl/tables/table21.xml><?xml version="1.0" encoding="utf-8"?>
<table xmlns="http://schemas.openxmlformats.org/spreadsheetml/2006/main" id="21" name="general_dev_de_tblCountries" displayName="general_dev_de_tblCountries" ref="A103:B117" headerRowCount="1" totalsRowShown="0" dataDxfId="269">
  <autoFilter ref="A103:B117"/>
  <tableColumns count="2">
    <tableColumn id="1" name="Country" dataDxfId="268"/>
    <tableColumn id="2" name="Inflation rate" dataDxfId="267"/>
  </tableColumns>
  <tableStyleInfo name="TableStyleLight9" showFirstColumn="0" showLastColumn="0" showRowStripes="1" showColumnStripes="0"/>
</table>
</file>

<file path=xl/tables/table22.xml><?xml version="1.0" encoding="utf-8"?>
<table xmlns="http://schemas.openxmlformats.org/spreadsheetml/2006/main" id="22" name="general_dev_de_tblRoles" displayName="general_dev_de_tblRoles" ref="A119:K137" headerRowCount="1" totalsRowShown="0">
  <autoFilter ref="A119:K137"/>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23.xml><?xml version="1.0" encoding="utf-8"?>
<table xmlns="http://schemas.openxmlformats.org/spreadsheetml/2006/main" id="23" name="general_dev_de_tblFeatures" displayName="general_dev_de_tblFeatures" ref="A139:S140" headerRowCount="1" insertRow="1" totalsRowShown="0">
  <autoFilter ref="A139:S140"/>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24.xml><?xml version="1.0" encoding="utf-8"?>
<table xmlns="http://schemas.openxmlformats.org/spreadsheetml/2006/main" id="24" name="general_dev_de_tblFeatureTasks" displayName="general_dev_de_tblFeatureTasks" ref="A142:D146" headerRowCount="1" totalsRowShown="0">
  <autoFilter ref="A142:D146"/>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25.xml><?xml version="1.0" encoding="utf-8"?>
<table xmlns="http://schemas.openxmlformats.org/spreadsheetml/2006/main" id="25" name="general_dev_en_tblConfigs" displayName="general_dev_en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26.xml><?xml version="1.0" encoding="utf-8"?>
<table xmlns="http://schemas.openxmlformats.org/spreadsheetml/2006/main" id="26" name="general_dev_en_tblCalcTeam" displayName="general_dev_en_tblCalcTeam" ref="A17:B18" headerRowCount="1" insertRow="1" totalsRowShown="0" headerRowDxfId="266" dataDxfId="264" headerRowBorderDxfId="265" tableBorderDxfId="263" totalsRowBorderDxfId="262">
  <tableColumns count="2">
    <tableColumn id="1" name="Team member" dataDxfId="261"/>
    <tableColumn id="2" name="Team member role in proposal process" dataDxfId="260"/>
  </tableColumns>
  <tableStyleInfo name="TableStyleLight9" showFirstColumn="0" showLastColumn="0" showRowStripes="1" showColumnStripes="0"/>
</table>
</file>

<file path=xl/tables/table27.xml><?xml version="1.0" encoding="utf-8"?>
<table xmlns="http://schemas.openxmlformats.org/spreadsheetml/2006/main" id="27" name="general_dev_en_tblOtherCosts" displayName="general_dev_en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28.xml><?xml version="1.0" encoding="utf-8"?>
<table xmlns="http://schemas.openxmlformats.org/spreadsheetml/2006/main" id="28" name="general_dev_en_tblRisks" displayName="general_dev_en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29.xml><?xml version="1.0" encoding="utf-8"?>
<table xmlns="http://schemas.openxmlformats.org/spreadsheetml/2006/main" id="29" name="general_dev_en_tblTasks" displayName="general_dev_en_tblTasks" ref="A26:AT51" headerRowCount="1" totalsRowShown="0">
  <autoFilter ref="A26:AT51"/>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30.xml><?xml version="1.0" encoding="utf-8"?>
<table xmlns="http://schemas.openxmlformats.org/spreadsheetml/2006/main" id="30" name="general_dev_en_tblSeniorityLevels" displayName="general_dev_en_tblSeniorityLevels" ref="A53:A59" headerRowCount="1" totalsRowShown="0" dataDxfId="259">
  <autoFilter ref="A53:A59"/>
  <tableColumns count="1">
    <tableColumn id="1" name="Seniority Level" dataDxfId="258"/>
  </tableColumns>
  <tableStyleInfo name="TableStyleLight9" showFirstColumn="0" showLastColumn="0" showRowStripes="1" showColumnStripes="0"/>
</table>
</file>

<file path=xl/tables/table31.xml><?xml version="1.0" encoding="utf-8"?>
<table xmlns="http://schemas.openxmlformats.org/spreadsheetml/2006/main" id="31" name="general_dev_en_tblLocations" displayName="general_dev_en_tblLocations" ref="A61:A67" headerRowCount="1" totalsRowShown="0" dataDxfId="257">
  <autoFilter ref="A61:A67"/>
  <tableColumns count="1">
    <tableColumn id="1" name="Location" dataDxfId="256"/>
  </tableColumns>
  <tableStyleInfo name="TableStyleLight9" showFirstColumn="0" showLastColumn="0" showRowStripes="1" showColumnStripes="0"/>
</table>
</file>

<file path=xl/tables/table32.xml><?xml version="1.0" encoding="utf-8"?>
<table xmlns="http://schemas.openxmlformats.org/spreadsheetml/2006/main" id="32" name="general_dev_en_tblCompanies" displayName="general_dev_en_tblCompanies" ref="A69:B101" headerRowCount="1" totalsRowShown="0" dataDxfId="255">
  <autoFilter ref="A69:B101"/>
  <tableColumns count="2">
    <tableColumn id="1" name="Company" dataDxfId="254"/>
    <tableColumn id="2" name="Accounting-related company" dataDxfId="253"/>
  </tableColumns>
  <tableStyleInfo name="TableStyleLight9" showFirstColumn="0" showLastColumn="0" showRowStripes="1" showColumnStripes="0"/>
</table>
</file>

<file path=xl/tables/table33.xml><?xml version="1.0" encoding="utf-8"?>
<table xmlns="http://schemas.openxmlformats.org/spreadsheetml/2006/main" id="33" name="general_dev_en_tblCountries" displayName="general_dev_en_tblCountries" ref="A103:B117" headerRowCount="1" totalsRowShown="0" dataDxfId="252">
  <autoFilter ref="A103:B117"/>
  <tableColumns count="2">
    <tableColumn id="1" name="Country" dataDxfId="251"/>
    <tableColumn id="2" name="Inflation rate" dataDxfId="250"/>
  </tableColumns>
  <tableStyleInfo name="TableStyleLight9" showFirstColumn="0" showLastColumn="0" showRowStripes="1" showColumnStripes="0"/>
</table>
</file>

<file path=xl/tables/table34.xml><?xml version="1.0" encoding="utf-8"?>
<table xmlns="http://schemas.openxmlformats.org/spreadsheetml/2006/main" id="34" name="general_dev_en_tblRoles" displayName="general_dev_en_tblRoles" ref="A119:K137" headerRowCount="1" totalsRowShown="0">
  <autoFilter ref="A119:K137"/>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35.xml><?xml version="1.0" encoding="utf-8"?>
<table xmlns="http://schemas.openxmlformats.org/spreadsheetml/2006/main" id="35" name="general_dev_en_tblFeatures" displayName="general_dev_en_tblFeatures" ref="A139:S140" headerRowCount="1" insertRow="1" totalsRowShown="0">
  <autoFilter ref="A139:S140"/>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36.xml><?xml version="1.0" encoding="utf-8"?>
<table xmlns="http://schemas.openxmlformats.org/spreadsheetml/2006/main" id="36" name="general_dev_en_tblFeatureTasks" displayName="general_dev_en_tblFeatureTasks" ref="A142:D146" headerRowCount="1" totalsRowShown="0">
  <autoFilter ref="A142:D146"/>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37.xml><?xml version="1.0" encoding="utf-8"?>
<table xmlns="http://schemas.openxmlformats.org/spreadsheetml/2006/main" id="37" name="ams_appdev1_de_tblConfigs" displayName="ams_appdev1_de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38.xml><?xml version="1.0" encoding="utf-8"?>
<table xmlns="http://schemas.openxmlformats.org/spreadsheetml/2006/main" id="38" name="ams_appdev1_de_tblCalcTeam" displayName="ams_appdev1_de_tblCalcTeam" ref="A17:B18" headerRowCount="1" insertRow="1" totalsRowShown="0" headerRowDxfId="249" dataDxfId="247" headerRowBorderDxfId="248" tableBorderDxfId="246" totalsRowBorderDxfId="245">
  <tableColumns count="2">
    <tableColumn id="1" name="Team member" dataDxfId="244"/>
    <tableColumn id="2" name="Team member role in proposal process" dataDxfId="243"/>
  </tableColumns>
  <tableStyleInfo name="TableStyleLight9" showFirstColumn="0" showLastColumn="0" showRowStripes="1" showColumnStripes="0"/>
</table>
</file>

<file path=xl/tables/table39.xml><?xml version="1.0" encoding="utf-8"?>
<table xmlns="http://schemas.openxmlformats.org/spreadsheetml/2006/main" id="39" name="ams_appdev1_de_tblOtherCosts" displayName="ams_appdev1_de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40.xml><?xml version="1.0" encoding="utf-8"?>
<table xmlns="http://schemas.openxmlformats.org/spreadsheetml/2006/main" id="40" name="ams_appdev1_de_tblRisks" displayName="ams_appdev1_de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41.xml><?xml version="1.0" encoding="utf-8"?>
<table xmlns="http://schemas.openxmlformats.org/spreadsheetml/2006/main" id="41" name="ams_appdev1_de_tblTasks" displayName="ams_appdev1_de_tblTasks" ref="A26:AT55" headerRowCount="1" totalsRowShown="0">
  <autoFilter ref="A26:AT55"/>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42.xml><?xml version="1.0" encoding="utf-8"?>
<table xmlns="http://schemas.openxmlformats.org/spreadsheetml/2006/main" id="42" name="ams_appdev1_de_tblSeniorityLevels" displayName="ams_appdev1_de_tblSeniorityLevels" ref="A57:A63" headerRowCount="1" totalsRowShown="0" dataDxfId="242">
  <autoFilter ref="A57:A63"/>
  <tableColumns count="1">
    <tableColumn id="1" name="Seniority Level" dataDxfId="241"/>
  </tableColumns>
  <tableStyleInfo name="TableStyleLight9" showFirstColumn="0" showLastColumn="0" showRowStripes="1" showColumnStripes="0"/>
</table>
</file>

<file path=xl/tables/table43.xml><?xml version="1.0" encoding="utf-8"?>
<table xmlns="http://schemas.openxmlformats.org/spreadsheetml/2006/main" id="43" name="ams_appdev1_de_tblLocations" displayName="ams_appdev1_de_tblLocations" ref="A65:A71" headerRowCount="1" totalsRowShown="0" dataDxfId="240">
  <autoFilter ref="A65:A71"/>
  <tableColumns count="1">
    <tableColumn id="1" name="Location" dataDxfId="239"/>
  </tableColumns>
  <tableStyleInfo name="TableStyleLight9" showFirstColumn="0" showLastColumn="0" showRowStripes="1" showColumnStripes="0"/>
</table>
</file>

<file path=xl/tables/table44.xml><?xml version="1.0" encoding="utf-8"?>
<table xmlns="http://schemas.openxmlformats.org/spreadsheetml/2006/main" id="44" name="ams_appdev1_de_tblCompanies" displayName="ams_appdev1_de_tblCompanies" ref="A73:B105" headerRowCount="1" totalsRowShown="0" dataDxfId="238">
  <autoFilter ref="A73:B105"/>
  <tableColumns count="2">
    <tableColumn id="1" name="Company" dataDxfId="237"/>
    <tableColumn id="2" name="Accounting-related company" dataDxfId="236"/>
  </tableColumns>
  <tableStyleInfo name="TableStyleLight9" showFirstColumn="0" showLastColumn="0" showRowStripes="1" showColumnStripes="0"/>
</table>
</file>

<file path=xl/tables/table45.xml><?xml version="1.0" encoding="utf-8"?>
<table xmlns="http://schemas.openxmlformats.org/spreadsheetml/2006/main" id="45" name="ams_appdev1_de_tblCountries" displayName="ams_appdev1_de_tblCountries" ref="A107:B121" headerRowCount="1" totalsRowShown="0" dataDxfId="235">
  <autoFilter ref="A107:B121"/>
  <tableColumns count="2">
    <tableColumn id="1" name="Country" dataDxfId="234"/>
    <tableColumn id="2" name="Inflation rate" dataDxfId="233"/>
  </tableColumns>
  <tableStyleInfo name="TableStyleLight9" showFirstColumn="0" showLastColumn="0" showRowStripes="1" showColumnStripes="0"/>
</table>
</file>

<file path=xl/tables/table46.xml><?xml version="1.0" encoding="utf-8"?>
<table xmlns="http://schemas.openxmlformats.org/spreadsheetml/2006/main" id="46" name="ams_appdev1_de_tblRoles" displayName="ams_appdev1_de_tblRoles" ref="A123:K141" headerRowCount="1" totalsRowShown="0">
  <autoFilter ref="A123:K141"/>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47.xml><?xml version="1.0" encoding="utf-8"?>
<table xmlns="http://schemas.openxmlformats.org/spreadsheetml/2006/main" id="47" name="ams_appdev1_de_tblFeatures" displayName="ams_appdev1_de_tblFeatures" ref="A143:S144" headerRowCount="1" insertRow="1" totalsRowShown="0">
  <autoFilter ref="A143:S144"/>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48.xml><?xml version="1.0" encoding="utf-8"?>
<table xmlns="http://schemas.openxmlformats.org/spreadsheetml/2006/main" id="48" name="ams_appdev1_de_tblFeatureTasks" displayName="ams_appdev1_de_tblFeatureTasks" ref="A146:D151" headerRowCount="1" totalsRowShown="0">
  <autoFilter ref="A146:D151"/>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49.xml><?xml version="1.0" encoding="utf-8"?>
<table xmlns="http://schemas.openxmlformats.org/spreadsheetml/2006/main" id="49" name="ams_appdev1_en_tblConfigs" displayName="ams_appdev1_en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50.xml><?xml version="1.0" encoding="utf-8"?>
<table xmlns="http://schemas.openxmlformats.org/spreadsheetml/2006/main" id="50" name="ams_appdev1_en_tblCalcTeam" displayName="ams_appdev1_en_tblCalcTeam" ref="A17:B18" headerRowCount="1" insertRow="1" totalsRowShown="0" headerRowDxfId="232" dataDxfId="230" headerRowBorderDxfId="231" tableBorderDxfId="229" totalsRowBorderDxfId="228">
  <tableColumns count="2">
    <tableColumn id="1" name="Team member" dataDxfId="227"/>
    <tableColumn id="2" name="Team member role in proposal process" dataDxfId="226"/>
  </tableColumns>
  <tableStyleInfo name="TableStyleLight9" showFirstColumn="0" showLastColumn="0" showRowStripes="1" showColumnStripes="0"/>
</table>
</file>

<file path=xl/tables/table51.xml><?xml version="1.0" encoding="utf-8"?>
<table xmlns="http://schemas.openxmlformats.org/spreadsheetml/2006/main" id="51" name="ams_appdev1_en_tblOtherCosts" displayName="ams_appdev1_en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52.xml><?xml version="1.0" encoding="utf-8"?>
<table xmlns="http://schemas.openxmlformats.org/spreadsheetml/2006/main" id="52" name="ams_appdev1_en_tblRisks" displayName="ams_appdev1_en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53.xml><?xml version="1.0" encoding="utf-8"?>
<table xmlns="http://schemas.openxmlformats.org/spreadsheetml/2006/main" id="53" name="ams_appdev1_en_tblTasks" displayName="ams_appdev1_en_tblTasks" ref="A26:AT55" headerRowCount="1" totalsRowShown="0">
  <autoFilter ref="A26:AT55"/>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54.xml><?xml version="1.0" encoding="utf-8"?>
<table xmlns="http://schemas.openxmlformats.org/spreadsheetml/2006/main" id="54" name="ams_appdev1_en_tblSeniorityLevels" displayName="ams_appdev1_en_tblSeniorityLevels" ref="A57:A63" headerRowCount="1" totalsRowShown="0" dataDxfId="225">
  <autoFilter ref="A57:A63"/>
  <tableColumns count="1">
    <tableColumn id="1" name="Seniority Level" dataDxfId="224"/>
  </tableColumns>
  <tableStyleInfo name="TableStyleLight9" showFirstColumn="0" showLastColumn="0" showRowStripes="1" showColumnStripes="0"/>
</table>
</file>

<file path=xl/tables/table55.xml><?xml version="1.0" encoding="utf-8"?>
<table xmlns="http://schemas.openxmlformats.org/spreadsheetml/2006/main" id="55" name="ams_appdev1_en_tblLocations" displayName="ams_appdev1_en_tblLocations" ref="A65:A71" headerRowCount="1" totalsRowShown="0" dataDxfId="223">
  <autoFilter ref="A65:A71"/>
  <tableColumns count="1">
    <tableColumn id="1" name="Location" dataDxfId="222"/>
  </tableColumns>
  <tableStyleInfo name="TableStyleLight9" showFirstColumn="0" showLastColumn="0" showRowStripes="1" showColumnStripes="0"/>
</table>
</file>

<file path=xl/tables/table56.xml><?xml version="1.0" encoding="utf-8"?>
<table xmlns="http://schemas.openxmlformats.org/spreadsheetml/2006/main" id="56" name="ams_appdev1_en_tblCompanies" displayName="ams_appdev1_en_tblCompanies" ref="A73:B105" headerRowCount="1" totalsRowShown="0" dataDxfId="221">
  <autoFilter ref="A73:B105"/>
  <tableColumns count="2">
    <tableColumn id="1" name="Company" dataDxfId="220"/>
    <tableColumn id="2" name="Accounting-related company" dataDxfId="219"/>
  </tableColumns>
  <tableStyleInfo name="TableStyleLight9" showFirstColumn="0" showLastColumn="0" showRowStripes="1" showColumnStripes="0"/>
</table>
</file>

<file path=xl/tables/table57.xml><?xml version="1.0" encoding="utf-8"?>
<table xmlns="http://schemas.openxmlformats.org/spreadsheetml/2006/main" id="57" name="ams_appdev1_en_tblCountries" displayName="ams_appdev1_en_tblCountries" ref="A107:B121" headerRowCount="1" totalsRowShown="0" dataDxfId="218">
  <autoFilter ref="A107:B121"/>
  <tableColumns count="2">
    <tableColumn id="1" name="Country" dataDxfId="217"/>
    <tableColumn id="2" name="Inflation rate" dataDxfId="216"/>
  </tableColumns>
  <tableStyleInfo name="TableStyleLight9" showFirstColumn="0" showLastColumn="0" showRowStripes="1" showColumnStripes="0"/>
</table>
</file>

<file path=xl/tables/table58.xml><?xml version="1.0" encoding="utf-8"?>
<table xmlns="http://schemas.openxmlformats.org/spreadsheetml/2006/main" id="58" name="ams_appdev1_en_tblRoles" displayName="ams_appdev1_en_tblRoles" ref="A123:K141" headerRowCount="1" totalsRowShown="0">
  <autoFilter ref="A123:K141"/>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59.xml><?xml version="1.0" encoding="utf-8"?>
<table xmlns="http://schemas.openxmlformats.org/spreadsheetml/2006/main" id="59" name="ams_appdev1_en_tblFeatures" displayName="ams_appdev1_en_tblFeatures" ref="A143:S144" headerRowCount="1" insertRow="1" totalsRowShown="0">
  <autoFilter ref="A143:S144"/>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60.xml><?xml version="1.0" encoding="utf-8"?>
<table xmlns="http://schemas.openxmlformats.org/spreadsheetml/2006/main" id="60" name="ams_appdev1_en_tblFeatureTasks" displayName="ams_appdev1_en_tblFeatureTasks" ref="A146:D151" headerRowCount="1" totalsRowShown="0">
  <autoFilter ref="A146:D151"/>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61.xml><?xml version="1.0" encoding="utf-8"?>
<table xmlns="http://schemas.openxmlformats.org/spreadsheetml/2006/main" id="61" name="ams_a11y_de_tblConfigs" displayName="ams_a11y_de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62.xml><?xml version="1.0" encoding="utf-8"?>
<table xmlns="http://schemas.openxmlformats.org/spreadsheetml/2006/main" id="62" name="ams_a11y_de_tblCalcTeam" displayName="ams_a11y_de_tblCalcTeam" ref="A17:B18" headerRowCount="1" insertRow="1" totalsRowShown="0" headerRowDxfId="215" dataDxfId="213" headerRowBorderDxfId="214" tableBorderDxfId="212" totalsRowBorderDxfId="211">
  <tableColumns count="2">
    <tableColumn id="1" name="Team member" dataDxfId="210"/>
    <tableColumn id="2" name="Team member role in proposal process" dataDxfId="209"/>
  </tableColumns>
  <tableStyleInfo name="TableStyleLight9" showFirstColumn="0" showLastColumn="0" showRowStripes="1" showColumnStripes="0"/>
</table>
</file>

<file path=xl/tables/table63.xml><?xml version="1.0" encoding="utf-8"?>
<table xmlns="http://schemas.openxmlformats.org/spreadsheetml/2006/main" id="63" name="ams_a11y_de_tblOtherCosts" displayName="ams_a11y_de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64.xml><?xml version="1.0" encoding="utf-8"?>
<table xmlns="http://schemas.openxmlformats.org/spreadsheetml/2006/main" id="64" name="ams_a11y_de_tblRisks" displayName="ams_a11y_de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65.xml><?xml version="1.0" encoding="utf-8"?>
<table xmlns="http://schemas.openxmlformats.org/spreadsheetml/2006/main" id="65" name="ams_a11y_de_tblTasks" displayName="ams_a11y_de_tblTasks" ref="A26:AT36" headerRowCount="1" totalsRowShown="0">
  <autoFilter ref="A26:AT36"/>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66.xml><?xml version="1.0" encoding="utf-8"?>
<table xmlns="http://schemas.openxmlformats.org/spreadsheetml/2006/main" id="66" name="ams_a11y_de_tblSeniorityLevels" displayName="ams_a11y_de_tblSeniorityLevels" ref="A38:A44" headerRowCount="1" totalsRowShown="0" dataDxfId="208">
  <autoFilter ref="A38:A44"/>
  <tableColumns count="1">
    <tableColumn id="1" name="Seniority Level" dataDxfId="207"/>
  </tableColumns>
  <tableStyleInfo name="TableStyleLight9" showFirstColumn="0" showLastColumn="0" showRowStripes="1" showColumnStripes="0"/>
</table>
</file>

<file path=xl/tables/table67.xml><?xml version="1.0" encoding="utf-8"?>
<table xmlns="http://schemas.openxmlformats.org/spreadsheetml/2006/main" id="67" name="ams_a11y_de_tblLocations" displayName="ams_a11y_de_tblLocations" ref="A46:A52" headerRowCount="1" totalsRowShown="0" dataDxfId="206">
  <autoFilter ref="A46:A52"/>
  <tableColumns count="1">
    <tableColumn id="1" name="Location" dataDxfId="205"/>
  </tableColumns>
  <tableStyleInfo name="TableStyleLight9" showFirstColumn="0" showLastColumn="0" showRowStripes="1" showColumnStripes="0"/>
</table>
</file>

<file path=xl/tables/table68.xml><?xml version="1.0" encoding="utf-8"?>
<table xmlns="http://schemas.openxmlformats.org/spreadsheetml/2006/main" id="68" name="ams_a11y_de_tblCompanies" displayName="ams_a11y_de_tblCompanies" ref="A54:B86" headerRowCount="1" totalsRowShown="0" dataDxfId="204">
  <autoFilter ref="A54:B86"/>
  <tableColumns count="2">
    <tableColumn id="1" name="Company" dataDxfId="203"/>
    <tableColumn id="2" name="Accounting-related company" dataDxfId="202"/>
  </tableColumns>
  <tableStyleInfo name="TableStyleLight9" showFirstColumn="0" showLastColumn="0" showRowStripes="1" showColumnStripes="0"/>
</table>
</file>

<file path=xl/tables/table69.xml><?xml version="1.0" encoding="utf-8"?>
<table xmlns="http://schemas.openxmlformats.org/spreadsheetml/2006/main" id="69" name="ams_a11y_de_tblCountries" displayName="ams_a11y_de_tblCountries" ref="A88:B102" headerRowCount="1" totalsRowShown="0" dataDxfId="201">
  <autoFilter ref="A88:B102"/>
  <tableColumns count="2">
    <tableColumn id="1" name="Country" dataDxfId="200"/>
    <tableColumn id="2" name="Inflation rate" dataDxfId="199"/>
  </tableColumns>
  <tableStyleInfo name="TableStyleLight9" showFirstColumn="0" showLastColumn="0" showRowStripes="1" showColumnStripes="0"/>
</table>
</file>

<file path=xl/tables/table70.xml><?xml version="1.0" encoding="utf-8"?>
<table xmlns="http://schemas.openxmlformats.org/spreadsheetml/2006/main" id="70" name="ams_a11y_de_tblRoles" displayName="ams_a11y_de_tblRoles" ref="A104:K109" headerRowCount="1" totalsRowShown="0">
  <autoFilter ref="A104:K109"/>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71.xml><?xml version="1.0" encoding="utf-8"?>
<table xmlns="http://schemas.openxmlformats.org/spreadsheetml/2006/main" id="71" name="ams_a11y_de_tblFeatures" displayName="ams_a11y_de_tblFeatures" ref="A111:S112" headerRowCount="1" insertRow="1" totalsRowShown="0">
  <autoFilter ref="A111:S112"/>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72.xml><?xml version="1.0" encoding="utf-8"?>
<table xmlns="http://schemas.openxmlformats.org/spreadsheetml/2006/main" id="72" name="ams_a11y_de_tblFeatureTasks" displayName="ams_a11y_de_tblFeatureTasks" ref="A114:D117" headerRowCount="1" totalsRowShown="0">
  <autoFilter ref="A114:D117"/>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73.xml><?xml version="1.0" encoding="utf-8"?>
<table xmlns="http://schemas.openxmlformats.org/spreadsheetml/2006/main" id="73" name="bank_afp_de_tblConfigs" displayName="bank_afp_de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74.xml><?xml version="1.0" encoding="utf-8"?>
<table xmlns="http://schemas.openxmlformats.org/spreadsheetml/2006/main" id="74" name="bank_afp_de_tblCalcTeam" displayName="bank_afp_de_tblCalcTeam" ref="A17:B18" headerRowCount="1" totalsRowShown="0" headerRowDxfId="198" dataDxfId="196" headerRowBorderDxfId="197" tableBorderDxfId="195" totalsRowBorderDxfId="194">
  <tableColumns count="2">
    <tableColumn id="1" name="Team member" dataDxfId="193"/>
    <tableColumn id="2" name="Team member role in proposal process" dataDxfId="192"/>
  </tableColumns>
  <tableStyleInfo name="TableStyleLight9" showFirstColumn="0" showLastColumn="0" showRowStripes="1" showColumnStripes="0"/>
</table>
</file>

<file path=xl/tables/table75.xml><?xml version="1.0" encoding="utf-8"?>
<table xmlns="http://schemas.openxmlformats.org/spreadsheetml/2006/main" id="75" name="bank_afp_de_tblOtherCosts" displayName="bank_afp_de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76.xml><?xml version="1.0" encoding="utf-8"?>
<table xmlns="http://schemas.openxmlformats.org/spreadsheetml/2006/main" id="76" name="bank_afp_de_tblRisks" displayName="bank_afp_de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77.xml><?xml version="1.0" encoding="utf-8"?>
<table xmlns="http://schemas.openxmlformats.org/spreadsheetml/2006/main" id="77" name="bank_afp_de_tblTasks" displayName="bank_afp_de_tblTasks" ref="A26:AT72" headerRowCount="1" totalsRowShown="0">
  <autoFilter ref="A26:AT72"/>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78.xml><?xml version="1.0" encoding="utf-8"?>
<table xmlns="http://schemas.openxmlformats.org/spreadsheetml/2006/main" id="78" name="bank_afp_de_tblSeniorityLevels" displayName="bank_afp_de_tblSeniorityLevels" ref="A74:A80" headerRowCount="1" totalsRowShown="0" dataDxfId="191">
  <autoFilter ref="A74:A80"/>
  <tableColumns count="1">
    <tableColumn id="1" name="Seniority Level" dataDxfId="190"/>
  </tableColumns>
  <tableStyleInfo name="TableStyleLight9" showFirstColumn="0" showLastColumn="0" showRowStripes="1" showColumnStripes="0"/>
</table>
</file>

<file path=xl/tables/table79.xml><?xml version="1.0" encoding="utf-8"?>
<table xmlns="http://schemas.openxmlformats.org/spreadsheetml/2006/main" id="79" name="bank_afp_de_tblLocations" displayName="bank_afp_de_tblLocations" ref="A82:A88" headerRowCount="1" totalsRowShown="0" dataDxfId="189">
  <autoFilter ref="A82:A88"/>
  <tableColumns count="1">
    <tableColumn id="1" name="Location" dataDxfId="188"/>
  </tableColumns>
  <tableStyleInfo name="TableStyleLight9" showFirstColumn="0" showLastColumn="0" showRowStripes="1" showColumnStripes="0"/>
</table>
</file>

<file path=xl/tables/table80.xml><?xml version="1.0" encoding="utf-8"?>
<table xmlns="http://schemas.openxmlformats.org/spreadsheetml/2006/main" id="80" name="bank_afp_de_tblCompanies" displayName="bank_afp_de_tblCompanies" ref="A90:B122" headerRowCount="1" totalsRowShown="0" dataDxfId="187">
  <autoFilter ref="A90:B122"/>
  <tableColumns count="2">
    <tableColumn id="1" name="Company" dataDxfId="186"/>
    <tableColumn id="2" name="Accounting-related company" dataDxfId="185"/>
  </tableColumns>
  <tableStyleInfo name="TableStyleLight9" showFirstColumn="0" showLastColumn="0" showRowStripes="1" showColumnStripes="0"/>
</table>
</file>

<file path=xl/tables/table81.xml><?xml version="1.0" encoding="utf-8"?>
<table xmlns="http://schemas.openxmlformats.org/spreadsheetml/2006/main" id="81" name="bank_afp_de_tblCountries" displayName="bank_afp_de_tblCountries" ref="A124:B138" headerRowCount="1" totalsRowShown="0" dataDxfId="184">
  <autoFilter ref="A124:B138"/>
  <tableColumns count="2">
    <tableColumn id="1" name="Country" dataDxfId="183"/>
    <tableColumn id="2" name="Inflation rate" dataDxfId="182"/>
  </tableColumns>
  <tableStyleInfo name="TableStyleLight9" showFirstColumn="0" showLastColumn="0" showRowStripes="1" showColumnStripes="0"/>
</table>
</file>

<file path=xl/tables/table82.xml><?xml version="1.0" encoding="utf-8"?>
<table xmlns="http://schemas.openxmlformats.org/spreadsheetml/2006/main" id="82" name="bank_afp_de_tblRoles" displayName="bank_afp_de_tblRoles" ref="A140:K157" headerRowCount="1" totalsRowShown="0">
  <autoFilter ref="A140:K157"/>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83.xml><?xml version="1.0" encoding="utf-8"?>
<table xmlns="http://schemas.openxmlformats.org/spreadsheetml/2006/main" id="83" name="bank_afp_de_tblFeatures" displayName="bank_afp_de_tblFeatures" ref="A159:S160" headerRowCount="1" insertRow="1" totalsRowShown="0">
  <autoFilter ref="A159:S160"/>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84.xml><?xml version="1.0" encoding="utf-8"?>
<table xmlns="http://schemas.openxmlformats.org/spreadsheetml/2006/main" id="84" name="bank_afp_de_tblFeatureTasks" displayName="bank_afp_de_tblFeatureTasks" ref="A162:D165" headerRowCount="1" totalsRowShown="0">
  <autoFilter ref="A162:D165"/>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85.xml><?xml version="1.0" encoding="utf-8"?>
<table xmlns="http://schemas.openxmlformats.org/spreadsheetml/2006/main" id="85" name="at_devops_en_tblConfigs" displayName="at_devops_en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86.xml><?xml version="1.0" encoding="utf-8"?>
<table xmlns="http://schemas.openxmlformats.org/spreadsheetml/2006/main" id="86" name="at_devops_en_tblCalcTeam" displayName="at_devops_en_tblCalcTeam" ref="A17:B18" headerRowCount="1" insertRow="1" totalsRowShown="0" headerRowDxfId="181" dataDxfId="179" headerRowBorderDxfId="180" tableBorderDxfId="178" totalsRowBorderDxfId="177">
  <tableColumns count="2">
    <tableColumn id="1" name="Team member" dataDxfId="176"/>
    <tableColumn id="2" name="Team member role in proposal process" dataDxfId="175"/>
  </tableColumns>
  <tableStyleInfo name="TableStyleLight9" showFirstColumn="0" showLastColumn="0" showRowStripes="1" showColumnStripes="0"/>
</table>
</file>

<file path=xl/tables/table87.xml><?xml version="1.0" encoding="utf-8"?>
<table xmlns="http://schemas.openxmlformats.org/spreadsheetml/2006/main" id="87" name="at_devops_en_tblOtherCosts" displayName="at_devops_en_tblOtherCosts" ref="A20:D21" headerRowCount="1" insertRow="1" totalsRowShown="0">
  <autoFilter ref="A20:D21"/>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88.xml><?xml version="1.0" encoding="utf-8"?>
<table xmlns="http://schemas.openxmlformats.org/spreadsheetml/2006/main" id="88" name="at_devops_en_tblRisks" displayName="at_devops_en_tblRisks" ref="A23:F24" headerRowCount="1" insertRow="1" totalsRowShown="0">
  <autoFilter ref="A23:F2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89.xml><?xml version="1.0" encoding="utf-8"?>
<table xmlns="http://schemas.openxmlformats.org/spreadsheetml/2006/main" id="89" name="at_devops_en_tblTasks" displayName="at_devops_en_tblTasks" ref="A26:AT45" headerRowCount="1" totalsRowShown="0">
  <autoFilter ref="A26:AT45"/>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90.xml><?xml version="1.0" encoding="utf-8"?>
<table xmlns="http://schemas.openxmlformats.org/spreadsheetml/2006/main" id="90" name="at_devops_en_tblSeniorityLevels" displayName="at_devops_en_tblSeniorityLevels" ref="A47:A53" headerRowCount="1" totalsRowShown="0" dataDxfId="174">
  <autoFilter ref="A47:A53"/>
  <tableColumns count="1">
    <tableColumn id="1" name="Seniority Level" dataDxfId="173"/>
  </tableColumns>
  <tableStyleInfo name="TableStyleLight9" showFirstColumn="0" showLastColumn="0" showRowStripes="1" showColumnStripes="0"/>
</table>
</file>

<file path=xl/tables/table91.xml><?xml version="1.0" encoding="utf-8"?>
<table xmlns="http://schemas.openxmlformats.org/spreadsheetml/2006/main" id="91" name="at_devops_en_tblLocations" displayName="at_devops_en_tblLocations" ref="A55:A61" headerRowCount="1" totalsRowShown="0" dataDxfId="172">
  <autoFilter ref="A55:A61"/>
  <tableColumns count="1">
    <tableColumn id="1" name="Location" dataDxfId="171"/>
  </tableColumns>
  <tableStyleInfo name="TableStyleLight9" showFirstColumn="0" showLastColumn="0" showRowStripes="1" showColumnStripes="0"/>
</table>
</file>

<file path=xl/tables/table92.xml><?xml version="1.0" encoding="utf-8"?>
<table xmlns="http://schemas.openxmlformats.org/spreadsheetml/2006/main" id="92" name="at_devops_en_tblCompanies" displayName="at_devops_en_tblCompanies" ref="A63:B95" headerRowCount="1" totalsRowShown="0" dataDxfId="170">
  <autoFilter ref="A63:B95"/>
  <tableColumns count="2">
    <tableColumn id="1" name="Company" dataDxfId="169"/>
    <tableColumn id="2" name="Accounting-related company" dataDxfId="168"/>
  </tableColumns>
  <tableStyleInfo name="TableStyleLight9" showFirstColumn="0" showLastColumn="0" showRowStripes="1" showColumnStripes="0"/>
</table>
</file>

<file path=xl/tables/table93.xml><?xml version="1.0" encoding="utf-8"?>
<table xmlns="http://schemas.openxmlformats.org/spreadsheetml/2006/main" id="93" name="at_devops_en_tblCountries" displayName="at_devops_en_tblCountries" ref="A97:B111" headerRowCount="1" totalsRowShown="0" dataDxfId="167">
  <autoFilter ref="A97:B111"/>
  <tableColumns count="2">
    <tableColumn id="1" name="Country" dataDxfId="166"/>
    <tableColumn id="2" name="Inflation rate" dataDxfId="165"/>
  </tableColumns>
  <tableStyleInfo name="TableStyleLight9" showFirstColumn="0" showLastColumn="0" showRowStripes="1" showColumnStripes="0"/>
</table>
</file>

<file path=xl/tables/table94.xml><?xml version="1.0" encoding="utf-8"?>
<table xmlns="http://schemas.openxmlformats.org/spreadsheetml/2006/main" id="94" name="at_devops_en_tblRoles" displayName="at_devops_en_tblRoles" ref="A113:K126" headerRowCount="1" totalsRowShown="0">
  <autoFilter ref="A113:K126"/>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95.xml><?xml version="1.0" encoding="utf-8"?>
<table xmlns="http://schemas.openxmlformats.org/spreadsheetml/2006/main" id="95" name="at_devops_en_tblFeatures" displayName="at_devops_en_tblFeatures" ref="A128:S129" headerRowCount="1" insertRow="1" totalsRowShown="0">
  <autoFilter ref="A128:S129"/>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96.xml><?xml version="1.0" encoding="utf-8"?>
<table xmlns="http://schemas.openxmlformats.org/spreadsheetml/2006/main" id="96" name="at_devops_en_tblFeatureTasks" displayName="at_devops_en_tblFeatureTasks" ref="A131:D138" headerRowCount="1" totalsRowShown="0">
  <autoFilter ref="A131:D138"/>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97.xml><?xml version="1.0" encoding="utf-8"?>
<table xmlns="http://schemas.openxmlformats.org/spreadsheetml/2006/main" id="97" name="test_complex_en_tblConfigs" displayName="test_complex_en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98.xml><?xml version="1.0" encoding="utf-8"?>
<table xmlns="http://schemas.openxmlformats.org/spreadsheetml/2006/main" id="98" name="test_complex_en_tblCalcTeam" displayName="test_complex_en_tblCalcTeam" ref="A17:B21" headerRowCount="1" totalsRowShown="0" headerRowDxfId="164" dataDxfId="162" headerRowBorderDxfId="163" tableBorderDxfId="161" totalsRowBorderDxfId="160">
  <tableColumns count="2">
    <tableColumn id="1" name="Team member" dataDxfId="159"/>
    <tableColumn id="2" name="Team member role in proposal process" dataDxfId="158"/>
  </tableColumns>
  <tableStyleInfo name="TableStyleLight9" showFirstColumn="0" showLastColumn="0" showRowStripes="1" showColumnStripes="0"/>
</table>
</file>

<file path=xl/tables/table99.xml><?xml version="1.0" encoding="utf-8"?>
<table xmlns="http://schemas.openxmlformats.org/spreadsheetml/2006/main" id="99" name="test_complex_en_tblOtherCosts" displayName="test_complex_en_tblOtherCosts" ref="A23:D25" headerRowCount="1" totalsRowShown="0">
  <autoFilter ref="A23:D25"/>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100.xml><?xml version="1.0" encoding="utf-8"?>
<table xmlns="http://schemas.openxmlformats.org/spreadsheetml/2006/main" id="100" name="test_complex_en_tblRisks" displayName="test_complex_en_tblRisks" ref="A27:F34" headerRowCount="1" totalsRowShown="0">
  <autoFilter ref="A27:F3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101.xml><?xml version="1.0" encoding="utf-8"?>
<table xmlns="http://schemas.openxmlformats.org/spreadsheetml/2006/main" id="101" name="test_complex_en_tblTasks" displayName="test_complex_en_tblTasks" ref="A36:AT86" headerRowCount="1" totalsRowShown="0">
  <autoFilter ref="A36:AT86"/>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102.xml><?xml version="1.0" encoding="utf-8"?>
<table xmlns="http://schemas.openxmlformats.org/spreadsheetml/2006/main" id="102" name="test_complex_en_tblSeniorityLevels" displayName="test_complex_en_tblSeniorityLevels" ref="A88:A94" headerRowCount="1" totalsRowShown="0" dataDxfId="157">
  <autoFilter ref="A88:A94"/>
  <tableColumns count="1">
    <tableColumn id="1" name="Seniority Level" dataDxfId="156"/>
  </tableColumns>
  <tableStyleInfo name="TableStyleLight9" showFirstColumn="0" showLastColumn="0" showRowStripes="1" showColumnStripes="0"/>
</table>
</file>

<file path=xl/tables/table103.xml><?xml version="1.0" encoding="utf-8"?>
<table xmlns="http://schemas.openxmlformats.org/spreadsheetml/2006/main" id="103" name="test_complex_en_tblLocations" displayName="test_complex_en_tblLocations" ref="A96:A102" headerRowCount="1" totalsRowShown="0" dataDxfId="155">
  <autoFilter ref="A96:A102"/>
  <tableColumns count="1">
    <tableColumn id="1" name="Location" dataDxfId="154"/>
  </tableColumns>
  <tableStyleInfo name="TableStyleLight9" showFirstColumn="0" showLastColumn="0" showRowStripes="1" showColumnStripes="0"/>
</table>
</file>

<file path=xl/tables/table104.xml><?xml version="1.0" encoding="utf-8"?>
<table xmlns="http://schemas.openxmlformats.org/spreadsheetml/2006/main" id="104" name="test_complex_en_tblCompanies" displayName="test_complex_en_tblCompanies" ref="A104:B136" headerRowCount="1" totalsRowShown="0" dataDxfId="153">
  <autoFilter ref="A104:B136"/>
  <tableColumns count="2">
    <tableColumn id="1" name="Company" dataDxfId="152"/>
    <tableColumn id="2" name="Accounting-related company" dataDxfId="151"/>
  </tableColumns>
  <tableStyleInfo name="TableStyleLight9" showFirstColumn="0" showLastColumn="0" showRowStripes="1" showColumnStripes="0"/>
</table>
</file>

<file path=xl/tables/table105.xml><?xml version="1.0" encoding="utf-8"?>
<table xmlns="http://schemas.openxmlformats.org/spreadsheetml/2006/main" id="105" name="test_complex_en_tblCountries" displayName="test_complex_en_tblCountries" ref="A138:B152" headerRowCount="1" totalsRowShown="0" dataDxfId="150">
  <autoFilter ref="A138:B152"/>
  <tableColumns count="2">
    <tableColumn id="1" name="Country" dataDxfId="149"/>
    <tableColumn id="2" name="Inflation rate" dataDxfId="148"/>
  </tableColumns>
  <tableStyleInfo name="TableStyleLight9" showFirstColumn="0" showLastColumn="0" showRowStripes="1" showColumnStripes="0"/>
</table>
</file>

<file path=xl/tables/table106.xml><?xml version="1.0" encoding="utf-8"?>
<table xmlns="http://schemas.openxmlformats.org/spreadsheetml/2006/main" id="106" name="test_complex_en_tblRoles" displayName="test_complex_en_tblRoles" ref="A154:K173" headerRowCount="1" totalsRowShown="0">
  <autoFilter ref="A154:K173"/>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107.xml><?xml version="1.0" encoding="utf-8"?>
<table xmlns="http://schemas.openxmlformats.org/spreadsheetml/2006/main" id="107" name="test_complex_en_tblFeatures" displayName="test_complex_en_tblFeatures" ref="A175:S183" headerRowCount="1" totalsRowShown="0">
  <autoFilter ref="A175:S183"/>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108.xml><?xml version="1.0" encoding="utf-8"?>
<table xmlns="http://schemas.openxmlformats.org/spreadsheetml/2006/main" id="108" name="test_complex_en_tblFeatureTasks" displayName="test_complex_en_tblFeatureTasks" ref="A185:D189" headerRowCount="1" totalsRowShown="0">
  <autoFilter ref="A185:D189"/>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109.xml><?xml version="1.0" encoding="utf-8"?>
<table xmlns="http://schemas.openxmlformats.org/spreadsheetml/2006/main" id="109" name="test_simple_en_tblConfigs" displayName="test_simple_en_tblConfigs" ref="A1:B15" headerRowCount="1" totalsRowShown="0">
  <autoFilter ref="A1:B15"/>
  <tableColumns count="2">
    <tableColumn id="1" name="Key"/>
    <tableColumn id="2" name="Value"/>
  </tableColumns>
  <tableStyleInfo name="TableStyleMedium2" showFirstColumn="0" showLastColumn="0" showRowStripes="1" showColumnStripes="0"/>
</table>
</file>

<file path=xl/tables/table110.xml><?xml version="1.0" encoding="utf-8"?>
<table xmlns="http://schemas.openxmlformats.org/spreadsheetml/2006/main" id="110" name="test_simple_en_tblCalcTeam" displayName="test_simple_en_tblCalcTeam" ref="A17:B22" headerRowCount="1" totalsRowShown="0" headerRowDxfId="147" dataDxfId="145" headerRowBorderDxfId="146" tableBorderDxfId="144" totalsRowBorderDxfId="143">
  <tableColumns count="2">
    <tableColumn id="1" name="Team member" dataDxfId="142"/>
    <tableColumn id="2" name="Team member role in proposal process" dataDxfId="141"/>
  </tableColumns>
  <tableStyleInfo name="TableStyleLight9" showFirstColumn="0" showLastColumn="0" showRowStripes="1" showColumnStripes="0"/>
</table>
</file>

<file path=xl/tables/table111.xml><?xml version="1.0" encoding="utf-8"?>
<table xmlns="http://schemas.openxmlformats.org/spreadsheetml/2006/main" id="111" name="test_simple_en_tblOtherCosts" displayName="test_simple_en_tblOtherCosts" ref="A24:D26" headerRowCount="1" totalsRowShown="0">
  <autoFilter ref="A24:D26"/>
  <tableColumns count="4">
    <tableColumn id="1" name="Description"/>
    <tableColumn id="2" name="Assumptions"/>
    <tableColumn id="3" name="Costs"/>
    <tableColumn id="4" name="Costs to be charged"/>
  </tableColumns>
  <tableStyleInfo name="TableStyleMedium2" showFirstColumn="0" showLastColumn="0" showRowStripes="1" showColumnStripes="0"/>
</table>
</file>

<file path=xl/tables/table112.xml><?xml version="1.0" encoding="utf-8"?>
<table xmlns="http://schemas.openxmlformats.org/spreadsheetml/2006/main" id="112" name="test_simple_en_tblRisks" displayName="test_simple_en_tblRisks" ref="A28:F34" headerRowCount="1" totalsRowShown="0">
  <autoFilter ref="A28:F34"/>
  <tableColumns count="6">
    <tableColumn id="1" name="ID"/>
    <tableColumn id="2" name="Risk title"/>
    <tableColumn id="3" name="Risk description"/>
    <tableColumn id="4" name="Linked items"/>
    <tableColumn id="5" name="Risk likelihood"/>
    <tableColumn id="6" name="Risk impact"/>
  </tableColumns>
  <tableStyleInfo name="TableStyleMedium2" showFirstColumn="0" showLastColumn="0" showRowStripes="1" showColumnStripes="0"/>
</table>
</file>

<file path=xl/tables/table113.xml><?xml version="1.0" encoding="utf-8"?>
<table xmlns="http://schemas.openxmlformats.org/spreadsheetml/2006/main" id="113" name="test_simple_en_tblTasks" displayName="test_simple_en_tblTasks" ref="A36:AT56" headerRowCount="1" totalsRowShown="0">
  <autoFilter ref="A36:AT56"/>
  <tableColumns count="46">
    <tableColumn id="1" name="ID"/>
    <tableColumn id="2" name="Task group"/>
    <tableColumn id="3" name="Summary task"/>
    <tableColumn id="4" name="Task"/>
    <tableColumn id="5" name="Description"/>
    <tableColumn id="6" name="Special task or feature query"/>
    <tableColumn id="7" name="Assumptions"/>
    <tableColumn id="8" name="Reference ID"/>
    <tableColumn id="9" name="Effort"/>
    <tableColumn id="10" name="Variable"/>
    <tableColumn id="11" name="Formula"/>
    <tableColumn id="12" name="Start"/>
    <tableColumn id="13" name="Finish"/>
    <tableColumn id="14" name="Duration"/>
    <tableColumn id="15" name="Dependency"/>
    <tableColumn id="16" name="GANTT"/>
    <tableColumn id="17" name="Role 1"/>
    <tableColumn id="18" name="Role 2"/>
    <tableColumn id="19" name="Role 3"/>
    <tableColumn id="20" name="Role 4"/>
    <tableColumn id="21" name="Role 5"/>
    <tableColumn id="22" name="Role 6"/>
    <tableColumn id="23" name="Role 7"/>
    <tableColumn id="24" name="Role 8"/>
    <tableColumn id="25" name="Role 9"/>
    <tableColumn id="26" name="Role 10"/>
    <tableColumn id="27" name="Role 11"/>
    <tableColumn id="28" name="Role 12"/>
    <tableColumn id="29" name="Role 13"/>
    <tableColumn id="30" name="Role 14"/>
    <tableColumn id="31" name="Role 15"/>
    <tableColumn id="32" name="Role 16"/>
    <tableColumn id="33" name="Role 17"/>
    <tableColumn id="34" name="Role 18"/>
    <tableColumn id="35" name="Role 19"/>
    <tableColumn id="36" name="Role 20"/>
    <tableColumn id="37" name="Role 21"/>
    <tableColumn id="38" name="Role 22"/>
    <tableColumn id="39" name="Role 23"/>
    <tableColumn id="40" name="Role 24"/>
    <tableColumn id="41" name="Role 25"/>
    <tableColumn id="42" name="Role 26"/>
    <tableColumn id="43" name="Role 27"/>
    <tableColumn id="44" name="Role 28"/>
    <tableColumn id="45" name="Role 29"/>
    <tableColumn id="46" name="Role 30"/>
  </tableColumns>
  <tableStyleInfo name="TableStyleMedium2" showFirstColumn="0" showLastColumn="0" showRowStripes="1" showColumnStripes="0"/>
</table>
</file>

<file path=xl/tables/table114.xml><?xml version="1.0" encoding="utf-8"?>
<table xmlns="http://schemas.openxmlformats.org/spreadsheetml/2006/main" id="114" name="test_simple_en_tblSeniorityLevels" displayName="test_simple_en_tblSeniorityLevels" ref="A58:A64" headerRowCount="1" totalsRowShown="0" dataDxfId="140">
  <autoFilter ref="A58:A64"/>
  <tableColumns count="1">
    <tableColumn id="1" name="Seniority Level" dataDxfId="139"/>
  </tableColumns>
  <tableStyleInfo name="TableStyleLight9" showFirstColumn="0" showLastColumn="0" showRowStripes="1" showColumnStripes="0"/>
</table>
</file>

<file path=xl/tables/table115.xml><?xml version="1.0" encoding="utf-8"?>
<table xmlns="http://schemas.openxmlformats.org/spreadsheetml/2006/main" id="115" name="test_simple_en_tblLocations" displayName="test_simple_en_tblLocations" ref="A66:A72" headerRowCount="1" totalsRowShown="0" dataDxfId="138">
  <autoFilter ref="A66:A72"/>
  <tableColumns count="1">
    <tableColumn id="1" name="Location" dataDxfId="137"/>
  </tableColumns>
  <tableStyleInfo name="TableStyleLight9" showFirstColumn="0" showLastColumn="0" showRowStripes="1" showColumnStripes="0"/>
</table>
</file>

<file path=xl/tables/table116.xml><?xml version="1.0" encoding="utf-8"?>
<table xmlns="http://schemas.openxmlformats.org/spreadsheetml/2006/main" id="116" name="test_simple_en_tblCompanies" displayName="test_simple_en_tblCompanies" ref="A74:B106" headerRowCount="1" totalsRowShown="0" dataDxfId="136">
  <autoFilter ref="A74:B106"/>
  <tableColumns count="2">
    <tableColumn id="1" name="Company" dataDxfId="135"/>
    <tableColumn id="2" name="Accounting-related company" dataDxfId="134"/>
  </tableColumns>
  <tableStyleInfo name="TableStyleLight9" showFirstColumn="0" showLastColumn="0" showRowStripes="1" showColumnStripes="0"/>
</table>
</file>

<file path=xl/tables/table117.xml><?xml version="1.0" encoding="utf-8"?>
<table xmlns="http://schemas.openxmlformats.org/spreadsheetml/2006/main" id="117" name="test_simple_en_tblCountries" displayName="test_simple_en_tblCountries" ref="A108:B122" headerRowCount="1" totalsRowShown="0" dataDxfId="133">
  <autoFilter ref="A108:B122"/>
  <tableColumns count="2">
    <tableColumn id="1" name="Country" dataDxfId="132"/>
    <tableColumn id="2" name="Inflation rate" dataDxfId="131"/>
  </tableColumns>
  <tableStyleInfo name="TableStyleLight9" showFirstColumn="0" showLastColumn="0" showRowStripes="1" showColumnStripes="0"/>
</table>
</file>

<file path=xl/tables/table118.xml><?xml version="1.0" encoding="utf-8"?>
<table xmlns="http://schemas.openxmlformats.org/spreadsheetml/2006/main" id="118" name="test_simple_en_tblRoles" displayName="test_simple_en_tblRoles" ref="A124:K142" headerRowCount="1" totalsRowShown="0">
  <autoFilter ref="A124:K142"/>
  <tableColumns count="11">
    <tableColumn id="1" name="Project role"/>
    <tableColumn id="2" name="Sub role"/>
    <tableColumn id="3" name="Percentage"/>
    <tableColumn id="4" name="Company"/>
    <tableColumn id="5" name="Country"/>
    <tableColumn id="6" name="Location"/>
    <tableColumn id="7" name="Seniority Level"/>
    <tableColumn id="8" name="Daily costs"/>
    <tableColumn id="9" name="Daily rate"/>
    <tableColumn id="10" name="Daily costs (travel time)"/>
    <tableColumn id="11" name="Daily rate (travel time)"/>
  </tableColumns>
  <tableStyleInfo name="TableStyleMedium2" showFirstColumn="0" showLastColumn="0" showRowStripes="1" showColumnStripes="0"/>
</table>
</file>

<file path=xl/tables/table119.xml><?xml version="1.0" encoding="utf-8"?>
<table xmlns="http://schemas.openxmlformats.org/spreadsheetml/2006/main" id="119" name="test_simple_en_tblFeatures" displayName="test_simple_en_tblFeatures" ref="A144:S164" headerRowCount="1" totalsRowShown="0">
  <autoFilter ref="A144:S164"/>
  <tableColumns count="19">
    <tableColumn id="1" name="ID"/>
    <tableColumn id="2" name="Range (for query)"/>
    <tableColumn id="3" name="Feature group"/>
    <tableColumn id="4" name="Feature sub group"/>
    <tableColumn id="5" name="Feature"/>
    <tableColumn id="6" name="Sub feature"/>
    <tableColumn id="7" name="Description"/>
    <tableColumn id="8" name="Assumptions"/>
    <tableColumn id="9" name="Reference ID"/>
    <tableColumn id="10" name="Feature task 1"/>
    <tableColumn id="11" name="Feature task 2"/>
    <tableColumn id="12" name="Feature task 3"/>
    <tableColumn id="13" name="Feature task 4"/>
    <tableColumn id="14" name="Feature task 5"/>
    <tableColumn id="15" name="Feature task 6"/>
    <tableColumn id="16" name="Feature task 7"/>
    <tableColumn id="17" name="Feature task 8"/>
    <tableColumn id="18" name="Feature task 9"/>
    <tableColumn id="19" name="Feature task 10"/>
  </tableColumns>
  <tableStyleInfo name="TableStyleMedium2" showFirstColumn="0" showLastColumn="0" showRowStripes="1" showColumnStripes="0"/>
</table>
</file>

<file path=xl/tables/table120.xml><?xml version="1.0" encoding="utf-8"?>
<table xmlns="http://schemas.openxmlformats.org/spreadsheetml/2006/main" id="120" name="test_simple_en_tblFeatureTasks" displayName="test_simple_en_tblFeatureTasks" ref="A166:D170" headerRowCount="1" totalsRowShown="0">
  <autoFilter ref="A166:D170"/>
  <tableColumns count="4">
    <tableColumn id="1" name="Feature task"/>
    <tableColumn id="2" name="Description"/>
    <tableColumn id="3" name="Average Percentage"/>
    <tableColumn id="4" name="Key task"/>
  </tableColumns>
  <tableStyleInfo name="TableStyleMedium2" showFirstColumn="0" showLastColumn="0" showRowStripes="1" showColumnStripes="0"/>
</table>
</file>

<file path=xl/tables/table121.xml><?xml version="1.0" encoding="utf-8"?>
<table xmlns="http://schemas.openxmlformats.org/spreadsheetml/2006/main" id="121" name="tblCalcTeamsEfforts" displayName="tblCalcTeamsEfforts" ref="A3:E4" headerRowCount="1" insertRow="1" totalsRowShown="0" headerRowDxfId="130" dataDxfId="129">
  <autoFilter ref="A3:E4"/>
  <tableColumns count="5">
    <tableColumn id="4" name="Team" dataDxfId="128"/>
    <tableColumn id="1" name="Item ID" dataDxfId="127"/>
    <tableColumn id="2" name="Value type" dataDxfId="126"/>
    <tableColumn id="5" name="Column" dataDxfId="125"/>
    <tableColumn id="3" name="Value" dataDxfId="124"/>
  </tableColumns>
  <tableStyleInfo name="TableStyleLight9" showFirstColumn="0" showLastColumn="0" showRowStripes="1" showColumnStripes="0"/>
</table>
</file>

<file path=xl/tables/table122.xml><?xml version="1.0" encoding="utf-8"?>
<table xmlns="http://schemas.openxmlformats.org/spreadsheetml/2006/main" id="122" name="tblContractTypes" displayName="tblContractTypes" ref="A5:A9" headerRowCount="1" totalsRowShown="0" headerRowDxfId="123" dataDxfId="121" headerRowBorderDxfId="122" tableBorderDxfId="120" totalsRowBorderDxfId="119">
  <autoFilter ref="A5:A9"/>
  <tableColumns count="1">
    <tableColumn id="1" name="Contract type" dataDxfId="118"/>
  </tableColumns>
  <tableStyleInfo name="TableStyleLight9" showFirstColumn="0" showLastColumn="0" showRowStripes="1" showColumnStripes="0"/>
</table>
</file>

<file path=xl/tables/table123.xml><?xml version="1.0" encoding="utf-8"?>
<table xmlns="http://schemas.openxmlformats.org/spreadsheetml/2006/main" id="123" name="tblCalcProcesses" displayName="tblCalcProcesses" ref="A11:A13" headerRowCount="1" totalsRowShown="0" headerRowDxfId="117" dataDxfId="116">
  <autoFilter ref="A11:A13"/>
  <tableColumns count="1">
    <tableColumn id="1" name="Calculation process" dataDxfId="115"/>
  </tableColumns>
  <tableStyleInfo name="TableStyleLight9" showFirstColumn="0" showLastColumn="0" showRowStripes="1" showColumnStripes="0"/>
</table>
</file>

<file path=xl/tables/table124.xml><?xml version="1.0" encoding="utf-8"?>
<table xmlns="http://schemas.openxmlformats.org/spreadsheetml/2006/main" id="124" name="tblEstimationMethods" displayName="tblEstimationMethods" ref="C5:C9" headerRowCount="1" totalsRowShown="0" headerRowDxfId="114" dataDxfId="112" headerRowBorderDxfId="113" tableBorderDxfId="111" totalsRowBorderDxfId="110">
  <autoFilter ref="C5:C9"/>
  <tableColumns count="1">
    <tableColumn id="1" name="Estimation method" dataDxfId="109"/>
  </tableColumns>
  <tableStyleInfo name="TableStyleLight9" showFirstColumn="0" showLastColumn="0" showRowStripes="1" showColumnStripes="0"/>
</table>
</file>

<file path=xl/tables/table125.xml><?xml version="1.0" encoding="utf-8"?>
<table xmlns="http://schemas.openxmlformats.org/spreadsheetml/2006/main" id="125" name="tblInputAssistances" displayName="tblInputAssistances" ref="C11:C14" headerRowCount="1" totalsRowShown="0" headerRowDxfId="108" dataDxfId="106" headerRowBorderDxfId="107" tableBorderDxfId="105" totalsRowBorderDxfId="104">
  <autoFilter ref="C11:C14"/>
  <tableColumns count="1">
    <tableColumn id="1" name="Input assistance" dataDxfId="103"/>
  </tableColumns>
  <tableStyleInfo name="TableStyleLight9" showFirstColumn="0" showLastColumn="0" showRowStripes="1" showColumnStripes="0"/>
</table>
</file>

<file path=xl/tables/table126.xml><?xml version="1.0" encoding="utf-8"?>
<table xmlns="http://schemas.openxmlformats.org/spreadsheetml/2006/main" id="126" name="tblTShirtSizes" displayName="tblTShirtSizes" ref="C16:C21" headerRowCount="1" totalsRowShown="0" headerRowDxfId="102" dataDxfId="100" headerRowBorderDxfId="101" tableBorderDxfId="99" totalsRowBorderDxfId="98">
  <autoFilter ref="C16:C21"/>
  <tableColumns count="1">
    <tableColumn id="1" name="T-shirt size" dataDxfId="97"/>
  </tableColumns>
  <tableStyleInfo name="TableStyleLight9" showFirstColumn="0" showLastColumn="0" showRowStripes="1" showColumnStripes="0"/>
</table>
</file>

<file path=xl/tables/table127.xml><?xml version="1.0" encoding="utf-8"?>
<table xmlns="http://schemas.openxmlformats.org/spreadsheetml/2006/main" id="127" name="tblStoryPoints" displayName="tblStoryPoints" ref="C23:C32" headerRowCount="1" totalsRowShown="0" headerRowDxfId="96" dataDxfId="94" headerRowBorderDxfId="95" tableBorderDxfId="93" totalsRowBorderDxfId="92">
  <autoFilter ref="C23:C32"/>
  <tableColumns count="1">
    <tableColumn id="1" name="Story points" dataDxfId="91"/>
  </tableColumns>
  <tableStyleInfo name="TableStyleLight9" showFirstColumn="0" showLastColumn="0" showRowStripes="1" showColumnStripes="0"/>
</table>
</file>

<file path=xl/tables/table128.xml><?xml version="1.0" encoding="utf-8"?>
<table xmlns="http://schemas.openxmlformats.org/spreadsheetml/2006/main" id="128" name="tblMessages" displayName="tblMessages" ref="A25:F73" headerRowCount="1" totalsRowShown="0" headerRowDxfId="90" dataDxfId="89">
  <autoFilter ref="A25:F73"/>
  <tableColumns count="6">
    <tableColumn id="4" name="Topic" dataDxfId="88"/>
    <tableColumn id="1" name="Sys" dataDxfId="87"/>
    <tableColumn id="3" name="Title" dataDxfId="86"/>
    <tableColumn id="2" name="Message" dataDxfId="85"/>
    <tableColumn id="5" name="Further Topic" dataDxfId="84"/>
    <tableColumn id="6" name="Manual Chapter" dataDxfId="83"/>
  </tableColumns>
  <tableStyleInfo name="TableStyleLight9" showFirstColumn="0" showLastColumn="0" showRowStripes="1" showColumnStripes="0"/>
</table>
</file>

<file path=xl/tables/table129.xml><?xml version="1.0" encoding="utf-8"?>
<table xmlns="http://schemas.openxmlformats.org/spreadsheetml/2006/main" id="129" name="tblTopics" displayName="tblTopics" ref="A3:C23" headerRowCount="1" totalsRowShown="0" headerRowDxfId="82" dataDxfId="81">
  <tableColumns count="3">
    <tableColumn id="1" name="Topic" dataDxfId="80"/>
    <tableColumn id="2" name="Show again" dataDxfId="79"/>
    <tableColumn id="3" name="Sheet" dataDxfId="78"/>
  </tableColumns>
  <tableStyleInfo name="TableStyleLight9"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o365adessogroup.sharepoint.com/sites/adesso_FU-ProjectManagement/SitePages/adesso-calculator.aspx"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s>
</file>

<file path=xl/worksheets/_rels/sheet11.xml.rels><Relationships xmlns="http://schemas.openxmlformats.org/package/2006/relationships"><Relationship Type="http://schemas.openxmlformats.org/officeDocument/2006/relationships/table" Target="/xl/tables/table5.xml" Id="rId1" /></Relationships>
</file>

<file path=xl/worksheets/_rels/sheet12.xml.rels><Relationships xmlns="http://schemas.openxmlformats.org/package/2006/relationships"><Relationship Type="http://schemas.openxmlformats.org/officeDocument/2006/relationships/table" Target="/xl/tables/table6.xml" Id="rId1" /></Relationships>
</file>

<file path=xl/worksheets/_rels/sheet13.xml.rels><Relationships xmlns="http://schemas.openxmlformats.org/package/2006/relationships"><Relationship Type="http://schemas.openxmlformats.org/officeDocument/2006/relationships/pivotTable" Target="/xl/pivotTables/pivotTable4.xml" Id="rId1" /></Relationships>
</file>

<file path=xl/worksheets/_rels/sheet14.xml.rels><Relationships xmlns="http://schemas.openxmlformats.org/package/2006/relationships"><Relationship Type="http://schemas.openxmlformats.org/officeDocument/2006/relationships/pivotTable" Target="/xl/pivotTables/pivotTable5.xml" Id="rId1" /></Relationships>
</file>

<file path=xl/worksheets/_rels/sheet15.xml.rels><Relationships xmlns="http://schemas.openxmlformats.org/package/2006/relationships"><Relationship Type="http://schemas.openxmlformats.org/officeDocument/2006/relationships/pivotTable" Target="/xl/pivotTables/pivotTable6.xml" Id="rId1" /></Relationships>
</file>

<file path=xl/worksheets/_rels/sheet16.xml.rels><Relationships xmlns="http://schemas.openxmlformats.org/package/2006/relationships"><Relationship Type="http://schemas.openxmlformats.org/officeDocument/2006/relationships/pivotTable" Target="/xl/pivotTables/pivotTable7.xml" Id="rId1" /></Relationships>
</file>

<file path=xl/worksheets/_rels/sheet17.xml.rels><Relationships xmlns="http://schemas.openxmlformats.org/package/2006/relationships"><Relationship Type="http://schemas.openxmlformats.org/officeDocument/2006/relationships/pivotTable" Target="/xl/pivotTables/pivotTable8.xml" Id="rId1" /></Relationships>
</file>

<file path=xl/worksheets/_rels/sheet18.xml.rels><Relationships xmlns="http://schemas.openxmlformats.org/package/2006/relationships"><Relationship Type="http://schemas.openxmlformats.org/officeDocument/2006/relationships/pivotTable" Target="/xl/pivotTables/pivotTable9.xml" Id="rId1" /></Relationships>
</file>

<file path=xl/worksheets/_rels/sheet19.xml.rels><Relationships xmlns="http://schemas.openxmlformats.org/package/2006/relationships"><Relationship Type="http://schemas.openxmlformats.org/officeDocument/2006/relationships/pivotTable" Target="/xl/pivotTables/pivotTable10.xml" Id="rId1" /></Relationships>
</file>

<file path=xl/worksheets/_rels/sheet20.xml.rels><Relationships xmlns="http://schemas.openxmlformats.org/package/2006/relationships"><Relationship Type="http://schemas.openxmlformats.org/officeDocument/2006/relationships/pivotTable" Target="/xl/pivotTables/pivotTable11.xml" Id="rId1" /></Relationships>
</file>

<file path=xl/worksheets/_rels/sheet21.xml.rels><Relationships xmlns="http://schemas.openxmlformats.org/package/2006/relationships"><Relationship Type="http://schemas.openxmlformats.org/officeDocument/2006/relationships/pivotTable" Target="/xl/pivotTables/pivotTable12.xml" Id="rId1" /></Relationships>
</file>

<file path=xl/worksheets/_rels/sheet22.xml.rels><Relationships xmlns="http://schemas.openxmlformats.org/package/2006/relationships"><Relationship Type="http://schemas.openxmlformats.org/officeDocument/2006/relationships/pivotTable" Target="/xl/pivotTables/pivotTable13.xml" Id="rId1" /></Relationships>
</file>

<file path=xl/worksheets/_rels/sheet23.xml.rels><Relationships xmlns="http://schemas.openxmlformats.org/package/2006/relationships"><Relationship Type="http://schemas.openxmlformats.org/officeDocument/2006/relationships/pivotTable" Target="/xl/pivotTables/pivotTable14.xml" Id="rId1" /></Relationships>
</file>

<file path=xl/worksheets/_rels/sheet24.xml.rels><Relationships xmlns="http://schemas.openxmlformats.org/package/2006/relationships"><Relationship Type="http://schemas.openxmlformats.org/officeDocument/2006/relationships/table" Target="/xl/tables/table7.xml" Id="rId1" /></Relationships>
</file>

<file path=xl/worksheets/_rels/sheet25.xml.rels><Relationships xmlns="http://schemas.openxmlformats.org/package/2006/relationships"><Relationship Type="http://schemas.openxmlformats.org/officeDocument/2006/relationships/table" Target="/xl/tables/table8.xml" Id="rId1" /></Relationships>
</file>

<file path=xl/worksheets/_rels/sheet26.xml.rels><Relationships xmlns="http://schemas.openxmlformats.org/package/2006/relationships"><Relationship Type="http://schemas.openxmlformats.org/officeDocument/2006/relationships/table" Target="/xl/tables/table9.xml" Id="rId1" /></Relationships>
</file>

<file path=xl/worksheets/_rels/sheet27.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_rels/sheet29.xml.rels><Relationships xmlns="http://schemas.openxmlformats.org/package/2006/relationships"><Relationship Type="http://schemas.openxmlformats.org/officeDocument/2006/relationships/table" Target="/xl/tables/table12.xml" Id="rId1" /></Relationships>
</file>

<file path=xl/worksheets/_rels/sheet30.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 Type="http://schemas.openxmlformats.org/officeDocument/2006/relationships/table" Target="/xl/tables/table15.xml" Id="rId3" /><Relationship Type="http://schemas.openxmlformats.org/officeDocument/2006/relationships/table" Target="/xl/tables/table16.xml" Id="rId4" /><Relationship Type="http://schemas.openxmlformats.org/officeDocument/2006/relationships/table" Target="/xl/tables/table17.xml" Id="rId5" /><Relationship Type="http://schemas.openxmlformats.org/officeDocument/2006/relationships/table" Target="/xl/tables/table18.xml" Id="rId6" /><Relationship Type="http://schemas.openxmlformats.org/officeDocument/2006/relationships/table" Target="/xl/tables/table19.xml" Id="rId7" /><Relationship Type="http://schemas.openxmlformats.org/officeDocument/2006/relationships/table" Target="/xl/tables/table20.xml" Id="rId8" /><Relationship Type="http://schemas.openxmlformats.org/officeDocument/2006/relationships/table" Target="/xl/tables/table21.xml" Id="rId9" /><Relationship Type="http://schemas.openxmlformats.org/officeDocument/2006/relationships/table" Target="/xl/tables/table22.xml" Id="rId10" /><Relationship Type="http://schemas.openxmlformats.org/officeDocument/2006/relationships/table" Target="/xl/tables/table23.xml" Id="rId11" /><Relationship Type="http://schemas.openxmlformats.org/officeDocument/2006/relationships/table" Target="/xl/tables/table24.xml" Id="rId12" /></Relationships>
</file>

<file path=xl/worksheets/_rels/sheet31.xml.rels><Relationships xmlns="http://schemas.openxmlformats.org/package/2006/relationships"><Relationship Type="http://schemas.openxmlformats.org/officeDocument/2006/relationships/table" Target="/xl/tables/table25.xml" Id="rId1" /><Relationship Type="http://schemas.openxmlformats.org/officeDocument/2006/relationships/table" Target="/xl/tables/table26.xml" Id="rId2" /><Relationship Type="http://schemas.openxmlformats.org/officeDocument/2006/relationships/table" Target="/xl/tables/table27.xml" Id="rId3" /><Relationship Type="http://schemas.openxmlformats.org/officeDocument/2006/relationships/table" Target="/xl/tables/table28.xml" Id="rId4" /><Relationship Type="http://schemas.openxmlformats.org/officeDocument/2006/relationships/table" Target="/xl/tables/table29.xml" Id="rId5" /><Relationship Type="http://schemas.openxmlformats.org/officeDocument/2006/relationships/table" Target="/xl/tables/table30.xml" Id="rId6" /><Relationship Type="http://schemas.openxmlformats.org/officeDocument/2006/relationships/table" Target="/xl/tables/table31.xml" Id="rId7" /><Relationship Type="http://schemas.openxmlformats.org/officeDocument/2006/relationships/table" Target="/xl/tables/table32.xml" Id="rId8" /><Relationship Type="http://schemas.openxmlformats.org/officeDocument/2006/relationships/table" Target="/xl/tables/table33.xml" Id="rId9" /><Relationship Type="http://schemas.openxmlformats.org/officeDocument/2006/relationships/table" Target="/xl/tables/table34.xml" Id="rId10" /><Relationship Type="http://schemas.openxmlformats.org/officeDocument/2006/relationships/table" Target="/xl/tables/table35.xml" Id="rId11" /><Relationship Type="http://schemas.openxmlformats.org/officeDocument/2006/relationships/table" Target="/xl/tables/table36.xml" Id="rId12" /></Relationships>
</file>

<file path=xl/worksheets/_rels/sheet32.xml.rels><Relationships xmlns="http://schemas.openxmlformats.org/package/2006/relationships"><Relationship Type="http://schemas.openxmlformats.org/officeDocument/2006/relationships/table" Target="/xl/tables/table37.xml" Id="rId1" /><Relationship Type="http://schemas.openxmlformats.org/officeDocument/2006/relationships/table" Target="/xl/tables/table38.xml" Id="rId2" /><Relationship Type="http://schemas.openxmlformats.org/officeDocument/2006/relationships/table" Target="/xl/tables/table39.xml" Id="rId3" /><Relationship Type="http://schemas.openxmlformats.org/officeDocument/2006/relationships/table" Target="/xl/tables/table40.xml" Id="rId4" /><Relationship Type="http://schemas.openxmlformats.org/officeDocument/2006/relationships/table" Target="/xl/tables/table41.xml" Id="rId5" /><Relationship Type="http://schemas.openxmlformats.org/officeDocument/2006/relationships/table" Target="/xl/tables/table42.xml" Id="rId6" /><Relationship Type="http://schemas.openxmlformats.org/officeDocument/2006/relationships/table" Target="/xl/tables/table43.xml" Id="rId7" /><Relationship Type="http://schemas.openxmlformats.org/officeDocument/2006/relationships/table" Target="/xl/tables/table44.xml" Id="rId8" /><Relationship Type="http://schemas.openxmlformats.org/officeDocument/2006/relationships/table" Target="/xl/tables/table45.xml" Id="rId9" /><Relationship Type="http://schemas.openxmlformats.org/officeDocument/2006/relationships/table" Target="/xl/tables/table46.xml" Id="rId10" /><Relationship Type="http://schemas.openxmlformats.org/officeDocument/2006/relationships/table" Target="/xl/tables/table47.xml" Id="rId11" /><Relationship Type="http://schemas.openxmlformats.org/officeDocument/2006/relationships/table" Target="/xl/tables/table48.xml" Id="rId12" /></Relationships>
</file>

<file path=xl/worksheets/_rels/sheet33.xml.rels><Relationships xmlns="http://schemas.openxmlformats.org/package/2006/relationships"><Relationship Type="http://schemas.openxmlformats.org/officeDocument/2006/relationships/table" Target="/xl/tables/table49.xml" Id="rId1" /><Relationship Type="http://schemas.openxmlformats.org/officeDocument/2006/relationships/table" Target="/xl/tables/table50.xml" Id="rId2" /><Relationship Type="http://schemas.openxmlformats.org/officeDocument/2006/relationships/table" Target="/xl/tables/table51.xml" Id="rId3" /><Relationship Type="http://schemas.openxmlformats.org/officeDocument/2006/relationships/table" Target="/xl/tables/table52.xml" Id="rId4" /><Relationship Type="http://schemas.openxmlformats.org/officeDocument/2006/relationships/table" Target="/xl/tables/table53.xml" Id="rId5" /><Relationship Type="http://schemas.openxmlformats.org/officeDocument/2006/relationships/table" Target="/xl/tables/table54.xml" Id="rId6" /><Relationship Type="http://schemas.openxmlformats.org/officeDocument/2006/relationships/table" Target="/xl/tables/table55.xml" Id="rId7" /><Relationship Type="http://schemas.openxmlformats.org/officeDocument/2006/relationships/table" Target="/xl/tables/table56.xml" Id="rId8" /><Relationship Type="http://schemas.openxmlformats.org/officeDocument/2006/relationships/table" Target="/xl/tables/table57.xml" Id="rId9" /><Relationship Type="http://schemas.openxmlformats.org/officeDocument/2006/relationships/table" Target="/xl/tables/table58.xml" Id="rId10" /><Relationship Type="http://schemas.openxmlformats.org/officeDocument/2006/relationships/table" Target="/xl/tables/table59.xml" Id="rId11" /><Relationship Type="http://schemas.openxmlformats.org/officeDocument/2006/relationships/table" Target="/xl/tables/table60.xml" Id="rId12" /></Relationships>
</file>

<file path=xl/worksheets/_rels/sheet34.xml.rels><Relationships xmlns="http://schemas.openxmlformats.org/package/2006/relationships"><Relationship Type="http://schemas.openxmlformats.org/officeDocument/2006/relationships/table" Target="/xl/tables/table61.xml" Id="rId1" /><Relationship Type="http://schemas.openxmlformats.org/officeDocument/2006/relationships/table" Target="/xl/tables/table62.xml" Id="rId2" /><Relationship Type="http://schemas.openxmlformats.org/officeDocument/2006/relationships/table" Target="/xl/tables/table63.xml" Id="rId3" /><Relationship Type="http://schemas.openxmlformats.org/officeDocument/2006/relationships/table" Target="/xl/tables/table64.xml" Id="rId4" /><Relationship Type="http://schemas.openxmlformats.org/officeDocument/2006/relationships/table" Target="/xl/tables/table65.xml" Id="rId5" /><Relationship Type="http://schemas.openxmlformats.org/officeDocument/2006/relationships/table" Target="/xl/tables/table66.xml" Id="rId6" /><Relationship Type="http://schemas.openxmlformats.org/officeDocument/2006/relationships/table" Target="/xl/tables/table67.xml" Id="rId7" /><Relationship Type="http://schemas.openxmlformats.org/officeDocument/2006/relationships/table" Target="/xl/tables/table68.xml" Id="rId8" /><Relationship Type="http://schemas.openxmlformats.org/officeDocument/2006/relationships/table" Target="/xl/tables/table69.xml" Id="rId9" /><Relationship Type="http://schemas.openxmlformats.org/officeDocument/2006/relationships/table" Target="/xl/tables/table70.xml" Id="rId10" /><Relationship Type="http://schemas.openxmlformats.org/officeDocument/2006/relationships/table" Target="/xl/tables/table71.xml" Id="rId11" /><Relationship Type="http://schemas.openxmlformats.org/officeDocument/2006/relationships/table" Target="/xl/tables/table72.xml" Id="rId12" /></Relationships>
</file>

<file path=xl/worksheets/_rels/sheet35.xml.rels><Relationships xmlns="http://schemas.openxmlformats.org/package/2006/relationships"><Relationship Type="http://schemas.openxmlformats.org/officeDocument/2006/relationships/table" Target="/xl/tables/table73.xml" Id="rId1" /><Relationship Type="http://schemas.openxmlformats.org/officeDocument/2006/relationships/table" Target="/xl/tables/table74.xml" Id="rId2" /><Relationship Type="http://schemas.openxmlformats.org/officeDocument/2006/relationships/table" Target="/xl/tables/table75.xml" Id="rId3" /><Relationship Type="http://schemas.openxmlformats.org/officeDocument/2006/relationships/table" Target="/xl/tables/table76.xml" Id="rId4" /><Relationship Type="http://schemas.openxmlformats.org/officeDocument/2006/relationships/table" Target="/xl/tables/table77.xml" Id="rId5" /><Relationship Type="http://schemas.openxmlformats.org/officeDocument/2006/relationships/table" Target="/xl/tables/table78.xml" Id="rId6" /><Relationship Type="http://schemas.openxmlformats.org/officeDocument/2006/relationships/table" Target="/xl/tables/table79.xml" Id="rId7" /><Relationship Type="http://schemas.openxmlformats.org/officeDocument/2006/relationships/table" Target="/xl/tables/table80.xml" Id="rId8" /><Relationship Type="http://schemas.openxmlformats.org/officeDocument/2006/relationships/table" Target="/xl/tables/table81.xml" Id="rId9" /><Relationship Type="http://schemas.openxmlformats.org/officeDocument/2006/relationships/table" Target="/xl/tables/table82.xml" Id="rId10" /><Relationship Type="http://schemas.openxmlformats.org/officeDocument/2006/relationships/table" Target="/xl/tables/table83.xml" Id="rId11" /><Relationship Type="http://schemas.openxmlformats.org/officeDocument/2006/relationships/table" Target="/xl/tables/table84.xml" Id="rId12" /></Relationships>
</file>

<file path=xl/worksheets/_rels/sheet36.xml.rels><Relationships xmlns="http://schemas.openxmlformats.org/package/2006/relationships"><Relationship Type="http://schemas.openxmlformats.org/officeDocument/2006/relationships/table" Target="/xl/tables/table85.xml" Id="rId1" /><Relationship Type="http://schemas.openxmlformats.org/officeDocument/2006/relationships/table" Target="/xl/tables/table86.xml" Id="rId2" /><Relationship Type="http://schemas.openxmlformats.org/officeDocument/2006/relationships/table" Target="/xl/tables/table87.xml" Id="rId3" /><Relationship Type="http://schemas.openxmlformats.org/officeDocument/2006/relationships/table" Target="/xl/tables/table88.xml" Id="rId4" /><Relationship Type="http://schemas.openxmlformats.org/officeDocument/2006/relationships/table" Target="/xl/tables/table89.xml" Id="rId5" /><Relationship Type="http://schemas.openxmlformats.org/officeDocument/2006/relationships/table" Target="/xl/tables/table90.xml" Id="rId6" /><Relationship Type="http://schemas.openxmlformats.org/officeDocument/2006/relationships/table" Target="/xl/tables/table91.xml" Id="rId7" /><Relationship Type="http://schemas.openxmlformats.org/officeDocument/2006/relationships/table" Target="/xl/tables/table92.xml" Id="rId8" /><Relationship Type="http://schemas.openxmlformats.org/officeDocument/2006/relationships/table" Target="/xl/tables/table93.xml" Id="rId9" /><Relationship Type="http://schemas.openxmlformats.org/officeDocument/2006/relationships/table" Target="/xl/tables/table94.xml" Id="rId10" /><Relationship Type="http://schemas.openxmlformats.org/officeDocument/2006/relationships/table" Target="/xl/tables/table95.xml" Id="rId11" /><Relationship Type="http://schemas.openxmlformats.org/officeDocument/2006/relationships/table" Target="/xl/tables/table96.xml" Id="rId12" /></Relationships>
</file>

<file path=xl/worksheets/_rels/sheet37.xml.rels><Relationships xmlns="http://schemas.openxmlformats.org/package/2006/relationships"><Relationship Type="http://schemas.openxmlformats.org/officeDocument/2006/relationships/table" Target="/xl/tables/table97.xml" Id="rId1" /><Relationship Type="http://schemas.openxmlformats.org/officeDocument/2006/relationships/table" Target="/xl/tables/table98.xml" Id="rId2" /><Relationship Type="http://schemas.openxmlformats.org/officeDocument/2006/relationships/table" Target="/xl/tables/table99.xml" Id="rId3" /><Relationship Type="http://schemas.openxmlformats.org/officeDocument/2006/relationships/table" Target="/xl/tables/table100.xml" Id="rId4" /><Relationship Type="http://schemas.openxmlformats.org/officeDocument/2006/relationships/table" Target="/xl/tables/table101.xml" Id="rId5" /><Relationship Type="http://schemas.openxmlformats.org/officeDocument/2006/relationships/table" Target="/xl/tables/table102.xml" Id="rId6" /><Relationship Type="http://schemas.openxmlformats.org/officeDocument/2006/relationships/table" Target="/xl/tables/table103.xml" Id="rId7" /><Relationship Type="http://schemas.openxmlformats.org/officeDocument/2006/relationships/table" Target="/xl/tables/table104.xml" Id="rId8" /><Relationship Type="http://schemas.openxmlformats.org/officeDocument/2006/relationships/table" Target="/xl/tables/table105.xml" Id="rId9" /><Relationship Type="http://schemas.openxmlformats.org/officeDocument/2006/relationships/table" Target="/xl/tables/table106.xml" Id="rId10" /><Relationship Type="http://schemas.openxmlformats.org/officeDocument/2006/relationships/table" Target="/xl/tables/table107.xml" Id="rId11" /><Relationship Type="http://schemas.openxmlformats.org/officeDocument/2006/relationships/table" Target="/xl/tables/table108.xml" Id="rId12" /></Relationships>
</file>

<file path=xl/worksheets/_rels/sheet38.xml.rels><Relationships xmlns="http://schemas.openxmlformats.org/package/2006/relationships"><Relationship Type="http://schemas.openxmlformats.org/officeDocument/2006/relationships/table" Target="/xl/tables/table109.xml" Id="rId1" /><Relationship Type="http://schemas.openxmlformats.org/officeDocument/2006/relationships/table" Target="/xl/tables/table110.xml" Id="rId2" /><Relationship Type="http://schemas.openxmlformats.org/officeDocument/2006/relationships/table" Target="/xl/tables/table111.xml" Id="rId3" /><Relationship Type="http://schemas.openxmlformats.org/officeDocument/2006/relationships/table" Target="/xl/tables/table112.xml" Id="rId4" /><Relationship Type="http://schemas.openxmlformats.org/officeDocument/2006/relationships/table" Target="/xl/tables/table113.xml" Id="rId5" /><Relationship Type="http://schemas.openxmlformats.org/officeDocument/2006/relationships/table" Target="/xl/tables/table114.xml" Id="rId6" /><Relationship Type="http://schemas.openxmlformats.org/officeDocument/2006/relationships/table" Target="/xl/tables/table115.xml" Id="rId7" /><Relationship Type="http://schemas.openxmlformats.org/officeDocument/2006/relationships/table" Target="/xl/tables/table116.xml" Id="rId8" /><Relationship Type="http://schemas.openxmlformats.org/officeDocument/2006/relationships/table" Target="/xl/tables/table117.xml" Id="rId9" /><Relationship Type="http://schemas.openxmlformats.org/officeDocument/2006/relationships/table" Target="/xl/tables/table118.xml" Id="rId10" /><Relationship Type="http://schemas.openxmlformats.org/officeDocument/2006/relationships/table" Target="/xl/tables/table119.xml" Id="rId11" /><Relationship Type="http://schemas.openxmlformats.org/officeDocument/2006/relationships/table" Target="/xl/tables/table120.xml" Id="rId12" /></Relationships>
</file>

<file path=xl/worksheets/_rels/sheet39.xml.rels><Relationships xmlns="http://schemas.openxmlformats.org/package/2006/relationships"><Relationship Type="http://schemas.openxmlformats.org/officeDocument/2006/relationships/table" Target="/xl/tables/table121.xml" Id="rId1" /></Relationships>
</file>

<file path=xl/worksheets/_rels/sheet40.xml.rels><Relationships xmlns="http://schemas.openxmlformats.org/package/2006/relationships"><Relationship Type="http://schemas.openxmlformats.org/officeDocument/2006/relationships/table" Target="/xl/tables/table122.xml" Id="rId1" /><Relationship Type="http://schemas.openxmlformats.org/officeDocument/2006/relationships/table" Target="/xl/tables/table123.xml" Id="rId2" /><Relationship Type="http://schemas.openxmlformats.org/officeDocument/2006/relationships/table" Target="/xl/tables/table124.xml" Id="rId3" /><Relationship Type="http://schemas.openxmlformats.org/officeDocument/2006/relationships/table" Target="/xl/tables/table125.xml" Id="rId4" /><Relationship Type="http://schemas.openxmlformats.org/officeDocument/2006/relationships/table" Target="/xl/tables/table126.xml" Id="rId5" /><Relationship Type="http://schemas.openxmlformats.org/officeDocument/2006/relationships/table" Target="/xl/tables/table127.xml" Id="rId6" /></Relationships>
</file>

<file path=xl/worksheets/_rels/sheet41.xml.rels><Relationships xmlns="http://schemas.openxmlformats.org/package/2006/relationships"><Relationship Type="http://schemas.openxmlformats.org/officeDocument/2006/relationships/hyperlink" Target="https://o365adessogroup.sharepoint.com/sites/adesso_FU-ProjectManagement/SitePages/adesso-calculator.aspx" TargetMode="External" Id="rId1" /><Relationship Type="http://schemas.openxmlformats.org/officeDocument/2006/relationships/hyperlink" Target="https://o365adessogroup.sharepoint.com/sites/adesso_FU-ProjectManagement/SitePages/de/adesso-calculator.aspx" TargetMode="External" Id="rId2" /><Relationship Type="http://schemas.openxmlformats.org/officeDocument/2006/relationships/hyperlink" Target="https://teams.microsoft.com/l/channel/19%3AtrMFhwN4ldM7sKA4KzSg3KGofZOCDNi6TzOMqlo-DLs1%40thread.tacv2/Start?groupId=0ed5a4b1-b300-4f1b-a886-fe17662e44f9&amp;tenantId=3d355765-67d9-47cd-9c7a-bf31179f56eb" TargetMode="External" Id="rId3" /></Relationships>
</file>

<file path=xl/worksheets/_rels/sheet43.xml.rels><Relationships xmlns="http://schemas.openxmlformats.org/package/2006/relationships"><Relationship Type="http://schemas.openxmlformats.org/officeDocument/2006/relationships/table" Target="/xl/tables/table128.xml" Id="rId1" /><Relationship Type="http://schemas.openxmlformats.org/officeDocument/2006/relationships/table" Target="/xl/tables/table129.xml" Id="rId2" /></Relationships>
</file>

<file path=xl/worksheets/sheet1.xml><?xml version="1.0" encoding="utf-8"?>
<worksheet xmlns="http://schemas.openxmlformats.org/spreadsheetml/2006/main">
  <sheetPr codeName="Tabelle1">
    <tabColor theme="4" tint="-0.249977111117893"/>
    <outlinePr summaryBelow="1" summaryRight="1"/>
    <pageSetUpPr fitToPage="1"/>
  </sheetPr>
  <dimension ref="A1:C23"/>
  <sheetViews>
    <sheetView showGridLines="0" tabSelected="1" zoomScaleNormal="100" workbookViewId="0">
      <selection activeCell="A1" sqref="A1"/>
    </sheetView>
  </sheetViews>
  <sheetFormatPr baseColWidth="10" defaultColWidth="11.5" defaultRowHeight="15"/>
  <cols>
    <col width="33.33203125" customWidth="1" style="3" min="1" max="1"/>
    <col width="79.83203125" customWidth="1" style="3" min="2" max="2"/>
    <col width="18.1640625" customWidth="1" style="3" min="3" max="6"/>
    <col width="17.5" customWidth="1" style="13" min="7" max="7"/>
    <col width="11.5" customWidth="1" style="3" min="8" max="16384"/>
  </cols>
  <sheetData>
    <row r="1" ht="24" customHeight="1">
      <c r="A1" s="1" t="inlineStr">
        <is>
          <t>adesso calculator</t>
        </is>
      </c>
      <c r="B1" s="287" t="inlineStr">
        <is>
          <t>Manual: see menu item above "Show manual" or click this hyperlink</t>
        </is>
      </c>
      <c r="C1" s="231" t="n"/>
    </row>
    <row r="2" ht="24" customHeight="1">
      <c r="A2" s="4">
        <f>B17</f>
        <v/>
      </c>
      <c r="B2" s="286" t="inlineStr">
        <is>
          <t>Excel Macros are deactivated and you can't see the menu group above "adesso calculator"?
In this case you have to configure the workbook security settings - please have a look at the manual!</t>
        </is>
      </c>
    </row>
    <row r="3" ht="16.25" customHeight="1">
      <c r="A3" s="61" t="inlineStr">
        <is>
          <t>Tool version:</t>
        </is>
      </c>
      <c r="B3" s="61" t="inlineStr">
        <is>
          <t>2.01 / 28.03.2025</t>
        </is>
      </c>
    </row>
    <row r="4" hidden="1" ht="17.5" customHeight="1">
      <c r="A4" s="7" t="inlineStr">
        <is>
          <t>Last change in this document:</t>
        </is>
      </c>
      <c r="B4" s="245">
        <f>MAX(tblHistoryOfChanges[Date of change])</f>
        <v/>
      </c>
    </row>
    <row r="5" hidden="1" ht="12.75" customHeight="1">
      <c r="A5" s="25" t="n"/>
      <c r="B5" s="246" t="inlineStr">
        <is>
          <t>see details in sheet "History of changes"</t>
        </is>
      </c>
      <c r="C5" s="234" t="n"/>
    </row>
    <row r="6" ht="19" customHeight="1">
      <c r="A6" s="74" t="inlineStr">
        <is>
          <t>Basic settings</t>
        </is>
      </c>
    </row>
    <row r="7" ht="15.75" customFormat="1" customHeight="1" s="7">
      <c r="A7" s="3" t="n"/>
      <c r="B7" s="235" t="inlineStr">
        <is>
          <t>Advanced settings: see menu item above "Edit options"</t>
        </is>
      </c>
      <c r="C7" s="3" t="n"/>
    </row>
    <row r="8" ht="21" customFormat="1" customHeight="1" s="7">
      <c r="A8" s="86" t="inlineStr">
        <is>
          <t>Proposal title:</t>
        </is>
      </c>
      <c r="B8" s="6" t="inlineStr">
        <is>
          <t>Locarno Film Festival - Drupal CMS 2.0 Relaunch</t>
        </is>
      </c>
    </row>
    <row r="9" ht="21" customFormat="1" customHeight="1" s="7">
      <c r="A9" s="86" t="inlineStr">
        <is>
          <t>Contract type:</t>
        </is>
      </c>
      <c r="B9" s="6" t="inlineStr">
        <is>
          <t>Work contract (fixed price)</t>
        </is>
      </c>
    </row>
    <row r="10" ht="21" customFormat="1" customHeight="1" s="7">
      <c r="A10" s="86" t="inlineStr">
        <is>
          <t>Customer:</t>
        </is>
      </c>
      <c r="B10" s="6" t="inlineStr">
        <is>
          <t>Locarno Film Festival</t>
        </is>
      </c>
    </row>
    <row r="11" ht="21" customFormat="1" customHeight="1" s="7">
      <c r="A11" s="404" t="inlineStr">
        <is>
          <t>Contractor (offering company):</t>
        </is>
      </c>
      <c r="B11" s="6" t="inlineStr">
        <is>
          <t>adesso Schweiz AG</t>
        </is>
      </c>
    </row>
    <row r="12" hidden="1" ht="21" customFormat="1" customHeight="1" s="7">
      <c r="A12" s="314" t="inlineStr">
        <is>
          <t>Accounting-related company:</t>
        </is>
      </c>
      <c r="B12" s="232" t="inlineStr">
        <is>
          <t>2025-01</t>
        </is>
      </c>
    </row>
    <row r="13" ht="21" customFormat="1" customHeight="1" s="7">
      <c r="B13" s="148" t="inlineStr">
        <is>
          <t>Drupal 11 with Drupal CMS 2.0</t>
        </is>
      </c>
    </row>
    <row r="14" ht="21" customFormat="1" customHeight="1" s="7">
      <c r="A14" s="86" t="inlineStr">
        <is>
          <t>Calculation template:</t>
        </is>
      </c>
      <c r="B14" s="232" t="inlineStr">
        <is>
          <t>general_dev_de</t>
        </is>
      </c>
      <c r="C14" s="76" t="n"/>
    </row>
    <row r="15" ht="21" customHeight="1">
      <c r="B15" s="252" t="inlineStr">
        <is>
          <t>Please use menu above "Import" -&gt;  "Import from internal template" if you want to change the template.</t>
        </is>
      </c>
      <c r="C15" s="228" t="n"/>
    </row>
    <row r="16" ht="21" customFormat="1" customHeight="1" s="7">
      <c r="A16" s="86" t="inlineStr">
        <is>
          <t>Calculation process:</t>
        </is>
      </c>
      <c r="B16" s="9" t="inlineStr">
        <is>
          <t>Calculation with two teams</t>
        </is>
      </c>
    </row>
    <row r="17" hidden="1" ht="25.25" customHeight="1">
      <c r="A17" s="314" t="inlineStr">
        <is>
          <t>Current step of process:</t>
        </is>
      </c>
      <c r="B17" s="232" t="inlineStr">
        <is>
          <t>Preparation</t>
        </is>
      </c>
      <c r="C17" s="7" t="n"/>
    </row>
    <row r="18" ht="16.25" customHeight="1">
      <c r="B18" s="252" t="inlineStr">
        <is>
          <t>Not sure which process you should choose? Please have a look at the manual!</t>
        </is>
      </c>
    </row>
    <row r="19" ht="19" customHeight="1">
      <c r="A19" s="5" t="inlineStr">
        <is>
          <t>adesso calculation team</t>
        </is>
      </c>
    </row>
    <row r="20" ht="14.5" customHeight="1">
      <c r="A20" s="5" t="n"/>
    </row>
    <row r="21" ht="15.75" customHeight="1">
      <c r="A21" s="148" t="inlineStr">
        <is>
          <t>Please use the tabulator key in the last column of the last row for adding a new row.</t>
        </is>
      </c>
      <c r="C21" s="77" t="n"/>
    </row>
    <row r="22" ht="21" customHeight="1">
      <c r="A22" s="243" t="inlineStr">
        <is>
          <t>Team member</t>
        </is>
      </c>
      <c r="B22" s="244" t="inlineStr">
        <is>
          <t>Team member role in proposal process</t>
        </is>
      </c>
    </row>
    <row r="23" customFormat="1" s="78">
      <c r="A23" s="418" t="n"/>
      <c r="B23" s="418" t="n"/>
    </row>
  </sheetData>
  <dataValidations count="3">
    <dataValidation sqref="B16" showDropDown="0" showInputMessage="1" showErrorMessage="1" allowBlank="1" type="list">
      <formula1>INDIRECT("tblCalcProcesses[Calculation process]")</formula1>
    </dataValidation>
    <dataValidation sqref="B9" showDropDown="0" showInputMessage="1" showErrorMessage="1" allowBlank="1" type="list">
      <formula1>INDIRECT("tblContractTypes[Contract Type]")</formula1>
    </dataValidation>
    <dataValidation sqref="B11" showDropDown="0" showInputMessage="1" showErrorMessage="1" allowBlank="1" type="list">
      <formula1>INDIRECT("tblCompanies[Company]")</formula1>
    </dataValidation>
  </dataValidations>
  <hyperlinks>
    <hyperlink xmlns:r="http://schemas.openxmlformats.org/officeDocument/2006/relationships" ref="B1" display="https://o365adessogroup.sharepoint.com/sites/adesso_FU-ProjectManagement/SitePages/adesso-calculator.aspx" r:id="rId1"/>
    <hyperlink ref="A11" location="Companies!A1" display="Contractor (offering company):"/>
  </hyperlinks>
  <pageMargins left="0.7086614173228347" right="0.7086614173228347" top="0.7874015748031497" bottom="0.7874015748031497" header="0.3149606299212598" footer="0.3149606299212598"/>
  <pageSetup orientation="landscape" paperSize="9" horizontalDpi="90" verticalDpi="90"/>
  <headerFooter>
    <oddHeader/>
    <oddFooter>&amp;Ladesso SE&amp;RPage &amp;P of &amp;N</oddFooter>
    <evenHeader/>
    <evenFooter/>
    <firstHeader/>
    <firstFooter/>
  </headerFooter>
  <tableParts count="1">
    <tablePart xmlns:r="http://schemas.openxmlformats.org/officeDocument/2006/relationships" r:id="rId2"/>
  </tableParts>
</worksheet>
</file>

<file path=xl/worksheets/sheet2.xml><?xml version="1.0" encoding="utf-8"?>
<worksheet xmlns="http://schemas.openxmlformats.org/spreadsheetml/2006/main">
  <sheetPr codeName="Tabelle2">
    <tabColor theme="4" tint="0.5999938962981048"/>
    <outlinePr summaryBelow="1" summaryRight="1"/>
    <pageSetUpPr/>
  </sheetPr>
  <dimension ref="A1:AB59"/>
  <sheetViews>
    <sheetView showGridLines="0" topLeftCell="A2" zoomScaleNormal="100" workbookViewId="0">
      <selection activeCell="E18" sqref="E18"/>
    </sheetView>
  </sheetViews>
  <sheetFormatPr baseColWidth="10" defaultColWidth="11.5" defaultRowHeight="15"/>
  <cols>
    <col width="8.83203125" customWidth="1" style="13" min="1" max="1"/>
    <col outlineLevel="1" width="12.83203125" customWidth="1" style="296" min="2" max="2"/>
    <col outlineLevel="1" width="24.5" customWidth="1" style="138" min="3" max="3"/>
    <col outlineLevel="1" width="15" customWidth="1" style="102" min="4" max="4"/>
    <col width="36.6640625" customWidth="1" style="2" min="5" max="5"/>
    <col width="31.1640625" customWidth="1" style="2" min="6" max="6"/>
    <col width="35.33203125" customWidth="1" style="2" min="7" max="7"/>
    <col width="30" customWidth="1" style="2" min="8" max="8"/>
    <col outlineLevel="1" width="18.5" customWidth="1" style="2" min="9" max="9"/>
    <col outlineLevel="1" width="10.6640625" customWidth="1" style="296" min="10" max="10"/>
    <col width="3" customWidth="1" min="11" max="11"/>
    <col hidden="1" width="10.6640625" customWidth="1" style="13" min="12" max="13"/>
    <col hidden="1" width="10.6640625" customWidth="1" style="437" min="14" max="15"/>
    <col hidden="1" width="10.83203125" customWidth="1" style="437" min="16" max="16"/>
    <col width="15" customWidth="1" style="437" min="17" max="21"/>
    <col hidden="1" width="15" customWidth="1" style="437" min="22" max="27"/>
    <col width="11.5" customWidth="1" style="3" min="28" max="16384"/>
  </cols>
  <sheetData>
    <row r="1" hidden="1">
      <c r="A1" s="18" t="n"/>
      <c r="B1" s="293" t="n"/>
      <c r="C1" s="137" t="n"/>
      <c r="D1" s="169" t="n"/>
      <c r="E1" s="136" t="n"/>
      <c r="F1" s="136" t="n"/>
      <c r="G1" s="136" t="n"/>
      <c r="H1" s="136" t="n"/>
      <c r="I1" s="16" t="n"/>
      <c r="J1" s="293" t="n"/>
      <c r="L1" s="18" t="n"/>
      <c r="M1" s="18" t="n"/>
      <c r="N1" s="438" t="n"/>
      <c r="O1" s="438" t="n"/>
      <c r="P1" s="438" t="n"/>
      <c r="Q1" s="439">
        <f>SUM(R1:AA1)</f>
        <v/>
      </c>
      <c r="R1" s="440" t="n"/>
      <c r="S1" s="440" t="n"/>
      <c r="T1" s="440" t="n"/>
      <c r="U1" s="440" t="n"/>
      <c r="V1" s="440" t="n"/>
      <c r="W1" s="440" t="n"/>
      <c r="X1" s="440" t="n"/>
      <c r="Y1" s="440" t="n"/>
      <c r="Z1" s="440" t="n"/>
      <c r="AA1" s="440" t="n"/>
    </row>
    <row r="2" ht="25" customHeight="1">
      <c r="A2" s="1" t="inlineStr">
        <is>
          <t>Features (Requirements/Deliverables)</t>
        </is>
      </c>
      <c r="B2" s="1" t="n"/>
      <c r="C2" s="69" t="n"/>
      <c r="E2" s="306" t="inlineStr">
        <is>
          <t>yes</t>
        </is>
      </c>
      <c r="G2" s="178" t="inlineStr">
        <is>
          <t>Use these options for calculating efforts.
Please have a look at the manual!</t>
        </is>
      </c>
      <c r="Q2" s="441" t="inlineStr">
        <is>
          <t>Discuss the percentages with your team!</t>
        </is>
      </c>
    </row>
    <row r="3" ht="17" customHeight="1">
      <c r="A3" s="93">
        <f>Start!A2</f>
        <v/>
      </c>
      <c r="B3" s="294" t="n"/>
      <c r="F3" s="303" t="inlineStr">
        <is>
          <t>Estimation method:</t>
        </is>
      </c>
      <c r="G3" s="442" t="inlineStr">
        <is>
          <t>No specific method</t>
        </is>
      </c>
      <c r="Q3" s="8" t="inlineStr">
        <is>
          <t>Forecasted percentages:</t>
        </is>
      </c>
      <c r="R3" s="80" t="n">
        <v>0.25</v>
      </c>
      <c r="S3" s="80" t="n">
        <v>0.5</v>
      </c>
      <c r="T3" s="80" t="n">
        <v>0.15</v>
      </c>
      <c r="U3" s="80" t="n">
        <v>0.1</v>
      </c>
      <c r="V3" s="80" t="n">
        <v>0</v>
      </c>
      <c r="W3" s="80" t="n">
        <v>0</v>
      </c>
      <c r="X3" s="80" t="n">
        <v>0</v>
      </c>
      <c r="Y3" s="80" t="n">
        <v>0</v>
      </c>
      <c r="Z3" s="80" t="n">
        <v>0</v>
      </c>
      <c r="AA3" s="80" t="n">
        <v>0</v>
      </c>
      <c r="AB3" s="170">
        <f>SUM(FT_IndividualAveragePercentage)</f>
        <v/>
      </c>
    </row>
    <row r="4" ht="14.5" customHeight="1">
      <c r="A4" s="229" t="n"/>
      <c r="B4" s="295" t="n"/>
      <c r="C4" s="167" t="n"/>
      <c r="F4" s="303" t="inlineStr">
        <is>
          <t>Input assistance for task values:</t>
        </is>
      </c>
      <c r="G4" s="34" t="inlineStr">
        <is>
          <t>No assistance</t>
        </is>
      </c>
      <c r="Q4" s="75" t="inlineStr">
        <is>
          <t>Actual percentages:</t>
        </is>
      </c>
      <c r="R4" s="307">
        <f>IFERROR(R9/$Q$9,0)</f>
        <v/>
      </c>
      <c r="S4" s="307">
        <f>IFERROR(S9/$Q$9,0)</f>
        <v/>
      </c>
      <c r="T4" s="307">
        <f>IFERROR(T9/$Q$9,0)</f>
        <v/>
      </c>
      <c r="U4" s="307">
        <f>IFERROR(U9/$Q$9,0)</f>
        <v/>
      </c>
      <c r="V4" s="168">
        <f>IFERROR(V9/$Q$9,0)</f>
        <v/>
      </c>
      <c r="W4" s="168">
        <f>IFERROR(W9/$Q$9,0)</f>
        <v/>
      </c>
      <c r="X4" s="168">
        <f>IFERROR(X9/$Q$9,0)</f>
        <v/>
      </c>
      <c r="Y4" s="168">
        <f>IFERROR(Y9/$Q$9,0)</f>
        <v/>
      </c>
      <c r="Z4" s="168">
        <f>IFERROR(Z9/$Q$9,0)</f>
        <v/>
      </c>
      <c r="AA4" s="168">
        <f>IFERROR(AA9/$Q$9,0)</f>
        <v/>
      </c>
      <c r="AB4" s="170">
        <f>SUM(FT_IndividualAveragePercentage)</f>
        <v/>
      </c>
    </row>
    <row r="5">
      <c r="D5" s="152" t="n"/>
      <c r="Q5" s="75" t="inlineStr">
        <is>
          <t>Key task (for assistance):</t>
        </is>
      </c>
      <c r="R5" s="305" t="inlineStr">
        <is>
          <t>no</t>
        </is>
      </c>
      <c r="S5" s="305" t="inlineStr">
        <is>
          <t>yes</t>
        </is>
      </c>
      <c r="T5" s="305" t="inlineStr">
        <is>
          <t>no</t>
        </is>
      </c>
      <c r="U5" s="305" t="inlineStr">
        <is>
          <t>no</t>
        </is>
      </c>
      <c r="V5" s="305" t="inlineStr">
        <is>
          <t>no</t>
        </is>
      </c>
      <c r="W5" s="305" t="inlineStr">
        <is>
          <t>no</t>
        </is>
      </c>
      <c r="X5" s="305" t="inlineStr">
        <is>
          <t>no</t>
        </is>
      </c>
      <c r="Y5" s="305" t="inlineStr">
        <is>
          <t>no</t>
        </is>
      </c>
      <c r="Z5" s="305" t="inlineStr">
        <is>
          <t>no</t>
        </is>
      </c>
      <c r="AA5" s="305" t="inlineStr">
        <is>
          <t>no</t>
        </is>
      </c>
      <c r="AB5" s="26" t="n"/>
    </row>
    <row r="6" ht="20.5" customHeight="1">
      <c r="B6" s="312" t="inlineStr">
        <is>
          <t>Use this column
for special feature queries</t>
        </is>
      </c>
      <c r="D6" s="309" t="inlineStr">
        <is>
          <t xml:space="preserve">Feature group and sub group columns </t>
        </is>
      </c>
      <c r="I6" s="227" t="inlineStr">
        <is>
          <t>Use the menu above</t>
        </is>
      </c>
      <c r="Q6" s="14" t="n"/>
      <c r="R6" s="175" t="inlineStr">
        <is>
          <t>Use menu above "Edit feature task" for adding, renaming or reordering feature tasks.</t>
        </is>
      </c>
      <c r="S6" s="176" t="n"/>
      <c r="T6" s="176" t="n"/>
      <c r="U6" s="176" t="n"/>
      <c r="V6" s="166" t="n"/>
      <c r="W6" s="166" t="n"/>
      <c r="X6" s="166" t="n"/>
      <c r="Y6" s="166" t="n"/>
      <c r="Z6" s="166" t="n"/>
      <c r="AA6" s="166" t="n"/>
      <c r="AB6" s="26" t="n"/>
    </row>
    <row r="7" customFormat="1" s="8">
      <c r="B7" s="311" t="inlineStr">
        <is>
          <t>project task sheet.</t>
        </is>
      </c>
      <c r="D7" s="309" t="inlineStr">
        <is>
          <t xml:space="preserve"> are optional!</t>
        </is>
      </c>
      <c r="E7" s="303" t="n"/>
      <c r="F7" s="303" t="n"/>
      <c r="G7" s="303" t="n"/>
      <c r="H7" s="303" t="n"/>
      <c r="I7" s="228" t="inlineStr">
        <is>
          <t>for adding or deleting risks!</t>
        </is>
      </c>
      <c r="J7" s="412" t="n"/>
      <c r="L7" s="382" t="inlineStr">
        <is>
          <t>T-shirt sizing</t>
        </is>
      </c>
      <c r="M7" s="382" t="inlineStr">
        <is>
          <t>Planning poker</t>
        </is>
      </c>
      <c r="N7" s="443" t="inlineStr">
        <is>
          <t>Three-point estimation</t>
        </is>
      </c>
      <c r="O7" s="443" t="inlineStr">
        <is>
          <t>Three-point estimation</t>
        </is>
      </c>
      <c r="P7" s="443" t="inlineStr">
        <is>
          <t>Three-point estimation</t>
        </is>
      </c>
      <c r="Q7" s="301" t="n"/>
      <c r="R7" s="304" t="inlineStr">
        <is>
          <t>FT#1</t>
        </is>
      </c>
      <c r="S7" s="304" t="inlineStr">
        <is>
          <t>FT#2</t>
        </is>
      </c>
      <c r="T7" s="304" t="inlineStr">
        <is>
          <t>FT#3</t>
        </is>
      </c>
      <c r="U7" s="304" t="inlineStr">
        <is>
          <t>FT#4</t>
        </is>
      </c>
      <c r="V7" s="304" t="inlineStr">
        <is>
          <t>FT#5</t>
        </is>
      </c>
      <c r="W7" s="304" t="inlineStr">
        <is>
          <t>FT#6</t>
        </is>
      </c>
      <c r="X7" s="304" t="inlineStr">
        <is>
          <t>FT#7</t>
        </is>
      </c>
      <c r="Y7" s="304" t="inlineStr">
        <is>
          <t>FT#8</t>
        </is>
      </c>
      <c r="Z7" s="304" t="inlineStr">
        <is>
          <t>FT#9</t>
        </is>
      </c>
      <c r="AA7" s="304" t="inlineStr">
        <is>
          <t>FT#10</t>
        </is>
      </c>
      <c r="AB7" s="302" t="n"/>
    </row>
    <row r="8" ht="49.5" customHeight="1">
      <c r="A8" s="60" t="inlineStr">
        <is>
          <t>F-1</t>
        </is>
      </c>
      <c r="B8" s="297" t="inlineStr">
        <is>
          <t>Homepage</t>
        </is>
      </c>
      <c r="C8" s="153" t="inlineStr">
        <is>
          <t>Website entry point with hero, featured content</t>
        </is>
      </c>
      <c r="D8" s="103" t="inlineStr">
        <is>
          <t>H</t>
        </is>
      </c>
      <c r="E8" s="46" t="n">
        <v>40</v>
      </c>
      <c r="F8" s="46" t="inlineStr">
        <is>
          <t>Sub feature title</t>
        </is>
      </c>
      <c r="G8" s="46" t="inlineStr">
        <is>
          <t>(Sub-)Feature description</t>
        </is>
      </c>
      <c r="H8" s="46" t="inlineStr">
        <is>
          <t>Assumptions</t>
        </is>
      </c>
      <c r="I8" s="72" t="inlineStr">
        <is>
          <t>Risks</t>
        </is>
      </c>
      <c r="J8" s="413" t="inlineStr">
        <is>
          <t>Ref. ID</t>
        </is>
      </c>
      <c r="L8" s="32" t="inlineStr">
        <is>
          <t>T-shirt
size</t>
        </is>
      </c>
      <c r="M8" s="33" t="inlineStr">
        <is>
          <t>Story points</t>
        </is>
      </c>
      <c r="N8" s="444" t="inlineStr">
        <is>
          <t>Optimistic
effort</t>
        </is>
      </c>
      <c r="O8" s="445" t="inlineStr">
        <is>
          <t>Realistic
effort</t>
        </is>
      </c>
      <c r="P8" s="446" t="inlineStr">
        <is>
          <t>Pessimistic
effort</t>
        </is>
      </c>
      <c r="Q8" s="447" t="inlineStr">
        <is>
          <t>Effort total</t>
        </is>
      </c>
      <c r="R8" s="448" t="inlineStr">
        <is>
          <t>Analyse &amp; Software Design</t>
        </is>
      </c>
      <c r="S8" s="448" t="inlineStr">
        <is>
          <t>Software-entwicklung</t>
        </is>
      </c>
      <c r="T8" s="448" t="inlineStr">
        <is>
          <t>Softwaretest</t>
        </is>
      </c>
      <c r="U8" s="448" t="inlineStr">
        <is>
          <t>Fehlerbearb. nach BzA</t>
        </is>
      </c>
      <c r="V8" s="448" t="n"/>
      <c r="W8" s="448" t="n"/>
      <c r="X8" s="448" t="n"/>
      <c r="Y8" s="448" t="n"/>
      <c r="Z8" s="448" t="n"/>
      <c r="AA8" s="448" t="n"/>
    </row>
    <row r="9">
      <c r="A9" s="21" t="inlineStr">
        <is>
          <t>F-2</t>
        </is>
      </c>
      <c r="B9" s="298" t="inlineStr">
        <is>
          <t>Film Program Page</t>
        </is>
      </c>
      <c r="C9" s="73" t="inlineStr">
        <is>
          <t>Dynamic festival program with filters</t>
        </is>
      </c>
      <c r="D9" s="104" t="inlineStr">
        <is>
          <t>H</t>
        </is>
      </c>
      <c r="E9" s="22" t="n">
        <v>60</v>
      </c>
      <c r="F9" s="22" t="n"/>
      <c r="G9" s="22" t="n"/>
      <c r="H9" s="22" t="n"/>
      <c r="I9" s="22" t="n"/>
      <c r="J9" s="298" t="n"/>
      <c r="L9" s="21" t="n"/>
      <c r="M9" s="21" t="n"/>
      <c r="N9" s="449">
        <f>SUBTOTAL(9,N10:N10012)</f>
        <v/>
      </c>
      <c r="O9" s="449">
        <f>SUBTOTAL(9,O10:O10012)</f>
        <v/>
      </c>
      <c r="P9" s="449">
        <f>SUBTOTAL(9,P10:P10012)</f>
        <v/>
      </c>
      <c r="Q9" s="449">
        <f>SUBTOTAL(9,Q10:Q10012)</f>
        <v/>
      </c>
      <c r="R9" s="449">
        <f>SUBTOTAL(9,R10:R10012)</f>
        <v/>
      </c>
      <c r="S9" s="449">
        <f>SUBTOTAL(9,S10:S10012)</f>
        <v/>
      </c>
      <c r="T9" s="449">
        <f>SUBTOTAL(9,T10:T10012)</f>
        <v/>
      </c>
      <c r="U9" s="449">
        <f>SUBTOTAL(9,U10:U10012)</f>
        <v/>
      </c>
      <c r="V9" s="449">
        <f>SUBTOTAL(9,V10:V10012)</f>
        <v/>
      </c>
      <c r="W9" s="449">
        <f>SUBTOTAL(9,W10:W10012)</f>
        <v/>
      </c>
      <c r="X9" s="449">
        <f>SUBTOTAL(9,X10:X10012)</f>
        <v/>
      </c>
      <c r="Y9" s="449">
        <f>SUBTOTAL(9,Y10:Y10012)</f>
        <v/>
      </c>
      <c r="Z9" s="449">
        <f>SUBTOTAL(9,Z10:Z10012)</f>
        <v/>
      </c>
      <c r="AA9" s="449">
        <f>SUBTOTAL(9,AA10:AA10012)</f>
        <v/>
      </c>
    </row>
    <row r="10" ht="14.5" customFormat="1" customHeight="1" s="267">
      <c r="A10" s="433" t="inlineStr">
        <is>
          <t>F-3</t>
        </is>
      </c>
      <c r="B10" s="299" t="inlineStr">
        <is>
          <t>Film Archive</t>
        </is>
      </c>
      <c r="C10" s="263" t="inlineStr">
        <is>
          <t>Historical film database with search</t>
        </is>
      </c>
      <c r="D10" s="264" t="inlineStr">
        <is>
          <t>H</t>
        </is>
      </c>
      <c r="E10" s="265" t="n">
        <v>50</v>
      </c>
      <c r="F10" s="265" t="n"/>
      <c r="G10" s="265" t="n"/>
      <c r="H10" s="265" t="n"/>
      <c r="I10" s="265" t="n"/>
      <c r="J10" s="414" t="n"/>
      <c r="L10" s="266" t="n"/>
      <c r="M10" s="266" t="n"/>
      <c r="N10" s="450" t="n"/>
      <c r="O10" s="450" t="n"/>
      <c r="P10" s="450" t="n"/>
      <c r="Q10" s="451" t="n"/>
      <c r="R10" s="450" t="n"/>
      <c r="S10" s="450" t="n"/>
      <c r="T10" s="450" t="n"/>
      <c r="U10" s="450" t="n"/>
      <c r="V10" s="450" t="n"/>
      <c r="W10" s="450" t="n"/>
      <c r="X10" s="450" t="n"/>
      <c r="Y10" s="450" t="n"/>
      <c r="Z10" s="450" t="n"/>
      <c r="AA10" s="450" t="n"/>
    </row>
    <row r="11" ht="16" customHeight="1">
      <c r="A11" s="158" t="inlineStr">
        <is>
          <t>F-4</t>
        </is>
      </c>
      <c r="B11" s="416" t="inlineStr">
        <is>
          <t>Film Detail Page</t>
        </is>
      </c>
      <c r="C11" s="160" t="inlineStr">
        <is>
          <t>Individual film presentation</t>
        </is>
      </c>
      <c r="D11" s="417" t="inlineStr">
        <is>
          <t>M</t>
        </is>
      </c>
      <c r="E11" s="161" t="n">
        <v>30</v>
      </c>
      <c r="F11" s="161" t="n"/>
      <c r="G11" s="161" t="n"/>
      <c r="H11" s="161" t="n"/>
      <c r="I11" s="172" t="n"/>
      <c r="J11" s="416" t="inlineStr"/>
      <c r="L11" s="158" t="n"/>
      <c r="M11" s="158" t="n"/>
      <c r="N11" s="452" t="n"/>
      <c r="O11" s="452" t="n"/>
      <c r="P11" s="452" t="n"/>
      <c r="Q11" s="439">
        <f>SUM(R11:AA11)</f>
        <v/>
      </c>
      <c r="R11" s="452" t="n"/>
      <c r="S11" s="452" t="n"/>
      <c r="T11" s="452" t="n"/>
      <c r="U11" s="452" t="n"/>
      <c r="V11" s="452" t="n"/>
      <c r="W11" s="452" t="n"/>
      <c r="X11" s="452" t="n"/>
      <c r="Y11" s="452" t="n"/>
      <c r="Z11" s="452" t="n"/>
      <c r="AA11" s="452" t="n"/>
    </row>
    <row r="12" ht="16" customHeight="1">
      <c r="A12" s="158" t="inlineStr">
        <is>
          <t>F-5</t>
        </is>
      </c>
      <c r="B12" s="416" t="inlineStr">
        <is>
          <t>News &amp; Updates</t>
        </is>
      </c>
      <c r="C12" s="160" t="inlineStr">
        <is>
          <t>News listing and detail pages</t>
        </is>
      </c>
      <c r="D12" s="417" t="inlineStr">
        <is>
          <t>M</t>
        </is>
      </c>
      <c r="E12" s="161" t="n">
        <v>25</v>
      </c>
      <c r="F12" s="161" t="n"/>
      <c r="G12" s="161" t="n"/>
      <c r="H12" s="161" t="n"/>
      <c r="I12" s="172" t="n"/>
      <c r="J12" s="416" t="inlineStr"/>
      <c r="L12" s="158" t="n"/>
      <c r="M12" s="158" t="n"/>
      <c r="N12" s="452" t="n"/>
      <c r="O12" s="452" t="n"/>
      <c r="P12" s="452" t="n"/>
      <c r="Q12" s="439">
        <f>SUM(R12:AA12)</f>
        <v/>
      </c>
      <c r="R12" s="452" t="n"/>
      <c r="S12" s="452" t="n"/>
      <c r="T12" s="452" t="n"/>
      <c r="U12" s="452" t="n"/>
      <c r="V12" s="452" t="n"/>
      <c r="W12" s="452" t="n"/>
      <c r="X12" s="452" t="n"/>
      <c r="Y12" s="452" t="n"/>
      <c r="Z12" s="452" t="n"/>
      <c r="AA12" s="452" t="n"/>
    </row>
    <row r="13" ht="16" customHeight="1">
      <c r="A13" s="158" t="inlineStr">
        <is>
          <t>F-6</t>
        </is>
      </c>
      <c r="B13" s="416" t="inlineStr">
        <is>
          <t>Event Landing Page</t>
        </is>
      </c>
      <c r="C13" s="160" t="inlineStr">
        <is>
          <t>Festival events and schedule</t>
        </is>
      </c>
      <c r="D13" s="417" t="inlineStr">
        <is>
          <t>M</t>
        </is>
      </c>
      <c r="E13" s="161" t="n">
        <v>35</v>
      </c>
      <c r="F13" s="161" t="n"/>
      <c r="G13" s="161" t="n"/>
      <c r="H13" s="161" t="n"/>
      <c r="I13" s="172" t="n"/>
      <c r="J13" s="416" t="inlineStr"/>
      <c r="L13" s="158" t="n"/>
      <c r="M13" s="158" t="n"/>
      <c r="N13" s="452" t="n"/>
      <c r="O13" s="452" t="n"/>
      <c r="P13" s="452" t="n"/>
      <c r="Q13" s="439">
        <f>SUM(R13:AA13)</f>
        <v/>
      </c>
      <c r="R13" s="452" t="n"/>
      <c r="S13" s="452" t="n"/>
      <c r="T13" s="452" t="n"/>
      <c r="U13" s="452" t="n"/>
      <c r="V13" s="452" t="n"/>
      <c r="W13" s="452" t="n"/>
      <c r="X13" s="452" t="n"/>
      <c r="Y13" s="452" t="n"/>
      <c r="Z13" s="452" t="n"/>
      <c r="AA13" s="452" t="n"/>
    </row>
    <row r="14" ht="16" customHeight="1">
      <c r="A14" s="158" t="inlineStr">
        <is>
          <t>F-7</t>
        </is>
      </c>
      <c r="B14" s="416" t="inlineStr">
        <is>
          <t>Press &amp; Media</t>
        </is>
      </c>
      <c r="C14" s="160" t="inlineStr">
        <is>
          <t>Press releases and media kit</t>
        </is>
      </c>
      <c r="D14" s="417" t="inlineStr">
        <is>
          <t>L</t>
        </is>
      </c>
      <c r="E14" s="161" t="n">
        <v>20</v>
      </c>
      <c r="F14" s="161" t="n"/>
      <c r="G14" s="161" t="n"/>
      <c r="H14" s="161" t="n"/>
      <c r="I14" s="172" t="n"/>
      <c r="J14" s="416" t="inlineStr"/>
      <c r="L14" s="158" t="n"/>
      <c r="M14" s="158" t="n"/>
      <c r="N14" s="452" t="n"/>
      <c r="O14" s="452" t="n"/>
      <c r="P14" s="452" t="n"/>
      <c r="Q14" s="439">
        <f>SUM(R14:AA14)</f>
        <v/>
      </c>
      <c r="R14" s="452" t="n"/>
      <c r="S14" s="452" t="n"/>
      <c r="T14" s="452" t="n"/>
      <c r="U14" s="452" t="n"/>
      <c r="V14" s="452" t="n"/>
      <c r="W14" s="452" t="n"/>
      <c r="X14" s="452" t="n"/>
      <c r="Y14" s="452" t="n"/>
      <c r="Z14" s="452" t="n"/>
      <c r="AA14" s="452" t="n"/>
    </row>
    <row r="15" ht="16" customHeight="1">
      <c r="A15" s="158" t="inlineStr">
        <is>
          <t>F-8</t>
        </is>
      </c>
      <c r="B15" s="416" t="inlineStr">
        <is>
          <t>Partner &amp; Sponsor</t>
        </is>
      </c>
      <c r="C15" s="160" t="inlineStr">
        <is>
          <t>Partner listings and logos</t>
        </is>
      </c>
      <c r="D15" s="417" t="inlineStr">
        <is>
          <t>L</t>
        </is>
      </c>
      <c r="E15" s="161" t="n">
        <v>15</v>
      </c>
      <c r="F15" s="161" t="n"/>
      <c r="G15" s="161" t="n"/>
      <c r="H15" s="161" t="n"/>
      <c r="I15" s="172" t="n"/>
      <c r="J15" s="416" t="inlineStr"/>
      <c r="L15" s="158" t="n"/>
      <c r="M15" s="158" t="n"/>
      <c r="N15" s="452" t="n"/>
      <c r="O15" s="452" t="n"/>
      <c r="P15" s="452" t="n"/>
      <c r="Q15" s="439">
        <f>SUM(R15:AA15)</f>
        <v/>
      </c>
      <c r="R15" s="452" t="n"/>
      <c r="S15" s="452" t="n"/>
      <c r="T15" s="452" t="n"/>
      <c r="U15" s="452" t="n"/>
      <c r="V15" s="452" t="n"/>
      <c r="W15" s="452" t="n"/>
      <c r="X15" s="452" t="n"/>
      <c r="Y15" s="452" t="n"/>
      <c r="Z15" s="452" t="n"/>
      <c r="AA15" s="452" t="n"/>
    </row>
    <row r="16" ht="16" customHeight="1">
      <c r="A16" s="158" t="inlineStr">
        <is>
          <t>F-9</t>
        </is>
      </c>
      <c r="B16" s="416" t="inlineStr">
        <is>
          <t>About Festival</t>
        </is>
      </c>
      <c r="C16" s="160" t="inlineStr">
        <is>
          <t>History, mission, team pages</t>
        </is>
      </c>
      <c r="D16" s="417" t="inlineStr">
        <is>
          <t>M</t>
        </is>
      </c>
      <c r="E16" s="161" t="n">
        <v>25</v>
      </c>
      <c r="F16" s="161" t="n"/>
      <c r="G16" s="161" t="n"/>
      <c r="H16" s="161" t="n"/>
      <c r="I16" s="172" t="n"/>
      <c r="J16" s="416" t="inlineStr"/>
      <c r="L16" s="158" t="n"/>
      <c r="M16" s="158" t="n"/>
      <c r="N16" s="452" t="n"/>
      <c r="O16" s="452" t="n"/>
      <c r="P16" s="452" t="n"/>
      <c r="Q16" s="439">
        <f>SUM(R16:AA16)</f>
        <v/>
      </c>
      <c r="R16" s="452" t="n"/>
      <c r="S16" s="452" t="n"/>
      <c r="T16" s="452" t="n"/>
      <c r="U16" s="452" t="n"/>
      <c r="V16" s="452" t="n"/>
      <c r="W16" s="452" t="n"/>
      <c r="X16" s="452" t="n"/>
      <c r="Y16" s="452" t="n"/>
      <c r="Z16" s="452" t="n"/>
      <c r="AA16" s="452" t="n"/>
    </row>
    <row r="17" ht="16" customHeight="1">
      <c r="A17" s="158" t="inlineStr">
        <is>
          <t>F-10</t>
        </is>
      </c>
      <c r="B17" s="416" t="inlineStr">
        <is>
          <t>Industry Section</t>
        </is>
      </c>
      <c r="C17" s="160" t="inlineStr">
        <is>
          <t>Professional accreditation area</t>
        </is>
      </c>
      <c r="D17" s="417" t="inlineStr">
        <is>
          <t>H</t>
        </is>
      </c>
      <c r="E17" s="161" t="n">
        <v>45</v>
      </c>
      <c r="F17" s="161" t="n"/>
      <c r="G17" s="161" t="n"/>
      <c r="H17" s="161" t="n"/>
      <c r="I17" s="172" t="n"/>
      <c r="J17" s="416" t="inlineStr"/>
      <c r="L17" s="158" t="n"/>
      <c r="M17" s="158" t="n"/>
      <c r="N17" s="452" t="n"/>
      <c r="O17" s="452" t="n"/>
      <c r="P17" s="452" t="n"/>
      <c r="Q17" s="439">
        <f>SUM(R17:AA17)</f>
        <v/>
      </c>
      <c r="R17" s="452" t="n"/>
      <c r="S17" s="452" t="n"/>
      <c r="T17" s="452" t="n"/>
      <c r="U17" s="452" t="n"/>
      <c r="V17" s="452" t="n"/>
      <c r="W17" s="452" t="n"/>
      <c r="X17" s="452" t="n"/>
      <c r="Y17" s="452" t="n"/>
      <c r="Z17" s="452" t="n"/>
      <c r="AA17" s="452" t="n"/>
    </row>
    <row r="18" ht="16" customHeight="1">
      <c r="A18" s="158" t="inlineStr">
        <is>
          <t>F-11</t>
        </is>
      </c>
      <c r="B18" s="416" t="inlineStr">
        <is>
          <t>Educational Programs</t>
        </is>
      </c>
      <c r="C18" s="160" t="inlineStr">
        <is>
          <t>Workshops and masterclasses</t>
        </is>
      </c>
      <c r="D18" s="417" t="inlineStr">
        <is>
          <t>M</t>
        </is>
      </c>
      <c r="E18" s="161" t="n">
        <v>30</v>
      </c>
      <c r="F18" s="161" t="n"/>
      <c r="G18" s="161" t="n"/>
      <c r="H18" s="161" t="n"/>
      <c r="I18" s="172" t="n"/>
      <c r="J18" s="416" t="inlineStr"/>
      <c r="L18" s="158" t="n"/>
      <c r="M18" s="158" t="n"/>
      <c r="N18" s="452" t="n"/>
      <c r="O18" s="452" t="n"/>
      <c r="P18" s="452" t="n"/>
      <c r="Q18" s="439">
        <f>SUM(R18:AA18)</f>
        <v/>
      </c>
      <c r="R18" s="452" t="n"/>
      <c r="S18" s="452" t="n"/>
      <c r="T18" s="452" t="n"/>
      <c r="U18" s="452" t="n"/>
      <c r="V18" s="452" t="n"/>
      <c r="W18" s="452" t="n"/>
      <c r="X18" s="452" t="n"/>
      <c r="Y18" s="452" t="n"/>
      <c r="Z18" s="452" t="n"/>
      <c r="AA18" s="452" t="n"/>
    </row>
    <row r="19" ht="16" customHeight="1">
      <c r="A19" s="158" t="inlineStr">
        <is>
          <t>F-12</t>
        </is>
      </c>
      <c r="B19" s="416" t="inlineStr">
        <is>
          <t>Venue Information</t>
        </is>
      </c>
      <c r="C19" s="160" t="inlineStr">
        <is>
          <t>Theater locations and facilities</t>
        </is>
      </c>
      <c r="D19" s="417" t="inlineStr">
        <is>
          <t>L</t>
        </is>
      </c>
      <c r="E19" s="161" t="n">
        <v>18</v>
      </c>
      <c r="F19" s="161" t="n"/>
      <c r="G19" s="161" t="n"/>
      <c r="H19" s="161" t="n"/>
      <c r="I19" s="172" t="n"/>
      <c r="J19" s="416" t="inlineStr"/>
      <c r="L19" s="158" t="n"/>
      <c r="M19" s="158" t="n"/>
      <c r="N19" s="452" t="n"/>
      <c r="O19" s="452" t="n"/>
      <c r="P19" s="452" t="n"/>
      <c r="Q19" s="439">
        <f>SUM(R19:AA19)</f>
        <v/>
      </c>
      <c r="R19" s="452" t="n"/>
      <c r="S19" s="452" t="n"/>
      <c r="T19" s="452" t="n"/>
      <c r="U19" s="452" t="n"/>
      <c r="V19" s="452" t="n"/>
      <c r="W19" s="452" t="n"/>
      <c r="X19" s="452" t="n"/>
      <c r="Y19" s="452" t="n"/>
      <c r="Z19" s="452" t="n"/>
      <c r="AA19" s="452" t="n"/>
    </row>
    <row r="20" ht="16" customHeight="1">
      <c r="A20" s="158" t="inlineStr">
        <is>
          <t>F-13</t>
        </is>
      </c>
      <c r="B20" s="416" t="inlineStr">
        <is>
          <t>Ticketing Integration</t>
        </is>
      </c>
      <c r="C20" s="160" t="inlineStr">
        <is>
          <t>Ticket purchase and booking</t>
        </is>
      </c>
      <c r="D20" s="417" t="inlineStr">
        <is>
          <t>H</t>
        </is>
      </c>
      <c r="E20" s="161" t="n">
        <v>55</v>
      </c>
      <c r="F20" s="161" t="n"/>
      <c r="G20" s="161" t="n"/>
      <c r="H20" s="161" t="n"/>
      <c r="I20" s="172" t="n"/>
      <c r="J20" s="416" t="inlineStr"/>
      <c r="L20" s="158" t="n"/>
      <c r="M20" s="158" t="n"/>
      <c r="N20" s="452" t="n"/>
      <c r="O20" s="452" t="n"/>
      <c r="P20" s="452" t="n"/>
      <c r="Q20" s="439">
        <f>SUM(R20:AA20)</f>
        <v/>
      </c>
      <c r="R20" s="452" t="n"/>
      <c r="S20" s="452" t="n"/>
      <c r="T20" s="452" t="n"/>
      <c r="U20" s="452" t="n"/>
      <c r="V20" s="452" t="n"/>
      <c r="W20" s="452" t="n"/>
      <c r="X20" s="452" t="n"/>
      <c r="Y20" s="452" t="n"/>
      <c r="Z20" s="452" t="n"/>
      <c r="AA20" s="452" t="n"/>
    </row>
    <row r="21" ht="16" customHeight="1">
      <c r="A21" s="158" t="inlineStr">
        <is>
          <t>F-14</t>
        </is>
      </c>
      <c r="B21" s="416" t="inlineStr">
        <is>
          <t>User Profile (Keycloak SSO)</t>
        </is>
      </c>
      <c r="C21" s="160" t="inlineStr">
        <is>
          <t>User account and preferences</t>
        </is>
      </c>
      <c r="D21" s="417" t="inlineStr">
        <is>
          <t>H</t>
        </is>
      </c>
      <c r="E21" s="161" t="n">
        <v>40</v>
      </c>
      <c r="F21" s="161" t="n"/>
      <c r="G21" s="161" t="n"/>
      <c r="H21" s="161" t="n"/>
      <c r="I21" s="172" t="n"/>
      <c r="J21" s="416" t="inlineStr"/>
      <c r="L21" s="158" t="n"/>
      <c r="M21" s="158" t="n"/>
      <c r="N21" s="452" t="n"/>
      <c r="O21" s="452" t="n"/>
      <c r="P21" s="452" t="n"/>
      <c r="Q21" s="439">
        <f>SUM(R21:AA21)</f>
        <v/>
      </c>
      <c r="R21" s="452" t="n"/>
      <c r="S21" s="452" t="n"/>
      <c r="T21" s="452" t="n"/>
      <c r="U21" s="452" t="n"/>
      <c r="V21" s="452" t="n"/>
      <c r="W21" s="452" t="n"/>
      <c r="X21" s="452" t="n"/>
      <c r="Y21" s="452" t="n"/>
      <c r="Z21" s="452" t="n"/>
      <c r="AA21" s="452" t="n"/>
    </row>
    <row r="22" ht="16" customHeight="1">
      <c r="A22" s="158" t="inlineStr">
        <is>
          <t>F-15</t>
        </is>
      </c>
      <c r="B22" s="416" t="inlineStr">
        <is>
          <t>VOD Streaming Pages</t>
        </is>
      </c>
      <c r="C22" s="160" t="inlineStr">
        <is>
          <t>Sony VOD integration</t>
        </is>
      </c>
      <c r="D22" s="417" t="inlineStr">
        <is>
          <t>H</t>
        </is>
      </c>
      <c r="E22" s="161" t="n">
        <v>50</v>
      </c>
      <c r="F22" s="161" t="n"/>
      <c r="G22" s="161" t="n"/>
      <c r="H22" s="161" t="n"/>
      <c r="I22" s="172" t="n"/>
      <c r="J22" s="416" t="inlineStr"/>
      <c r="L22" s="158" t="n"/>
      <c r="M22" s="158" t="n"/>
      <c r="N22" s="452" t="n"/>
      <c r="O22" s="452" t="n"/>
      <c r="P22" s="452" t="n"/>
      <c r="Q22" s="439">
        <f>SUM(R22:AA22)</f>
        <v/>
      </c>
      <c r="R22" s="452" t="n"/>
      <c r="S22" s="452" t="n"/>
      <c r="T22" s="452" t="n"/>
      <c r="U22" s="452" t="n"/>
      <c r="V22" s="452" t="n"/>
      <c r="W22" s="452" t="n"/>
      <c r="X22" s="452" t="n"/>
      <c r="Y22" s="452" t="n"/>
      <c r="Z22" s="452" t="n"/>
      <c r="AA22" s="452" t="n"/>
    </row>
    <row r="23" ht="16" customHeight="1">
      <c r="A23" s="158" t="inlineStr">
        <is>
          <t>F-16</t>
        </is>
      </c>
      <c r="B23" s="416" t="inlineStr">
        <is>
          <t>Search Results</t>
        </is>
      </c>
      <c r="C23" s="160" t="inlineStr">
        <is>
          <t>Site-wide Solr search</t>
        </is>
      </c>
      <c r="D23" s="417" t="inlineStr">
        <is>
          <t>M</t>
        </is>
      </c>
      <c r="E23" s="161" t="n">
        <v>35</v>
      </c>
      <c r="F23" s="161" t="n"/>
      <c r="G23" s="161" t="n"/>
      <c r="H23" s="161" t="n"/>
      <c r="I23" s="172" t="n"/>
      <c r="J23" s="416" t="inlineStr"/>
      <c r="L23" s="158" t="n"/>
      <c r="M23" s="158" t="n"/>
      <c r="N23" s="452" t="n"/>
      <c r="O23" s="452" t="n"/>
      <c r="P23" s="452" t="n"/>
      <c r="Q23" s="439">
        <f>SUM(R23:AA23)</f>
        <v/>
      </c>
      <c r="R23" s="452" t="n"/>
      <c r="S23" s="452" t="n"/>
      <c r="T23" s="452" t="n"/>
      <c r="U23" s="452" t="n"/>
      <c r="V23" s="452" t="n"/>
      <c r="W23" s="452" t="n"/>
      <c r="X23" s="452" t="n"/>
      <c r="Y23" s="452" t="n"/>
      <c r="Z23" s="452" t="n"/>
      <c r="AA23" s="452" t="n"/>
    </row>
    <row r="24" ht="16" customHeight="1">
      <c r="A24" s="158" t="inlineStr">
        <is>
          <t>F-17</t>
        </is>
      </c>
      <c r="B24" s="416" t="inlineStr">
        <is>
          <t>FAQ &amp; Help</t>
        </is>
      </c>
      <c r="C24" s="160" t="inlineStr">
        <is>
          <t>User support and documentation</t>
        </is>
      </c>
      <c r="D24" s="417" t="inlineStr">
        <is>
          <t>L</t>
        </is>
      </c>
      <c r="E24" s="161" t="n">
        <v>15</v>
      </c>
      <c r="F24" s="161" t="n"/>
      <c r="G24" s="161" t="n"/>
      <c r="H24" s="161" t="n"/>
      <c r="I24" s="172" t="n"/>
      <c r="J24" s="416" t="inlineStr"/>
      <c r="L24" s="158" t="n"/>
      <c r="M24" s="158" t="n"/>
      <c r="N24" s="452" t="n"/>
      <c r="O24" s="452" t="n"/>
      <c r="P24" s="452" t="n"/>
      <c r="Q24" s="439">
        <f>SUM(R24:AA24)</f>
        <v/>
      </c>
      <c r="R24" s="452" t="n"/>
      <c r="S24" s="452" t="n"/>
      <c r="T24" s="452" t="n"/>
      <c r="U24" s="452" t="n"/>
      <c r="V24" s="452" t="n"/>
      <c r="W24" s="452" t="n"/>
      <c r="X24" s="452" t="n"/>
      <c r="Y24" s="452" t="n"/>
      <c r="Z24" s="452" t="n"/>
      <c r="AA24" s="452" t="n"/>
    </row>
    <row r="25" ht="16" customHeight="1">
      <c r="A25" s="158" t="inlineStr">
        <is>
          <t>F-18</t>
        </is>
      </c>
      <c r="B25" s="416" t="inlineStr">
        <is>
          <t>Hero Carousel</t>
        </is>
      </c>
      <c r="C25" s="160" t="inlineStr">
        <is>
          <t>Full-width image slider with CTAs</t>
        </is>
      </c>
      <c r="D25" s="417" t="inlineStr">
        <is>
          <t>M</t>
        </is>
      </c>
      <c r="E25" s="161" t="n">
        <v>12</v>
      </c>
      <c r="F25" s="161" t="n"/>
      <c r="G25" s="161" t="n"/>
      <c r="H25" s="161" t="n"/>
      <c r="I25" s="172" t="n"/>
      <c r="J25" s="416" t="inlineStr"/>
      <c r="L25" s="158" t="n"/>
      <c r="M25" s="158" t="n"/>
      <c r="N25" s="452" t="n"/>
      <c r="O25" s="452" t="n"/>
      <c r="P25" s="452" t="n"/>
      <c r="Q25" s="439">
        <f>SUM(R25:AA25)</f>
        <v/>
      </c>
      <c r="R25" s="452" t="n"/>
      <c r="S25" s="452" t="n"/>
      <c r="T25" s="452" t="n"/>
      <c r="U25" s="452" t="n"/>
      <c r="V25" s="452" t="n"/>
      <c r="W25" s="452" t="n"/>
      <c r="X25" s="452" t="n"/>
      <c r="Y25" s="452" t="n"/>
      <c r="Z25" s="452" t="n"/>
      <c r="AA25" s="452" t="n"/>
    </row>
    <row r="26" ht="16" customHeight="1">
      <c r="A26" s="158" t="inlineStr">
        <is>
          <t>F-19</t>
        </is>
      </c>
      <c r="B26" s="416" t="inlineStr">
        <is>
          <t>Accordion Component</t>
        </is>
      </c>
      <c r="C26" s="160" t="inlineStr">
        <is>
          <t>Expandable content sections</t>
        </is>
      </c>
      <c r="D26" s="417" t="inlineStr">
        <is>
          <t>L</t>
        </is>
      </c>
      <c r="E26" s="161" t="n">
        <v>6</v>
      </c>
      <c r="F26" s="161" t="n"/>
      <c r="G26" s="161" t="n"/>
      <c r="H26" s="161" t="n"/>
      <c r="I26" s="172" t="n"/>
      <c r="J26" s="416" t="inlineStr"/>
      <c r="L26" s="158" t="n"/>
      <c r="M26" s="158" t="n"/>
      <c r="N26" s="452" t="n"/>
      <c r="O26" s="452" t="n"/>
      <c r="P26" s="452" t="n"/>
      <c r="Q26" s="439">
        <f>SUM(R26:AA26)</f>
        <v/>
      </c>
      <c r="R26" s="452" t="n"/>
      <c r="S26" s="452" t="n"/>
      <c r="T26" s="452" t="n"/>
      <c r="U26" s="452" t="n"/>
      <c r="V26" s="452" t="n"/>
      <c r="W26" s="452" t="n"/>
      <c r="X26" s="452" t="n"/>
      <c r="Y26" s="452" t="n"/>
      <c r="Z26" s="452" t="n"/>
      <c r="AA26" s="452" t="n"/>
    </row>
    <row r="27" ht="16" customHeight="1">
      <c r="A27" s="158" t="inlineStr">
        <is>
          <t>F-20</t>
        </is>
      </c>
      <c r="B27" s="416" t="inlineStr">
        <is>
          <t>Film Card Grid</t>
        </is>
      </c>
      <c r="C27" s="160" t="inlineStr">
        <is>
          <t>Film teasers in responsive grid</t>
        </is>
      </c>
      <c r="D27" s="417" t="inlineStr">
        <is>
          <t>M</t>
        </is>
      </c>
      <c r="E27" s="161" t="n">
        <v>10</v>
      </c>
      <c r="F27" s="161" t="n"/>
      <c r="G27" s="161" t="n"/>
      <c r="H27" s="161" t="n"/>
      <c r="I27" s="172" t="n"/>
      <c r="J27" s="416" t="inlineStr"/>
      <c r="L27" s="158" t="n"/>
      <c r="M27" s="158" t="n"/>
      <c r="N27" s="452" t="n"/>
      <c r="O27" s="452" t="n"/>
      <c r="P27" s="452" t="n"/>
      <c r="Q27" s="439">
        <f>SUM(R27:AA27)</f>
        <v/>
      </c>
      <c r="R27" s="452" t="n"/>
      <c r="S27" s="452" t="n"/>
      <c r="T27" s="452" t="n"/>
      <c r="U27" s="452" t="n"/>
      <c r="V27" s="452" t="n"/>
      <c r="W27" s="452" t="n"/>
      <c r="X27" s="452" t="n"/>
      <c r="Y27" s="452" t="n"/>
      <c r="Z27" s="452" t="n"/>
      <c r="AA27" s="452" t="n"/>
    </row>
    <row r="28" ht="16" customHeight="1">
      <c r="A28" s="158" t="inlineStr">
        <is>
          <t>F-21</t>
        </is>
      </c>
      <c r="B28" s="416" t="inlineStr">
        <is>
          <t>Multi-Column Layout</t>
        </is>
      </c>
      <c r="C28" s="160" t="inlineStr">
        <is>
          <t>Flexible column system</t>
        </is>
      </c>
      <c r="D28" s="417" t="inlineStr">
        <is>
          <t>L</t>
        </is>
      </c>
      <c r="E28" s="161" t="n">
        <v>8</v>
      </c>
      <c r="F28" s="161" t="n"/>
      <c r="G28" s="161" t="n"/>
      <c r="H28" s="161" t="n"/>
      <c r="I28" s="172" t="n"/>
      <c r="J28" s="416" t="inlineStr"/>
      <c r="L28" s="158" t="n"/>
      <c r="M28" s="158" t="n"/>
      <c r="N28" s="452" t="n"/>
      <c r="O28" s="452" t="n"/>
      <c r="P28" s="452" t="n"/>
      <c r="Q28" s="439">
        <f>SUM(R28:AA28)</f>
        <v/>
      </c>
      <c r="R28" s="452" t="n"/>
      <c r="S28" s="452" t="n"/>
      <c r="T28" s="452" t="n"/>
      <c r="U28" s="452" t="n"/>
      <c r="V28" s="452" t="n"/>
      <c r="W28" s="452" t="n"/>
      <c r="X28" s="452" t="n"/>
      <c r="Y28" s="452" t="n"/>
      <c r="Z28" s="452" t="n"/>
      <c r="AA28" s="452" t="n"/>
    </row>
    <row r="29" ht="16" customHeight="1">
      <c r="A29" s="158" t="inlineStr">
        <is>
          <t>F-22</t>
        </is>
      </c>
      <c r="B29" s="416" t="inlineStr">
        <is>
          <t>Quote Block</t>
        </is>
      </c>
      <c r="C29" s="160" t="inlineStr">
        <is>
          <t>Highlighted testimonials</t>
        </is>
      </c>
      <c r="D29" s="417" t="inlineStr">
        <is>
          <t>L</t>
        </is>
      </c>
      <c r="E29" s="161" t="n">
        <v>4</v>
      </c>
      <c r="F29" s="161" t="n"/>
      <c r="G29" s="161" t="n"/>
      <c r="H29" s="161" t="n"/>
      <c r="I29" s="172" t="n"/>
      <c r="J29" s="416" t="inlineStr"/>
      <c r="L29" s="158" t="n"/>
      <c r="M29" s="158" t="n"/>
      <c r="N29" s="452" t="n"/>
      <c r="O29" s="452" t="n"/>
      <c r="P29" s="452" t="n"/>
      <c r="Q29" s="439">
        <f>SUM(R29:AA29)</f>
        <v/>
      </c>
      <c r="R29" s="452" t="n"/>
      <c r="S29" s="452" t="n"/>
      <c r="T29" s="452" t="n"/>
      <c r="U29" s="452" t="n"/>
      <c r="V29" s="452" t="n"/>
      <c r="W29" s="452" t="n"/>
      <c r="X29" s="452" t="n"/>
      <c r="Y29" s="452" t="n"/>
      <c r="Z29" s="452" t="n"/>
      <c r="AA29" s="452" t="n"/>
    </row>
    <row r="30" ht="16" customHeight="1">
      <c r="A30" s="158" t="inlineStr">
        <is>
          <t>F-23</t>
        </is>
      </c>
      <c r="B30" s="416" t="inlineStr">
        <is>
          <t>Image Gallery</t>
        </is>
      </c>
      <c r="C30" s="160" t="inlineStr">
        <is>
          <t>Lightbox photo gallery</t>
        </is>
      </c>
      <c r="D30" s="417" t="inlineStr">
        <is>
          <t>M</t>
        </is>
      </c>
      <c r="E30" s="161" t="n">
        <v>10</v>
      </c>
      <c r="F30" s="161" t="n"/>
      <c r="G30" s="161" t="n"/>
      <c r="H30" s="161" t="n"/>
      <c r="I30" s="172" t="n"/>
      <c r="J30" s="416" t="inlineStr"/>
      <c r="L30" s="158" t="n"/>
      <c r="M30" s="158" t="n"/>
      <c r="N30" s="452" t="n"/>
      <c r="O30" s="452" t="n"/>
      <c r="P30" s="452" t="n"/>
      <c r="Q30" s="439">
        <f>SUM(R30:AA30)</f>
        <v/>
      </c>
      <c r="R30" s="452" t="n"/>
      <c r="S30" s="452" t="n"/>
      <c r="T30" s="452" t="n"/>
      <c r="U30" s="452" t="n"/>
      <c r="V30" s="452" t="n"/>
      <c r="W30" s="452" t="n"/>
      <c r="X30" s="452" t="n"/>
      <c r="Y30" s="452" t="n"/>
      <c r="Z30" s="452" t="n"/>
      <c r="AA30" s="452" t="n"/>
    </row>
    <row r="31" ht="16" customHeight="1">
      <c r="A31" s="158" t="inlineStr">
        <is>
          <t>F-24</t>
        </is>
      </c>
      <c r="B31" s="416" t="inlineStr">
        <is>
          <t>Video Embed</t>
        </is>
      </c>
      <c r="C31" s="160" t="inlineStr">
        <is>
          <t>YouTube/Vimeo integration</t>
        </is>
      </c>
      <c r="D31" s="417" t="inlineStr">
        <is>
          <t>L</t>
        </is>
      </c>
      <c r="E31" s="161" t="n">
        <v>5</v>
      </c>
      <c r="F31" s="161" t="n"/>
      <c r="G31" s="161" t="n"/>
      <c r="H31" s="161" t="n"/>
      <c r="I31" s="172" t="n"/>
      <c r="J31" s="416" t="inlineStr"/>
      <c r="L31" s="158" t="n"/>
      <c r="M31" s="158" t="n"/>
      <c r="N31" s="452" t="n"/>
      <c r="O31" s="452" t="n"/>
      <c r="P31" s="452" t="n"/>
      <c r="Q31" s="439">
        <f>SUM(R31:AA31)</f>
        <v/>
      </c>
      <c r="R31" s="452" t="n"/>
      <c r="S31" s="452" t="n"/>
      <c r="T31" s="452" t="n"/>
      <c r="U31" s="452" t="n"/>
      <c r="V31" s="452" t="n"/>
      <c r="W31" s="452" t="n"/>
      <c r="X31" s="452" t="n"/>
      <c r="Y31" s="452" t="n"/>
      <c r="Z31" s="452" t="n"/>
      <c r="AA31" s="452" t="n"/>
    </row>
    <row r="32" ht="16" customHeight="1">
      <c r="A32" s="158" t="inlineStr">
        <is>
          <t>F-25</t>
        </is>
      </c>
      <c r="B32" s="416" t="inlineStr">
        <is>
          <t>CTA Banner</t>
        </is>
      </c>
      <c r="C32" s="160" t="inlineStr">
        <is>
          <t>Call-to-action sections</t>
        </is>
      </c>
      <c r="D32" s="417" t="inlineStr">
        <is>
          <t>L</t>
        </is>
      </c>
      <c r="E32" s="161" t="n">
        <v>6</v>
      </c>
      <c r="F32" s="161" t="n"/>
      <c r="G32" s="161" t="n"/>
      <c r="H32" s="161" t="n"/>
      <c r="I32" s="172" t="n"/>
      <c r="J32" s="416" t="inlineStr"/>
      <c r="L32" s="158" t="n"/>
      <c r="M32" s="158" t="n"/>
      <c r="N32" s="452" t="n"/>
      <c r="O32" s="452" t="n"/>
      <c r="P32" s="452" t="n"/>
      <c r="Q32" s="439">
        <f>SUM(R32:AA32)</f>
        <v/>
      </c>
      <c r="R32" s="452" t="n"/>
      <c r="S32" s="452" t="n"/>
      <c r="T32" s="452" t="n"/>
      <c r="U32" s="452" t="n"/>
      <c r="V32" s="452" t="n"/>
      <c r="W32" s="452" t="n"/>
      <c r="X32" s="452" t="n"/>
      <c r="Y32" s="452" t="n"/>
      <c r="Z32" s="452" t="n"/>
      <c r="AA32" s="452" t="n"/>
    </row>
    <row r="33" ht="16" customHeight="1">
      <c r="A33" s="158" t="inlineStr">
        <is>
          <t>F-26</t>
        </is>
      </c>
      <c r="B33" s="416" t="inlineStr">
        <is>
          <t>Event Calendar Widget</t>
        </is>
      </c>
      <c r="C33" s="160" t="inlineStr">
        <is>
          <t>Mini calendar view</t>
        </is>
      </c>
      <c r="D33" s="417" t="inlineStr">
        <is>
          <t>M</t>
        </is>
      </c>
      <c r="E33" s="161" t="n">
        <v>12</v>
      </c>
      <c r="F33" s="161" t="n"/>
      <c r="G33" s="161" t="n"/>
      <c r="H33" s="161" t="n"/>
      <c r="I33" s="172" t="n"/>
      <c r="J33" s="416" t="inlineStr"/>
      <c r="L33" s="158" t="n"/>
      <c r="M33" s="158" t="n"/>
      <c r="N33" s="452" t="n"/>
      <c r="O33" s="452" t="n"/>
      <c r="P33" s="452" t="n"/>
      <c r="Q33" s="439">
        <f>SUM(R33:AA33)</f>
        <v/>
      </c>
      <c r="R33" s="452" t="n"/>
      <c r="S33" s="452" t="n"/>
      <c r="T33" s="452" t="n"/>
      <c r="U33" s="452" t="n"/>
      <c r="V33" s="452" t="n"/>
      <c r="W33" s="452" t="n"/>
      <c r="X33" s="452" t="n"/>
      <c r="Y33" s="452" t="n"/>
      <c r="Z33" s="452" t="n"/>
      <c r="AA33" s="452" t="n"/>
    </row>
    <row r="34" ht="16" customHeight="1">
      <c r="A34" s="158" t="inlineStr">
        <is>
          <t>F-27</t>
        </is>
      </c>
      <c r="B34" s="416" t="inlineStr">
        <is>
          <t>News Teaser List</t>
        </is>
      </c>
      <c r="C34" s="160" t="inlineStr">
        <is>
          <t>Latest news overview</t>
        </is>
      </c>
      <c r="D34" s="417" t="inlineStr">
        <is>
          <t>L</t>
        </is>
      </c>
      <c r="E34" s="161" t="n">
        <v>8</v>
      </c>
      <c r="F34" s="161" t="n"/>
      <c r="G34" s="161" t="n"/>
      <c r="H34" s="161" t="n"/>
      <c r="I34" s="172" t="n"/>
      <c r="J34" s="416" t="inlineStr"/>
      <c r="L34" s="158" t="n"/>
      <c r="M34" s="158" t="n"/>
      <c r="N34" s="452" t="n"/>
      <c r="O34" s="452" t="n"/>
      <c r="P34" s="452" t="n"/>
      <c r="Q34" s="439">
        <f>SUM(R34:AA34)</f>
        <v/>
      </c>
      <c r="R34" s="452" t="n"/>
      <c r="S34" s="452" t="n"/>
      <c r="T34" s="452" t="n"/>
      <c r="U34" s="452" t="n"/>
      <c r="V34" s="452" t="n"/>
      <c r="W34" s="452" t="n"/>
      <c r="X34" s="452" t="n"/>
      <c r="Y34" s="452" t="n"/>
      <c r="Z34" s="452" t="n"/>
      <c r="AA34" s="452" t="n"/>
    </row>
    <row r="35" ht="16" customHeight="1">
      <c r="A35" s="158" t="inlineStr">
        <is>
          <t>F-28</t>
        </is>
      </c>
      <c r="B35" s="416" t="inlineStr">
        <is>
          <t>Partner Logo Grid</t>
        </is>
      </c>
      <c r="C35" s="160" t="inlineStr">
        <is>
          <t>Sponsor logo display</t>
        </is>
      </c>
      <c r="D35" s="417" t="inlineStr">
        <is>
          <t>L</t>
        </is>
      </c>
      <c r="E35" s="161" t="n">
        <v>6</v>
      </c>
      <c r="F35" s="161" t="n"/>
      <c r="G35" s="161" t="n"/>
      <c r="H35" s="161" t="n"/>
      <c r="I35" s="172" t="n"/>
      <c r="J35" s="416" t="inlineStr"/>
      <c r="L35" s="158" t="n"/>
      <c r="M35" s="158" t="n"/>
      <c r="N35" s="452" t="n"/>
      <c r="O35" s="452" t="n"/>
      <c r="P35" s="452" t="n"/>
      <c r="Q35" s="439">
        <f>SUM(R35:AA35)</f>
        <v/>
      </c>
      <c r="R35" s="452" t="n"/>
      <c r="S35" s="452" t="n"/>
      <c r="T35" s="452" t="n"/>
      <c r="U35" s="452" t="n"/>
      <c r="V35" s="452" t="n"/>
      <c r="W35" s="452" t="n"/>
      <c r="X35" s="452" t="n"/>
      <c r="Y35" s="452" t="n"/>
      <c r="Z35" s="452" t="n"/>
      <c r="AA35" s="452" t="n"/>
    </row>
    <row r="36" ht="16" customHeight="1">
      <c r="A36" s="158" t="inlineStr">
        <is>
          <t>F-29</t>
        </is>
      </c>
      <c r="B36" s="416" t="inlineStr">
        <is>
          <t>Statistics Counter</t>
        </is>
      </c>
      <c r="C36" s="160" t="inlineStr">
        <is>
          <t>Animated number counters</t>
        </is>
      </c>
      <c r="D36" s="417" t="inlineStr">
        <is>
          <t>L</t>
        </is>
      </c>
      <c r="E36" s="161" t="n">
        <v>8</v>
      </c>
      <c r="F36" s="161" t="n"/>
      <c r="G36" s="161" t="n"/>
      <c r="H36" s="161" t="n"/>
      <c r="I36" s="172" t="n"/>
      <c r="J36" s="416" t="inlineStr"/>
      <c r="L36" s="158" t="n"/>
      <c r="M36" s="158" t="n"/>
      <c r="N36" s="452" t="n"/>
      <c r="O36" s="452" t="n"/>
      <c r="P36" s="452" t="n"/>
      <c r="Q36" s="439">
        <f>SUM(R36:AA36)</f>
        <v/>
      </c>
      <c r="R36" s="452" t="n"/>
      <c r="S36" s="452" t="n"/>
      <c r="T36" s="452" t="n"/>
      <c r="U36" s="452" t="n"/>
      <c r="V36" s="452" t="n"/>
      <c r="W36" s="452" t="n"/>
      <c r="X36" s="452" t="n"/>
      <c r="Y36" s="452" t="n"/>
      <c r="Z36" s="452" t="n"/>
      <c r="AA36" s="452" t="n"/>
    </row>
    <row r="37" ht="16" customHeight="1">
      <c r="A37" s="158" t="inlineStr">
        <is>
          <t>F-30</t>
        </is>
      </c>
      <c r="B37" s="416" t="inlineStr">
        <is>
          <t>Timeline Component</t>
        </is>
      </c>
      <c r="C37" s="160" t="inlineStr">
        <is>
          <t>Event/history timeline</t>
        </is>
      </c>
      <c r="D37" s="417" t="inlineStr">
        <is>
          <t>M</t>
        </is>
      </c>
      <c r="E37" s="161" t="n">
        <v>10</v>
      </c>
      <c r="F37" s="161" t="n"/>
      <c r="G37" s="161" t="n"/>
      <c r="H37" s="161" t="n"/>
      <c r="I37" s="172" t="n"/>
      <c r="J37" s="416" t="inlineStr"/>
      <c r="L37" s="158" t="n"/>
      <c r="M37" s="158" t="n"/>
      <c r="N37" s="452" t="n"/>
      <c r="O37" s="452" t="n"/>
      <c r="P37" s="452" t="n"/>
      <c r="Q37" s="439">
        <f>SUM(R37:AA37)</f>
        <v/>
      </c>
      <c r="R37" s="452" t="n"/>
      <c r="S37" s="452" t="n"/>
      <c r="T37" s="452" t="n"/>
      <c r="U37" s="452" t="n"/>
      <c r="V37" s="452" t="n"/>
      <c r="W37" s="452" t="n"/>
      <c r="X37" s="452" t="n"/>
      <c r="Y37" s="452" t="n"/>
      <c r="Z37" s="452" t="n"/>
      <c r="AA37" s="452" t="n"/>
    </row>
    <row r="38" ht="16" customHeight="1">
      <c r="A38" s="158" t="inlineStr">
        <is>
          <t>F-31</t>
        </is>
      </c>
      <c r="B38" s="416" t="inlineStr">
        <is>
          <t>Tab Container</t>
        </is>
      </c>
      <c r="C38" s="160" t="inlineStr">
        <is>
          <t>Tabbed content sections</t>
        </is>
      </c>
      <c r="D38" s="417" t="inlineStr">
        <is>
          <t>L</t>
        </is>
      </c>
      <c r="E38" s="161" t="n">
        <v>8</v>
      </c>
      <c r="F38" s="161" t="n"/>
      <c r="G38" s="161" t="n"/>
      <c r="H38" s="161" t="n"/>
      <c r="I38" s="172" t="n"/>
      <c r="J38" s="416" t="inlineStr"/>
      <c r="L38" s="158" t="n"/>
      <c r="M38" s="158" t="n"/>
      <c r="N38" s="452" t="n"/>
      <c r="O38" s="452" t="n"/>
      <c r="P38" s="452" t="n"/>
      <c r="Q38" s="439">
        <f>SUM(R38:AA38)</f>
        <v/>
      </c>
      <c r="R38" s="452" t="n"/>
      <c r="S38" s="452" t="n"/>
      <c r="T38" s="452" t="n"/>
      <c r="U38" s="452" t="n"/>
      <c r="V38" s="452" t="n"/>
      <c r="W38" s="452" t="n"/>
      <c r="X38" s="452" t="n"/>
      <c r="Y38" s="452" t="n"/>
      <c r="Z38" s="452" t="n"/>
      <c r="AA38" s="452" t="n"/>
    </row>
    <row r="39" ht="16" customHeight="1">
      <c r="A39" s="158" t="inlineStr">
        <is>
          <t>F-32</t>
        </is>
      </c>
      <c r="B39" s="416" t="inlineStr">
        <is>
          <t>Download List</t>
        </is>
      </c>
      <c r="C39" s="160" t="inlineStr">
        <is>
          <t>File download links</t>
        </is>
      </c>
      <c r="D39" s="417" t="inlineStr">
        <is>
          <t>L</t>
        </is>
      </c>
      <c r="E39" s="161" t="n">
        <v>5</v>
      </c>
      <c r="F39" s="161" t="n"/>
      <c r="G39" s="161" t="n"/>
      <c r="H39" s="161" t="n"/>
      <c r="I39" s="172" t="n"/>
      <c r="J39" s="416" t="inlineStr"/>
      <c r="L39" s="158" t="n"/>
      <c r="M39" s="158" t="n"/>
      <c r="N39" s="452" t="n"/>
      <c r="O39" s="452" t="n"/>
      <c r="P39" s="452" t="n"/>
      <c r="Q39" s="439">
        <f>SUM(R39:AA39)</f>
        <v/>
      </c>
      <c r="R39" s="452" t="n"/>
      <c r="S39" s="452" t="n"/>
      <c r="T39" s="452" t="n"/>
      <c r="U39" s="452" t="n"/>
      <c r="V39" s="452" t="n"/>
      <c r="W39" s="452" t="n"/>
      <c r="X39" s="452" t="n"/>
      <c r="Y39" s="452" t="n"/>
      <c r="Z39" s="452" t="n"/>
      <c r="AA39" s="452" t="n"/>
    </row>
    <row r="40" ht="16" customHeight="1">
      <c r="A40" s="158" t="inlineStr">
        <is>
          <t>F-33</t>
        </is>
      </c>
      <c r="B40" s="416" t="inlineStr">
        <is>
          <t>Social Media Feed</t>
        </is>
      </c>
      <c r="C40" s="160" t="inlineStr">
        <is>
          <t>Social embeds widget</t>
        </is>
      </c>
      <c r="D40" s="417" t="inlineStr">
        <is>
          <t>M</t>
        </is>
      </c>
      <c r="E40" s="161" t="n">
        <v>10</v>
      </c>
      <c r="F40" s="161" t="n"/>
      <c r="G40" s="161" t="n"/>
      <c r="H40" s="161" t="n"/>
      <c r="I40" s="172" t="n"/>
      <c r="J40" s="416" t="inlineStr"/>
      <c r="L40" s="158" t="n"/>
      <c r="M40" s="158" t="n"/>
      <c r="N40" s="452" t="n"/>
      <c r="O40" s="452" t="n"/>
      <c r="P40" s="452" t="n"/>
      <c r="Q40" s="439">
        <f>SUM(R40:AA40)</f>
        <v/>
      </c>
      <c r="R40" s="452" t="n"/>
      <c r="S40" s="452" t="n"/>
      <c r="T40" s="452" t="n"/>
      <c r="U40" s="452" t="n"/>
      <c r="V40" s="452" t="n"/>
      <c r="W40" s="452" t="n"/>
      <c r="X40" s="452" t="n"/>
      <c r="Y40" s="452" t="n"/>
      <c r="Z40" s="452" t="n"/>
      <c r="AA40" s="452" t="n"/>
    </row>
    <row r="41" ht="16" customHeight="1">
      <c r="A41" s="158" t="inlineStr">
        <is>
          <t>F-34</t>
        </is>
      </c>
      <c r="B41" s="416" t="inlineStr">
        <is>
          <t>Map Integration</t>
        </is>
      </c>
      <c r="C41" s="160" t="inlineStr">
        <is>
          <t>Google Maps venues</t>
        </is>
      </c>
      <c r="D41" s="417" t="inlineStr">
        <is>
          <t>M</t>
        </is>
      </c>
      <c r="E41" s="161" t="n">
        <v>10</v>
      </c>
      <c r="F41" s="161" t="n"/>
      <c r="G41" s="161" t="n"/>
      <c r="H41" s="161" t="n"/>
      <c r="I41" s="172" t="n"/>
      <c r="J41" s="416" t="inlineStr"/>
      <c r="L41" s="158" t="n"/>
      <c r="M41" s="158" t="n"/>
      <c r="N41" s="452" t="n"/>
      <c r="O41" s="452" t="n"/>
      <c r="P41" s="452" t="n"/>
      <c r="Q41" s="439">
        <f>SUM(R41:AA41)</f>
        <v/>
      </c>
      <c r="R41" s="452" t="n"/>
      <c r="S41" s="452" t="n"/>
      <c r="T41" s="452" t="n"/>
      <c r="U41" s="452" t="n"/>
      <c r="V41" s="452" t="n"/>
      <c r="W41" s="452" t="n"/>
      <c r="X41" s="452" t="n"/>
      <c r="Y41" s="452" t="n"/>
      <c r="Z41" s="452" t="n"/>
      <c r="AA41" s="452" t="n"/>
    </row>
    <row r="42" ht="16" customHeight="1">
      <c r="A42" s="436" t="inlineStr">
        <is>
          <t>F-35</t>
        </is>
      </c>
      <c r="B42" s="293" t="inlineStr">
        <is>
          <t>Newsletter Signup</t>
        </is>
      </c>
      <c r="C42" s="160" t="inlineStr">
        <is>
          <t>Email subscription form</t>
        </is>
      </c>
      <c r="D42" s="417" t="inlineStr">
        <is>
          <t>L</t>
        </is>
      </c>
      <c r="E42" s="161" t="n">
        <v>8</v>
      </c>
      <c r="F42" s="136" t="n"/>
      <c r="G42" s="136" t="n"/>
      <c r="H42" s="136" t="n"/>
      <c r="I42" s="16" t="n"/>
      <c r="J42" s="293" t="n"/>
      <c r="L42" s="18" t="n"/>
      <c r="M42" s="18" t="n"/>
      <c r="N42" s="438" t="n"/>
      <c r="O42" s="438" t="n"/>
      <c r="P42" s="438" t="n"/>
      <c r="Q42" s="439">
        <f>SUM(R42:AA42)</f>
        <v/>
      </c>
      <c r="R42" s="440" t="n"/>
      <c r="S42" s="440" t="n"/>
      <c r="T42" s="440" t="n"/>
      <c r="U42" s="440" t="n"/>
      <c r="V42" s="440" t="n"/>
      <c r="W42" s="440" t="n"/>
      <c r="X42" s="440" t="n"/>
      <c r="Y42" s="440" t="n"/>
      <c r="Z42" s="440" t="n"/>
      <c r="AA42" s="440" t="n"/>
    </row>
    <row r="43" ht="16" customHeight="1">
      <c r="A43" s="436" t="inlineStr">
        <is>
          <t>F-36</t>
        </is>
      </c>
      <c r="B43" s="293" t="inlineStr">
        <is>
          <t>Search Box</t>
        </is>
      </c>
      <c r="C43" s="160" t="inlineStr">
        <is>
          <t>Solr search integration</t>
        </is>
      </c>
      <c r="D43" s="417" t="inlineStr">
        <is>
          <t>M</t>
        </is>
      </c>
      <c r="E43" s="161" t="n">
        <v>10</v>
      </c>
      <c r="F43" s="136" t="n"/>
      <c r="G43" s="136" t="n"/>
      <c r="H43" s="136" t="n"/>
      <c r="I43" s="16" t="n"/>
      <c r="J43" s="293" t="n"/>
      <c r="L43" s="18" t="n"/>
      <c r="M43" s="18" t="n"/>
      <c r="N43" s="438" t="n"/>
      <c r="O43" s="438" t="n"/>
      <c r="P43" s="438" t="n"/>
      <c r="Q43" s="439">
        <f>SUM(R43:AA43)</f>
        <v/>
      </c>
      <c r="R43" s="440" t="n"/>
      <c r="S43" s="440" t="n"/>
      <c r="T43" s="440" t="n"/>
      <c r="U43" s="440" t="n"/>
      <c r="V43" s="440" t="n"/>
      <c r="W43" s="440" t="n"/>
      <c r="X43" s="440" t="n"/>
      <c r="Y43" s="440" t="n"/>
      <c r="Z43" s="440" t="n"/>
      <c r="AA43" s="440" t="n"/>
    </row>
    <row r="44" ht="16" customHeight="1">
      <c r="A44" s="436" t="inlineStr">
        <is>
          <t>F-37</t>
        </is>
      </c>
      <c r="B44" s="293" t="inlineStr">
        <is>
          <t>Film Filter Bar</t>
        </is>
      </c>
      <c r="C44" s="160" t="inlineStr">
        <is>
          <t>Program filtering UI</t>
        </is>
      </c>
      <c r="D44" s="417" t="inlineStr">
        <is>
          <t>H</t>
        </is>
      </c>
      <c r="E44" s="161" t="n">
        <v>15</v>
      </c>
      <c r="F44" s="136" t="n"/>
      <c r="G44" s="136" t="n"/>
      <c r="H44" s="136" t="n"/>
      <c r="I44" s="16" t="n"/>
      <c r="J44" s="293" t="n"/>
      <c r="L44" s="18" t="n"/>
      <c r="M44" s="18" t="n"/>
      <c r="N44" s="438" t="n"/>
      <c r="O44" s="438" t="n"/>
      <c r="P44" s="438" t="n"/>
      <c r="Q44" s="439">
        <f>SUM(R44:AA44)</f>
        <v/>
      </c>
      <c r="R44" s="440" t="n"/>
      <c r="S44" s="440" t="n"/>
      <c r="T44" s="440" t="n"/>
      <c r="U44" s="440" t="n"/>
      <c r="V44" s="440" t="n"/>
      <c r="W44" s="440" t="n"/>
      <c r="X44" s="440" t="n"/>
      <c r="Y44" s="440" t="n"/>
      <c r="Z44" s="440" t="n"/>
      <c r="AA44" s="440" t="n"/>
    </row>
    <row r="45" ht="16" customHeight="1">
      <c r="A45" s="436" t="inlineStr">
        <is>
          <t>F-38</t>
        </is>
      </c>
      <c r="B45" s="293" t="inlineStr">
        <is>
          <t>Breadcrumb Navigation</t>
        </is>
      </c>
      <c r="C45" s="137" t="inlineStr">
        <is>
          <t>Site navigation trail</t>
        </is>
      </c>
      <c r="D45" s="169" t="inlineStr">
        <is>
          <t>L</t>
        </is>
      </c>
      <c r="E45" s="136" t="n">
        <v>4</v>
      </c>
      <c r="F45" s="136" t="n"/>
      <c r="G45" s="136" t="n"/>
      <c r="H45" s="136" t="n"/>
      <c r="I45" s="16" t="n"/>
      <c r="J45" s="293" t="n"/>
      <c r="L45" s="18" t="n"/>
      <c r="M45" s="18" t="n"/>
      <c r="N45" s="438" t="n"/>
      <c r="O45" s="438" t="n"/>
      <c r="P45" s="438" t="n"/>
      <c r="Q45" s="439">
        <f>SUM(R45:AA45)</f>
        <v/>
      </c>
      <c r="R45" s="440" t="n"/>
      <c r="S45" s="440" t="n"/>
      <c r="T45" s="440" t="n"/>
      <c r="U45" s="440" t="n"/>
      <c r="V45" s="440" t="n"/>
      <c r="W45" s="440" t="n"/>
      <c r="X45" s="440" t="n"/>
      <c r="Y45" s="440" t="n"/>
      <c r="Z45" s="440" t="n"/>
      <c r="AA45" s="440" t="n"/>
    </row>
    <row r="46" ht="16" customHeight="1">
      <c r="A46" s="436" t="inlineStr">
        <is>
          <t>F-39</t>
        </is>
      </c>
      <c r="B46" s="293" t="inlineStr">
        <is>
          <t>Related Content</t>
        </is>
      </c>
      <c r="C46" s="137" t="inlineStr">
        <is>
          <t>Content recommendations</t>
        </is>
      </c>
      <c r="D46" s="169" t="inlineStr">
        <is>
          <t>M</t>
        </is>
      </c>
      <c r="E46" s="136" t="n">
        <v>8</v>
      </c>
      <c r="F46" s="136" t="n"/>
      <c r="G46" s="136" t="n"/>
      <c r="H46" s="136" t="n"/>
      <c r="I46" s="16" t="n"/>
      <c r="J46" s="293" t="n"/>
      <c r="L46" s="18" t="n"/>
      <c r="M46" s="18" t="n"/>
      <c r="N46" s="438" t="n"/>
      <c r="O46" s="438" t="n"/>
      <c r="P46" s="438" t="n"/>
      <c r="Q46" s="439">
        <f>SUM(R46:AA46)</f>
        <v/>
      </c>
      <c r="R46" s="440" t="n"/>
      <c r="S46" s="440" t="n"/>
      <c r="T46" s="440" t="n"/>
      <c r="U46" s="440" t="n"/>
      <c r="V46" s="440" t="n"/>
      <c r="W46" s="440" t="n"/>
      <c r="X46" s="440" t="n"/>
      <c r="Y46" s="440" t="n"/>
      <c r="Z46" s="440" t="n"/>
      <c r="AA46" s="440" t="n"/>
    </row>
    <row r="47" ht="16" customHeight="1">
      <c r="A47" s="436" t="inlineStr">
        <is>
          <t>F-40</t>
        </is>
      </c>
      <c r="B47" s="293" t="inlineStr">
        <is>
          <t>Share Buttons</t>
        </is>
      </c>
      <c r="C47" s="137" t="inlineStr">
        <is>
          <t>Social sharing links</t>
        </is>
      </c>
      <c r="D47" s="169" t="inlineStr">
        <is>
          <t>L</t>
        </is>
      </c>
      <c r="E47" s="136" t="n">
        <v>4</v>
      </c>
      <c r="F47" s="136" t="n"/>
      <c r="G47" s="136" t="n"/>
      <c r="H47" s="136" t="n"/>
      <c r="I47" s="16" t="n"/>
      <c r="J47" s="293" t="n"/>
      <c r="L47" s="18" t="n"/>
      <c r="M47" s="18" t="n"/>
      <c r="N47" s="438" t="n"/>
      <c r="O47" s="438" t="n"/>
      <c r="P47" s="438" t="n"/>
      <c r="Q47" s="439">
        <f>SUM(R47:AA47)</f>
        <v/>
      </c>
      <c r="R47" s="440" t="n"/>
      <c r="S47" s="440" t="n"/>
      <c r="T47" s="440" t="n"/>
      <c r="U47" s="440" t="n"/>
      <c r="V47" s="440" t="n"/>
      <c r="W47" s="440" t="n"/>
      <c r="X47" s="440" t="n"/>
      <c r="Y47" s="440" t="n"/>
      <c r="Z47" s="440" t="n"/>
      <c r="AA47" s="440" t="n"/>
    </row>
    <row r="48" ht="16" customHeight="1">
      <c r="A48" s="436" t="inlineStr">
        <is>
          <t>F-41</t>
        </is>
      </c>
      <c r="B48" s="293" t="inlineStr">
        <is>
          <t>Author Bio</t>
        </is>
      </c>
      <c r="C48" s="137" t="inlineStr">
        <is>
          <t>Contributor information</t>
        </is>
      </c>
      <c r="D48" s="169" t="inlineStr">
        <is>
          <t>L</t>
        </is>
      </c>
      <c r="E48" s="136" t="n">
        <v>5</v>
      </c>
      <c r="F48" s="136" t="n"/>
      <c r="G48" s="136" t="n"/>
      <c r="H48" s="136" t="n"/>
      <c r="I48" s="16" t="n"/>
      <c r="J48" s="293" t="n"/>
      <c r="L48" s="18" t="n"/>
      <c r="M48" s="18" t="n"/>
      <c r="N48" s="438" t="n"/>
      <c r="O48" s="438" t="n"/>
      <c r="P48" s="438" t="n"/>
      <c r="Q48" s="439">
        <f>SUM(R48:AA48)</f>
        <v/>
      </c>
      <c r="R48" s="440" t="n"/>
      <c r="S48" s="440" t="n"/>
      <c r="T48" s="440" t="n"/>
      <c r="U48" s="440" t="n"/>
      <c r="V48" s="440" t="n"/>
      <c r="W48" s="440" t="n"/>
      <c r="X48" s="440" t="n"/>
      <c r="Y48" s="440" t="n"/>
      <c r="Z48" s="440" t="n"/>
      <c r="AA48" s="440" t="n"/>
    </row>
    <row r="49" ht="16" customHeight="1">
      <c r="A49" s="158" t="inlineStr">
        <is>
          <t>F-42</t>
        </is>
      </c>
      <c r="B49" s="416" t="inlineStr">
        <is>
          <t>Tag Cloud</t>
        </is>
      </c>
      <c r="C49" s="137" t="inlineStr">
        <is>
          <t>Content tagging display</t>
        </is>
      </c>
      <c r="D49" s="169" t="inlineStr">
        <is>
          <t>L</t>
        </is>
      </c>
      <c r="E49" s="136" t="n">
        <v>5</v>
      </c>
      <c r="F49" s="161" t="n"/>
      <c r="G49" s="161" t="n"/>
      <c r="H49" s="161" t="n"/>
      <c r="I49" s="172" t="n"/>
      <c r="J49" s="416" t="inlineStr"/>
      <c r="L49" s="158" t="n"/>
      <c r="M49" s="158" t="n"/>
      <c r="N49" s="452" t="n"/>
      <c r="O49" s="452" t="n"/>
      <c r="P49" s="452" t="n"/>
      <c r="Q49" s="439">
        <f>SUM(R49:AA49)</f>
        <v/>
      </c>
      <c r="R49" s="452" t="n"/>
      <c r="S49" s="452" t="n"/>
      <c r="T49" s="452" t="n"/>
      <c r="U49" s="452" t="n"/>
      <c r="V49" s="452" t="n"/>
      <c r="W49" s="452" t="n"/>
      <c r="X49" s="452" t="n"/>
      <c r="Y49" s="452" t="n"/>
      <c r="Z49" s="452" t="n"/>
      <c r="AA49" s="452" t="n"/>
    </row>
    <row r="50" ht="16" customHeight="1">
      <c r="A50" s="158" t="inlineStr">
        <is>
          <t>F-43</t>
        </is>
      </c>
      <c r="B50" s="416" t="inlineStr">
        <is>
          <t>Alert Banner</t>
        </is>
      </c>
      <c r="C50" s="137" t="inlineStr">
        <is>
          <t>Important notices</t>
        </is>
      </c>
      <c r="D50" s="169" t="inlineStr">
        <is>
          <t>L</t>
        </is>
      </c>
      <c r="E50" s="136" t="n">
        <v>5</v>
      </c>
      <c r="F50" s="161" t="n"/>
      <c r="G50" s="161" t="n"/>
      <c r="H50" s="161" t="n"/>
      <c r="I50" s="172" t="n"/>
      <c r="J50" s="416" t="inlineStr"/>
      <c r="L50" s="158" t="n"/>
      <c r="M50" s="158" t="n"/>
      <c r="N50" s="452" t="n"/>
      <c r="O50" s="452" t="n"/>
      <c r="P50" s="452" t="n"/>
      <c r="Q50" s="439">
        <f>SUM(R50:AA50)</f>
        <v/>
      </c>
      <c r="R50" s="452" t="n"/>
      <c r="S50" s="452" t="n"/>
      <c r="T50" s="452" t="n"/>
      <c r="U50" s="452" t="n"/>
      <c r="V50" s="452" t="n"/>
      <c r="W50" s="452" t="n"/>
      <c r="X50" s="452" t="n"/>
      <c r="Y50" s="452" t="n"/>
      <c r="Z50" s="452" t="n"/>
      <c r="AA50" s="452" t="n"/>
    </row>
    <row r="51" ht="16" customHeight="1">
      <c r="A51" s="158" t="inlineStr">
        <is>
          <t>F-44</t>
        </is>
      </c>
      <c r="B51" s="416" t="inlineStr">
        <is>
          <t>Progress Indicator</t>
        </is>
      </c>
      <c r="C51" s="137" t="inlineStr">
        <is>
          <t>Visual progress bars</t>
        </is>
      </c>
      <c r="D51" s="169" t="inlineStr">
        <is>
          <t>L</t>
        </is>
      </c>
      <c r="E51" s="136" t="n">
        <v>6</v>
      </c>
      <c r="F51" s="161" t="n"/>
      <c r="G51" s="161" t="n"/>
      <c r="H51" s="161" t="n"/>
      <c r="I51" s="172" t="n"/>
      <c r="J51" s="416" t="inlineStr"/>
      <c r="L51" s="158" t="n"/>
      <c r="M51" s="158" t="n"/>
      <c r="N51" s="452" t="n"/>
      <c r="O51" s="452" t="n"/>
      <c r="P51" s="452" t="n"/>
      <c r="Q51" s="439">
        <f>SUM(R51:AA51)</f>
        <v/>
      </c>
      <c r="R51" s="452" t="n"/>
      <c r="S51" s="452" t="n"/>
      <c r="T51" s="452" t="n"/>
      <c r="U51" s="452" t="n"/>
      <c r="V51" s="452" t="n"/>
      <c r="W51" s="452" t="n"/>
      <c r="X51" s="452" t="n"/>
      <c r="Y51" s="452" t="n"/>
      <c r="Z51" s="452" t="n"/>
      <c r="AA51" s="452" t="n"/>
    </row>
    <row r="52" ht="16" customHeight="1">
      <c r="A52" s="158" t="inlineStr">
        <is>
          <t>F-45</t>
        </is>
      </c>
      <c r="B52" s="416" t="inlineStr">
        <is>
          <t>Pricing Table</t>
        </is>
      </c>
      <c r="C52" s="160" t="inlineStr">
        <is>
          <t>Ticket pricing display</t>
        </is>
      </c>
      <c r="D52" s="417" t="inlineStr">
        <is>
          <t>M</t>
        </is>
      </c>
      <c r="E52" s="161" t="n">
        <v>8</v>
      </c>
      <c r="F52" s="161" t="n"/>
      <c r="G52" s="161" t="n"/>
      <c r="H52" s="161" t="n"/>
      <c r="I52" s="172" t="n"/>
      <c r="J52" s="416" t="inlineStr"/>
      <c r="L52" s="158" t="n"/>
      <c r="M52" s="158" t="n"/>
      <c r="N52" s="452" t="n"/>
      <c r="O52" s="452" t="n"/>
      <c r="P52" s="452" t="n"/>
      <c r="Q52" s="439">
        <f>SUM(R52:AA52)</f>
        <v/>
      </c>
      <c r="R52" s="452" t="n"/>
      <c r="S52" s="452" t="n"/>
      <c r="T52" s="452" t="n"/>
      <c r="U52" s="452" t="n"/>
      <c r="V52" s="452" t="n"/>
      <c r="W52" s="452" t="n"/>
      <c r="X52" s="452" t="n"/>
      <c r="Y52" s="452" t="n"/>
      <c r="Z52" s="452" t="n"/>
      <c r="AA52" s="452" t="n"/>
    </row>
    <row r="53" ht="16" customHeight="1">
      <c r="A53" s="158" t="inlineStr">
        <is>
          <t>F-46</t>
        </is>
      </c>
      <c r="B53" s="416" t="inlineStr">
        <is>
          <t>Team Member Grid</t>
        </is>
      </c>
      <c r="C53" s="160" t="inlineStr">
        <is>
          <t>Staff directory</t>
        </is>
      </c>
      <c r="D53" s="417" t="inlineStr">
        <is>
          <t>L</t>
        </is>
      </c>
      <c r="E53" s="161" t="n">
        <v>8</v>
      </c>
      <c r="F53" s="161" t="n"/>
      <c r="G53" s="161" t="n"/>
      <c r="H53" s="161" t="n"/>
      <c r="I53" s="172" t="n"/>
      <c r="J53" s="416" t="inlineStr"/>
      <c r="L53" s="158" t="n"/>
      <c r="M53" s="158" t="n"/>
      <c r="N53" s="452" t="n"/>
      <c r="O53" s="452" t="n"/>
      <c r="P53" s="452" t="n"/>
      <c r="Q53" s="439">
        <f>SUM(R53:AA53)</f>
        <v/>
      </c>
      <c r="R53" s="452" t="n"/>
      <c r="S53" s="452" t="n"/>
      <c r="T53" s="452" t="n"/>
      <c r="U53" s="452" t="n"/>
      <c r="V53" s="452" t="n"/>
      <c r="W53" s="452" t="n"/>
      <c r="X53" s="452" t="n"/>
      <c r="Y53" s="452" t="n"/>
      <c r="Z53" s="452" t="n"/>
      <c r="AA53" s="452" t="n"/>
    </row>
    <row r="54" ht="16" customHeight="1">
      <c r="A54" s="158" t="inlineStr">
        <is>
          <t>F-47</t>
        </is>
      </c>
      <c r="B54" s="416" t="inlineStr">
        <is>
          <t>Testimonial Slider</t>
        </is>
      </c>
      <c r="C54" s="160" t="inlineStr">
        <is>
          <t>Quote carousel</t>
        </is>
      </c>
      <c r="D54" s="417" t="inlineStr">
        <is>
          <t>M</t>
        </is>
      </c>
      <c r="E54" s="161" t="n">
        <v>10</v>
      </c>
      <c r="F54" s="161" t="n"/>
      <c r="G54" s="161" t="n"/>
      <c r="H54" s="161" t="n"/>
      <c r="I54" s="172" t="n"/>
      <c r="J54" s="416" t="inlineStr"/>
      <c r="L54" s="158" t="n"/>
      <c r="M54" s="158" t="n"/>
      <c r="N54" s="452" t="n"/>
      <c r="O54" s="452" t="n"/>
      <c r="P54" s="452" t="n"/>
      <c r="Q54" s="439">
        <f>SUM(R54:AA54)</f>
        <v/>
      </c>
      <c r="R54" s="452" t="n"/>
      <c r="S54" s="452" t="n"/>
      <c r="T54" s="452" t="n"/>
      <c r="U54" s="452" t="n"/>
      <c r="V54" s="452" t="n"/>
      <c r="W54" s="452" t="n"/>
      <c r="X54" s="452" t="n"/>
      <c r="Y54" s="452" t="n"/>
      <c r="Z54" s="452" t="n"/>
      <c r="AA54" s="452" t="n"/>
    </row>
    <row r="55" ht="16" customHeight="1">
      <c r="A55" s="158" t="inlineStr">
        <is>
          <t>F-48</t>
        </is>
      </c>
      <c r="B55" s="416" t="inlineStr">
        <is>
          <t>Icon Feature List</t>
        </is>
      </c>
      <c r="C55" s="160" t="inlineStr">
        <is>
          <t>Feature highlights</t>
        </is>
      </c>
      <c r="D55" s="417" t="inlineStr">
        <is>
          <t>L</t>
        </is>
      </c>
      <c r="E55" s="161" t="n">
        <v>6</v>
      </c>
      <c r="F55" s="161" t="n"/>
      <c r="G55" s="161" t="n"/>
      <c r="H55" s="161" t="n"/>
      <c r="I55" s="172" t="n"/>
      <c r="J55" s="416" t="inlineStr"/>
      <c r="L55" s="158" t="n"/>
      <c r="M55" s="158" t="n"/>
      <c r="N55" s="452" t="n"/>
      <c r="O55" s="452" t="n"/>
      <c r="P55" s="452" t="n"/>
      <c r="Q55" s="439">
        <f>SUM(R55:AA55)</f>
        <v/>
      </c>
      <c r="R55" s="452" t="n"/>
      <c r="S55" s="452" t="n"/>
      <c r="T55" s="452" t="n"/>
      <c r="U55" s="452" t="n"/>
      <c r="V55" s="452" t="n"/>
      <c r="W55" s="452" t="n"/>
      <c r="X55" s="452" t="n"/>
      <c r="Y55" s="452" t="n"/>
      <c r="Z55" s="452" t="n"/>
      <c r="AA55" s="452" t="n"/>
    </row>
    <row r="56" customFormat="1" s="7">
      <c r="A56" s="433" t="inlineStr">
        <is>
          <t>F-49</t>
        </is>
      </c>
      <c r="B56" s="299" t="inlineStr">
        <is>
          <t>Before/After Slider</t>
        </is>
      </c>
      <c r="C56" s="260" t="inlineStr">
        <is>
          <t>Image comparison</t>
        </is>
      </c>
      <c r="D56" s="261" t="inlineStr">
        <is>
          <t>M</t>
        </is>
      </c>
      <c r="E56" s="254" t="n">
        <v>10</v>
      </c>
      <c r="F56" s="254" t="n"/>
      <c r="G56" s="254" t="n"/>
      <c r="H56" s="254" t="n"/>
      <c r="I56" s="254" t="n"/>
      <c r="J56" s="415" t="n"/>
      <c r="L56" s="255" t="n"/>
      <c r="M56" s="255" t="n"/>
      <c r="N56" s="453" t="n"/>
      <c r="O56" s="453" t="n"/>
      <c r="P56" s="453" t="n"/>
      <c r="Q56" s="454" t="n"/>
      <c r="R56" s="453" t="n"/>
      <c r="S56" s="453" t="n"/>
      <c r="T56" s="453" t="n"/>
      <c r="U56" s="453" t="n"/>
      <c r="V56" s="453" t="n"/>
      <c r="W56" s="453" t="n"/>
      <c r="X56" s="453" t="n"/>
      <c r="Y56" s="453" t="n"/>
      <c r="Z56" s="453" t="n"/>
      <c r="AA56" s="453" t="n"/>
    </row>
    <row r="57">
      <c r="A57" t="inlineStr">
        <is>
          <t>F-50</t>
        </is>
      </c>
      <c r="B57" t="inlineStr">
        <is>
          <t>Custom HTML Block</t>
        </is>
      </c>
      <c r="C57" t="inlineStr">
        <is>
          <t>Flexible HTML content</t>
        </is>
      </c>
      <c r="D57" t="inlineStr">
        <is>
          <t>L</t>
        </is>
      </c>
      <c r="E57" t="n">
        <v>4</v>
      </c>
    </row>
    <row r="58">
      <c r="A58" t="inlineStr">
        <is>
          <t>F-51</t>
        </is>
      </c>
      <c r="B58" t="inlineStr">
        <is>
          <t>Divider/Spacer</t>
        </is>
      </c>
      <c r="C58" t="inlineStr">
        <is>
          <t>Visual separators</t>
        </is>
      </c>
      <c r="D58" t="inlineStr">
        <is>
          <t>L</t>
        </is>
      </c>
      <c r="E58" t="n">
        <v>2</v>
      </c>
    </row>
    <row r="59">
      <c r="A59" t="inlineStr">
        <is>
          <t>F-52</t>
        </is>
      </c>
      <c r="B59" t="inlineStr">
        <is>
          <t>Anchor Links</t>
        </is>
      </c>
      <c r="C59" t="inlineStr">
        <is>
          <t>In-page navigation</t>
        </is>
      </c>
      <c r="D59" t="inlineStr">
        <is>
          <t>L</t>
        </is>
      </c>
      <c r="E59" t="n">
        <v>4</v>
      </c>
    </row>
  </sheetData>
  <autoFilter ref="A8:J56"/>
  <conditionalFormatting sqref="R4:AA4">
    <cfRule type="expression" priority="5" dxfId="77">
      <formula>R4&lt;&gt;R3</formula>
    </cfRule>
  </conditionalFormatting>
  <conditionalFormatting sqref="R8:AA8">
    <cfRule type="expression" priority="156" dxfId="76">
      <formula>AND(R5="yes",OR($G$3="Three-point estimation",$G$4&lt;&gt;"No assistance"))</formula>
    </cfRule>
  </conditionalFormatting>
  <dataValidations count="10">
    <dataValidation sqref="G3" showDropDown="0" showInputMessage="1" showErrorMessage="1" allowBlank="1" type="list">
      <formula1>INDIRECT("tblEstimationMethods[Estimation Method]")</formula1>
    </dataValidation>
    <dataValidation sqref="G4" showDropDown="0" showInputMessage="1" showErrorMessage="1" allowBlank="1" type="list">
      <formula1>INDIRECT("tblInputAssistances[Input assistance]")</formula1>
    </dataValidation>
    <dataValidation sqref="M1 M11:M56" showDropDown="0" showInputMessage="1" showErrorMessage="1" allowBlank="1" errorTitle="Incorrect value!" promptTitle="Please select a value..." type="list">
      <formula1>INDIRECT("tblStoryPoints[Story Points]")</formula1>
    </dataValidation>
    <dataValidation sqref="R6" showDropDown="0" showInputMessage="1" showErrorMessage="1" allowBlank="1"/>
    <dataValidation sqref="R6:AA6" showDropDown="0" showInputMessage="1" showErrorMessage="1" allowBlank="1" type="list">
      <formula1>"yes,no"</formula1>
    </dataValidation>
    <dataValidation sqref="L1 L11:L56" showDropDown="0" showInputMessage="1" showErrorMessage="1" allowBlank="1" errorTitle="Invalid value!" type="list">
      <formula1>INDIRECT("tbltShirtSizes[T-shirt size]")</formula1>
    </dataValidation>
    <dataValidation sqref="R8" showDropDown="0" showInputMessage="1" showErrorMessage="1" allowBlank="1" prompt="Aufnahme, Analyse und Spezifikation der Software-Anforderungen, Teilnahme an Meetings &lt; 1 Stunde"/>
    <dataValidation sqref="S8" showDropDown="0" showInputMessage="1" showErrorMessage="1" allowBlank="1" prompt="Softwareentwicklung und Entwicklertests, Fehlerbearbeitung vor Bereitstellung zur Abnahme (BzA), Teilnahme an Meetings &lt; 1 Stunde"/>
    <dataValidation sqref="T8" showDropDown="0" showInputMessage="1" showErrorMessage="1" allowBlank="1" prompt="Testfallerstellung, System-, Integrations- und Benutzerakzeptanztests; Retest von Defects vor Bereitstellung zur Abnahme, Regressionstests bei mehreren Auslieferungen; Teilnahme an Meetings &lt; 1 Stunde"/>
    <dataValidation sqref="U8" showDropDown="0" showInputMessage="1" showErrorMessage="1" allowBlank="1" prompt="Fehlerbearbeitung nach Bereitstellung zur Abnahme inklusive Entwicklung und Retests"/>
  </dataValidations>
  <pageMargins left="0.7" right="0.7" top="0.787401575" bottom="0.787401575" header="0.3" footer="0.3"/>
  <pageSetup orientation="portrait" paperSize="9" horizontalDpi="90" verticalDpi="90"/>
</worksheet>
</file>

<file path=xl/worksheets/sheet3.xml><?xml version="1.0" encoding="utf-8"?>
<worksheet xmlns="http://schemas.openxmlformats.org/spreadsheetml/2006/main">
  <sheetPr codeName="Tabelle6">
    <tabColor theme="4" tint="0.5999938962981048"/>
    <outlinePr summaryBelow="1" summaryRight="1"/>
    <pageSetUpPr/>
  </sheetPr>
  <dimension ref="A1:BA87"/>
  <sheetViews>
    <sheetView showGridLines="0" zoomScaleNormal="100" workbookViewId="0">
      <pane xSplit="4" ySplit="11" topLeftCell="E12" activePane="bottomRight" state="frozen"/>
      <selection pane="topRight" activeCell="E2" sqref="E2"/>
      <selection pane="bottomLeft" activeCell="A11" sqref="A11"/>
      <selection pane="bottomRight" activeCell="E42" sqref="E42"/>
    </sheetView>
  </sheetViews>
  <sheetFormatPr baseColWidth="10" defaultColWidth="11.5" defaultRowHeight="15"/>
  <cols>
    <col width="9.6640625" customWidth="1" style="13" min="1" max="1"/>
    <col outlineLevel="1" width="31.6640625" customWidth="1" style="90" min="2" max="2"/>
    <col width="26.5" customWidth="1" style="2" min="3" max="3"/>
    <col width="45.33203125" customWidth="1" style="2" min="4" max="4"/>
    <col outlineLevel="1" width="40" customWidth="1" style="2" min="5" max="5"/>
    <col width="33.83203125" customWidth="1" style="90" min="6" max="6"/>
    <col outlineLevel="1" width="14.1640625" customWidth="1" style="138" min="7" max="7"/>
    <col outlineLevel="1" width="16.5" customWidth="1" style="2" min="8" max="8"/>
    <col outlineLevel="1" width="17.1640625" customWidth="1" style="3" min="9" max="9"/>
    <col width="15.33203125" customWidth="1" style="437" min="10" max="10"/>
    <col hidden="1" outlineLevel="1" width="9.5" customWidth="1" style="13" min="11" max="11"/>
    <col hidden="1" outlineLevel="1" width="11.1640625" customWidth="1" style="13" min="12" max="12"/>
    <col hidden="1" outlineLevel="1" width="29.1640625" customWidth="1" style="2" min="13" max="13"/>
    <col hidden="1" outlineLevel="1" width="14.5" customWidth="1" style="455" min="14" max="14"/>
    <col collapsed="1" width="3.33203125" customWidth="1" min="15" max="15"/>
    <col hidden="1" outlineLevel="1" width="14.5" customWidth="1" style="180" min="16" max="17"/>
    <col hidden="1" outlineLevel="1" width="14.5" customWidth="1" style="456" min="18" max="18"/>
    <col hidden="1" outlineLevel="1" width="14.5" customWidth="1" style="457" min="19" max="19"/>
    <col hidden="1" outlineLevel="1" width="9" customWidth="1" style="456" min="20" max="20"/>
    <col collapsed="1" width="3.33203125" customWidth="1" min="21" max="21"/>
    <col hidden="1" outlineLevel="1" width="17.1640625" customWidth="1" style="437" min="22" max="22"/>
    <col hidden="1" outlineLevel="1" width="7.6640625" customWidth="1" style="37" min="23" max="52"/>
    <col hidden="1" outlineLevel="1" width="7.6640625" customWidth="1" style="3" min="53" max="53"/>
    <col collapsed="1" width="11.5" customWidth="1" style="3" min="54" max="54"/>
    <col width="11.5" customWidth="1" style="3" min="55" max="16384"/>
  </cols>
  <sheetData>
    <row r="1" hidden="1" ht="14.5" customHeight="1">
      <c r="A1" s="18" t="n"/>
      <c r="B1" s="136" t="n"/>
      <c r="C1" s="19" t="n"/>
      <c r="D1" s="19" t="n"/>
      <c r="E1" s="19" t="n"/>
      <c r="F1" s="136" t="n"/>
      <c r="G1" s="137" t="n"/>
      <c r="H1" s="16" t="n"/>
      <c r="I1" s="34" t="n"/>
      <c r="J1" s="452" t="n">
        <v>0</v>
      </c>
      <c r="K1" s="158" t="inlineStr">
        <is>
          <t>no</t>
        </is>
      </c>
      <c r="L1" s="165" t="n"/>
      <c r="M1" s="373" t="n"/>
      <c r="N1" s="458">
        <f t="array" ref="N1">IFERROR(calcDefaultValueOfProjectTask(M1),"error")</f>
        <v/>
      </c>
      <c r="P1" s="184" t="n"/>
      <c r="Q1" s="184" t="n"/>
      <c r="R1" s="206" t="n"/>
      <c r="S1" s="211" t="n"/>
      <c r="T1" s="206" t="n"/>
      <c r="V1" s="459">
        <f>IF(J1&lt;&gt;"",IFERROR(J1-SUM(W1:AZ1),0),"")</f>
        <v/>
      </c>
      <c r="W1" s="39" t="n"/>
      <c r="X1" s="39" t="n"/>
      <c r="Y1" s="39" t="n"/>
      <c r="Z1" s="39" t="n"/>
      <c r="AA1" s="39" t="n"/>
      <c r="AB1" s="39" t="n"/>
      <c r="AC1" s="39" t="n"/>
      <c r="AD1" s="39" t="n"/>
      <c r="AE1" s="39" t="n"/>
      <c r="AF1" s="39" t="n"/>
      <c r="AG1" s="39" t="n"/>
      <c r="AH1" s="39" t="n"/>
      <c r="AI1" s="39" t="n"/>
      <c r="AJ1" s="39" t="n"/>
      <c r="AK1" s="39" t="n"/>
      <c r="AL1" s="39" t="n"/>
      <c r="AM1" s="39" t="n"/>
      <c r="AN1" s="39" t="n"/>
      <c r="AO1" s="39" t="n"/>
      <c r="AP1" s="39" t="n"/>
      <c r="AQ1" s="39" t="n"/>
      <c r="AR1" s="39" t="n"/>
      <c r="AS1" s="39" t="n"/>
      <c r="AT1" s="39" t="n"/>
      <c r="AU1" s="39" t="n"/>
      <c r="AV1" s="39" t="n"/>
      <c r="AW1" s="39" t="n"/>
      <c r="AX1" s="39" t="n"/>
      <c r="AY1" s="39" t="n"/>
      <c r="AZ1" s="39" t="n"/>
    </row>
    <row r="2" ht="24" customHeight="1">
      <c r="A2" s="1" t="inlineStr">
        <is>
          <t>Project tasks (Work breakdown structure)</t>
        </is>
      </c>
      <c r="B2" s="375" t="n"/>
      <c r="L2" s="8" t="inlineStr">
        <is>
          <t>Forecasted project length:</t>
        </is>
      </c>
      <c r="M2" s="460" t="n">
        <v>20</v>
      </c>
      <c r="N2" s="461">
        <f>(GT_FinishDateGANTT-GT_StartDateGANTT)/7</f>
        <v/>
      </c>
      <c r="W2" s="462">
        <f>IFERROR(W11/(GT_ProjectLength/52*CF_FTEdays),0)</f>
        <v/>
      </c>
      <c r="X2" s="462">
        <f>IFERROR(X11/(GT_ProjectLength/52*CF_FTEdays),0)</f>
        <v/>
      </c>
      <c r="Y2" s="462">
        <f>IFERROR(Y11/(GT_ProjectLength/52*CF_FTEdays),0)</f>
        <v/>
      </c>
      <c r="Z2" s="462">
        <f>IFERROR(Z11/(GT_ProjectLength/52*CF_FTEdays),0)</f>
        <v/>
      </c>
      <c r="AA2" s="462">
        <f>IFERROR(AA11/(GT_ProjectLength/52*CF_FTEdays),0)</f>
        <v/>
      </c>
      <c r="AB2" s="462">
        <f>IFERROR(AB11/(GT_ProjectLength/52*CF_FTEdays),0)</f>
        <v/>
      </c>
      <c r="AC2" s="462">
        <f>IFERROR(AC11/(GT_ProjectLength/52*CF_FTEdays),0)</f>
        <v/>
      </c>
      <c r="AD2" s="462">
        <f>IFERROR(AD11/(GT_ProjectLength/52*CF_FTEdays),0)</f>
        <v/>
      </c>
      <c r="AE2" s="462">
        <f>IFERROR(AE11/(GT_ProjectLength/52*CF_FTEdays),0)</f>
        <v/>
      </c>
      <c r="AF2" s="462">
        <f>IFERROR(AF11/(GT_ProjectLength/52*CF_FTEdays),0)</f>
        <v/>
      </c>
      <c r="AG2" s="462">
        <f>IFERROR(AG11/(GT_ProjectLength/52*CF_FTEdays),0)</f>
        <v/>
      </c>
      <c r="AH2" s="462">
        <f>IFERROR(AH11/(GT_ProjectLength/52*CF_FTEdays),0)</f>
        <v/>
      </c>
      <c r="AI2" s="462">
        <f>IFERROR(AI11/(GT_ProjectLength/52*CF_FTEdays),0)</f>
        <v/>
      </c>
      <c r="AJ2" s="462">
        <f>IFERROR(AJ11/(GT_ProjectLength/52*CF_FTEdays),0)</f>
        <v/>
      </c>
      <c r="AK2" s="462">
        <f>IFERROR(AK11/(GT_ProjectLength/52*CF_FTEdays),0)</f>
        <v/>
      </c>
      <c r="AL2" s="462">
        <f>IFERROR(AL11/(GT_ProjectLength/52*CF_FTEdays),0)</f>
        <v/>
      </c>
      <c r="AM2" s="462">
        <f>IFERROR(AM11/(GT_ProjectLength/52*CF_FTEdays),0)</f>
        <v/>
      </c>
      <c r="AN2" s="462">
        <f>IFERROR(AN11/(GT_ProjectLength/52*CF_FTEdays),0)</f>
        <v/>
      </c>
      <c r="AO2" s="462">
        <f>IFERROR(AO11/(GT_ProjectLength/52*CF_FTEdays),0)</f>
        <v/>
      </c>
      <c r="AP2" s="462">
        <f>IFERROR(AP11/(GT_ProjectLength/52*CF_FTEdays),0)</f>
        <v/>
      </c>
      <c r="AQ2" s="462">
        <f>IFERROR(AQ11/(GT_ProjectLength/52*CF_FTEdays),0)</f>
        <v/>
      </c>
      <c r="AR2" s="462">
        <f>IFERROR(AR11/(GT_ProjectLength/52*CF_FTEdays),0)</f>
        <v/>
      </c>
      <c r="AS2" s="462">
        <f>IFERROR(AS11/(GT_ProjectLength/52*CF_FTEdays),0)</f>
        <v/>
      </c>
      <c r="AT2" s="462">
        <f>IFERROR(AT11/(GT_ProjectLength/52*CF_FTEdays),0)</f>
        <v/>
      </c>
      <c r="AU2" s="462">
        <f>IFERROR(AU11/(GT_ProjectLength/52*CF_FTEdays),0)</f>
        <v/>
      </c>
      <c r="AV2" s="462">
        <f>IFERROR(AV11/(GT_ProjectLength/52*CF_FTEdays),0)</f>
        <v/>
      </c>
      <c r="AW2" s="462">
        <f>IFERROR(AW11/(GT_ProjectLength/52*CF_FTEdays),0)</f>
        <v/>
      </c>
      <c r="AX2" s="462">
        <f>IFERROR(AX11/(GT_ProjectLength/52*CF_FTEdays),0)</f>
        <v/>
      </c>
      <c r="AY2" s="462">
        <f>IFERROR(AY11/(GT_ProjectLength/52*CF_FTEdays),0)</f>
        <v/>
      </c>
      <c r="AZ2" s="462">
        <f>IFERROR(AZ11/(GT_ProjectLength/52*CF_FTEdays),0)</f>
        <v/>
      </c>
      <c r="BA2" s="463">
        <f>SUM(GT_ProjectRolesFTE)</f>
        <v/>
      </c>
    </row>
    <row r="3" hidden="1" ht="21" customHeight="1">
      <c r="B3" s="70" t="n"/>
      <c r="L3" s="8" t="n"/>
      <c r="M3" s="464" t="n"/>
      <c r="N3" s="13" t="n"/>
      <c r="O3" s="55" t="n"/>
      <c r="U3" s="55" t="n"/>
      <c r="V3" s="3" t="n"/>
      <c r="W3" s="89" t="n">
        <v>1</v>
      </c>
      <c r="X3" s="89" t="n">
        <v>2</v>
      </c>
      <c r="Y3" s="89" t="n">
        <v>3</v>
      </c>
      <c r="Z3" s="89" t="n">
        <v>4</v>
      </c>
      <c r="AA3" s="89" t="n">
        <v>5</v>
      </c>
      <c r="AB3" s="89" t="n">
        <v>6</v>
      </c>
      <c r="AC3" s="89" t="n">
        <v>7</v>
      </c>
      <c r="AD3" s="89" t="n">
        <v>8</v>
      </c>
      <c r="AE3" s="89" t="n">
        <v>9</v>
      </c>
      <c r="AF3" s="89" t="n">
        <v>10</v>
      </c>
      <c r="AG3" s="89" t="n">
        <v>11</v>
      </c>
      <c r="AH3" s="89" t="n">
        <v>12</v>
      </c>
      <c r="AI3" s="89" t="n">
        <v>13</v>
      </c>
      <c r="AJ3" s="89" t="n">
        <v>14</v>
      </c>
      <c r="AK3" s="89" t="n">
        <v>15</v>
      </c>
      <c r="AL3" s="89" t="n">
        <v>16</v>
      </c>
      <c r="AM3" s="89" t="n">
        <v>17</v>
      </c>
      <c r="AN3" s="89" t="n">
        <v>18</v>
      </c>
      <c r="AO3" s="89" t="n">
        <v>19</v>
      </c>
      <c r="AP3" s="89" t="n">
        <v>20</v>
      </c>
      <c r="AQ3" s="89" t="n">
        <v>21</v>
      </c>
      <c r="AR3" s="89" t="n">
        <v>22</v>
      </c>
      <c r="AS3" s="89" t="n">
        <v>23</v>
      </c>
      <c r="AT3" s="89" t="n">
        <v>24</v>
      </c>
      <c r="AU3" s="89" t="n">
        <v>25</v>
      </c>
      <c r="AV3" s="89" t="n">
        <v>26</v>
      </c>
      <c r="AW3" s="89" t="n">
        <v>27</v>
      </c>
      <c r="AX3" s="89" t="n">
        <v>28</v>
      </c>
      <c r="AY3" s="89" t="n">
        <v>29</v>
      </c>
      <c r="AZ3" s="89" t="n">
        <v>30</v>
      </c>
      <c r="BA3" s="465" t="n"/>
    </row>
    <row r="4" hidden="1" ht="21" customHeight="1">
      <c r="B4" s="70" t="n"/>
      <c r="L4" s="8" t="n"/>
      <c r="M4" s="464" t="n"/>
      <c r="N4" s="13" t="n"/>
      <c r="O4" s="55" t="n"/>
      <c r="U4" s="55" t="n"/>
      <c r="V4" s="3" t="n"/>
      <c r="W4" s="89" t="n">
        <v>1</v>
      </c>
      <c r="X4" s="89" t="n">
        <v>2</v>
      </c>
      <c r="Y4" s="89" t="n">
        <v>3</v>
      </c>
      <c r="Z4" s="89" t="n">
        <v>4</v>
      </c>
      <c r="AA4" s="89" t="n">
        <v>5</v>
      </c>
      <c r="AB4" s="89" t="n">
        <v>6</v>
      </c>
      <c r="AC4" s="89" t="n">
        <v>7</v>
      </c>
      <c r="AD4" s="89" t="n">
        <v>8</v>
      </c>
      <c r="AE4" s="89" t="n">
        <v>9</v>
      </c>
      <c r="AF4" s="89" t="n"/>
      <c r="AG4" s="89" t="n"/>
      <c r="AH4" s="89" t="n"/>
      <c r="AI4" s="89" t="n"/>
      <c r="AJ4" s="89" t="n"/>
      <c r="AK4" s="89" t="n"/>
      <c r="AL4" s="89" t="n"/>
      <c r="AM4" s="89" t="n"/>
      <c r="AN4" s="89" t="n"/>
      <c r="AO4" s="89" t="n"/>
      <c r="AP4" s="89" t="n"/>
      <c r="AQ4" s="89" t="n"/>
      <c r="AR4" s="89" t="n"/>
      <c r="AS4" s="89" t="n"/>
      <c r="AT4" s="89" t="n"/>
      <c r="AU4" s="89" t="n"/>
      <c r="AV4" s="89" t="n"/>
      <c r="AW4" s="89" t="n"/>
      <c r="AX4" s="89" t="n"/>
      <c r="AY4" s="89" t="n"/>
      <c r="AZ4" s="89" t="n"/>
      <c r="BA4" s="465" t="n"/>
    </row>
    <row r="5" ht="21" customHeight="1">
      <c r="A5" s="93">
        <f>Start!A2</f>
        <v/>
      </c>
      <c r="D5" s="252" t="n"/>
      <c r="E5" s="252" t="n"/>
      <c r="L5" s="8" t="inlineStr">
        <is>
          <t>Forecasted team size:</t>
        </is>
      </c>
      <c r="M5" s="411" t="n">
        <v>0</v>
      </c>
      <c r="N5" s="466">
        <f>BA2</f>
        <v/>
      </c>
      <c r="V5" s="467" t="inlineStr">
        <is>
          <t>Use menu item above "Edit project roles" for adding, renaming or rearranging project roles.
Red color = error!</t>
        </is>
      </c>
      <c r="W5" s="468" t="inlineStr">
        <is>
          <t>Any role</t>
        </is>
      </c>
      <c r="X5" s="468" t="inlineStr">
        <is>
          <t>Project manager</t>
        </is>
      </c>
      <c r="Y5" s="468" t="inlineStr">
        <is>
          <t>Software architect</t>
        </is>
      </c>
      <c r="Z5" s="468" t="inlineStr">
        <is>
          <t>Requirement Engineer</t>
        </is>
      </c>
      <c r="AA5" s="468" t="inlineStr">
        <is>
          <t>UI/UX Designer</t>
        </is>
      </c>
      <c r="AB5" s="468" t="inlineStr">
        <is>
          <t>Test manager</t>
        </is>
      </c>
      <c r="AC5" s="468" t="inlineStr">
        <is>
          <t>Test Engineer</t>
        </is>
      </c>
      <c r="AD5" s="468" t="inlineStr">
        <is>
          <t>Developer</t>
        </is>
      </c>
      <c r="AE5" s="468" t="inlineStr">
        <is>
          <t>DevOps Engineer</t>
        </is>
      </c>
      <c r="AF5" s="468" t="n"/>
      <c r="AG5" s="468" t="n"/>
      <c r="AH5" s="468" t="n"/>
      <c r="AI5" s="468" t="n"/>
      <c r="AJ5" s="468" t="n"/>
      <c r="AK5" s="468" t="n"/>
      <c r="AL5" s="468" t="n"/>
      <c r="AM5" s="468" t="n"/>
      <c r="AN5" s="468" t="n"/>
      <c r="AO5" s="468" t="n"/>
      <c r="AP5" s="468" t="n"/>
      <c r="AQ5" s="468" t="n"/>
      <c r="AR5" s="468" t="n"/>
      <c r="AS5" s="468" t="n"/>
      <c r="AT5" s="468" t="n"/>
      <c r="AU5" s="468" t="n"/>
      <c r="AV5" s="468" t="n"/>
      <c r="AW5" s="468" t="n"/>
      <c r="AX5" s="468" t="n"/>
      <c r="AY5" s="468" t="n"/>
      <c r="AZ5" s="468" t="n"/>
    </row>
    <row r="6" ht="23.25" customHeight="1">
      <c r="A6" s="230" t="n"/>
      <c r="L6" s="8" t="inlineStr">
        <is>
          <t>Forecasted num of iterations:</t>
        </is>
      </c>
      <c r="M6" s="469" t="n">
        <v>0</v>
      </c>
      <c r="N6" s="310" t="inlineStr">
        <is>
          <t>e.g. sprints or releases</t>
        </is>
      </c>
      <c r="V6" s="470" t="n"/>
      <c r="W6" s="471" t="n"/>
      <c r="X6" s="471" t="n"/>
      <c r="Y6" s="471" t="n"/>
      <c r="Z6" s="471" t="n"/>
      <c r="AA6" s="471" t="n"/>
      <c r="AB6" s="471" t="n"/>
      <c r="AC6" s="471" t="n"/>
      <c r="AD6" s="471" t="n"/>
      <c r="AE6" s="471" t="n"/>
      <c r="AF6" s="471" t="n"/>
      <c r="AG6" s="471" t="n"/>
      <c r="AH6" s="471" t="n"/>
      <c r="AI6" s="471" t="n"/>
      <c r="AJ6" s="471" t="n"/>
      <c r="AK6" s="471" t="n"/>
      <c r="AL6" s="471" t="n"/>
      <c r="AM6" s="471" t="n"/>
      <c r="AN6" s="471" t="n"/>
      <c r="AO6" s="471" t="n"/>
      <c r="AP6" s="471" t="n"/>
      <c r="AQ6" s="471" t="n"/>
      <c r="AR6" s="471" t="n"/>
      <c r="AS6" s="471" t="n"/>
      <c r="AT6" s="471" t="n"/>
      <c r="AU6" s="471" t="n"/>
      <c r="AV6" s="471" t="n"/>
      <c r="AW6" s="471" t="n"/>
      <c r="AX6" s="471" t="n"/>
      <c r="AY6" s="471" t="n"/>
      <c r="AZ6" s="471" t="n"/>
    </row>
    <row r="7" ht="32" customHeight="1">
      <c r="C7" s="309" t="n"/>
      <c r="I7" s="423" t="inlineStr">
        <is>
          <t>Red color = error!</t>
        </is>
      </c>
      <c r="K7" s="55" t="n"/>
      <c r="L7" s="55" t="n"/>
      <c r="M7" s="472" t="inlineStr">
        <is>
          <t>Please update these values if you use the variables [#projectlength], [#teamsize], [#iterations] or [#sprints] in your formulas.</t>
        </is>
      </c>
      <c r="V7" s="470" t="n"/>
      <c r="W7" s="471" t="n"/>
      <c r="X7" s="471" t="n"/>
      <c r="Y7" s="471" t="n"/>
      <c r="Z7" s="471" t="n"/>
      <c r="AA7" s="471" t="n"/>
      <c r="AB7" s="471" t="n"/>
      <c r="AC7" s="471" t="n"/>
      <c r="AD7" s="471" t="n"/>
      <c r="AE7" s="471" t="n"/>
      <c r="AF7" s="471" t="n"/>
      <c r="AG7" s="471" t="n"/>
      <c r="AH7" s="471" t="n"/>
      <c r="AI7" s="471" t="n"/>
      <c r="AJ7" s="471" t="n"/>
      <c r="AK7" s="471" t="n"/>
      <c r="AL7" s="471" t="n"/>
      <c r="AM7" s="471" t="n"/>
      <c r="AN7" s="471" t="n"/>
      <c r="AO7" s="471" t="n"/>
      <c r="AP7" s="471" t="n"/>
      <c r="AQ7" s="471" t="n"/>
      <c r="AR7" s="471" t="n"/>
      <c r="AS7" s="471" t="n"/>
      <c r="AT7" s="471" t="n"/>
      <c r="AU7" s="471" t="n"/>
      <c r="AV7" s="471" t="n"/>
      <c r="AW7" s="471" t="n"/>
      <c r="AX7" s="471" t="n"/>
      <c r="AY7" s="471" t="n"/>
      <c r="AZ7" s="471" t="n"/>
    </row>
    <row r="8" ht="22.25" customHeight="1">
      <c r="A8" s="68" t="inlineStr">
        <is>
          <t>T-1</t>
        </is>
      </c>
      <c r="B8" s="313" t="inlineStr">
        <is>
          <t>Setup &amp; Kickoff</t>
        </is>
      </c>
      <c r="C8" s="309" t="inlineStr">
        <is>
          <t>Project kickoff meeting and planning</t>
        </is>
      </c>
      <c r="D8" s="252" t="inlineStr">
        <is>
          <t>PM</t>
        </is>
      </c>
      <c r="E8" s="252" t="n">
        <v>8</v>
      </c>
      <c r="G8" s="309" t="inlineStr">
        <is>
          <t>Use menu above für special feature query!</t>
        </is>
      </c>
      <c r="H8" s="227" t="inlineStr">
        <is>
          <t>Use  menu above for adding or deleting risks!</t>
        </is>
      </c>
      <c r="I8" s="8" t="inlineStr">
        <is>
          <t>Feature effort (FT):</t>
        </is>
      </c>
      <c r="J8" s="473">
        <f>SUMIFS($J:$J,$G:$G,"FT*")</f>
        <v/>
      </c>
      <c r="L8" s="87" t="inlineStr">
        <is>
          <t>You only need these columns to use formulas.</t>
        </is>
      </c>
      <c r="P8" s="428" t="inlineStr">
        <is>
          <t>You only need these columns to create a GANTT chart and
for a time period-related cost and capacity calculation. Please have a look at the manual!</t>
        </is>
      </c>
      <c r="T8" s="331" t="n"/>
      <c r="V8" s="470" t="n"/>
      <c r="W8" s="471" t="n"/>
      <c r="X8" s="471" t="n"/>
      <c r="Y8" s="471" t="n"/>
      <c r="Z8" s="471" t="n"/>
      <c r="AA8" s="471" t="n"/>
      <c r="AB8" s="471" t="n"/>
      <c r="AC8" s="471" t="n"/>
      <c r="AD8" s="471" t="n"/>
      <c r="AE8" s="471" t="n"/>
      <c r="AF8" s="471" t="n"/>
      <c r="AG8" s="471" t="n"/>
      <c r="AH8" s="471" t="n"/>
      <c r="AI8" s="471" t="n"/>
      <c r="AJ8" s="471" t="n"/>
      <c r="AK8" s="471" t="n"/>
      <c r="AL8" s="471" t="n"/>
      <c r="AM8" s="471" t="n"/>
      <c r="AN8" s="471" t="n"/>
      <c r="AO8" s="471" t="n"/>
      <c r="AP8" s="471" t="n"/>
      <c r="AQ8" s="471" t="n"/>
      <c r="AR8" s="471" t="n"/>
      <c r="AS8" s="471" t="n"/>
      <c r="AT8" s="471" t="n"/>
      <c r="AU8" s="471" t="n"/>
      <c r="AV8" s="471" t="n"/>
      <c r="AW8" s="471" t="n"/>
      <c r="AX8" s="471" t="n"/>
      <c r="AY8" s="471" t="n"/>
      <c r="AZ8" s="471" t="n"/>
    </row>
    <row r="9" ht="5" customHeight="1">
      <c r="A9" s="68" t="inlineStr">
        <is>
          <t>T-2</t>
        </is>
      </c>
      <c r="B9" s="376" t="inlineStr">
        <is>
          <t>Setup &amp; Kickoff</t>
        </is>
      </c>
      <c r="C9" s="67" t="inlineStr">
        <is>
          <t>DDEV local dev environment setup</t>
        </is>
      </c>
      <c r="D9" t="inlineStr">
        <is>
          <t>Backend</t>
        </is>
      </c>
      <c r="E9" t="n">
        <v>4</v>
      </c>
      <c r="H9" s="228" t="n"/>
      <c r="J9" s="75" t="n"/>
      <c r="W9" s="471" t="n"/>
      <c r="X9" s="471" t="n"/>
      <c r="Y9" s="471" t="n"/>
      <c r="Z9" s="471" t="n"/>
      <c r="AA9" s="471" t="n"/>
      <c r="AB9" s="471" t="n"/>
      <c r="AC9" s="471" t="n"/>
      <c r="AD9" s="471" t="n"/>
      <c r="AE9" s="471" t="n"/>
      <c r="AF9" s="471" t="n"/>
      <c r="AG9" s="471" t="n"/>
      <c r="AH9" s="471" t="n"/>
      <c r="AI9" s="471" t="n"/>
      <c r="AJ9" s="471" t="n"/>
      <c r="AK9" s="471" t="n"/>
      <c r="AL9" s="471" t="n"/>
      <c r="AM9" s="471" t="n"/>
      <c r="AN9" s="471" t="n"/>
      <c r="AO9" s="471" t="n"/>
      <c r="AP9" s="471" t="n"/>
      <c r="AQ9" s="471" t="n"/>
      <c r="AR9" s="471" t="n"/>
      <c r="AS9" s="471" t="n"/>
      <c r="AT9" s="471" t="n"/>
      <c r="AU9" s="471" t="n"/>
      <c r="AV9" s="471" t="n"/>
      <c r="AW9" s="471" t="n"/>
      <c r="AX9" s="471" t="n"/>
      <c r="AY9" s="471" t="n"/>
      <c r="AZ9" s="471" t="n"/>
    </row>
    <row r="10" ht="35.5" customFormat="1" customHeight="1" s="7">
      <c r="A10" s="60" t="inlineStr">
        <is>
          <t>T-3</t>
        </is>
      </c>
      <c r="B10" s="377" t="inlineStr">
        <is>
          <t>Setup &amp; Kickoff</t>
        </is>
      </c>
      <c r="C10" s="46" t="inlineStr">
        <is>
          <t>Azure infrastructure provisioning</t>
        </is>
      </c>
      <c r="D10" s="46" t="inlineStr">
        <is>
          <t>DevOps</t>
        </is>
      </c>
      <c r="E10" s="46" t="n">
        <v>16</v>
      </c>
      <c r="F10" s="154" t="inlineStr">
        <is>
          <t>Assumptions</t>
        </is>
      </c>
      <c r="G10" s="52" t="inlineStr">
        <is>
          <t>Special task or feature query</t>
        </is>
      </c>
      <c r="H10" s="46" t="inlineStr">
        <is>
          <t>Risks</t>
        </is>
      </c>
      <c r="I10" s="46" t="inlineStr">
        <is>
          <t>Ref. ID</t>
        </is>
      </c>
      <c r="J10" s="474" t="inlineStr">
        <is>
          <t>Effort</t>
        </is>
      </c>
      <c r="K10" s="151" t="inlineStr">
        <is>
          <t>Use
formula?</t>
        </is>
      </c>
      <c r="L10" s="151" t="inlineStr">
        <is>
          <t>Variable</t>
        </is>
      </c>
      <c r="M10" s="150" t="inlineStr">
        <is>
          <t>Formula</t>
        </is>
      </c>
      <c r="N10" s="157" t="inlineStr">
        <is>
          <t>Result of formula</t>
        </is>
      </c>
      <c r="P10" s="181" t="inlineStr">
        <is>
          <t>Start</t>
        </is>
      </c>
      <c r="Q10" s="182" t="inlineStr">
        <is>
          <t>Finish</t>
        </is>
      </c>
      <c r="R10" s="52" t="inlineStr">
        <is>
          <t>Duration</t>
        </is>
      </c>
      <c r="S10" s="213" t="inlineStr">
        <is>
          <t>Dependency</t>
        </is>
      </c>
      <c r="T10" s="332" t="inlineStr">
        <is>
          <t>Show in GANTT?</t>
        </is>
      </c>
      <c r="V10" s="475" t="inlineStr">
        <is>
          <t>Not allocated
effort</t>
        </is>
      </c>
      <c r="W10" s="476" t="n"/>
      <c r="X10" s="476" t="n"/>
      <c r="Y10" s="476" t="n"/>
      <c r="Z10" s="476" t="n"/>
      <c r="AA10" s="476" t="n"/>
      <c r="AB10" s="476" t="n"/>
      <c r="AC10" s="476" t="n"/>
      <c r="AD10" s="476" t="n"/>
      <c r="AE10" s="476" t="n"/>
      <c r="AF10" s="476" t="n"/>
      <c r="AG10" s="476" t="n"/>
      <c r="AH10" s="476" t="n"/>
      <c r="AI10" s="476" t="n"/>
      <c r="AJ10" s="476" t="n"/>
      <c r="AK10" s="476" t="n"/>
      <c r="AL10" s="476" t="n"/>
      <c r="AM10" s="476" t="n"/>
      <c r="AN10" s="476" t="n"/>
      <c r="AO10" s="476" t="n"/>
      <c r="AP10" s="476" t="n"/>
      <c r="AQ10" s="476" t="n"/>
      <c r="AR10" s="476" t="n"/>
      <c r="AS10" s="476" t="n"/>
      <c r="AT10" s="476" t="n"/>
      <c r="AU10" s="476" t="n"/>
      <c r="AV10" s="476" t="n"/>
      <c r="AW10" s="476" t="n"/>
      <c r="AX10" s="476" t="n"/>
      <c r="AY10" s="476" t="n"/>
      <c r="AZ10" s="476" t="n"/>
    </row>
    <row r="11">
      <c r="A11" s="21" t="inlineStr">
        <is>
          <t>T-4</t>
        </is>
      </c>
      <c r="B11" s="155" t="inlineStr">
        <is>
          <t>Setup &amp; Kickoff</t>
        </is>
      </c>
      <c r="C11" s="22" t="inlineStr">
        <is>
          <t>CI/CD pipeline configuration</t>
        </is>
      </c>
      <c r="D11" s="22" t="inlineStr">
        <is>
          <t>DevOps</t>
        </is>
      </c>
      <c r="E11" s="22" t="n">
        <v>12</v>
      </c>
      <c r="F11" s="155" t="n"/>
      <c r="G11" s="73" t="n"/>
      <c r="H11" s="22" t="n"/>
      <c r="I11" s="22" t="n"/>
      <c r="J11" s="449">
        <f>SUBTOTAL(9,J12:J69)</f>
        <v/>
      </c>
      <c r="K11" s="73" t="n"/>
      <c r="L11" s="73" t="n"/>
      <c r="M11" s="22" t="n"/>
      <c r="N11" s="477" t="n"/>
      <c r="P11" s="183">
        <f>MIN(P12:P69)</f>
        <v/>
      </c>
      <c r="Q11" s="183">
        <f>MAX(Q12:Q69)</f>
        <v/>
      </c>
      <c r="R11" s="478">
        <f>Q11-P11</f>
        <v/>
      </c>
      <c r="S11" s="479" t="n"/>
      <c r="T11" s="480" t="n"/>
      <c r="V11" s="449">
        <f>SUBTOTAL(9,V12:V69)</f>
        <v/>
      </c>
      <c r="W11" s="38">
        <f>SUBTOTAL(9,W12:W69)</f>
        <v/>
      </c>
      <c r="X11" s="38">
        <f>SUBTOTAL(9,X12:X69)</f>
        <v/>
      </c>
      <c r="Y11" s="38">
        <f>SUBTOTAL(9,Y12:Y69)</f>
        <v/>
      </c>
      <c r="Z11" s="38">
        <f>SUBTOTAL(9,Z12:Z69)</f>
        <v/>
      </c>
      <c r="AA11" s="38">
        <f>SUBTOTAL(9,AA12:AA69)</f>
        <v/>
      </c>
      <c r="AB11" s="38">
        <f>SUBTOTAL(9,AB12:AB69)</f>
        <v/>
      </c>
      <c r="AC11" s="38">
        <f>SUBTOTAL(9,AC12:AC69)</f>
        <v/>
      </c>
      <c r="AD11" s="38">
        <f>SUBTOTAL(9,AD12:AD69)</f>
        <v/>
      </c>
      <c r="AE11" s="38">
        <f>SUBTOTAL(9,AE12:AE69)</f>
        <v/>
      </c>
      <c r="AF11" s="38">
        <f>SUBTOTAL(9,AF12:AF69)</f>
        <v/>
      </c>
      <c r="AG11" s="38">
        <f>SUBTOTAL(9,AG12:AG69)</f>
        <v/>
      </c>
      <c r="AH11" s="38">
        <f>SUBTOTAL(9,AH12:AH69)</f>
        <v/>
      </c>
      <c r="AI11" s="38">
        <f>SUBTOTAL(9,AI12:AI69)</f>
        <v/>
      </c>
      <c r="AJ11" s="38">
        <f>SUBTOTAL(9,AJ12:AJ69)</f>
        <v/>
      </c>
      <c r="AK11" s="38">
        <f>SUBTOTAL(9,AK12:AK69)</f>
        <v/>
      </c>
      <c r="AL11" s="38">
        <f>SUBTOTAL(9,AL12:AL69)</f>
        <v/>
      </c>
      <c r="AM11" s="38">
        <f>SUBTOTAL(9,AM12:AM69)</f>
        <v/>
      </c>
      <c r="AN11" s="38">
        <f>SUBTOTAL(9,AN12:AN69)</f>
        <v/>
      </c>
      <c r="AO11" s="38">
        <f>SUBTOTAL(9,AO12:AO69)</f>
        <v/>
      </c>
      <c r="AP11" s="38">
        <f>SUBTOTAL(9,AP12:AP69)</f>
        <v/>
      </c>
      <c r="AQ11" s="38">
        <f>SUBTOTAL(9,AQ12:AQ69)</f>
        <v/>
      </c>
      <c r="AR11" s="38">
        <f>SUBTOTAL(9,AR12:AR69)</f>
        <v/>
      </c>
      <c r="AS11" s="38">
        <f>SUBTOTAL(9,AS12:AS69)</f>
        <v/>
      </c>
      <c r="AT11" s="38">
        <f>SUBTOTAL(9,AT12:AT69)</f>
        <v/>
      </c>
      <c r="AU11" s="38">
        <f>SUBTOTAL(9,AU12:AU69)</f>
        <v/>
      </c>
      <c r="AV11" s="38">
        <f>SUBTOTAL(9,AV12:AV69)</f>
        <v/>
      </c>
      <c r="AW11" s="38">
        <f>SUBTOTAL(9,AW12:AW69)</f>
        <v/>
      </c>
      <c r="AX11" s="38">
        <f>SUBTOTAL(9,AX12:AX69)</f>
        <v/>
      </c>
      <c r="AY11" s="38">
        <f>SUBTOTAL(9,AY12:AY69)</f>
        <v/>
      </c>
      <c r="AZ11" s="38">
        <f>SUBTOTAL(9,AZ12:AZ69)</f>
        <v/>
      </c>
    </row>
    <row r="12" ht="12.5" customFormat="1" customHeight="1" s="7">
      <c r="A12" s="433" t="inlineStr">
        <is>
          <t>T-5</t>
        </is>
      </c>
      <c r="B12" s="260" t="inlineStr">
        <is>
          <t>Setup &amp; Kickoff</t>
        </is>
      </c>
      <c r="C12" s="271" t="inlineStr">
        <is>
          <t>Git repository and branching strategy</t>
        </is>
      </c>
      <c r="D12" s="271" t="inlineStr">
        <is>
          <t>Backend</t>
        </is>
      </c>
      <c r="E12" s="271" t="n">
        <v>4</v>
      </c>
      <c r="F12" s="273" t="n"/>
      <c r="G12" s="272" t="n"/>
      <c r="H12" s="271" t="n"/>
      <c r="I12" s="271" t="n"/>
      <c r="J12" s="481" t="inlineStr">
        <is>
          <t>Use key "f" for formula</t>
        </is>
      </c>
      <c r="K12" s="272" t="n"/>
      <c r="L12" s="272" t="n"/>
      <c r="M12" s="378" t="inlineStr">
        <is>
          <t>For experts only! See manual!</t>
        </is>
      </c>
      <c r="N12" s="482" t="n"/>
      <c r="P12" s="275" t="n"/>
      <c r="Q12" s="275" t="n"/>
      <c r="R12" s="483" t="n"/>
      <c r="S12" s="484" t="n"/>
      <c r="T12" s="483" t="n"/>
      <c r="V12" s="454" t="n"/>
      <c r="W12" s="278" t="n"/>
      <c r="X12" s="278" t="n"/>
      <c r="Y12" s="278" t="n"/>
      <c r="Z12" s="278" t="n"/>
      <c r="AA12" s="278" t="n"/>
      <c r="AB12" s="278" t="n"/>
      <c r="AC12" s="278" t="n"/>
      <c r="AD12" s="278" t="n"/>
      <c r="AE12" s="278" t="n"/>
      <c r="AF12" s="278" t="n"/>
      <c r="AG12" s="278" t="n"/>
      <c r="AH12" s="278" t="n"/>
      <c r="AI12" s="278" t="n"/>
      <c r="AJ12" s="278" t="n"/>
      <c r="AK12" s="278" t="n"/>
      <c r="AL12" s="278" t="n"/>
      <c r="AM12" s="278" t="n"/>
      <c r="AN12" s="278" t="n"/>
      <c r="AO12" s="278" t="n"/>
      <c r="AP12" s="278" t="n"/>
      <c r="AQ12" s="278" t="n"/>
      <c r="AR12" s="278" t="n"/>
      <c r="AS12" s="278" t="n"/>
      <c r="AT12" s="278" t="n"/>
      <c r="AU12" s="278" t="n"/>
      <c r="AV12" s="278" t="n"/>
      <c r="AW12" s="278" t="n"/>
      <c r="AX12" s="278" t="n"/>
      <c r="AY12" s="278" t="n"/>
      <c r="AZ12" s="278" t="n"/>
    </row>
    <row r="13" ht="64" customHeight="1">
      <c r="A13" s="158" t="inlineStr">
        <is>
          <t>T-6</t>
        </is>
      </c>
      <c r="B13" s="161" t="inlineStr">
        <is>
          <t>Content Architecture</t>
        </is>
      </c>
      <c r="C13" s="159" t="inlineStr">
        <is>
          <t>Content type modeling (17 types)</t>
        </is>
      </c>
      <c r="D13" s="159" t="inlineStr">
        <is>
          <t>Backend</t>
        </is>
      </c>
      <c r="E13" s="159" t="n">
        <v>40</v>
      </c>
      <c r="F13" s="161" t="n"/>
      <c r="G13" s="160" t="n"/>
      <c r="H13" s="172" t="n"/>
      <c r="I13" s="162" t="n"/>
      <c r="J13" s="452" t="n">
        <v>0</v>
      </c>
      <c r="K13" s="158" t="inlineStr">
        <is>
          <t>no</t>
        </is>
      </c>
      <c r="L13" s="158" t="n"/>
      <c r="M13" s="371" t="inlineStr"/>
      <c r="N13" s="458">
        <f t="array" ref="N13">IFERROR(calcDefaultValueOfProjectTask(M13),"error")</f>
        <v/>
      </c>
      <c r="P13" s="422" t="n"/>
      <c r="Q13" s="422" t="n"/>
      <c r="R13" s="209" t="n"/>
      <c r="S13" s="215" t="n"/>
      <c r="T13" s="209" t="inlineStr">
        <is>
          <t>no</t>
        </is>
      </c>
      <c r="V13" s="459">
        <f>IF(J13&lt;&gt;"",IFERROR(J13-SUM(W13:AZ13),0),"")</f>
        <v/>
      </c>
      <c r="W13" s="163" t="n"/>
      <c r="X13" s="163">
        <f>100%*$J$13</f>
        <v/>
      </c>
      <c r="Y13" s="163" t="n"/>
      <c r="Z13" s="163" t="n"/>
      <c r="AA13" s="163" t="n"/>
      <c r="AB13" s="163" t="n"/>
      <c r="AC13" s="163" t="n"/>
      <c r="AD13" s="163" t="n"/>
      <c r="AE13" s="163" t="n"/>
      <c r="AF13" s="163" t="n"/>
      <c r="AG13" s="163" t="n"/>
      <c r="AH13" s="163" t="n"/>
      <c r="AI13" s="163" t="n"/>
      <c r="AJ13" s="163" t="n"/>
      <c r="AK13" s="163" t="n"/>
      <c r="AL13" s="163" t="n"/>
      <c r="AM13" s="163" t="n"/>
      <c r="AN13" s="163" t="n"/>
      <c r="AO13" s="163" t="n"/>
      <c r="AP13" s="163" t="n"/>
      <c r="AQ13" s="163" t="n"/>
      <c r="AR13" s="163" t="n"/>
      <c r="AS13" s="163" t="n"/>
      <c r="AT13" s="163" t="n"/>
      <c r="AU13" s="163" t="n"/>
      <c r="AV13" s="163" t="n"/>
      <c r="AW13" s="163" t="n"/>
      <c r="AX13" s="163" t="n"/>
      <c r="AY13" s="163" t="n"/>
      <c r="AZ13" s="163" t="n"/>
    </row>
    <row r="14" ht="32" customHeight="1">
      <c r="A14" s="158" t="inlineStr">
        <is>
          <t>T-7</t>
        </is>
      </c>
      <c r="B14" s="161" t="inlineStr">
        <is>
          <t>Content Architecture</t>
        </is>
      </c>
      <c r="C14" s="159" t="inlineStr">
        <is>
          <t>Paragraph component development (35 types)</t>
        </is>
      </c>
      <c r="D14" s="159" t="inlineStr">
        <is>
          <t>Backend</t>
        </is>
      </c>
      <c r="E14" s="159" t="n">
        <v>80</v>
      </c>
      <c r="F14" s="161" t="n"/>
      <c r="G14" s="160" t="n"/>
      <c r="H14" s="172" t="n"/>
      <c r="I14" s="162" t="n"/>
      <c r="J14" s="452" t="n">
        <v>0</v>
      </c>
      <c r="K14" s="158" t="inlineStr">
        <is>
          <t>no</t>
        </is>
      </c>
      <c r="L14" s="158" t="n"/>
      <c r="M14" s="371" t="inlineStr"/>
      <c r="N14" s="458">
        <f t="array" ref="N14">IFERROR(calcDefaultValueOfProjectTask(M14),"error")</f>
        <v/>
      </c>
      <c r="P14" s="422" t="n"/>
      <c r="Q14" s="422" t="n"/>
      <c r="R14" s="209" t="n"/>
      <c r="S14" s="215" t="n"/>
      <c r="T14" s="209" t="inlineStr">
        <is>
          <t>no</t>
        </is>
      </c>
      <c r="V14" s="459">
        <f>IF(J14&lt;&gt;"",IFERROR(J14-SUM(W14:AZ14),0),"")</f>
        <v/>
      </c>
      <c r="W14" s="163" t="n"/>
      <c r="X14" s="410">
        <f>100%*$J$14</f>
        <v/>
      </c>
      <c r="Y14" s="163" t="n"/>
      <c r="Z14" s="163" t="n"/>
      <c r="AA14" s="163" t="n"/>
      <c r="AB14" s="163" t="n"/>
      <c r="AC14" s="163" t="n"/>
      <c r="AD14" s="163" t="n"/>
      <c r="AE14" s="163" t="n"/>
      <c r="AF14" s="163" t="n"/>
      <c r="AG14" s="163" t="n"/>
      <c r="AH14" s="163" t="n"/>
      <c r="AI14" s="163" t="n"/>
      <c r="AJ14" s="163" t="n"/>
      <c r="AK14" s="163" t="n"/>
      <c r="AL14" s="163" t="n"/>
      <c r="AM14" s="163" t="n"/>
      <c r="AN14" s="163" t="n"/>
      <c r="AO14" s="163" t="n"/>
      <c r="AP14" s="163" t="n"/>
      <c r="AQ14" s="163" t="n"/>
      <c r="AR14" s="163" t="n"/>
      <c r="AS14" s="163" t="n"/>
      <c r="AT14" s="163" t="n"/>
      <c r="AU14" s="163" t="n"/>
      <c r="AV14" s="163" t="n"/>
      <c r="AW14" s="163" t="n"/>
      <c r="AX14" s="163" t="n"/>
      <c r="AY14" s="163" t="n"/>
      <c r="AZ14" s="163" t="n"/>
    </row>
    <row r="15" ht="16" customHeight="1">
      <c r="A15" s="158" t="inlineStr">
        <is>
          <t>T-8</t>
        </is>
      </c>
      <c r="B15" s="161" t="inlineStr">
        <is>
          <t>Content Architecture</t>
        </is>
      </c>
      <c r="C15" s="159" t="inlineStr">
        <is>
          <t>Taxonomy vocabularies setup</t>
        </is>
      </c>
      <c r="D15" s="159" t="inlineStr">
        <is>
          <t>Backend</t>
        </is>
      </c>
      <c r="E15" s="159" t="n">
        <v>12</v>
      </c>
      <c r="F15" s="161" t="n"/>
      <c r="G15" s="160" t="n"/>
      <c r="H15" s="172" t="n"/>
      <c r="I15" s="162" t="n"/>
      <c r="J15" s="452" t="n">
        <v>0</v>
      </c>
      <c r="K15" s="158" t="inlineStr">
        <is>
          <t>no</t>
        </is>
      </c>
      <c r="L15" s="158" t="n"/>
      <c r="M15" s="371" t="inlineStr"/>
      <c r="N15" s="458">
        <f t="array" ref="N15">IFERROR(calcDefaultValueOfProjectTask(M15),"error")</f>
        <v/>
      </c>
      <c r="P15" s="422" t="n"/>
      <c r="Q15" s="422" t="n"/>
      <c r="R15" s="209" t="n"/>
      <c r="S15" s="215" t="n"/>
      <c r="T15" s="209" t="inlineStr">
        <is>
          <t>no</t>
        </is>
      </c>
      <c r="V15" s="459">
        <f>IF(J15&lt;&gt;"",IFERROR(J15-SUM(W15:AZ15),0),"")</f>
        <v/>
      </c>
      <c r="W15" s="163" t="n"/>
      <c r="X15" s="163" t="n"/>
      <c r="Y15" s="163">
        <f>100%*$J$15</f>
        <v/>
      </c>
      <c r="Z15" s="163" t="n"/>
      <c r="AA15" s="163" t="n"/>
      <c r="AB15" s="163" t="n"/>
      <c r="AC15" s="163" t="n"/>
      <c r="AD15" s="163" t="n"/>
      <c r="AE15" s="163" t="n"/>
      <c r="AF15" s="163" t="n"/>
      <c r="AG15" s="163" t="n"/>
      <c r="AH15" s="163" t="n"/>
      <c r="AI15" s="163" t="n"/>
      <c r="AJ15" s="163" t="n"/>
      <c r="AK15" s="163" t="n"/>
      <c r="AL15" s="163" t="n"/>
      <c r="AM15" s="163" t="n"/>
      <c r="AN15" s="163" t="n"/>
      <c r="AO15" s="163" t="n"/>
      <c r="AP15" s="163" t="n"/>
      <c r="AQ15" s="163" t="n"/>
      <c r="AR15" s="163" t="n"/>
      <c r="AS15" s="163" t="n"/>
      <c r="AT15" s="163" t="n"/>
      <c r="AU15" s="163" t="n"/>
      <c r="AV15" s="163" t="n"/>
      <c r="AW15" s="163" t="n"/>
      <c r="AX15" s="163" t="n"/>
      <c r="AY15" s="163" t="n"/>
      <c r="AZ15" s="163" t="n"/>
    </row>
    <row r="16" ht="16" customHeight="1">
      <c r="A16" s="158" t="inlineStr">
        <is>
          <t>T-9</t>
        </is>
      </c>
      <c r="B16" s="161" t="inlineStr">
        <is>
          <t>Content Architecture</t>
        </is>
      </c>
      <c r="C16" s="159" t="inlineStr">
        <is>
          <t>Views and listing pages</t>
        </is>
      </c>
      <c r="D16" s="159" t="inlineStr">
        <is>
          <t>Backend</t>
        </is>
      </c>
      <c r="E16" s="159" t="n">
        <v>30</v>
      </c>
      <c r="F16" s="161" t="n"/>
      <c r="G16" s="160" t="n"/>
      <c r="H16" s="172" t="n"/>
      <c r="I16" s="162" t="n"/>
      <c r="J16" s="452" t="n">
        <v>0</v>
      </c>
      <c r="K16" s="158" t="inlineStr">
        <is>
          <t>no</t>
        </is>
      </c>
      <c r="L16" s="158" t="n"/>
      <c r="M16" s="371" t="inlineStr"/>
      <c r="N16" s="458">
        <f t="array" ref="N16">IFERROR(calcDefaultValueOfProjectTask(M16),"error")</f>
        <v/>
      </c>
      <c r="P16" s="422" t="n"/>
      <c r="Q16" s="422" t="n"/>
      <c r="R16" s="209" t="n"/>
      <c r="S16" s="215" t="n"/>
      <c r="T16" s="209" t="inlineStr">
        <is>
          <t>no</t>
        </is>
      </c>
      <c r="V16" s="459">
        <f>IF(J16&lt;&gt;"",IFERROR(J16-SUM(W16:AZ16),0),"")</f>
        <v/>
      </c>
      <c r="W16" s="163" t="n"/>
      <c r="X16" s="163" t="n"/>
      <c r="Y16" s="163" t="n"/>
      <c r="Z16" s="163" t="n"/>
      <c r="AA16" s="163" t="n"/>
      <c r="AB16" s="163">
        <f>100%*$J$16</f>
        <v/>
      </c>
      <c r="AC16" s="163" t="n"/>
      <c r="AD16" s="163" t="n"/>
      <c r="AE16" s="163" t="n"/>
      <c r="AF16" s="163" t="n"/>
      <c r="AG16" s="163" t="n"/>
      <c r="AH16" s="163" t="n"/>
      <c r="AI16" s="163" t="n"/>
      <c r="AJ16" s="163" t="n"/>
      <c r="AK16" s="163" t="n"/>
      <c r="AL16" s="163" t="n"/>
      <c r="AM16" s="163" t="n"/>
      <c r="AN16" s="163" t="n"/>
      <c r="AO16" s="163" t="n"/>
      <c r="AP16" s="163" t="n"/>
      <c r="AQ16" s="163" t="n"/>
      <c r="AR16" s="163" t="n"/>
      <c r="AS16" s="163" t="n"/>
      <c r="AT16" s="163" t="n"/>
      <c r="AU16" s="163" t="n"/>
      <c r="AV16" s="163" t="n"/>
      <c r="AW16" s="163" t="n"/>
      <c r="AX16" s="163" t="n"/>
      <c r="AY16" s="163" t="n"/>
      <c r="AZ16" s="163" t="n"/>
    </row>
    <row r="17" ht="14.5" customHeight="1">
      <c r="A17" s="436" t="inlineStr">
        <is>
          <t>T-10</t>
        </is>
      </c>
      <c r="B17" s="136" t="inlineStr">
        <is>
          <t>Content Architecture</t>
        </is>
      </c>
      <c r="C17" s="19" t="inlineStr">
        <is>
          <t>Custom fields and field formatters</t>
        </is>
      </c>
      <c r="D17" s="19" t="inlineStr">
        <is>
          <t>Backend</t>
        </is>
      </c>
      <c r="E17" s="19" t="n">
        <v>20</v>
      </c>
      <c r="F17" s="136" t="n"/>
      <c r="G17" s="137" t="n"/>
      <c r="H17" s="16" t="n"/>
      <c r="I17" s="34" t="n"/>
      <c r="J17" s="452" t="n">
        <v>0</v>
      </c>
      <c r="K17" s="158" t="inlineStr">
        <is>
          <t>no</t>
        </is>
      </c>
      <c r="L17" s="165" t="n"/>
      <c r="M17" s="373" t="n"/>
      <c r="N17" s="458">
        <f t="array" ref="N17">IFERROR(calcDefaultValueOfProjectTask(M17),"error")</f>
        <v/>
      </c>
      <c r="P17" s="184" t="n"/>
      <c r="Q17" s="184" t="n"/>
      <c r="R17" s="206" t="n"/>
      <c r="S17" s="211" t="n"/>
      <c r="T17" s="206" t="inlineStr">
        <is>
          <t>no</t>
        </is>
      </c>
      <c r="V17" s="459">
        <f>IF(J17&lt;&gt;"",IFERROR(J17-SUM(W17:AZ17),0),"")</f>
        <v/>
      </c>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row>
    <row r="18" ht="32" customHeight="1">
      <c r="A18" s="158" t="inlineStr">
        <is>
          <t>T-11</t>
        </is>
      </c>
      <c r="B18" s="161" t="inlineStr">
        <is>
          <t>Frontend &amp; Theming</t>
        </is>
      </c>
      <c r="C18" s="159" t="inlineStr">
        <is>
          <t>Mercury Theme setup</t>
        </is>
      </c>
      <c r="D18" s="159" t="inlineStr">
        <is>
          <t>Frontend</t>
        </is>
      </c>
      <c r="E18" s="159" t="n">
        <v>8</v>
      </c>
      <c r="F18" s="161" t="n"/>
      <c r="G18" s="160" t="n"/>
      <c r="H18" s="172" t="n"/>
      <c r="I18" s="162" t="n"/>
      <c r="J18" s="452" t="n">
        <v>0</v>
      </c>
      <c r="K18" s="158" t="inlineStr">
        <is>
          <t>no</t>
        </is>
      </c>
      <c r="L18" s="158" t="n"/>
      <c r="M18" s="371" t="inlineStr"/>
      <c r="N18" s="458">
        <f t="array" ref="N18">IFERROR(calcDefaultValueOfProjectTask(M18),"error")</f>
        <v/>
      </c>
      <c r="P18" s="422" t="n"/>
      <c r="Q18" s="422" t="n"/>
      <c r="R18" s="209" t="n"/>
      <c r="S18" s="215" t="n"/>
      <c r="T18" s="209" t="inlineStr">
        <is>
          <t>no</t>
        </is>
      </c>
      <c r="V18" s="459">
        <f>IF(J18&lt;&gt;"",IFERROR(J18-SUM(W18:AZ18),0),"")</f>
        <v/>
      </c>
      <c r="W18" s="163" t="n"/>
      <c r="X18" s="163" t="n"/>
      <c r="Y18" s="163" t="n"/>
      <c r="Z18" s="163" t="n"/>
      <c r="AA18" s="163" t="n"/>
      <c r="AB18" s="163" t="n"/>
      <c r="AC18" s="163" t="n"/>
      <c r="AD18" s="163" t="n"/>
      <c r="AE18" s="163">
        <f>100%*$J$18</f>
        <v/>
      </c>
      <c r="AF18" s="163" t="n"/>
      <c r="AG18" s="163" t="n"/>
      <c r="AH18" s="163" t="n"/>
      <c r="AI18" s="163" t="n"/>
      <c r="AJ18" s="163" t="n"/>
      <c r="AK18" s="163" t="n"/>
      <c r="AL18" s="163" t="n"/>
      <c r="AM18" s="163" t="n"/>
      <c r="AN18" s="163" t="n"/>
      <c r="AO18" s="163" t="n"/>
      <c r="AP18" s="163" t="n"/>
      <c r="AQ18" s="163" t="n"/>
      <c r="AR18" s="163" t="n"/>
      <c r="AS18" s="163" t="n"/>
      <c r="AT18" s="163" t="n"/>
      <c r="AU18" s="163" t="n"/>
      <c r="AV18" s="163" t="n"/>
      <c r="AW18" s="163" t="n"/>
      <c r="AX18" s="163" t="n"/>
      <c r="AY18" s="163" t="n"/>
      <c r="AZ18" s="163" t="n"/>
    </row>
    <row r="19" ht="14.5" customHeight="1">
      <c r="A19" s="436" t="inlineStr">
        <is>
          <t>T-12</t>
        </is>
      </c>
      <c r="B19" s="136" t="inlineStr">
        <is>
          <t>Frontend &amp; Theming</t>
        </is>
      </c>
      <c r="C19" s="19" t="inlineStr">
        <is>
          <t>Storybook component development</t>
        </is>
      </c>
      <c r="D19" s="19" t="inlineStr">
        <is>
          <t>Frontend</t>
        </is>
      </c>
      <c r="E19" s="19" t="n">
        <v>60</v>
      </c>
      <c r="F19" s="136" t="n"/>
      <c r="G19" s="137" t="n"/>
      <c r="H19" s="16" t="n"/>
      <c r="I19" s="34" t="n"/>
      <c r="J19" s="452" t="n">
        <v>0</v>
      </c>
      <c r="K19" s="158" t="inlineStr">
        <is>
          <t>no</t>
        </is>
      </c>
      <c r="L19" s="165" t="n"/>
      <c r="M19" s="373" t="n"/>
      <c r="N19" s="458">
        <f t="array" ref="N19">IFERROR(calcDefaultValueOfProjectTask(M19),"error")</f>
        <v/>
      </c>
      <c r="P19" s="184" t="n"/>
      <c r="Q19" s="184" t="n"/>
      <c r="R19" s="206" t="n"/>
      <c r="S19" s="211" t="n"/>
      <c r="T19" s="206" t="inlineStr">
        <is>
          <t>no</t>
        </is>
      </c>
      <c r="V19" s="459">
        <f>IF(J19&lt;&gt;"",IFERROR(J19-SUM(W19:AZ19),0),"")</f>
        <v/>
      </c>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row>
    <row r="20" ht="32" customHeight="1">
      <c r="A20" s="158" t="inlineStr">
        <is>
          <t>T-13</t>
        </is>
      </c>
      <c r="B20" s="161" t="inlineStr">
        <is>
          <t>Frontend &amp; Theming</t>
        </is>
      </c>
      <c r="C20" s="159" t="inlineStr">
        <is>
          <t>Tailwind CSS configuration</t>
        </is>
      </c>
      <c r="D20" s="159" t="inlineStr">
        <is>
          <t>Frontend</t>
        </is>
      </c>
      <c r="E20" s="159" t="n">
        <v>12</v>
      </c>
      <c r="F20" s="161" t="n"/>
      <c r="G20" s="160" t="inlineStr">
        <is>
          <t>FT#1</t>
        </is>
      </c>
      <c r="H20" s="172" t="n"/>
      <c r="I20" s="162" t="n"/>
      <c r="J20" s="485">
        <f>Features!R9</f>
        <v/>
      </c>
      <c r="K20" s="164" t="n"/>
      <c r="L20" s="158" t="inlineStr">
        <is>
          <t>[design]</t>
        </is>
      </c>
      <c r="M20" s="409" t="inlineStr"/>
      <c r="N20" s="458">
        <f t="array" ref="N20">IFERROR(calcDefaultValueOfProjectTask(M20),"error")</f>
        <v/>
      </c>
      <c r="P20" s="422" t="n"/>
      <c r="Q20" s="422" t="n"/>
      <c r="R20" s="209" t="n"/>
      <c r="S20" s="215" t="n"/>
      <c r="T20" s="209" t="inlineStr">
        <is>
          <t>no</t>
        </is>
      </c>
      <c r="V20" s="459">
        <f>IF(J20&lt;&gt;"",IFERROR(J20-SUM(W20:AZ20),0),"")</f>
        <v/>
      </c>
      <c r="W20" s="163" t="n"/>
      <c r="X20" s="163" t="n"/>
      <c r="Y20" s="163">
        <f>20%*$J$20</f>
        <v/>
      </c>
      <c r="Z20" s="163">
        <f>80%*$J$20</f>
        <v/>
      </c>
      <c r="AA20" s="163" t="n"/>
      <c r="AB20" s="163" t="n"/>
      <c r="AC20" s="163" t="n"/>
      <c r="AD20" s="163" t="n"/>
      <c r="AE20" s="163" t="n"/>
      <c r="AF20" s="163" t="n"/>
      <c r="AG20" s="163" t="n"/>
      <c r="AH20" s="163" t="n"/>
      <c r="AI20" s="163" t="n"/>
      <c r="AJ20" s="163" t="n"/>
      <c r="AK20" s="163" t="n"/>
      <c r="AL20" s="163" t="n"/>
      <c r="AM20" s="163" t="n"/>
      <c r="AN20" s="163" t="n"/>
      <c r="AO20" s="163" t="n"/>
      <c r="AP20" s="163" t="n"/>
      <c r="AQ20" s="163" t="n"/>
      <c r="AR20" s="163" t="n"/>
      <c r="AS20" s="163" t="n"/>
      <c r="AT20" s="163" t="n"/>
      <c r="AU20" s="163" t="n"/>
      <c r="AV20" s="163" t="n"/>
      <c r="AW20" s="163" t="n"/>
      <c r="AX20" s="163" t="n"/>
      <c r="AY20" s="163" t="n"/>
      <c r="AZ20" s="163" t="n"/>
    </row>
    <row r="21" ht="14.5" customHeight="1">
      <c r="A21" s="158" t="inlineStr">
        <is>
          <t>T-14</t>
        </is>
      </c>
      <c r="B21" s="159" t="inlineStr">
        <is>
          <t>Frontend &amp; Theming</t>
        </is>
      </c>
      <c r="C21" s="159" t="inlineStr">
        <is>
          <t>Responsive design implementation</t>
        </is>
      </c>
      <c r="D21" s="159" t="inlineStr">
        <is>
          <t>Frontend</t>
        </is>
      </c>
      <c r="E21" s="159" t="n">
        <v>40</v>
      </c>
      <c r="F21" s="161" t="n"/>
      <c r="G21" s="160" t="inlineStr">
        <is>
          <t>FT#2</t>
        </is>
      </c>
      <c r="H21" s="172" t="n"/>
      <c r="I21" s="162" t="n"/>
      <c r="J21" s="485">
        <f>Features!S9</f>
        <v/>
      </c>
      <c r="K21" s="164" t="n"/>
      <c r="L21" s="158" t="inlineStr">
        <is>
          <t>[dev]</t>
        </is>
      </c>
      <c r="M21" s="409" t="inlineStr"/>
      <c r="N21" s="458">
        <f t="array" ref="N21">IFERROR(calcDefaultValueOfProjectTask(M21),"error")</f>
        <v/>
      </c>
      <c r="P21" s="422" t="n"/>
      <c r="Q21" s="422" t="n"/>
      <c r="R21" s="209" t="n"/>
      <c r="S21" s="215" t="n"/>
      <c r="T21" s="209" t="inlineStr">
        <is>
          <t>no</t>
        </is>
      </c>
      <c r="V21" s="459">
        <f>IF(J21&lt;&gt;"",IFERROR(J21-SUM(W21:AZ21),0),"")</f>
        <v/>
      </c>
      <c r="W21" s="163" t="n"/>
      <c r="X21" s="163" t="n"/>
      <c r="Y21" s="163" t="n"/>
      <c r="Z21" s="163" t="n"/>
      <c r="AA21" s="163" t="n"/>
      <c r="AB21" s="163" t="n"/>
      <c r="AC21" s="163" t="n"/>
      <c r="AD21" s="163">
        <f>100%*$J$21</f>
        <v/>
      </c>
      <c r="AE21" s="163" t="n"/>
      <c r="AF21" s="163" t="n"/>
      <c r="AG21" s="163" t="n"/>
      <c r="AH21" s="163" t="n"/>
      <c r="AI21" s="163" t="n"/>
      <c r="AJ21" s="163" t="n"/>
      <c r="AK21" s="163" t="n"/>
      <c r="AL21" s="163" t="n"/>
      <c r="AM21" s="163" t="n"/>
      <c r="AN21" s="163" t="n"/>
      <c r="AO21" s="163" t="n"/>
      <c r="AP21" s="163" t="n"/>
      <c r="AQ21" s="163" t="n"/>
      <c r="AR21" s="163" t="n"/>
      <c r="AS21" s="163" t="n"/>
      <c r="AT21" s="163" t="n"/>
      <c r="AU21" s="163" t="n"/>
      <c r="AV21" s="163" t="n"/>
      <c r="AW21" s="163" t="n"/>
      <c r="AX21" s="163" t="n"/>
      <c r="AY21" s="163" t="n"/>
      <c r="AZ21" s="163" t="n"/>
    </row>
    <row r="22" ht="80" customHeight="1">
      <c r="A22" s="158" t="inlineStr">
        <is>
          <t>T-15</t>
        </is>
      </c>
      <c r="B22" s="159" t="inlineStr">
        <is>
          <t>Frontend &amp; Theming</t>
        </is>
      </c>
      <c r="C22" s="159" t="inlineStr">
        <is>
          <t>Accessibility (WCAG 2.1 AA)</t>
        </is>
      </c>
      <c r="D22" s="159" t="inlineStr">
        <is>
          <t>Frontend</t>
        </is>
      </c>
      <c r="E22" s="159" t="n">
        <v>24</v>
      </c>
      <c r="F22" s="161" t="n"/>
      <c r="G22" s="160" t="inlineStr">
        <is>
          <t>FT#3</t>
        </is>
      </c>
      <c r="H22" s="172" t="n"/>
      <c r="I22" s="162" t="n"/>
      <c r="J22" s="485">
        <f>Features!T9</f>
        <v/>
      </c>
      <c r="K22" s="164" t="n"/>
      <c r="L22" s="158" t="inlineStr">
        <is>
          <t>[test]</t>
        </is>
      </c>
      <c r="M22" s="409" t="inlineStr"/>
      <c r="N22" s="458">
        <f t="array" ref="N22">IFERROR(calcDefaultValueOfProjectTask(M22),"error")</f>
        <v/>
      </c>
      <c r="P22" s="422" t="n"/>
      <c r="Q22" s="422" t="n"/>
      <c r="R22" s="209" t="n"/>
      <c r="S22" s="215" t="n"/>
      <c r="T22" s="209" t="inlineStr">
        <is>
          <t>no</t>
        </is>
      </c>
      <c r="V22" s="459">
        <f>IF(J22&lt;&gt;"",IFERROR(J22-SUM(W22:AZ22),0),"")</f>
        <v/>
      </c>
      <c r="W22" s="163" t="n"/>
      <c r="X22" s="163" t="n"/>
      <c r="Y22" s="163" t="n"/>
      <c r="Z22" s="163" t="n"/>
      <c r="AA22" s="163" t="n"/>
      <c r="AB22" s="163" t="n"/>
      <c r="AC22" s="163">
        <f>100%*$J$22</f>
        <v/>
      </c>
      <c r="AD22" s="163" t="n"/>
      <c r="AE22" s="163" t="n"/>
      <c r="AF22" s="163" t="n"/>
      <c r="AG22" s="163" t="n"/>
      <c r="AH22" s="163" t="n"/>
      <c r="AI22" s="163" t="n"/>
      <c r="AJ22" s="163" t="n"/>
      <c r="AK22" s="163" t="n"/>
      <c r="AL22" s="163" t="n"/>
      <c r="AM22" s="163" t="n"/>
      <c r="AN22" s="163" t="n"/>
      <c r="AO22" s="163" t="n"/>
      <c r="AP22" s="163" t="n"/>
      <c r="AQ22" s="163" t="n"/>
      <c r="AR22" s="163" t="n"/>
      <c r="AS22" s="163" t="n"/>
      <c r="AT22" s="163" t="n"/>
      <c r="AU22" s="163" t="n"/>
      <c r="AV22" s="163" t="n"/>
      <c r="AW22" s="163" t="n"/>
      <c r="AX22" s="163" t="n"/>
      <c r="AY22" s="163" t="n"/>
      <c r="AZ22" s="163" t="n"/>
    </row>
    <row r="23" ht="14.5" customHeight="1">
      <c r="A23" s="158" t="inlineStr">
        <is>
          <t>T-16</t>
        </is>
      </c>
      <c r="B23" s="159" t="inlineStr">
        <is>
          <t>Integrations</t>
        </is>
      </c>
      <c r="C23" s="159" t="inlineStr">
        <is>
          <t>Keycloak oAuth2 SSO integration</t>
        </is>
      </c>
      <c r="D23" s="159" t="inlineStr">
        <is>
          <t>Backend</t>
        </is>
      </c>
      <c r="E23" s="159" t="n">
        <v>40</v>
      </c>
      <c r="F23" s="161" t="n"/>
      <c r="G23" s="160" t="n"/>
      <c r="H23" s="172" t="n"/>
      <c r="I23" s="162" t="n"/>
      <c r="J23" s="452" t="n">
        <v>0</v>
      </c>
      <c r="K23" s="158" t="inlineStr">
        <is>
          <t>no</t>
        </is>
      </c>
      <c r="L23" s="158" t="n"/>
      <c r="M23" s="371" t="inlineStr"/>
      <c r="N23" s="458">
        <f t="array" ref="N23">IFERROR(calcDefaultValueOfProjectTask(M23),"error")</f>
        <v/>
      </c>
      <c r="P23" s="422" t="n"/>
      <c r="Q23" s="422" t="n"/>
      <c r="R23" s="209" t="n"/>
      <c r="S23" s="215" t="n"/>
      <c r="T23" s="209" t="inlineStr">
        <is>
          <t>no</t>
        </is>
      </c>
      <c r="V23" s="459">
        <f>IF(J23&lt;&gt;"",IFERROR(J23-SUM(W23:AZ23),0),"")</f>
        <v/>
      </c>
      <c r="W23" s="163" t="n"/>
      <c r="X23" s="163" t="n"/>
      <c r="Y23" s="163" t="n"/>
      <c r="Z23" s="163" t="n"/>
      <c r="AA23" s="163" t="n"/>
      <c r="AB23" s="163">
        <f>20%*$J$23</f>
        <v/>
      </c>
      <c r="AC23" s="163">
        <f>80%*$J$23</f>
        <v/>
      </c>
      <c r="AD23" s="163" t="n"/>
      <c r="AE23" s="163" t="n"/>
      <c r="AF23" s="163" t="n"/>
      <c r="AG23" s="163" t="n"/>
      <c r="AH23" s="163" t="n"/>
      <c r="AI23" s="163" t="n"/>
      <c r="AJ23" s="163" t="n"/>
      <c r="AK23" s="163" t="n"/>
      <c r="AL23" s="163" t="n"/>
      <c r="AM23" s="163" t="n"/>
      <c r="AN23" s="163" t="n"/>
      <c r="AO23" s="163" t="n"/>
      <c r="AP23" s="163" t="n"/>
      <c r="AQ23" s="163" t="n"/>
      <c r="AR23" s="163" t="n"/>
      <c r="AS23" s="163" t="n"/>
      <c r="AT23" s="163" t="n"/>
      <c r="AU23" s="163" t="n"/>
      <c r="AV23" s="163" t="n"/>
      <c r="AW23" s="163" t="n"/>
      <c r="AX23" s="163" t="n"/>
      <c r="AY23" s="163" t="n"/>
      <c r="AZ23" s="163" t="n"/>
    </row>
    <row r="24" ht="16" customHeight="1">
      <c r="A24" s="158" t="inlineStr">
        <is>
          <t>T-17</t>
        </is>
      </c>
      <c r="B24" s="159" t="inlineStr">
        <is>
          <t>Integrations</t>
        </is>
      </c>
      <c r="C24" s="159" t="inlineStr">
        <is>
          <t>Fiona Festival API integration</t>
        </is>
      </c>
      <c r="D24" s="159" t="inlineStr">
        <is>
          <t>Backend</t>
        </is>
      </c>
      <c r="E24" s="159" t="n">
        <v>60</v>
      </c>
      <c r="F24" s="161" t="n"/>
      <c r="G24" s="160" t="n"/>
      <c r="H24" s="172" t="n"/>
      <c r="I24" s="162" t="n"/>
      <c r="J24" s="452" t="n">
        <v>0</v>
      </c>
      <c r="K24" s="158" t="inlineStr">
        <is>
          <t>no</t>
        </is>
      </c>
      <c r="L24" s="158" t="n"/>
      <c r="M24" s="371" t="inlineStr"/>
      <c r="N24" s="458">
        <f t="array" ref="N24">IFERROR(calcDefaultValueOfProjectTask(M24),"error")</f>
        <v/>
      </c>
      <c r="P24" s="422" t="n"/>
      <c r="Q24" s="422" t="n"/>
      <c r="R24" s="209" t="n"/>
      <c r="S24" s="215" t="n"/>
      <c r="T24" s="209" t="inlineStr">
        <is>
          <t>no</t>
        </is>
      </c>
      <c r="V24" s="459">
        <f>IF(J24&lt;&gt;"",IFERROR(J24-SUM(W24:AZ24),0),"")</f>
        <v/>
      </c>
      <c r="W24" s="163" t="n"/>
      <c r="X24" s="163" t="n"/>
      <c r="Y24" s="163">
        <f>20%*$J$24</f>
        <v/>
      </c>
      <c r="Z24" s="163" t="n"/>
      <c r="AA24" s="163" t="n"/>
      <c r="AB24" s="163" t="n"/>
      <c r="AC24" s="163" t="n"/>
      <c r="AD24" s="163" t="n"/>
      <c r="AE24" s="163">
        <f>80%*$J$24</f>
        <v/>
      </c>
      <c r="AF24" s="163" t="n"/>
      <c r="AG24" s="163" t="n"/>
      <c r="AH24" s="163" t="n"/>
      <c r="AI24" s="163" t="n"/>
      <c r="AJ24" s="163" t="n"/>
      <c r="AK24" s="163" t="n"/>
      <c r="AL24" s="163" t="n"/>
      <c r="AM24" s="163" t="n"/>
      <c r="AN24" s="163" t="n"/>
      <c r="AO24" s="163" t="n"/>
      <c r="AP24" s="163" t="n"/>
      <c r="AQ24" s="163" t="n"/>
      <c r="AR24" s="163" t="n"/>
      <c r="AS24" s="163" t="n"/>
      <c r="AT24" s="163" t="n"/>
      <c r="AU24" s="163" t="n"/>
      <c r="AV24" s="163" t="n"/>
      <c r="AW24" s="163" t="n"/>
      <c r="AX24" s="163" t="n"/>
      <c r="AY24" s="163" t="n"/>
      <c r="AZ24" s="163" t="n"/>
    </row>
    <row r="25" ht="14.5" customHeight="1">
      <c r="A25" s="158" t="inlineStr">
        <is>
          <t>T-18</t>
        </is>
      </c>
      <c r="B25" s="159" t="inlineStr">
        <is>
          <t>Integrations</t>
        </is>
      </c>
      <c r="C25" s="159" t="inlineStr">
        <is>
          <t>Sony VOD DRM streaming</t>
        </is>
      </c>
      <c r="D25" s="159" t="inlineStr">
        <is>
          <t>Backend</t>
        </is>
      </c>
      <c r="E25" s="159" t="n">
        <v>50</v>
      </c>
      <c r="F25" s="161" t="n"/>
      <c r="G25" s="160" t="n"/>
      <c r="H25" s="172" t="n"/>
      <c r="I25" s="162" t="n"/>
      <c r="J25" s="452" t="n">
        <v>0</v>
      </c>
      <c r="K25" s="158" t="inlineStr">
        <is>
          <t>no</t>
        </is>
      </c>
      <c r="L25" s="158" t="n"/>
      <c r="M25" s="371" t="inlineStr"/>
      <c r="N25" s="458">
        <f t="array" ref="N25">IFERROR(calcDefaultValueOfProjectTask(M25),"error")</f>
        <v/>
      </c>
      <c r="P25" s="422" t="n"/>
      <c r="Q25" s="422" t="n"/>
      <c r="R25" s="209" t="n"/>
      <c r="S25" s="215" t="n"/>
      <c r="T25" s="209" t="inlineStr">
        <is>
          <t>no</t>
        </is>
      </c>
      <c r="V25" s="459">
        <f>IF(J25&lt;&gt;"",IFERROR(J25-SUM(W25:AZ25),0),"")</f>
        <v/>
      </c>
      <c r="W25" s="163" t="n"/>
      <c r="X25" s="163" t="n"/>
      <c r="Y25" s="163">
        <f>20%*$J$25</f>
        <v/>
      </c>
      <c r="Z25" s="163" t="n"/>
      <c r="AA25" s="163" t="n"/>
      <c r="AB25" s="163" t="n"/>
      <c r="AC25" s="163" t="n"/>
      <c r="AD25" s="163" t="n"/>
      <c r="AE25" s="163">
        <f>80%*$J$25</f>
        <v/>
      </c>
      <c r="AF25" s="163" t="n"/>
      <c r="AG25" s="163" t="n"/>
      <c r="AH25" s="163" t="n"/>
      <c r="AI25" s="163" t="n"/>
      <c r="AJ25" s="163" t="n"/>
      <c r="AK25" s="163" t="n"/>
      <c r="AL25" s="163" t="n"/>
      <c r="AM25" s="163" t="n"/>
      <c r="AN25" s="163" t="n"/>
      <c r="AO25" s="163" t="n"/>
      <c r="AP25" s="163" t="n"/>
      <c r="AQ25" s="163" t="n"/>
      <c r="AR25" s="163" t="n"/>
      <c r="AS25" s="163" t="n"/>
      <c r="AT25" s="163" t="n"/>
      <c r="AU25" s="163" t="n"/>
      <c r="AV25" s="163" t="n"/>
      <c r="AW25" s="163" t="n"/>
      <c r="AX25" s="163" t="n"/>
      <c r="AY25" s="163" t="n"/>
      <c r="AZ25" s="163" t="n"/>
    </row>
    <row r="26" ht="14.5" customHeight="1">
      <c r="A26" s="158" t="inlineStr">
        <is>
          <t>T-19</t>
        </is>
      </c>
      <c r="B26" s="159" t="inlineStr">
        <is>
          <t>Integrations</t>
        </is>
      </c>
      <c r="C26" s="159" t="inlineStr">
        <is>
          <t>Mobile App REST API</t>
        </is>
      </c>
      <c r="D26" s="159" t="inlineStr">
        <is>
          <t>Backend</t>
        </is>
      </c>
      <c r="E26" s="159" t="n">
        <v>35</v>
      </c>
      <c r="F26" s="161" t="n"/>
      <c r="G26" s="160" t="n"/>
      <c r="H26" s="172" t="n"/>
      <c r="I26" s="162" t="n"/>
      <c r="J26" s="452" t="n">
        <v>0</v>
      </c>
      <c r="K26" s="158" t="inlineStr">
        <is>
          <t>no</t>
        </is>
      </c>
      <c r="L26" s="158" t="n"/>
      <c r="M26" s="371" t="inlineStr"/>
      <c r="N26" s="458">
        <f t="array" ref="N26">IFERROR(calcDefaultValueOfProjectTask(M26),"error")</f>
        <v/>
      </c>
      <c r="P26" s="422" t="n"/>
      <c r="Q26" s="422" t="n"/>
      <c r="R26" s="209" t="n"/>
      <c r="S26" s="215" t="n"/>
      <c r="T26" s="209" t="inlineStr">
        <is>
          <t>no</t>
        </is>
      </c>
      <c r="V26" s="459">
        <f>IF(J26&lt;&gt;"",IFERROR(J26-SUM(W26:AZ26),0),"")</f>
        <v/>
      </c>
      <c r="W26" s="163" t="n"/>
      <c r="X26" s="163" t="n"/>
      <c r="Y26" s="163" t="n"/>
      <c r="Z26" s="163">
        <f>100%*$J$26</f>
        <v/>
      </c>
      <c r="AA26" s="163" t="n"/>
      <c r="AB26" s="163" t="n"/>
      <c r="AC26" s="163" t="n"/>
      <c r="AD26" s="163" t="n"/>
      <c r="AE26" s="163" t="n"/>
      <c r="AF26" s="163" t="n"/>
      <c r="AG26" s="163" t="n"/>
      <c r="AH26" s="163" t="n"/>
      <c r="AI26" s="163" t="n"/>
      <c r="AJ26" s="163" t="n"/>
      <c r="AK26" s="163" t="n"/>
      <c r="AL26" s="163" t="n"/>
      <c r="AM26" s="163" t="n"/>
      <c r="AN26" s="163" t="n"/>
      <c r="AO26" s="163" t="n"/>
      <c r="AP26" s="163" t="n"/>
      <c r="AQ26" s="163" t="n"/>
      <c r="AR26" s="163" t="n"/>
      <c r="AS26" s="163" t="n"/>
      <c r="AT26" s="163" t="n"/>
      <c r="AU26" s="163" t="n"/>
      <c r="AV26" s="163" t="n"/>
      <c r="AW26" s="163" t="n"/>
      <c r="AX26" s="163" t="n"/>
      <c r="AY26" s="163" t="n"/>
      <c r="AZ26" s="163" t="n"/>
    </row>
    <row r="27" ht="14.5" customHeight="1">
      <c r="A27" s="158" t="inlineStr">
        <is>
          <t>T-20</t>
        </is>
      </c>
      <c r="B27" s="159" t="inlineStr">
        <is>
          <t>Integrations</t>
        </is>
      </c>
      <c r="C27" s="159" t="inlineStr">
        <is>
          <t>Solr Enterprise Search setup</t>
        </is>
      </c>
      <c r="D27" s="159" t="inlineStr">
        <is>
          <t>Backend</t>
        </is>
      </c>
      <c r="E27" s="159" t="n">
        <v>40</v>
      </c>
      <c r="F27" s="161" t="n"/>
      <c r="G27" s="160" t="n"/>
      <c r="H27" s="172" t="n"/>
      <c r="I27" s="162" t="n"/>
      <c r="J27" s="452" t="n">
        <v>0</v>
      </c>
      <c r="K27" s="158" t="inlineStr">
        <is>
          <t>no</t>
        </is>
      </c>
      <c r="L27" s="158" t="n"/>
      <c r="M27" s="371" t="inlineStr"/>
      <c r="N27" s="458">
        <f t="array" ref="N27">IFERROR(calcDefaultValueOfProjectTask(M27),"error")</f>
        <v/>
      </c>
      <c r="P27" s="422" t="n"/>
      <c r="Q27" s="422" t="n"/>
      <c r="R27" s="209" t="n"/>
      <c r="S27" s="215" t="n"/>
      <c r="T27" s="209" t="inlineStr">
        <is>
          <t>no</t>
        </is>
      </c>
      <c r="V27" s="459">
        <f>IF(J27&lt;&gt;"",IFERROR(J27-SUM(W27:AZ27),0),"")</f>
        <v/>
      </c>
      <c r="W27" s="163" t="n"/>
      <c r="X27" s="163" t="n"/>
      <c r="Y27" s="163" t="n"/>
      <c r="Z27" s="163">
        <f>100%*$J$27</f>
        <v/>
      </c>
      <c r="AA27" s="163" t="n"/>
      <c r="AB27" s="163" t="n"/>
      <c r="AC27" s="163" t="n"/>
      <c r="AD27" s="163" t="n"/>
      <c r="AE27" s="163" t="n"/>
      <c r="AF27" s="163" t="n"/>
      <c r="AG27" s="163" t="n"/>
      <c r="AH27" s="163" t="n"/>
      <c r="AI27" s="163" t="n"/>
      <c r="AJ27" s="163" t="n"/>
      <c r="AK27" s="163" t="n"/>
      <c r="AL27" s="163" t="n"/>
      <c r="AM27" s="163" t="n"/>
      <c r="AN27" s="163" t="n"/>
      <c r="AO27" s="163" t="n"/>
      <c r="AP27" s="163" t="n"/>
      <c r="AQ27" s="163" t="n"/>
      <c r="AR27" s="163" t="n"/>
      <c r="AS27" s="163" t="n"/>
      <c r="AT27" s="163" t="n"/>
      <c r="AU27" s="163" t="n"/>
      <c r="AV27" s="163" t="n"/>
      <c r="AW27" s="163" t="n"/>
      <c r="AX27" s="163" t="n"/>
      <c r="AY27" s="163" t="n"/>
      <c r="AZ27" s="163" t="n"/>
    </row>
    <row r="28" ht="14.5" customHeight="1">
      <c r="A28" s="158" t="inlineStr">
        <is>
          <t>T-21</t>
        </is>
      </c>
      <c r="B28" s="159" t="inlineStr">
        <is>
          <t>Integrations</t>
        </is>
      </c>
      <c r="C28" s="159" t="inlineStr">
        <is>
          <t>CloudFront CDN configuration</t>
        </is>
      </c>
      <c r="D28" s="159" t="inlineStr">
        <is>
          <t>DevOps</t>
        </is>
      </c>
      <c r="E28" s="159" t="n">
        <v>16</v>
      </c>
      <c r="F28" s="161" t="n"/>
      <c r="G28" s="160" t="inlineStr">
        <is>
          <t>FT#4</t>
        </is>
      </c>
      <c r="H28" s="172" t="n"/>
      <c r="I28" s="162" t="n"/>
      <c r="J28" s="485">
        <f>Features!U9</f>
        <v/>
      </c>
      <c r="K28" s="164" t="n"/>
      <c r="L28" s="158" t="inlineStr">
        <is>
          <t>[bugfix]</t>
        </is>
      </c>
      <c r="M28" s="409" t="inlineStr"/>
      <c r="N28" s="458">
        <f t="array" ref="N28">IFERROR(calcDefaultValueOfProjectTask(M28),"error")</f>
        <v/>
      </c>
      <c r="P28" s="422" t="n"/>
      <c r="Q28" s="422" t="n"/>
      <c r="R28" s="209" t="n"/>
      <c r="S28" s="215" t="n"/>
      <c r="T28" s="209" t="inlineStr">
        <is>
          <t>no</t>
        </is>
      </c>
      <c r="V28" s="459">
        <f>IF(J28&lt;&gt;"",IFERROR(J28-SUM(W28:AZ28),0),"")</f>
        <v/>
      </c>
      <c r="W28" s="163" t="n"/>
      <c r="X28" s="163" t="n"/>
      <c r="Y28" s="163" t="n"/>
      <c r="Z28" s="163" t="n"/>
      <c r="AA28" s="163" t="n"/>
      <c r="AB28" s="163" t="n"/>
      <c r="AC28" s="163">
        <f>20%*$J$28</f>
        <v/>
      </c>
      <c r="AD28" s="163">
        <f>80%*$J$28</f>
        <v/>
      </c>
      <c r="AE28" s="163" t="n"/>
      <c r="AF28" s="163" t="n"/>
      <c r="AG28" s="163" t="n"/>
      <c r="AH28" s="163" t="n"/>
      <c r="AI28" s="163" t="n"/>
      <c r="AJ28" s="163" t="n"/>
      <c r="AK28" s="163" t="n"/>
      <c r="AL28" s="163" t="n"/>
      <c r="AM28" s="163" t="n"/>
      <c r="AN28" s="163" t="n"/>
      <c r="AO28" s="163" t="n"/>
      <c r="AP28" s="163" t="n"/>
      <c r="AQ28" s="163" t="n"/>
      <c r="AR28" s="163" t="n"/>
      <c r="AS28" s="163" t="n"/>
      <c r="AT28" s="163" t="n"/>
      <c r="AU28" s="163" t="n"/>
      <c r="AV28" s="163" t="n"/>
      <c r="AW28" s="163" t="n"/>
      <c r="AX28" s="163" t="n"/>
      <c r="AY28" s="163" t="n"/>
      <c r="AZ28" s="163" t="n"/>
    </row>
    <row r="29" ht="14.5" customHeight="1">
      <c r="A29" s="158" t="inlineStr">
        <is>
          <t>T-22</t>
        </is>
      </c>
      <c r="B29" s="159" t="inlineStr">
        <is>
          <t>Migration</t>
        </is>
      </c>
      <c r="C29" s="159" t="inlineStr">
        <is>
          <t>Content migration scripts</t>
        </is>
      </c>
      <c r="D29" s="159" t="inlineStr">
        <is>
          <t>Backend</t>
        </is>
      </c>
      <c r="E29" s="159" t="n">
        <v>40</v>
      </c>
      <c r="F29" s="161" t="n"/>
      <c r="G29" s="160" t="n"/>
      <c r="H29" s="172" t="n"/>
      <c r="I29" s="162" t="n"/>
      <c r="J29" s="452" t="n">
        <v>0</v>
      </c>
      <c r="K29" s="158" t="inlineStr">
        <is>
          <t>no</t>
        </is>
      </c>
      <c r="L29" s="158" t="n"/>
      <c r="M29" s="371" t="inlineStr"/>
      <c r="N29" s="458">
        <f t="array" ref="N29">IFERROR(calcDefaultValueOfProjectTask(M29),"error")</f>
        <v/>
      </c>
      <c r="P29" s="422" t="n"/>
      <c r="Q29" s="422" t="n"/>
      <c r="R29" s="209" t="n"/>
      <c r="S29" s="215" t="n"/>
      <c r="T29" s="209" t="inlineStr">
        <is>
          <t>no</t>
        </is>
      </c>
      <c r="V29" s="459">
        <f>IF(J29&lt;&gt;"",IFERROR(J29-SUM(W29:AZ29),0),"")</f>
        <v/>
      </c>
      <c r="W29" s="163" t="n"/>
      <c r="X29" s="163" t="n"/>
      <c r="Y29" s="163" t="n"/>
      <c r="Z29" s="163">
        <f>50%*$J$29</f>
        <v/>
      </c>
      <c r="AA29" s="163" t="n"/>
      <c r="AB29" s="163" t="n"/>
      <c r="AC29" s="163" t="n"/>
      <c r="AD29" s="163">
        <f>50%*$J$29</f>
        <v/>
      </c>
      <c r="AE29" s="163" t="n"/>
      <c r="AF29" s="163" t="n"/>
      <c r="AG29" s="163" t="n"/>
      <c r="AH29" s="163" t="n"/>
      <c r="AI29" s="163" t="n"/>
      <c r="AJ29" s="163" t="n"/>
      <c r="AK29" s="163" t="n"/>
      <c r="AL29" s="163" t="n"/>
      <c r="AM29" s="163" t="n"/>
      <c r="AN29" s="163" t="n"/>
      <c r="AO29" s="163" t="n"/>
      <c r="AP29" s="163" t="n"/>
      <c r="AQ29" s="163" t="n"/>
      <c r="AR29" s="163" t="n"/>
      <c r="AS29" s="163" t="n"/>
      <c r="AT29" s="163" t="n"/>
      <c r="AU29" s="163" t="n"/>
      <c r="AV29" s="163" t="n"/>
      <c r="AW29" s="163" t="n"/>
      <c r="AX29" s="163" t="n"/>
      <c r="AY29" s="163" t="n"/>
      <c r="AZ29" s="163" t="n"/>
    </row>
    <row r="30" ht="32" customHeight="1">
      <c r="A30" s="158" t="inlineStr">
        <is>
          <t>T-23</t>
        </is>
      </c>
      <c r="B30" s="159" t="inlineStr">
        <is>
          <t>Migration</t>
        </is>
      </c>
      <c r="C30" s="159" t="inlineStr">
        <is>
          <t>Asset migration (images/videos)</t>
        </is>
      </c>
      <c r="D30" s="159" t="inlineStr">
        <is>
          <t>Backend</t>
        </is>
      </c>
      <c r="E30" s="159" t="n">
        <v>20</v>
      </c>
      <c r="F30" s="161" t="n"/>
      <c r="G30" s="160" t="n"/>
      <c r="H30" s="172" t="n"/>
      <c r="I30" s="162" t="n"/>
      <c r="J30" s="452" t="n">
        <v>0</v>
      </c>
      <c r="K30" s="158" t="inlineStr">
        <is>
          <t>no</t>
        </is>
      </c>
      <c r="L30" s="158" t="n"/>
      <c r="M30" s="371" t="inlineStr"/>
      <c r="N30" s="458">
        <f t="array" ref="N30">IFERROR(calcDefaultValueOfProjectTask(M30),"error")</f>
        <v/>
      </c>
      <c r="P30" s="422" t="n"/>
      <c r="Q30" s="422" t="n"/>
      <c r="R30" s="209" t="n"/>
      <c r="S30" s="215" t="n"/>
      <c r="T30" s="209" t="inlineStr">
        <is>
          <t>no</t>
        </is>
      </c>
      <c r="V30" s="459">
        <f>IF(J30&lt;&gt;"",IFERROR(J30-SUM(W30:AZ30),0),"")</f>
        <v/>
      </c>
      <c r="W30" s="163" t="n"/>
      <c r="X30" s="163" t="n"/>
      <c r="Y30" s="163" t="n"/>
      <c r="Z30" s="163" t="n"/>
      <c r="AA30" s="163" t="n"/>
      <c r="AB30" s="163" t="n"/>
      <c r="AC30" s="163" t="n"/>
      <c r="AD30" s="163" t="n"/>
      <c r="AE30" s="163">
        <f>100%*$J$30</f>
        <v/>
      </c>
      <c r="AF30" s="163" t="n"/>
      <c r="AG30" s="163" t="n"/>
      <c r="AH30" s="163" t="n"/>
      <c r="AI30" s="163" t="n"/>
      <c r="AJ30" s="163" t="n"/>
      <c r="AK30" s="163" t="n"/>
      <c r="AL30" s="163" t="n"/>
      <c r="AM30" s="163" t="n"/>
      <c r="AN30" s="163" t="n"/>
      <c r="AO30" s="163" t="n"/>
      <c r="AP30" s="163" t="n"/>
      <c r="AQ30" s="163" t="n"/>
      <c r="AR30" s="163" t="n"/>
      <c r="AS30" s="163" t="n"/>
      <c r="AT30" s="163" t="n"/>
      <c r="AU30" s="163" t="n"/>
      <c r="AV30" s="163" t="n"/>
      <c r="AW30" s="163" t="n"/>
      <c r="AX30" s="163" t="n"/>
      <c r="AY30" s="163" t="n"/>
      <c r="AZ30" s="163" t="n"/>
    </row>
    <row r="31" ht="32" customHeight="1">
      <c r="A31" s="436" t="inlineStr">
        <is>
          <t>T-24</t>
        </is>
      </c>
      <c r="B31" s="136" t="inlineStr">
        <is>
          <t>Migration</t>
        </is>
      </c>
      <c r="C31" s="19" t="inlineStr">
        <is>
          <t>User account migration</t>
        </is>
      </c>
      <c r="D31" s="19" t="inlineStr">
        <is>
          <t>Backend</t>
        </is>
      </c>
      <c r="E31" s="19" t="n">
        <v>16</v>
      </c>
      <c r="F31" s="136" t="n"/>
      <c r="G31" s="137" t="n"/>
      <c r="H31" s="16" t="n"/>
      <c r="I31" s="34" t="n"/>
      <c r="J31" s="452" t="n">
        <v>0</v>
      </c>
      <c r="K31" s="158" t="inlineStr">
        <is>
          <t>no</t>
        </is>
      </c>
      <c r="L31" s="165" t="n"/>
      <c r="M31" s="373" t="n"/>
      <c r="N31" s="458">
        <f t="array" ref="N31">IFERROR(calcDefaultValueOfProjectTask(M31),"error")</f>
        <v/>
      </c>
      <c r="P31" s="184" t="n"/>
      <c r="Q31" s="184" t="n"/>
      <c r="R31" s="206" t="n"/>
      <c r="S31" s="211" t="n"/>
      <c r="T31" s="206" t="inlineStr">
        <is>
          <t>no</t>
        </is>
      </c>
      <c r="V31" s="459">
        <f>IF(J31&lt;&gt;"",IFERROR(J31-SUM(W31:AZ31),0),"")</f>
        <v/>
      </c>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row>
    <row r="32" ht="14.5" customHeight="1">
      <c r="A32" s="436" t="inlineStr">
        <is>
          <t>T-25</t>
        </is>
      </c>
      <c r="B32" s="136" t="inlineStr">
        <is>
          <t>Migration</t>
        </is>
      </c>
      <c r="C32" s="19" t="inlineStr">
        <is>
          <t>URL redirects (301)</t>
        </is>
      </c>
      <c r="D32" s="19" t="inlineStr">
        <is>
          <t>Backend</t>
        </is>
      </c>
      <c r="E32" s="19" t="n">
        <v>12</v>
      </c>
      <c r="F32" s="136" t="n"/>
      <c r="G32" s="137" t="n"/>
      <c r="H32" s="16" t="n"/>
      <c r="I32" s="34" t="n"/>
      <c r="J32" s="452" t="n">
        <v>0</v>
      </c>
      <c r="K32" s="158" t="inlineStr">
        <is>
          <t>no</t>
        </is>
      </c>
      <c r="L32" s="165" t="n"/>
      <c r="M32" s="373" t="n"/>
      <c r="N32" s="458">
        <f t="array" ref="N32">IFERROR(calcDefaultValueOfProjectTask(M32),"error")</f>
        <v/>
      </c>
      <c r="P32" s="184" t="n"/>
      <c r="Q32" s="184" t="n"/>
      <c r="R32" s="206" t="n"/>
      <c r="S32" s="211" t="n"/>
      <c r="T32" s="206" t="inlineStr">
        <is>
          <t>no</t>
        </is>
      </c>
      <c r="V32" s="459">
        <f>IF(J32&lt;&gt;"",IFERROR(J32-SUM(W32:AZ32),0),"")</f>
        <v/>
      </c>
      <c r="W32" s="39" t="n"/>
      <c r="X32" s="39" t="n"/>
      <c r="Y32" s="39" t="n"/>
      <c r="Z32" s="39" t="n"/>
      <c r="AA32" s="39" t="n"/>
      <c r="AB32" s="39" t="n"/>
      <c r="AC32" s="39" t="n"/>
      <c r="AD32" s="39" t="n"/>
      <c r="AE32" s="39" t="n"/>
      <c r="AF32" s="39" t="n"/>
      <c r="AG32" s="39" t="n"/>
      <c r="AH32" s="39" t="n"/>
      <c r="AI32" s="39" t="n"/>
      <c r="AJ32" s="39" t="n"/>
      <c r="AK32" s="39" t="n"/>
      <c r="AL32" s="39" t="n"/>
      <c r="AM32" s="39" t="n"/>
      <c r="AN32" s="39" t="n"/>
      <c r="AO32" s="39" t="n"/>
      <c r="AP32" s="39" t="n"/>
      <c r="AQ32" s="39" t="n"/>
      <c r="AR32" s="39" t="n"/>
      <c r="AS32" s="39" t="n"/>
      <c r="AT32" s="39" t="n"/>
      <c r="AU32" s="39" t="n"/>
      <c r="AV32" s="39" t="n"/>
      <c r="AW32" s="39" t="n"/>
      <c r="AX32" s="39" t="n"/>
      <c r="AY32" s="39" t="n"/>
      <c r="AZ32" s="39" t="n"/>
    </row>
    <row r="33" ht="14.5" customHeight="1">
      <c r="A33" s="436" t="inlineStr">
        <is>
          <t>T-26</t>
        </is>
      </c>
      <c r="B33" s="136" t="inlineStr">
        <is>
          <t>Migration</t>
        </is>
      </c>
      <c r="C33" s="19" t="inlineStr">
        <is>
          <t>Data validation and cleanup</t>
        </is>
      </c>
      <c r="D33" s="19" t="inlineStr">
        <is>
          <t>Backend</t>
        </is>
      </c>
      <c r="E33" s="19" t="n">
        <v>20</v>
      </c>
      <c r="F33" s="136" t="n"/>
      <c r="G33" s="137" t="n"/>
      <c r="H33" s="16" t="n"/>
      <c r="I33" s="34" t="n"/>
      <c r="J33" s="452" t="n">
        <v>0</v>
      </c>
      <c r="K33" s="158" t="inlineStr">
        <is>
          <t>no</t>
        </is>
      </c>
      <c r="L33" s="165" t="n"/>
      <c r="M33" s="373" t="n"/>
      <c r="N33" s="458">
        <f t="array" ref="N33">IFERROR(calcDefaultValueOfProjectTask(M33),"error")</f>
        <v/>
      </c>
      <c r="P33" s="184" t="n"/>
      <c r="Q33" s="184" t="n"/>
      <c r="R33" s="206" t="n"/>
      <c r="S33" s="211" t="n"/>
      <c r="T33" s="206" t="inlineStr">
        <is>
          <t>no</t>
        </is>
      </c>
      <c r="V33" s="459">
        <f>IF(J33&lt;&gt;"",IFERROR(J33-SUM(W33:AZ33),0),"")</f>
        <v/>
      </c>
      <c r="W33" s="39" t="n"/>
      <c r="X33" s="39" t="n"/>
      <c r="Y33" s="39" t="n"/>
      <c r="Z33" s="39" t="n"/>
      <c r="AA33" s="39" t="n"/>
      <c r="AB33" s="39" t="n"/>
      <c r="AC33" s="39" t="n"/>
      <c r="AD33" s="39" t="n"/>
      <c r="AE33" s="39" t="n"/>
      <c r="AF33" s="39" t="n"/>
      <c r="AG33" s="39" t="n"/>
      <c r="AH33" s="39" t="n"/>
      <c r="AI33" s="39" t="n"/>
      <c r="AJ33" s="39" t="n"/>
      <c r="AK33" s="39" t="n"/>
      <c r="AL33" s="39" t="n"/>
      <c r="AM33" s="39" t="n"/>
      <c r="AN33" s="39" t="n"/>
      <c r="AO33" s="39" t="n"/>
      <c r="AP33" s="39" t="n"/>
      <c r="AQ33" s="39" t="n"/>
      <c r="AR33" s="39" t="n"/>
      <c r="AS33" s="39" t="n"/>
      <c r="AT33" s="39" t="n"/>
      <c r="AU33" s="39" t="n"/>
      <c r="AV33" s="39" t="n"/>
      <c r="AW33" s="39" t="n"/>
      <c r="AX33" s="39" t="n"/>
      <c r="AY33" s="39" t="n"/>
      <c r="AZ33" s="39" t="n"/>
    </row>
    <row r="34" ht="14.5" customHeight="1">
      <c r="A34" s="158" t="inlineStr">
        <is>
          <t>T-27</t>
        </is>
      </c>
      <c r="B34" s="159" t="inlineStr">
        <is>
          <t>Testing &amp; QA</t>
        </is>
      </c>
      <c r="C34" s="159" t="inlineStr">
        <is>
          <t>Unit test development</t>
        </is>
      </c>
      <c r="D34" s="159" t="inlineStr">
        <is>
          <t>QA</t>
        </is>
      </c>
      <c r="E34" s="159" t="n">
        <v>30</v>
      </c>
      <c r="F34" s="161" t="n"/>
      <c r="G34" s="160" t="n"/>
      <c r="H34" s="172" t="n"/>
      <c r="I34" s="162" t="n"/>
      <c r="J34" s="452" t="n">
        <v>0</v>
      </c>
      <c r="K34" s="158" t="inlineStr">
        <is>
          <t>yes</t>
        </is>
      </c>
      <c r="L34" s="158" t="n"/>
      <c r="M34" s="371" t="inlineStr">
        <is>
          <t>max([#projectlength]*ifs([#total1]&lt;200,0.5,[#total1]&lt;500,1,[#total1]&lt;1000,1.5,[#total1]&lt;2000,2,true,3),10%*[#total1])</t>
        </is>
      </c>
      <c r="N34" s="458">
        <f t="array" ref="N34">IFERROR(calcDefaultValueOfProjectTask(M34),"error")</f>
        <v/>
      </c>
      <c r="P34" s="422" t="n"/>
      <c r="Q34" s="422" t="n"/>
      <c r="R34" s="209" t="n"/>
      <c r="S34" s="215" t="n"/>
      <c r="T34" s="209" t="inlineStr">
        <is>
          <t>no</t>
        </is>
      </c>
      <c r="V34" s="459">
        <f>IF(J34&lt;&gt;"",IFERROR(J34-SUM(W34:AZ34),0),"")</f>
        <v/>
      </c>
      <c r="W34" s="163" t="n"/>
      <c r="X34" s="163">
        <f>100%*$J$34</f>
        <v/>
      </c>
      <c r="Y34" s="163" t="n"/>
      <c r="Z34" s="163" t="n"/>
      <c r="AA34" s="163" t="n"/>
      <c r="AB34" s="163" t="n"/>
      <c r="AC34" s="163" t="n"/>
      <c r="AD34" s="163" t="n"/>
      <c r="AE34" s="163" t="n"/>
      <c r="AF34" s="163" t="n"/>
      <c r="AG34" s="163" t="n"/>
      <c r="AH34" s="163" t="n"/>
      <c r="AI34" s="163" t="n"/>
      <c r="AJ34" s="163" t="n"/>
      <c r="AK34" s="163" t="n"/>
      <c r="AL34" s="163" t="n"/>
      <c r="AM34" s="163" t="n"/>
      <c r="AN34" s="163" t="n"/>
      <c r="AO34" s="163" t="n"/>
      <c r="AP34" s="163" t="n"/>
      <c r="AQ34" s="163" t="n"/>
      <c r="AR34" s="163" t="n"/>
      <c r="AS34" s="163" t="n"/>
      <c r="AT34" s="163" t="n"/>
      <c r="AU34" s="163" t="n"/>
      <c r="AV34" s="163" t="n"/>
      <c r="AW34" s="163" t="n"/>
      <c r="AX34" s="163" t="n"/>
      <c r="AY34" s="163" t="n"/>
      <c r="AZ34" s="163" t="n"/>
    </row>
    <row r="35" ht="16" customHeight="1">
      <c r="A35" s="158" t="inlineStr">
        <is>
          <t>T-28</t>
        </is>
      </c>
      <c r="B35" s="159" t="inlineStr">
        <is>
          <t>Testing &amp; QA</t>
        </is>
      </c>
      <c r="C35" s="159" t="inlineStr">
        <is>
          <t>Integration testing</t>
        </is>
      </c>
      <c r="D35" s="159" t="inlineStr">
        <is>
          <t>QA</t>
        </is>
      </c>
      <c r="E35" s="159" t="n">
        <v>25</v>
      </c>
      <c r="F35" s="161" t="n"/>
      <c r="G35" s="160" t="n"/>
      <c r="H35" s="172" t="n"/>
      <c r="I35" s="162" t="n"/>
      <c r="J35" s="452" t="n">
        <v>0</v>
      </c>
      <c r="K35" s="158" t="inlineStr">
        <is>
          <t>no</t>
        </is>
      </c>
      <c r="L35" s="158" t="n"/>
      <c r="M35" s="371" t="inlineStr"/>
      <c r="N35" s="458">
        <f t="array" ref="N35">IFERROR(calcDefaultValueOfProjectTask(M35),"error")</f>
        <v/>
      </c>
      <c r="P35" s="422" t="n"/>
      <c r="Q35" s="422" t="n"/>
      <c r="R35" s="209" t="n"/>
      <c r="S35" s="215" t="n"/>
      <c r="T35" s="209" t="inlineStr">
        <is>
          <t>no</t>
        </is>
      </c>
      <c r="V35" s="459">
        <f>IF(J35&lt;&gt;"",IFERROR(J35-SUM(W35:AZ35),0),"")</f>
        <v/>
      </c>
      <c r="W35" s="163" t="n"/>
      <c r="X35" s="163" t="n"/>
      <c r="Y35" s="163" t="n"/>
      <c r="Z35" s="163" t="n"/>
      <c r="AA35" s="163" t="n"/>
      <c r="AB35" s="163">
        <f>100%*$J$35</f>
        <v/>
      </c>
      <c r="AC35" s="163" t="n"/>
      <c r="AD35" s="163" t="n"/>
      <c r="AE35" s="163" t="n"/>
      <c r="AF35" s="163" t="n"/>
      <c r="AG35" s="163" t="n"/>
      <c r="AH35" s="163" t="n"/>
      <c r="AI35" s="163" t="n"/>
      <c r="AJ35" s="163" t="n"/>
      <c r="AK35" s="163" t="n"/>
      <c r="AL35" s="163" t="n"/>
      <c r="AM35" s="163" t="n"/>
      <c r="AN35" s="163" t="n"/>
      <c r="AO35" s="163" t="n"/>
      <c r="AP35" s="163" t="n"/>
      <c r="AQ35" s="163" t="n"/>
      <c r="AR35" s="163" t="n"/>
      <c r="AS35" s="163" t="n"/>
      <c r="AT35" s="163" t="n"/>
      <c r="AU35" s="163" t="n"/>
      <c r="AV35" s="163" t="n"/>
      <c r="AW35" s="163" t="n"/>
      <c r="AX35" s="163" t="n"/>
      <c r="AY35" s="163" t="n"/>
      <c r="AZ35" s="163" t="n"/>
    </row>
    <row r="36" ht="14.5" customHeight="1">
      <c r="A36" s="158" t="inlineStr">
        <is>
          <t>T-29</t>
        </is>
      </c>
      <c r="B36" s="159" t="inlineStr">
        <is>
          <t>Testing &amp; QA</t>
        </is>
      </c>
      <c r="C36" s="159" t="inlineStr">
        <is>
          <t>E2E testing (Playwright)</t>
        </is>
      </c>
      <c r="D36" s="159" t="inlineStr">
        <is>
          <t>QA</t>
        </is>
      </c>
      <c r="E36" s="159" t="n">
        <v>30</v>
      </c>
      <c r="F36" s="161" t="n"/>
      <c r="G36" s="160" t="n"/>
      <c r="H36" s="172" t="n"/>
      <c r="I36" s="162" t="n"/>
      <c r="J36" s="452" t="n">
        <v>0</v>
      </c>
      <c r="K36" s="158" t="inlineStr">
        <is>
          <t>no</t>
        </is>
      </c>
      <c r="L36" s="158" t="n"/>
      <c r="M36" s="371" t="inlineStr"/>
      <c r="N36" s="458">
        <f t="array" ref="N36">IFERROR(calcDefaultValueOfProjectTask(M36),"error")</f>
        <v/>
      </c>
      <c r="P36" s="422" t="n"/>
      <c r="Q36" s="422" t="n"/>
      <c r="R36" s="209" t="n"/>
      <c r="S36" s="215" t="n"/>
      <c r="T36" s="209" t="inlineStr">
        <is>
          <t>no</t>
        </is>
      </c>
      <c r="V36" s="459">
        <f>IF(J36&lt;&gt;"",IFERROR(J36-SUM(W36:AZ36),0),"")</f>
        <v/>
      </c>
      <c r="W36" s="163" t="n"/>
      <c r="X36" s="163" t="n"/>
      <c r="Y36" s="163">
        <f>100%*$J$36</f>
        <v/>
      </c>
      <c r="Z36" s="163" t="n"/>
      <c r="AA36" s="163" t="n"/>
      <c r="AB36" s="163" t="n"/>
      <c r="AC36" s="163" t="n"/>
      <c r="AD36" s="163" t="n"/>
      <c r="AE36" s="163" t="n"/>
      <c r="AF36" s="163" t="n"/>
      <c r="AG36" s="163" t="n"/>
      <c r="AH36" s="163" t="n"/>
      <c r="AI36" s="163" t="n"/>
      <c r="AJ36" s="163" t="n"/>
      <c r="AK36" s="163" t="n"/>
      <c r="AL36" s="163" t="n"/>
      <c r="AM36" s="163" t="n"/>
      <c r="AN36" s="163" t="n"/>
      <c r="AO36" s="163" t="n"/>
      <c r="AP36" s="163" t="n"/>
      <c r="AQ36" s="163" t="n"/>
      <c r="AR36" s="163" t="n"/>
      <c r="AS36" s="163" t="n"/>
      <c r="AT36" s="163" t="n"/>
      <c r="AU36" s="163" t="n"/>
      <c r="AV36" s="163" t="n"/>
      <c r="AW36" s="163" t="n"/>
      <c r="AX36" s="163" t="n"/>
      <c r="AY36" s="163" t="n"/>
      <c r="AZ36" s="163" t="n"/>
    </row>
    <row r="37" ht="14.5" customHeight="1">
      <c r="A37" s="158" t="inlineStr">
        <is>
          <t>T-30</t>
        </is>
      </c>
      <c r="B37" s="159" t="inlineStr">
        <is>
          <t>Testing &amp; QA</t>
        </is>
      </c>
      <c r="C37" s="159" t="inlineStr">
        <is>
          <t>Performance testing</t>
        </is>
      </c>
      <c r="D37" s="159" t="inlineStr">
        <is>
          <t>QA</t>
        </is>
      </c>
      <c r="E37" s="159" t="n">
        <v>16</v>
      </c>
      <c r="F37" s="161" t="n"/>
      <c r="G37" s="160" t="n"/>
      <c r="H37" s="172" t="n"/>
      <c r="I37" s="162" t="n"/>
      <c r="J37" s="452" t="n">
        <v>0</v>
      </c>
      <c r="K37" s="158" t="inlineStr">
        <is>
          <t>no</t>
        </is>
      </c>
      <c r="L37" s="158" t="n"/>
      <c r="M37" s="371" t="inlineStr"/>
      <c r="N37" s="458">
        <f t="array" ref="N37">IFERROR(calcDefaultValueOfProjectTask(M37),"error")</f>
        <v/>
      </c>
      <c r="P37" s="422" t="n"/>
      <c r="Q37" s="422" t="n"/>
      <c r="R37" s="209" t="n"/>
      <c r="S37" s="215" t="n"/>
      <c r="T37" s="209" t="inlineStr">
        <is>
          <t>no</t>
        </is>
      </c>
      <c r="V37" s="459">
        <f>IF(J37&lt;&gt;"",IFERROR(J37-SUM(W37:AZ37),0),"")</f>
        <v/>
      </c>
      <c r="W37" s="163" t="n"/>
      <c r="X37" s="163" t="n"/>
      <c r="Y37" s="163" t="n"/>
      <c r="Z37" s="163" t="n"/>
      <c r="AA37" s="163" t="n"/>
      <c r="AB37" s="163" t="n"/>
      <c r="AC37" s="163" t="n"/>
      <c r="AD37" s="163" t="n"/>
      <c r="AE37" s="163">
        <f>100%*$J$37</f>
        <v/>
      </c>
      <c r="AF37" s="163" t="n"/>
      <c r="AG37" s="163" t="n"/>
      <c r="AH37" s="163" t="n"/>
      <c r="AI37" s="163" t="n"/>
      <c r="AJ37" s="163" t="n"/>
      <c r="AK37" s="163" t="n"/>
      <c r="AL37" s="163" t="n"/>
      <c r="AM37" s="163" t="n"/>
      <c r="AN37" s="163" t="n"/>
      <c r="AO37" s="163" t="n"/>
      <c r="AP37" s="163" t="n"/>
      <c r="AQ37" s="163" t="n"/>
      <c r="AR37" s="163" t="n"/>
      <c r="AS37" s="163" t="n"/>
      <c r="AT37" s="163" t="n"/>
      <c r="AU37" s="163" t="n"/>
      <c r="AV37" s="163" t="n"/>
      <c r="AW37" s="163" t="n"/>
      <c r="AX37" s="163" t="n"/>
      <c r="AY37" s="163" t="n"/>
      <c r="AZ37" s="163" t="n"/>
    </row>
    <row r="38" ht="14.5" customHeight="1">
      <c r="A38" s="158" t="inlineStr">
        <is>
          <t>T-31</t>
        </is>
      </c>
      <c r="B38" s="161" t="inlineStr">
        <is>
          <t>Testing &amp; QA</t>
        </is>
      </c>
      <c r="C38" s="159" t="inlineStr">
        <is>
          <t>Security audit</t>
        </is>
      </c>
      <c r="D38" s="159" t="inlineStr">
        <is>
          <t>QA</t>
        </is>
      </c>
      <c r="E38" s="159" t="n">
        <v>16</v>
      </c>
      <c r="F38" s="161" t="n"/>
      <c r="G38" s="160" t="n"/>
      <c r="H38" s="172" t="n"/>
      <c r="I38" s="162" t="n"/>
      <c r="J38" s="452" t="n">
        <v>0</v>
      </c>
      <c r="K38" s="158" t="inlineStr">
        <is>
          <t>no</t>
        </is>
      </c>
      <c r="L38" s="158" t="n"/>
      <c r="M38" s="371" t="inlineStr"/>
      <c r="N38" s="458">
        <f t="array" ref="N38">IFERROR(calcDefaultValueOfProjectTask(M38),"error")</f>
        <v/>
      </c>
      <c r="P38" s="422" t="n"/>
      <c r="Q38" s="422" t="n"/>
      <c r="R38" s="209" t="n"/>
      <c r="S38" s="215" t="n"/>
      <c r="T38" s="209" t="inlineStr">
        <is>
          <t>no</t>
        </is>
      </c>
      <c r="V38" s="459">
        <f>IF(J38&lt;&gt;"",IFERROR(J38-SUM(W38:AZ38),0),"")</f>
        <v/>
      </c>
      <c r="W38" s="163" t="n"/>
      <c r="X38" s="163">
        <f>100%*$J$38</f>
        <v/>
      </c>
      <c r="Y38" s="163" t="n"/>
      <c r="Z38" s="163" t="n"/>
      <c r="AA38" s="163" t="n"/>
      <c r="AB38" s="163" t="n"/>
      <c r="AC38" s="163" t="n"/>
      <c r="AD38" s="163" t="n"/>
      <c r="AE38" s="163" t="n"/>
      <c r="AF38" s="163" t="n"/>
      <c r="AG38" s="163" t="n"/>
      <c r="AH38" s="163" t="n"/>
      <c r="AI38" s="163" t="n"/>
      <c r="AJ38" s="163" t="n"/>
      <c r="AK38" s="163" t="n"/>
      <c r="AL38" s="163" t="n"/>
      <c r="AM38" s="163" t="n"/>
      <c r="AN38" s="163" t="n"/>
      <c r="AO38" s="163" t="n"/>
      <c r="AP38" s="163" t="n"/>
      <c r="AQ38" s="163" t="n"/>
      <c r="AR38" s="163" t="n"/>
      <c r="AS38" s="163" t="n"/>
      <c r="AT38" s="163" t="n"/>
      <c r="AU38" s="163" t="n"/>
      <c r="AV38" s="163" t="n"/>
      <c r="AW38" s="163" t="n"/>
      <c r="AX38" s="163" t="n"/>
      <c r="AY38" s="163" t="n"/>
      <c r="AZ38" s="163" t="n"/>
    </row>
    <row r="39" ht="14.5" customHeight="1">
      <c r="A39" s="158" t="inlineStr">
        <is>
          <t>T-32</t>
        </is>
      </c>
      <c r="B39" s="161" t="inlineStr">
        <is>
          <t>Testing &amp; QA</t>
        </is>
      </c>
      <c r="C39" s="159" t="inlineStr">
        <is>
          <t>UAT coordination</t>
        </is>
      </c>
      <c r="D39" s="159" t="inlineStr">
        <is>
          <t>PM</t>
        </is>
      </c>
      <c r="E39" s="159" t="n">
        <v>12</v>
      </c>
      <c r="F39" s="161" t="n"/>
      <c r="G39" s="160" t="n"/>
      <c r="H39" s="172" t="n"/>
      <c r="I39" s="162" t="n"/>
      <c r="J39" s="452" t="n">
        <v>0</v>
      </c>
      <c r="K39" s="158" t="inlineStr">
        <is>
          <t>no</t>
        </is>
      </c>
      <c r="L39" s="158" t="n"/>
      <c r="M39" s="371" t="inlineStr"/>
      <c r="N39" s="458">
        <f t="array" ref="N39">IFERROR(calcDefaultValueOfProjectTask(M39),"error")</f>
        <v/>
      </c>
      <c r="P39" s="422" t="n"/>
      <c r="Q39" s="422" t="n"/>
      <c r="R39" s="209" t="n"/>
      <c r="S39" s="215" t="n"/>
      <c r="T39" s="209" t="inlineStr">
        <is>
          <t>no</t>
        </is>
      </c>
      <c r="V39" s="459">
        <f>IF(J39&lt;&gt;"",IFERROR(J39-SUM(W39:AZ39),0),"")</f>
        <v/>
      </c>
      <c r="W39" s="163">
        <f>100%*$J$39</f>
        <v/>
      </c>
      <c r="X39" s="163" t="n"/>
      <c r="Y39" s="163" t="n"/>
      <c r="Z39" s="163" t="n"/>
      <c r="AA39" s="163" t="n"/>
      <c r="AB39" s="163" t="n"/>
      <c r="AC39" s="163" t="n"/>
      <c r="AD39" s="163" t="n"/>
      <c r="AE39" s="163" t="n"/>
      <c r="AF39" s="163" t="n"/>
      <c r="AG39" s="163" t="n"/>
      <c r="AH39" s="163" t="n"/>
      <c r="AI39" s="163" t="n"/>
      <c r="AJ39" s="163" t="n"/>
      <c r="AK39" s="163" t="n"/>
      <c r="AL39" s="163" t="n"/>
      <c r="AM39" s="163" t="n"/>
      <c r="AN39" s="163" t="n"/>
      <c r="AO39" s="163" t="n"/>
      <c r="AP39" s="163" t="n"/>
      <c r="AQ39" s="163" t="n"/>
      <c r="AR39" s="163" t="n"/>
      <c r="AS39" s="163" t="n"/>
      <c r="AT39" s="163" t="n"/>
      <c r="AU39" s="163" t="n"/>
      <c r="AV39" s="163" t="n"/>
      <c r="AW39" s="163" t="n"/>
      <c r="AX39" s="163" t="n"/>
      <c r="AY39" s="163" t="n"/>
      <c r="AZ39" s="163" t="n"/>
    </row>
    <row r="40" ht="14.5" customHeight="1">
      <c r="A40" s="158" t="inlineStr">
        <is>
          <t>T-33</t>
        </is>
      </c>
      <c r="B40" s="161" t="inlineStr">
        <is>
          <t>Deployment</t>
        </is>
      </c>
      <c r="C40" s="159" t="inlineStr">
        <is>
          <t>Staging deployment</t>
        </is>
      </c>
      <c r="D40" s="159" t="inlineStr">
        <is>
          <t>DevOps</t>
        </is>
      </c>
      <c r="E40" s="159" t="n">
        <v>8</v>
      </c>
      <c r="F40" s="161" t="n"/>
      <c r="G40" s="160" t="inlineStr">
        <is>
          <t>TT</t>
        </is>
      </c>
      <c r="H40" s="172" t="n"/>
      <c r="I40" s="162" t="n"/>
      <c r="J40" s="452" t="n">
        <v>0</v>
      </c>
      <c r="K40" s="158" t="inlineStr">
        <is>
          <t>no</t>
        </is>
      </c>
      <c r="L40" s="158" t="inlineStr">
        <is>
          <t>[traveltime]</t>
        </is>
      </c>
      <c r="M40" s="371" t="inlineStr"/>
      <c r="N40" s="458">
        <f t="array" ref="N40">IFERROR(calcDefaultValueOfProjectTask(M40),"error")</f>
        <v/>
      </c>
      <c r="P40" s="422" t="n"/>
      <c r="Q40" s="422" t="n"/>
      <c r="R40" s="209" t="n"/>
      <c r="S40" s="215" t="n"/>
      <c r="T40" s="209" t="inlineStr">
        <is>
          <t>no</t>
        </is>
      </c>
      <c r="V40" s="459">
        <f>IF(J40&lt;&gt;"",IFERROR(J40-SUM(W40:AZ40),0),"")</f>
        <v/>
      </c>
      <c r="W40" s="163">
        <f>100%*$J$40</f>
        <v/>
      </c>
      <c r="X40" s="163" t="n"/>
      <c r="Y40" s="163" t="n"/>
      <c r="Z40" s="163" t="n"/>
      <c r="AA40" s="163" t="n"/>
      <c r="AB40" s="163" t="n"/>
      <c r="AC40" s="163" t="n"/>
      <c r="AD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row>
    <row r="41" ht="14.5" customHeight="1">
      <c r="A41" s="158" t="inlineStr">
        <is>
          <t>T-34</t>
        </is>
      </c>
      <c r="B41" s="161" t="inlineStr">
        <is>
          <t>Deployment</t>
        </is>
      </c>
      <c r="C41" s="159" t="inlineStr">
        <is>
          <t>Production deployment</t>
        </is>
      </c>
      <c r="D41" s="159" t="inlineStr">
        <is>
          <t>DevOps</t>
        </is>
      </c>
      <c r="E41" s="159" t="n">
        <v>12</v>
      </c>
      <c r="F41" s="161" t="n"/>
      <c r="G41" s="160" t="inlineStr">
        <is>
          <t>RIS</t>
        </is>
      </c>
      <c r="H41" s="172" t="n"/>
      <c r="I41" s="162" t="n"/>
      <c r="J41" s="485">
        <f>RI_WeightedImpact</f>
        <v/>
      </c>
      <c r="K41" s="164" t="n"/>
      <c r="L41" s="158" t="inlineStr">
        <is>
          <t>[risks]</t>
        </is>
      </c>
      <c r="M41" s="409" t="inlineStr"/>
      <c r="N41" s="458">
        <f t="array" ref="N41">IFERROR(calcDefaultValueOfProjectTask(M41),"error")</f>
        <v/>
      </c>
      <c r="P41" s="422" t="n"/>
      <c r="Q41" s="422" t="n"/>
      <c r="R41" s="209" t="n"/>
      <c r="S41" s="215" t="n"/>
      <c r="T41" s="209" t="inlineStr">
        <is>
          <t>no</t>
        </is>
      </c>
      <c r="V41" s="459">
        <f>IF(J41&lt;&gt;"",IFERROR(J41-SUM(W41:AZ41),0),"")</f>
        <v/>
      </c>
      <c r="W41" s="163">
        <f>100%*$J$41</f>
        <v/>
      </c>
      <c r="X41" s="163" t="n"/>
      <c r="Y41" s="163" t="n"/>
      <c r="Z41" s="163" t="n"/>
      <c r="AA41" s="163" t="n"/>
      <c r="AB41" s="163" t="n"/>
      <c r="AC41" s="163" t="n"/>
      <c r="AD41" s="163" t="n"/>
      <c r="AE41" s="163" t="n"/>
      <c r="AF41" s="163" t="n"/>
      <c r="AG41" s="163" t="n"/>
      <c r="AH41" s="163" t="n"/>
      <c r="AI41" s="163" t="n"/>
      <c r="AJ41" s="163" t="n"/>
      <c r="AK41" s="163" t="n"/>
      <c r="AL41" s="163" t="n"/>
      <c r="AM41" s="163" t="n"/>
      <c r="AN41" s="163" t="n"/>
      <c r="AO41" s="163" t="n"/>
      <c r="AP41" s="163" t="n"/>
      <c r="AQ41" s="163" t="n"/>
      <c r="AR41" s="163" t="n"/>
      <c r="AS41" s="163" t="n"/>
      <c r="AT41" s="163" t="n"/>
      <c r="AU41" s="163" t="n"/>
      <c r="AV41" s="163" t="n"/>
      <c r="AW41" s="163" t="n"/>
      <c r="AX41" s="163" t="n"/>
      <c r="AY41" s="163" t="n"/>
      <c r="AZ41" s="163" t="n"/>
    </row>
    <row r="42" ht="16" customHeight="1">
      <c r="A42" s="158" t="inlineStr">
        <is>
          <t>T-35</t>
        </is>
      </c>
      <c r="B42" s="161" t="inlineStr">
        <is>
          <t>Deployment</t>
        </is>
      </c>
      <c r="C42" s="159" t="inlineStr">
        <is>
          <t>DNS and SSL configuration</t>
        </is>
      </c>
      <c r="D42" s="159" t="inlineStr">
        <is>
          <t>DevOps</t>
        </is>
      </c>
      <c r="E42" s="159" t="n">
        <v>6</v>
      </c>
      <c r="F42" s="161" t="n"/>
      <c r="G42" s="160" t="inlineStr">
        <is>
          <t>WA</t>
        </is>
      </c>
      <c r="H42" s="172" t="n"/>
      <c r="I42" s="162" t="n"/>
      <c r="J42" s="452" t="n">
        <v>0</v>
      </c>
      <c r="K42" s="158" t="inlineStr">
        <is>
          <t>yes</t>
        </is>
      </c>
      <c r="L42" s="158" t="inlineStr">
        <is>
          <t>[warranty]</t>
        </is>
      </c>
      <c r="M42" s="371" t="inlineStr">
        <is>
          <t>10%*[#total1]</t>
        </is>
      </c>
      <c r="N42" s="458">
        <f t="array" ref="N42">IFERROR(calcDefaultValueOfProjectTask(M42),"error")</f>
        <v/>
      </c>
      <c r="P42" s="422" t="n"/>
      <c r="Q42" s="422" t="n"/>
      <c r="R42" s="209" t="n"/>
      <c r="S42" s="215" t="n"/>
      <c r="T42" s="209" t="inlineStr">
        <is>
          <t>no</t>
        </is>
      </c>
      <c r="V42" s="459">
        <f>IF(J42&lt;&gt;"",IFERROR(J42-SUM(W42:AZ42),0),"")</f>
        <v/>
      </c>
      <c r="W42" s="163">
        <f>100%*$J$42</f>
        <v/>
      </c>
      <c r="X42" s="163" t="n"/>
      <c r="Y42" s="163" t="n"/>
      <c r="Z42" s="163" t="n"/>
      <c r="AA42" s="163" t="n"/>
      <c r="AB42" s="163" t="n"/>
      <c r="AC42" s="163" t="n"/>
      <c r="AD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row>
    <row r="43" ht="14.5" customHeight="1">
      <c r="A43" s="158" t="inlineStr">
        <is>
          <t>T-36</t>
        </is>
      </c>
      <c r="B43" s="161" t="inlineStr">
        <is>
          <t>Deployment</t>
        </is>
      </c>
      <c r="C43" s="159" t="inlineStr">
        <is>
          <t>Monitoring setup (Azure Monitor)</t>
        </is>
      </c>
      <c r="D43" s="159" t="inlineStr">
        <is>
          <t>DevOps</t>
        </is>
      </c>
      <c r="E43" s="159" t="n">
        <v>10</v>
      </c>
      <c r="F43" s="161" t="n"/>
      <c r="G43" s="160" t="n"/>
      <c r="H43" s="172" t="n"/>
      <c r="I43" s="162" t="n"/>
      <c r="J43" s="452" t="n"/>
      <c r="K43" s="158" t="n"/>
      <c r="L43" s="158" t="n"/>
      <c r="M43" s="371" t="inlineStr"/>
      <c r="N43" s="458">
        <f t="array" ref="N43">IFERROR(calcDefaultValueOfProjectTask(M43),"error")</f>
        <v/>
      </c>
      <c r="P43" s="186" t="n"/>
      <c r="Q43" s="186" t="n"/>
      <c r="R43" s="209" t="n"/>
      <c r="S43" s="215" t="n"/>
      <c r="T43" s="209" t="n"/>
      <c r="V43" s="459">
        <f>IF(J43&lt;&gt;"",IFERROR(J43-SUM(W43:AZ43),0),"")</f>
        <v/>
      </c>
      <c r="W43" s="163" t="n"/>
      <c r="X43" s="163" t="n"/>
      <c r="Y43" s="163" t="n"/>
      <c r="Z43" s="163" t="n"/>
      <c r="AA43" s="163" t="n"/>
      <c r="AB43" s="163" t="n"/>
      <c r="AC43" s="163" t="n"/>
      <c r="AD43" s="163" t="n"/>
      <c r="AE43" s="163" t="n"/>
      <c r="AF43" s="163" t="n"/>
      <c r="AG43" s="163" t="n"/>
      <c r="AH43" s="163" t="n"/>
      <c r="AI43" s="163" t="n"/>
      <c r="AJ43" s="163" t="n"/>
      <c r="AK43" s="163" t="n"/>
      <c r="AL43" s="163" t="n"/>
      <c r="AM43" s="163" t="n"/>
      <c r="AN43" s="163" t="n"/>
      <c r="AO43" s="163" t="n"/>
      <c r="AP43" s="163" t="n"/>
      <c r="AQ43" s="163" t="n"/>
      <c r="AR43" s="163" t="n"/>
      <c r="AS43" s="163" t="n"/>
      <c r="AT43" s="163" t="n"/>
      <c r="AU43" s="163" t="n"/>
      <c r="AV43" s="163" t="n"/>
      <c r="AW43" s="163" t="n"/>
      <c r="AX43" s="163" t="n"/>
      <c r="AY43" s="163" t="n"/>
      <c r="AZ43" s="163" t="n"/>
    </row>
    <row r="44" ht="14.5" customHeight="1">
      <c r="A44" s="158" t="inlineStr">
        <is>
          <t>T-37</t>
        </is>
      </c>
      <c r="B44" s="161" t="inlineStr">
        <is>
          <t>Deployment</t>
        </is>
      </c>
      <c r="C44" s="159" t="inlineStr">
        <is>
          <t>Backup strategy implementation</t>
        </is>
      </c>
      <c r="D44" s="159" t="inlineStr">
        <is>
          <t>DevOps</t>
        </is>
      </c>
      <c r="E44" s="159" t="n">
        <v>8</v>
      </c>
      <c r="F44" s="161" t="n"/>
      <c r="G44" s="160" t="n"/>
      <c r="H44" s="172" t="n"/>
      <c r="I44" s="162" t="n"/>
      <c r="J44" s="452" t="n"/>
      <c r="K44" s="158" t="n"/>
      <c r="L44" s="158" t="n"/>
      <c r="M44" s="371" t="inlineStr"/>
      <c r="N44" s="458">
        <f t="array" ref="N44">IFERROR(calcDefaultValueOfProjectTask(M44),"error")</f>
        <v/>
      </c>
      <c r="P44" s="186" t="n"/>
      <c r="Q44" s="186" t="n"/>
      <c r="R44" s="209" t="n"/>
      <c r="S44" s="215" t="n"/>
      <c r="T44" s="209" t="n"/>
      <c r="V44" s="459">
        <f>IF(J44&lt;&gt;"",IFERROR(J44-SUM(W44:AZ44),0),"")</f>
        <v/>
      </c>
      <c r="W44" s="163" t="n"/>
      <c r="X44" s="163" t="n"/>
      <c r="Y44" s="163" t="n"/>
      <c r="Z44" s="163" t="n"/>
      <c r="AA44" s="163" t="n"/>
      <c r="AB44" s="163" t="n"/>
      <c r="AC44" s="163" t="n"/>
      <c r="AD44" s="163" t="n"/>
      <c r="AE44" s="163" t="n"/>
      <c r="AF44" s="163" t="n"/>
      <c r="AG44" s="163" t="n"/>
      <c r="AH44" s="163" t="n"/>
      <c r="AI44" s="163" t="n"/>
      <c r="AJ44" s="163" t="n"/>
      <c r="AK44" s="163" t="n"/>
      <c r="AL44" s="163" t="n"/>
      <c r="AM44" s="163" t="n"/>
      <c r="AN44" s="163" t="n"/>
      <c r="AO44" s="163" t="n"/>
      <c r="AP44" s="163" t="n"/>
      <c r="AQ44" s="163" t="n"/>
      <c r="AR44" s="163" t="n"/>
      <c r="AS44" s="163" t="n"/>
      <c r="AT44" s="163" t="n"/>
      <c r="AU44" s="163" t="n"/>
      <c r="AV44" s="163" t="n"/>
      <c r="AW44" s="163" t="n"/>
      <c r="AX44" s="163" t="n"/>
      <c r="AY44" s="163" t="n"/>
      <c r="AZ44" s="163" t="n"/>
    </row>
    <row r="45" ht="16" customHeight="1">
      <c r="A45" s="158" t="inlineStr">
        <is>
          <t>T-38</t>
        </is>
      </c>
      <c r="B45" s="159" t="inlineStr">
        <is>
          <t>Project Management</t>
        </is>
      </c>
      <c r="C45" s="159" t="inlineStr">
        <is>
          <t>Weekly status meetings</t>
        </is>
      </c>
      <c r="D45" s="159" t="inlineStr">
        <is>
          <t>PM</t>
        </is>
      </c>
      <c r="E45" s="159" t="n">
        <v>40</v>
      </c>
      <c r="F45" s="161" t="n"/>
      <c r="G45" s="160" t="n"/>
      <c r="H45" s="172" t="n"/>
      <c r="I45" s="162" t="n"/>
      <c r="J45" s="452" t="n"/>
      <c r="K45" s="158" t="n"/>
      <c r="L45" s="158" t="n"/>
      <c r="M45" s="371" t="inlineStr"/>
      <c r="N45" s="458">
        <f t="array" ref="N45">IFERROR(calcDefaultValueOfProjectTask(M45),"error")</f>
        <v/>
      </c>
      <c r="P45" s="186" t="n"/>
      <c r="Q45" s="186" t="n"/>
      <c r="R45" s="209" t="n"/>
      <c r="S45" s="215" t="n"/>
      <c r="T45" s="209" t="n"/>
      <c r="V45" s="459">
        <f>IF(J45&lt;&gt;"",IFERROR(J45-SUM(W45:AZ45),0),"")</f>
        <v/>
      </c>
      <c r="W45" s="163" t="n"/>
      <c r="X45" s="163" t="n"/>
      <c r="Y45" s="163" t="n"/>
      <c r="Z45" s="163" t="n"/>
      <c r="AA45" s="163" t="n"/>
      <c r="AB45" s="163" t="n"/>
      <c r="AC45" s="163" t="n"/>
      <c r="AD45" s="163" t="n"/>
      <c r="AE45" s="163" t="n"/>
      <c r="AF45" s="163" t="n"/>
      <c r="AG45" s="163" t="n"/>
      <c r="AH45" s="163" t="n"/>
      <c r="AI45" s="163" t="n"/>
      <c r="AJ45" s="163" t="n"/>
      <c r="AK45" s="163" t="n"/>
      <c r="AL45" s="163" t="n"/>
      <c r="AM45" s="163" t="n"/>
      <c r="AN45" s="163" t="n"/>
      <c r="AO45" s="163" t="n"/>
      <c r="AP45" s="163" t="n"/>
      <c r="AQ45" s="163" t="n"/>
      <c r="AR45" s="163" t="n"/>
      <c r="AS45" s="163" t="n"/>
      <c r="AT45" s="163" t="n"/>
      <c r="AU45" s="163" t="n"/>
      <c r="AV45" s="163" t="n"/>
      <c r="AW45" s="163" t="n"/>
      <c r="AX45" s="163" t="n"/>
      <c r="AY45" s="163" t="n"/>
      <c r="AZ45" s="163" t="n"/>
    </row>
    <row r="46" ht="16" customHeight="1">
      <c r="A46" s="158" t="inlineStr">
        <is>
          <t>T-39</t>
        </is>
      </c>
      <c r="B46" s="159" t="inlineStr">
        <is>
          <t>Project Management</t>
        </is>
      </c>
      <c r="C46" s="159" t="inlineStr">
        <is>
          <t>Documentation and handover</t>
        </is>
      </c>
      <c r="D46" s="159" t="inlineStr">
        <is>
          <t>PM</t>
        </is>
      </c>
      <c r="E46" s="159" t="n">
        <v>24</v>
      </c>
      <c r="F46" s="161" t="n"/>
      <c r="G46" s="160" t="n"/>
      <c r="H46" s="172" t="n"/>
      <c r="I46" s="162" t="n"/>
      <c r="J46" s="452" t="n"/>
      <c r="K46" s="158" t="n"/>
      <c r="L46" s="158" t="n"/>
      <c r="M46" s="371" t="inlineStr"/>
      <c r="N46" s="458">
        <f t="array" ref="N46">IFERROR(calcDefaultValueOfProjectTask(M46),"error")</f>
        <v/>
      </c>
      <c r="P46" s="186" t="n"/>
      <c r="Q46" s="186" t="n"/>
      <c r="R46" s="209" t="n"/>
      <c r="S46" s="215" t="n"/>
      <c r="T46" s="209" t="n"/>
      <c r="V46" s="459">
        <f>IF(J46&lt;&gt;"",IFERROR(J46-SUM(W46:AZ46),0),"")</f>
        <v/>
      </c>
      <c r="W46" s="163" t="n"/>
      <c r="X46" s="163" t="n"/>
      <c r="Y46" s="163" t="n"/>
      <c r="Z46" s="163" t="n"/>
      <c r="AA46" s="163" t="n"/>
      <c r="AB46" s="163" t="n"/>
      <c r="AC46" s="163" t="n"/>
      <c r="AD46" s="163" t="n"/>
      <c r="AE46" s="163" t="n"/>
      <c r="AF46" s="163" t="n"/>
      <c r="AG46" s="163" t="n"/>
      <c r="AH46" s="163" t="n"/>
      <c r="AI46" s="163" t="n"/>
      <c r="AJ46" s="163" t="n"/>
      <c r="AK46" s="163" t="n"/>
      <c r="AL46" s="163" t="n"/>
      <c r="AM46" s="163" t="n"/>
      <c r="AN46" s="163" t="n"/>
      <c r="AO46" s="163" t="n"/>
      <c r="AP46" s="163" t="n"/>
      <c r="AQ46" s="163" t="n"/>
      <c r="AR46" s="163" t="n"/>
      <c r="AS46" s="163" t="n"/>
      <c r="AT46" s="163" t="n"/>
      <c r="AU46" s="163" t="n"/>
      <c r="AV46" s="163" t="n"/>
      <c r="AW46" s="163" t="n"/>
      <c r="AX46" s="163" t="n"/>
      <c r="AY46" s="163" t="n"/>
      <c r="AZ46" s="163" t="n"/>
    </row>
    <row r="47" ht="16" customHeight="1">
      <c r="A47" s="158" t="n"/>
      <c r="B47" s="159" t="n"/>
      <c r="C47" s="159" t="n"/>
      <c r="D47" s="159" t="n"/>
      <c r="E47" s="159" t="n"/>
      <c r="F47" s="161" t="n"/>
      <c r="G47" s="160" t="n"/>
      <c r="H47" s="172" t="n"/>
      <c r="I47" s="162" t="n"/>
      <c r="J47" s="452" t="n"/>
      <c r="K47" s="158" t="n"/>
      <c r="L47" s="158" t="n"/>
      <c r="M47" s="371" t="inlineStr"/>
      <c r="N47" s="458">
        <f t="array" ref="N47">IFERROR(calcDefaultValueOfProjectTask(M47),"error")</f>
        <v/>
      </c>
      <c r="P47" s="186" t="n"/>
      <c r="Q47" s="186" t="n"/>
      <c r="R47" s="209" t="n"/>
      <c r="S47" s="215" t="n"/>
      <c r="T47" s="209" t="n"/>
      <c r="V47" s="459">
        <f>IF(J47&lt;&gt;"",IFERROR(J47-SUM(W47:AZ47),0),"")</f>
        <v/>
      </c>
      <c r="W47" s="163" t="n"/>
      <c r="X47" s="163" t="n"/>
      <c r="Y47" s="163" t="n"/>
      <c r="Z47" s="163" t="n"/>
      <c r="AA47" s="163" t="n"/>
      <c r="AB47" s="163" t="n"/>
      <c r="AC47" s="163" t="n"/>
      <c r="AD47" s="163" t="n"/>
      <c r="AE47" s="163" t="n"/>
      <c r="AF47" s="163" t="n"/>
      <c r="AG47" s="163" t="n"/>
      <c r="AH47" s="163" t="n"/>
      <c r="AI47" s="163" t="n"/>
      <c r="AJ47" s="163" t="n"/>
      <c r="AK47" s="163" t="n"/>
      <c r="AL47" s="163" t="n"/>
      <c r="AM47" s="163" t="n"/>
      <c r="AN47" s="163" t="n"/>
      <c r="AO47" s="163" t="n"/>
      <c r="AP47" s="163" t="n"/>
      <c r="AQ47" s="163" t="n"/>
      <c r="AR47" s="163" t="n"/>
      <c r="AS47" s="163" t="n"/>
      <c r="AT47" s="163" t="n"/>
      <c r="AU47" s="163" t="n"/>
      <c r="AV47" s="163" t="n"/>
      <c r="AW47" s="163" t="n"/>
      <c r="AX47" s="163" t="n"/>
      <c r="AY47" s="163" t="n"/>
      <c r="AZ47" s="163" t="n"/>
    </row>
    <row r="48" ht="16" customHeight="1">
      <c r="A48" s="158" t="n"/>
      <c r="B48" s="161" t="n"/>
      <c r="C48" s="159" t="n"/>
      <c r="D48" s="159" t="n"/>
      <c r="E48" s="159" t="n"/>
      <c r="F48" s="161" t="n"/>
      <c r="G48" s="160" t="n"/>
      <c r="H48" s="172" t="n"/>
      <c r="I48" s="162" t="n"/>
      <c r="J48" s="452" t="n"/>
      <c r="K48" s="158" t="n"/>
      <c r="L48" s="158" t="n"/>
      <c r="M48" s="371" t="inlineStr"/>
      <c r="N48" s="458">
        <f t="array" ref="N48">IFERROR(calcDefaultValueOfProjectTask(M48),"error")</f>
        <v/>
      </c>
      <c r="P48" s="186" t="n"/>
      <c r="Q48" s="186" t="n"/>
      <c r="R48" s="209" t="n"/>
      <c r="S48" s="215" t="n"/>
      <c r="T48" s="209" t="n"/>
      <c r="V48" s="459">
        <f>IF(J48&lt;&gt;"",IFERROR(J48-SUM(W48:AZ48),0),"")</f>
        <v/>
      </c>
      <c r="W48" s="163" t="n"/>
      <c r="X48" s="163" t="n"/>
      <c r="Y48" s="163" t="n"/>
      <c r="Z48" s="163" t="n"/>
      <c r="AA48" s="163" t="n"/>
      <c r="AB48" s="163" t="n"/>
      <c r="AC48" s="163" t="n"/>
      <c r="AD48" s="163" t="n"/>
      <c r="AE48" s="163" t="n"/>
      <c r="AF48" s="163" t="n"/>
      <c r="AG48" s="163" t="n"/>
      <c r="AH48" s="163" t="n"/>
      <c r="AI48" s="163" t="n"/>
      <c r="AJ48" s="163" t="n"/>
      <c r="AK48" s="163" t="n"/>
      <c r="AL48" s="163" t="n"/>
      <c r="AM48" s="163" t="n"/>
      <c r="AN48" s="163" t="n"/>
      <c r="AO48" s="163" t="n"/>
      <c r="AP48" s="163" t="n"/>
      <c r="AQ48" s="163" t="n"/>
      <c r="AR48" s="163" t="n"/>
      <c r="AS48" s="163" t="n"/>
      <c r="AT48" s="163" t="n"/>
      <c r="AU48" s="163" t="n"/>
      <c r="AV48" s="163" t="n"/>
      <c r="AW48" s="163" t="n"/>
      <c r="AX48" s="163" t="n"/>
      <c r="AY48" s="163" t="n"/>
      <c r="AZ48" s="163" t="n"/>
    </row>
    <row r="49" ht="16" customHeight="1">
      <c r="A49" s="158" t="n"/>
      <c r="B49" s="161" t="n"/>
      <c r="C49" s="159" t="n"/>
      <c r="D49" s="159" t="n"/>
      <c r="E49" s="159" t="n"/>
      <c r="F49" s="161" t="n"/>
      <c r="G49" s="160" t="n"/>
      <c r="H49" s="172" t="n"/>
      <c r="I49" s="162" t="n"/>
      <c r="J49" s="452" t="n"/>
      <c r="K49" s="158" t="n"/>
      <c r="L49" s="158" t="n"/>
      <c r="M49" s="371" t="inlineStr"/>
      <c r="N49" s="458">
        <f t="array" ref="N49">IFERROR(calcDefaultValueOfProjectTask(M49),"error")</f>
        <v/>
      </c>
      <c r="P49" s="186" t="n"/>
      <c r="Q49" s="186" t="n"/>
      <c r="R49" s="209" t="n"/>
      <c r="S49" s="215" t="n"/>
      <c r="T49" s="209" t="n"/>
      <c r="V49" s="459">
        <f>IF(J49&lt;&gt;"",IFERROR(J49-SUM(W49:AZ49),0),"")</f>
        <v/>
      </c>
      <c r="W49" s="163" t="n"/>
      <c r="X49" s="163" t="n"/>
      <c r="Y49" s="163" t="n"/>
      <c r="Z49" s="163" t="n"/>
      <c r="AA49" s="163" t="n"/>
      <c r="AB49" s="163" t="n"/>
      <c r="AC49" s="163" t="n"/>
      <c r="AD49" s="163" t="n"/>
      <c r="AE49" s="163" t="n"/>
      <c r="AF49" s="163" t="n"/>
      <c r="AG49" s="163" t="n"/>
      <c r="AH49" s="163" t="n"/>
      <c r="AI49" s="163" t="n"/>
      <c r="AJ49" s="163" t="n"/>
      <c r="AK49" s="163" t="n"/>
      <c r="AL49" s="163" t="n"/>
      <c r="AM49" s="163" t="n"/>
      <c r="AN49" s="163" t="n"/>
      <c r="AO49" s="163" t="n"/>
      <c r="AP49" s="163" t="n"/>
      <c r="AQ49" s="163" t="n"/>
      <c r="AR49" s="163" t="n"/>
      <c r="AS49" s="163" t="n"/>
      <c r="AT49" s="163" t="n"/>
      <c r="AU49" s="163" t="n"/>
      <c r="AV49" s="163" t="n"/>
      <c r="AW49" s="163" t="n"/>
      <c r="AX49" s="163" t="n"/>
      <c r="AY49" s="163" t="n"/>
      <c r="AZ49" s="163" t="n"/>
    </row>
    <row r="50" ht="16" customHeight="1">
      <c r="A50" s="158" t="n"/>
      <c r="B50" s="161" t="n"/>
      <c r="C50" s="159" t="n"/>
      <c r="D50" s="159" t="n"/>
      <c r="E50" s="159" t="n"/>
      <c r="F50" s="161" t="n"/>
      <c r="G50" s="160" t="n"/>
      <c r="H50" s="172" t="n"/>
      <c r="I50" s="162" t="n"/>
      <c r="J50" s="452" t="n"/>
      <c r="K50" s="158" t="n"/>
      <c r="L50" s="158" t="n"/>
      <c r="M50" s="371" t="inlineStr"/>
      <c r="N50" s="458">
        <f t="array" ref="N50">IFERROR(calcDefaultValueOfProjectTask(M50),"error")</f>
        <v/>
      </c>
      <c r="P50" s="186" t="n"/>
      <c r="Q50" s="186" t="n"/>
      <c r="R50" s="209" t="n"/>
      <c r="S50" s="215" t="n"/>
      <c r="T50" s="209" t="n"/>
      <c r="V50" s="459">
        <f>IF(J50&lt;&gt;"",IFERROR(J50-SUM(W50:AZ50),0),"")</f>
        <v/>
      </c>
      <c r="W50" s="163" t="n"/>
      <c r="X50" s="163" t="n"/>
      <c r="Y50" s="163" t="n"/>
      <c r="Z50" s="163" t="n"/>
      <c r="AA50" s="163" t="n"/>
      <c r="AB50" s="163" t="n"/>
      <c r="AC50" s="163" t="n"/>
      <c r="AD50" s="163" t="n"/>
      <c r="AE50" s="163" t="n"/>
      <c r="AF50" s="163" t="n"/>
      <c r="AG50" s="163" t="n"/>
      <c r="AH50" s="163" t="n"/>
      <c r="AI50" s="163" t="n"/>
      <c r="AJ50" s="163" t="n"/>
      <c r="AK50" s="163" t="n"/>
      <c r="AL50" s="163" t="n"/>
      <c r="AM50" s="163" t="n"/>
      <c r="AN50" s="163" t="n"/>
      <c r="AO50" s="163" t="n"/>
      <c r="AP50" s="163" t="n"/>
      <c r="AQ50" s="163" t="n"/>
      <c r="AR50" s="163" t="n"/>
      <c r="AS50" s="163" t="n"/>
      <c r="AT50" s="163" t="n"/>
      <c r="AU50" s="163" t="n"/>
      <c r="AV50" s="163" t="n"/>
      <c r="AW50" s="163" t="n"/>
      <c r="AX50" s="163" t="n"/>
      <c r="AY50" s="163" t="n"/>
      <c r="AZ50" s="163" t="n"/>
    </row>
    <row r="51" ht="16" customHeight="1">
      <c r="A51" s="158" t="n"/>
      <c r="B51" s="161" t="n"/>
      <c r="C51" s="159" t="n"/>
      <c r="D51" s="159" t="n"/>
      <c r="E51" s="159" t="n"/>
      <c r="F51" s="161" t="n"/>
      <c r="G51" s="160" t="n"/>
      <c r="H51" s="172" t="n"/>
      <c r="I51" s="162" t="n"/>
      <c r="J51" s="452" t="n"/>
      <c r="K51" s="158" t="n"/>
      <c r="L51" s="158" t="n"/>
      <c r="M51" s="371" t="inlineStr"/>
      <c r="N51" s="458">
        <f t="array" ref="N51">IFERROR(calcDefaultValueOfProjectTask(M51),"error")</f>
        <v/>
      </c>
      <c r="P51" s="186" t="n"/>
      <c r="Q51" s="186" t="n"/>
      <c r="R51" s="209" t="n"/>
      <c r="S51" s="215" t="n"/>
      <c r="T51" s="209" t="n"/>
      <c r="V51" s="459">
        <f>IF(J51&lt;&gt;"",IFERROR(J51-SUM(W51:AZ51),0),"")</f>
        <v/>
      </c>
      <c r="W51" s="163" t="n"/>
      <c r="X51" s="163" t="n"/>
      <c r="Y51" s="163" t="n"/>
      <c r="Z51" s="163" t="n"/>
      <c r="AA51" s="163" t="n"/>
      <c r="AB51" s="163" t="n"/>
      <c r="AC51" s="163" t="n"/>
      <c r="AD51" s="163" t="n"/>
      <c r="AE51" s="163" t="n"/>
      <c r="AF51" s="163" t="n"/>
      <c r="AG51" s="163" t="n"/>
      <c r="AH51" s="163" t="n"/>
      <c r="AI51" s="163" t="n"/>
      <c r="AJ51" s="163" t="n"/>
      <c r="AK51" s="163" t="n"/>
      <c r="AL51" s="163" t="n"/>
      <c r="AM51" s="163" t="n"/>
      <c r="AN51" s="163" t="n"/>
      <c r="AO51" s="163" t="n"/>
      <c r="AP51" s="163" t="n"/>
      <c r="AQ51" s="163" t="n"/>
      <c r="AR51" s="163" t="n"/>
      <c r="AS51" s="163" t="n"/>
      <c r="AT51" s="163" t="n"/>
      <c r="AU51" s="163" t="n"/>
      <c r="AV51" s="163" t="n"/>
      <c r="AW51" s="163" t="n"/>
      <c r="AX51" s="163" t="n"/>
      <c r="AY51" s="163" t="n"/>
      <c r="AZ51" s="163" t="n"/>
    </row>
    <row r="52" ht="14.5" customHeight="1">
      <c r="A52" s="158" t="n"/>
      <c r="B52" s="161" t="n"/>
      <c r="C52" s="159" t="n"/>
      <c r="D52" s="159" t="n"/>
      <c r="E52" s="159" t="n"/>
      <c r="F52" s="161" t="n"/>
      <c r="G52" s="160" t="n"/>
      <c r="H52" s="172" t="n"/>
      <c r="I52" s="162" t="n"/>
      <c r="J52" s="452" t="n"/>
      <c r="K52" s="158" t="n"/>
      <c r="L52" s="158" t="n"/>
      <c r="M52" s="371" t="inlineStr"/>
      <c r="N52" s="458">
        <f t="array" ref="N52">IFERROR(calcDefaultValueOfProjectTask(M52),"error")</f>
        <v/>
      </c>
      <c r="P52" s="186" t="n"/>
      <c r="Q52" s="186" t="n"/>
      <c r="R52" s="209" t="n"/>
      <c r="S52" s="215" t="n"/>
      <c r="T52" s="209" t="n"/>
      <c r="V52" s="459">
        <f>IF(J52&lt;&gt;"",IFERROR(J52-SUM(W52:AZ52),0),"")</f>
        <v/>
      </c>
      <c r="W52" s="163" t="n"/>
      <c r="X52" s="163" t="n"/>
      <c r="Y52" s="163" t="n"/>
      <c r="Z52" s="163" t="n"/>
      <c r="AA52" s="163" t="n"/>
      <c r="AB52" s="163" t="n"/>
      <c r="AC52" s="163" t="n"/>
      <c r="AD52" s="163" t="n"/>
      <c r="AE52" s="163" t="n"/>
      <c r="AF52" s="163" t="n"/>
      <c r="AG52" s="163" t="n"/>
      <c r="AH52" s="163" t="n"/>
      <c r="AI52" s="163" t="n"/>
      <c r="AJ52" s="163" t="n"/>
      <c r="AK52" s="163" t="n"/>
      <c r="AL52" s="163" t="n"/>
      <c r="AM52" s="163" t="n"/>
      <c r="AN52" s="163" t="n"/>
      <c r="AO52" s="163" t="n"/>
      <c r="AP52" s="163" t="n"/>
      <c r="AQ52" s="163" t="n"/>
      <c r="AR52" s="163" t="n"/>
      <c r="AS52" s="163" t="n"/>
      <c r="AT52" s="163" t="n"/>
      <c r="AU52" s="163" t="n"/>
      <c r="AV52" s="163" t="n"/>
      <c r="AW52" s="163" t="n"/>
      <c r="AX52" s="163" t="n"/>
      <c r="AY52" s="163" t="n"/>
      <c r="AZ52" s="163" t="n"/>
    </row>
    <row r="53" ht="14.5" customHeight="1">
      <c r="A53" s="158" t="n"/>
      <c r="B53" s="161" t="n"/>
      <c r="C53" s="159" t="n"/>
      <c r="D53" s="159" t="n"/>
      <c r="E53" s="159" t="n"/>
      <c r="F53" s="161" t="n"/>
      <c r="G53" s="160" t="n"/>
      <c r="H53" s="172" t="n"/>
      <c r="I53" s="162" t="n"/>
      <c r="J53" s="452" t="n"/>
      <c r="K53" s="158" t="n"/>
      <c r="L53" s="158" t="n"/>
      <c r="M53" s="371" t="inlineStr"/>
      <c r="N53" s="458">
        <f t="array" ref="N53">IFERROR(calcDefaultValueOfProjectTask(M53),"error")</f>
        <v/>
      </c>
      <c r="P53" s="186" t="n"/>
      <c r="Q53" s="186" t="n"/>
      <c r="R53" s="209" t="n"/>
      <c r="S53" s="215" t="n"/>
      <c r="T53" s="209" t="n"/>
      <c r="V53" s="459">
        <f>IF(J53&lt;&gt;"",IFERROR(J53-SUM(W53:AZ53),0),"")</f>
        <v/>
      </c>
      <c r="W53" s="163" t="n"/>
      <c r="X53" s="163" t="n"/>
      <c r="Y53" s="163" t="n"/>
      <c r="Z53" s="163" t="n"/>
      <c r="AA53" s="163" t="n"/>
      <c r="AB53" s="163" t="n"/>
      <c r="AC53" s="163" t="n"/>
      <c r="AD53" s="163" t="n"/>
      <c r="AE53" s="163" t="n"/>
      <c r="AF53" s="163" t="n"/>
      <c r="AG53" s="163" t="n"/>
      <c r="AH53" s="163" t="n"/>
      <c r="AI53" s="163" t="n"/>
      <c r="AJ53" s="163" t="n"/>
      <c r="AK53" s="163" t="n"/>
      <c r="AL53" s="163" t="n"/>
      <c r="AM53" s="163" t="n"/>
      <c r="AN53" s="163" t="n"/>
      <c r="AO53" s="163" t="n"/>
      <c r="AP53" s="163" t="n"/>
      <c r="AQ53" s="163" t="n"/>
      <c r="AR53" s="163" t="n"/>
      <c r="AS53" s="163" t="n"/>
      <c r="AT53" s="163" t="n"/>
      <c r="AU53" s="163" t="n"/>
      <c r="AV53" s="163" t="n"/>
      <c r="AW53" s="163" t="n"/>
      <c r="AX53" s="163" t="n"/>
      <c r="AY53" s="163" t="n"/>
      <c r="AZ53" s="163" t="n"/>
    </row>
    <row r="54" ht="14.5" customHeight="1">
      <c r="A54" s="158" t="n"/>
      <c r="B54" s="161" t="n"/>
      <c r="C54" s="159" t="n"/>
      <c r="D54" s="159" t="n"/>
      <c r="E54" s="159" t="n"/>
      <c r="F54" s="161" t="n"/>
      <c r="G54" s="160" t="n"/>
      <c r="H54" s="172" t="n"/>
      <c r="I54" s="162" t="n"/>
      <c r="J54" s="452" t="n"/>
      <c r="K54" s="158" t="n"/>
      <c r="L54" s="158" t="n"/>
      <c r="M54" s="371" t="inlineStr"/>
      <c r="N54" s="458">
        <f t="array" ref="N54">IFERROR(calcDefaultValueOfProjectTask(M54),"error")</f>
        <v/>
      </c>
      <c r="P54" s="186" t="n"/>
      <c r="Q54" s="186" t="n"/>
      <c r="R54" s="209" t="n"/>
      <c r="S54" s="215" t="n"/>
      <c r="T54" s="209" t="n"/>
      <c r="V54" s="459">
        <f>IF(J54&lt;&gt;"",IFERROR(J54-SUM(W54:AZ54),0),"")</f>
        <v/>
      </c>
      <c r="W54" s="163" t="n"/>
      <c r="X54" s="163" t="n"/>
      <c r="Y54" s="163" t="n"/>
      <c r="Z54" s="163" t="n"/>
      <c r="AA54" s="163" t="n"/>
      <c r="AB54" s="163" t="n"/>
      <c r="AC54" s="163" t="n"/>
      <c r="AD54" s="163" t="n"/>
      <c r="AE54" s="163" t="n"/>
      <c r="AF54" s="163" t="n"/>
      <c r="AG54" s="163" t="n"/>
      <c r="AH54" s="163" t="n"/>
      <c r="AI54" s="163" t="n"/>
      <c r="AJ54" s="163" t="n"/>
      <c r="AK54" s="163" t="n"/>
      <c r="AL54" s="163" t="n"/>
      <c r="AM54" s="163" t="n"/>
      <c r="AN54" s="163" t="n"/>
      <c r="AO54" s="163" t="n"/>
      <c r="AP54" s="163" t="n"/>
      <c r="AQ54" s="163" t="n"/>
      <c r="AR54" s="163" t="n"/>
      <c r="AS54" s="163" t="n"/>
      <c r="AT54" s="163" t="n"/>
      <c r="AU54" s="163" t="n"/>
      <c r="AV54" s="163" t="n"/>
      <c r="AW54" s="163" t="n"/>
      <c r="AX54" s="163" t="n"/>
      <c r="AY54" s="163" t="n"/>
      <c r="AZ54" s="163" t="n"/>
    </row>
    <row r="55" ht="14.5" customHeight="1">
      <c r="A55" s="158" t="n"/>
      <c r="B55" s="161" t="n"/>
      <c r="C55" s="159" t="n"/>
      <c r="D55" s="159" t="n"/>
      <c r="E55" s="159" t="n"/>
      <c r="F55" s="161" t="n"/>
      <c r="G55" s="160" t="n"/>
      <c r="H55" s="172" t="n"/>
      <c r="I55" s="162" t="n"/>
      <c r="J55" s="452" t="n"/>
      <c r="K55" s="158" t="n"/>
      <c r="L55" s="158" t="n"/>
      <c r="M55" s="371" t="inlineStr"/>
      <c r="N55" s="458">
        <f t="array" ref="N55">IFERROR(calcDefaultValueOfProjectTask(M55),"error")</f>
        <v/>
      </c>
      <c r="P55" s="186" t="n"/>
      <c r="Q55" s="186" t="n"/>
      <c r="R55" s="209" t="n"/>
      <c r="S55" s="215" t="n"/>
      <c r="T55" s="209" t="n"/>
      <c r="V55" s="459">
        <f>IF(J55&lt;&gt;"",IFERROR(J55-SUM(W55:AZ55),0),"")</f>
        <v/>
      </c>
      <c r="W55" s="163" t="n"/>
      <c r="X55" s="163" t="n"/>
      <c r="Y55" s="163" t="n"/>
      <c r="Z55" s="163" t="n"/>
      <c r="AA55" s="163" t="n"/>
      <c r="AB55" s="163" t="n"/>
      <c r="AC55" s="163" t="n"/>
      <c r="AD55" s="163" t="n"/>
      <c r="AE55" s="163" t="n"/>
      <c r="AF55" s="163" t="n"/>
      <c r="AG55" s="163" t="n"/>
      <c r="AH55" s="163" t="n"/>
      <c r="AI55" s="163" t="n"/>
      <c r="AJ55" s="163" t="n"/>
      <c r="AK55" s="163" t="n"/>
      <c r="AL55" s="163" t="n"/>
      <c r="AM55" s="163" t="n"/>
      <c r="AN55" s="163" t="n"/>
      <c r="AO55" s="163" t="n"/>
      <c r="AP55" s="163" t="n"/>
      <c r="AQ55" s="163" t="n"/>
      <c r="AR55" s="163" t="n"/>
      <c r="AS55" s="163" t="n"/>
      <c r="AT55" s="163" t="n"/>
      <c r="AU55" s="163" t="n"/>
      <c r="AV55" s="163" t="n"/>
      <c r="AW55" s="163" t="n"/>
      <c r="AX55" s="163" t="n"/>
      <c r="AY55" s="163" t="n"/>
      <c r="AZ55" s="163" t="n"/>
    </row>
    <row r="56" ht="14.5" customHeight="1">
      <c r="A56" s="158" t="n"/>
      <c r="B56" s="161" t="n"/>
      <c r="C56" s="159" t="n"/>
      <c r="D56" s="159" t="n"/>
      <c r="E56" s="159" t="n"/>
      <c r="F56" s="161" t="n"/>
      <c r="G56" s="160" t="n"/>
      <c r="H56" s="172" t="n"/>
      <c r="I56" s="162" t="n"/>
      <c r="J56" s="452" t="n"/>
      <c r="K56" s="158" t="n"/>
      <c r="L56" s="158" t="n"/>
      <c r="M56" s="371" t="inlineStr"/>
      <c r="N56" s="458">
        <f t="array" ref="N56">IFERROR(calcDefaultValueOfProjectTask(M56),"error")</f>
        <v/>
      </c>
      <c r="P56" s="186" t="n"/>
      <c r="Q56" s="186" t="n"/>
      <c r="R56" s="209" t="n"/>
      <c r="S56" s="215" t="n"/>
      <c r="T56" s="209" t="n"/>
      <c r="V56" s="459">
        <f>IF(J56&lt;&gt;"",IFERROR(J56-SUM(W56:AZ56),0),"")</f>
        <v/>
      </c>
      <c r="W56" s="163" t="n"/>
      <c r="X56" s="163" t="n"/>
      <c r="Y56" s="163" t="n"/>
      <c r="Z56" s="163" t="n"/>
      <c r="AA56" s="163" t="n"/>
      <c r="AB56" s="163" t="n"/>
      <c r="AC56" s="163" t="n"/>
      <c r="AD56" s="163" t="n"/>
      <c r="AE56" s="163" t="n"/>
      <c r="AF56" s="163" t="n"/>
      <c r="AG56" s="163" t="n"/>
      <c r="AH56" s="163" t="n"/>
      <c r="AI56" s="163" t="n"/>
      <c r="AJ56" s="163" t="n"/>
      <c r="AK56" s="163" t="n"/>
      <c r="AL56" s="163" t="n"/>
      <c r="AM56" s="163" t="n"/>
      <c r="AN56" s="163" t="n"/>
      <c r="AO56" s="163" t="n"/>
      <c r="AP56" s="163" t="n"/>
      <c r="AQ56" s="163" t="n"/>
      <c r="AR56" s="163" t="n"/>
      <c r="AS56" s="163" t="n"/>
      <c r="AT56" s="163" t="n"/>
      <c r="AU56" s="163" t="n"/>
      <c r="AV56" s="163" t="n"/>
      <c r="AW56" s="163" t="n"/>
      <c r="AX56" s="163" t="n"/>
      <c r="AY56" s="163" t="n"/>
      <c r="AZ56" s="163" t="n"/>
    </row>
    <row r="57" ht="14.5" customHeight="1">
      <c r="A57" s="158" t="n"/>
      <c r="B57" s="161" t="n"/>
      <c r="C57" s="159" t="n"/>
      <c r="D57" s="159" t="n"/>
      <c r="E57" s="159" t="n"/>
      <c r="F57" s="161" t="n"/>
      <c r="G57" s="160" t="n"/>
      <c r="H57" s="172" t="n"/>
      <c r="I57" s="162" t="n"/>
      <c r="J57" s="452" t="n"/>
      <c r="K57" s="158" t="n"/>
      <c r="L57" s="158" t="n"/>
      <c r="M57" s="371" t="inlineStr"/>
      <c r="N57" s="458">
        <f t="array" ref="N57">IFERROR(calcDefaultValueOfProjectTask(M57),"error")</f>
        <v/>
      </c>
      <c r="P57" s="186" t="n"/>
      <c r="Q57" s="186" t="n"/>
      <c r="R57" s="209" t="n"/>
      <c r="S57" s="215" t="n"/>
      <c r="T57" s="209" t="n"/>
      <c r="V57" s="459">
        <f>IF(J57&lt;&gt;"",IFERROR(J57-SUM(W57:AZ57),0),"")</f>
        <v/>
      </c>
      <c r="W57" s="163" t="n"/>
      <c r="X57" s="163" t="n"/>
      <c r="Y57" s="163" t="n"/>
      <c r="Z57" s="163" t="n"/>
      <c r="AA57" s="163" t="n"/>
      <c r="AB57" s="163" t="n"/>
      <c r="AC57" s="163" t="n"/>
      <c r="AD57" s="163" t="n"/>
      <c r="AE57" s="163" t="n"/>
      <c r="AF57" s="163" t="n"/>
      <c r="AG57" s="163" t="n"/>
      <c r="AH57" s="163" t="n"/>
      <c r="AI57" s="163" t="n"/>
      <c r="AJ57" s="163" t="n"/>
      <c r="AK57" s="163" t="n"/>
      <c r="AL57" s="163" t="n"/>
      <c r="AM57" s="163" t="n"/>
      <c r="AN57" s="163" t="n"/>
      <c r="AO57" s="163" t="n"/>
      <c r="AP57" s="163" t="n"/>
      <c r="AQ57" s="163" t="n"/>
      <c r="AR57" s="163" t="n"/>
      <c r="AS57" s="163" t="n"/>
      <c r="AT57" s="163" t="n"/>
      <c r="AU57" s="163" t="n"/>
      <c r="AV57" s="163" t="n"/>
      <c r="AW57" s="163" t="n"/>
      <c r="AX57" s="163" t="n"/>
      <c r="AY57" s="163" t="n"/>
      <c r="AZ57" s="163" t="n"/>
    </row>
    <row r="58" ht="14.5" customHeight="1">
      <c r="A58" s="158" t="n"/>
      <c r="B58" s="161" t="n"/>
      <c r="C58" s="159" t="n"/>
      <c r="D58" s="159" t="n"/>
      <c r="E58" s="159" t="n"/>
      <c r="F58" s="161" t="n"/>
      <c r="G58" s="160" t="n"/>
      <c r="H58" s="172" t="n"/>
      <c r="I58" s="162" t="n"/>
      <c r="J58" s="452" t="n"/>
      <c r="K58" s="158" t="n"/>
      <c r="L58" s="158" t="n"/>
      <c r="M58" s="371" t="inlineStr"/>
      <c r="N58" s="458">
        <f t="array" ref="N58">IFERROR(calcDefaultValueOfProjectTask(M58),"error")</f>
        <v/>
      </c>
      <c r="P58" s="186" t="n"/>
      <c r="Q58" s="186" t="n"/>
      <c r="R58" s="209" t="n"/>
      <c r="S58" s="215" t="n"/>
      <c r="T58" s="209" t="n"/>
      <c r="V58" s="459">
        <f>IF(J58&lt;&gt;"",IFERROR(J58-SUM(W58:AZ58),0),"")</f>
        <v/>
      </c>
      <c r="W58" s="163" t="n"/>
      <c r="X58" s="163" t="n"/>
      <c r="Y58" s="163" t="n"/>
      <c r="Z58" s="163" t="n"/>
      <c r="AA58" s="163" t="n"/>
      <c r="AB58" s="163" t="n"/>
      <c r="AC58" s="163" t="n"/>
      <c r="AD58" s="163" t="n"/>
      <c r="AE58" s="163" t="n"/>
      <c r="AF58" s="163" t="n"/>
      <c r="AG58" s="163" t="n"/>
      <c r="AH58" s="163" t="n"/>
      <c r="AI58" s="163" t="n"/>
      <c r="AJ58" s="163" t="n"/>
      <c r="AK58" s="163" t="n"/>
      <c r="AL58" s="163" t="n"/>
      <c r="AM58" s="163" t="n"/>
      <c r="AN58" s="163" t="n"/>
      <c r="AO58" s="163" t="n"/>
      <c r="AP58" s="163" t="n"/>
      <c r="AQ58" s="163" t="n"/>
      <c r="AR58" s="163" t="n"/>
      <c r="AS58" s="163" t="n"/>
      <c r="AT58" s="163" t="n"/>
      <c r="AU58" s="163" t="n"/>
      <c r="AV58" s="163" t="n"/>
      <c r="AW58" s="163" t="n"/>
      <c r="AX58" s="163" t="n"/>
      <c r="AY58" s="163" t="n"/>
      <c r="AZ58" s="163" t="n"/>
    </row>
    <row r="59" ht="14.5" customHeight="1">
      <c r="A59" s="158" t="n"/>
      <c r="B59" s="161" t="n"/>
      <c r="C59" s="159" t="n"/>
      <c r="D59" s="159" t="n"/>
      <c r="E59" s="159" t="n"/>
      <c r="F59" s="161" t="n"/>
      <c r="G59" s="160" t="n"/>
      <c r="H59" s="172" t="n"/>
      <c r="I59" s="162" t="n"/>
      <c r="J59" s="452" t="n"/>
      <c r="K59" s="158" t="n"/>
      <c r="L59" s="158" t="n"/>
      <c r="M59" s="371" t="inlineStr"/>
      <c r="N59" s="458">
        <f t="array" ref="N59">IFERROR(calcDefaultValueOfProjectTask(M59),"error")</f>
        <v/>
      </c>
      <c r="P59" s="186" t="n"/>
      <c r="Q59" s="186" t="n"/>
      <c r="R59" s="209" t="n"/>
      <c r="S59" s="215" t="n"/>
      <c r="T59" s="209" t="n"/>
      <c r="V59" s="459">
        <f>IF(J59&lt;&gt;"",IFERROR(J59-SUM(W59:AZ59),0),"")</f>
        <v/>
      </c>
      <c r="W59" s="163" t="n"/>
      <c r="X59" s="163" t="n"/>
      <c r="Y59" s="163" t="n"/>
      <c r="Z59" s="163" t="n"/>
      <c r="AA59" s="163" t="n"/>
      <c r="AB59" s="163" t="n"/>
      <c r="AC59" s="163" t="n"/>
      <c r="AD59" s="163" t="n"/>
      <c r="AE59" s="163" t="n"/>
      <c r="AF59" s="163" t="n"/>
      <c r="AG59" s="163" t="n"/>
      <c r="AH59" s="163" t="n"/>
      <c r="AI59" s="163" t="n"/>
      <c r="AJ59" s="163" t="n"/>
      <c r="AK59" s="163" t="n"/>
      <c r="AL59" s="163" t="n"/>
      <c r="AM59" s="163" t="n"/>
      <c r="AN59" s="163" t="n"/>
      <c r="AO59" s="163" t="n"/>
      <c r="AP59" s="163" t="n"/>
      <c r="AQ59" s="163" t="n"/>
      <c r="AR59" s="163" t="n"/>
      <c r="AS59" s="163" t="n"/>
      <c r="AT59" s="163" t="n"/>
      <c r="AU59" s="163" t="n"/>
      <c r="AV59" s="163" t="n"/>
      <c r="AW59" s="163" t="n"/>
      <c r="AX59" s="163" t="n"/>
      <c r="AY59" s="163" t="n"/>
      <c r="AZ59" s="163" t="n"/>
    </row>
    <row r="60" ht="14.5" customHeight="1">
      <c r="A60" s="158" t="n"/>
      <c r="B60" s="161" t="n"/>
      <c r="C60" s="159" t="n"/>
      <c r="D60" s="159" t="n"/>
      <c r="E60" s="159" t="n"/>
      <c r="F60" s="161" t="n"/>
      <c r="G60" s="160" t="n"/>
      <c r="H60" s="172" t="n"/>
      <c r="I60" s="162" t="n"/>
      <c r="J60" s="452" t="n"/>
      <c r="K60" s="158" t="n"/>
      <c r="L60" s="158" t="n"/>
      <c r="M60" s="371" t="inlineStr"/>
      <c r="N60" s="458">
        <f t="array" ref="N60">IFERROR(calcDefaultValueOfProjectTask(M60),"error")</f>
        <v/>
      </c>
      <c r="P60" s="186" t="n"/>
      <c r="Q60" s="186" t="n"/>
      <c r="R60" s="209" t="n"/>
      <c r="S60" s="215" t="n"/>
      <c r="T60" s="209" t="n"/>
      <c r="V60" s="459">
        <f>IF(J60&lt;&gt;"",IFERROR(J60-SUM(W60:AZ60),0),"")</f>
        <v/>
      </c>
      <c r="W60" s="163" t="n"/>
      <c r="X60" s="163" t="n"/>
      <c r="Y60" s="163" t="n"/>
      <c r="Z60" s="163" t="n"/>
      <c r="AA60" s="163" t="n"/>
      <c r="AB60" s="163" t="n"/>
      <c r="AC60" s="163" t="n"/>
      <c r="AD60" s="163" t="n"/>
      <c r="AE60" s="163" t="n"/>
      <c r="AF60" s="163" t="n"/>
      <c r="AG60" s="163" t="n"/>
      <c r="AH60" s="163" t="n"/>
      <c r="AI60" s="163" t="n"/>
      <c r="AJ60" s="163" t="n"/>
      <c r="AK60" s="163" t="n"/>
      <c r="AL60" s="163" t="n"/>
      <c r="AM60" s="163" t="n"/>
      <c r="AN60" s="163" t="n"/>
      <c r="AO60" s="163" t="n"/>
      <c r="AP60" s="163" t="n"/>
      <c r="AQ60" s="163" t="n"/>
      <c r="AR60" s="163" t="n"/>
      <c r="AS60" s="163" t="n"/>
      <c r="AT60" s="163" t="n"/>
      <c r="AU60" s="163" t="n"/>
      <c r="AV60" s="163" t="n"/>
      <c r="AW60" s="163" t="n"/>
      <c r="AX60" s="163" t="n"/>
      <c r="AY60" s="163" t="n"/>
      <c r="AZ60" s="163" t="n"/>
    </row>
    <row r="61" ht="14.5" customHeight="1">
      <c r="A61" s="158" t="n"/>
      <c r="B61" s="161" t="n"/>
      <c r="C61" s="159" t="n"/>
      <c r="D61" s="159" t="n"/>
      <c r="E61" s="159" t="n"/>
      <c r="F61" s="161" t="n"/>
      <c r="G61" s="160" t="n"/>
      <c r="H61" s="172" t="n"/>
      <c r="I61" s="162" t="n"/>
      <c r="J61" s="452" t="n"/>
      <c r="K61" s="158" t="n"/>
      <c r="L61" s="158" t="n"/>
      <c r="M61" s="371" t="inlineStr"/>
      <c r="N61" s="458">
        <f t="array" ref="N61">IFERROR(calcDefaultValueOfProjectTask(M61),"error")</f>
        <v/>
      </c>
      <c r="P61" s="186" t="n"/>
      <c r="Q61" s="186" t="n"/>
      <c r="R61" s="209" t="n"/>
      <c r="S61" s="215" t="n"/>
      <c r="T61" s="209" t="n"/>
      <c r="V61" s="459">
        <f>IF(J61&lt;&gt;"",IFERROR(J61-SUM(W61:AZ61),0),"")</f>
        <v/>
      </c>
      <c r="W61" s="163" t="n"/>
      <c r="X61" s="163" t="n"/>
      <c r="Y61" s="163" t="n"/>
      <c r="Z61" s="163" t="n"/>
      <c r="AA61" s="163" t="n"/>
      <c r="AB61" s="163" t="n"/>
      <c r="AC61" s="163" t="n"/>
      <c r="AD61" s="163" t="n"/>
      <c r="AE61" s="163" t="n"/>
      <c r="AF61" s="163" t="n"/>
      <c r="AG61" s="163" t="n"/>
      <c r="AH61" s="163" t="n"/>
      <c r="AI61" s="163" t="n"/>
      <c r="AJ61" s="163" t="n"/>
      <c r="AK61" s="163" t="n"/>
      <c r="AL61" s="163" t="n"/>
      <c r="AM61" s="163" t="n"/>
      <c r="AN61" s="163" t="n"/>
      <c r="AO61" s="163" t="n"/>
      <c r="AP61" s="163" t="n"/>
      <c r="AQ61" s="163" t="n"/>
      <c r="AR61" s="163" t="n"/>
      <c r="AS61" s="163" t="n"/>
      <c r="AT61" s="163" t="n"/>
      <c r="AU61" s="163" t="n"/>
      <c r="AV61" s="163" t="n"/>
      <c r="AW61" s="163" t="n"/>
      <c r="AX61" s="163" t="n"/>
      <c r="AY61" s="163" t="n"/>
      <c r="AZ61" s="163" t="n"/>
    </row>
    <row r="62" ht="14.5" customHeight="1">
      <c r="A62" s="158" t="n"/>
      <c r="B62" s="161" t="n"/>
      <c r="C62" s="159" t="n"/>
      <c r="D62" s="159" t="n"/>
      <c r="E62" s="159" t="n"/>
      <c r="F62" s="161" t="n"/>
      <c r="G62" s="160" t="n"/>
      <c r="H62" s="172" t="n"/>
      <c r="I62" s="162" t="n"/>
      <c r="J62" s="452" t="n"/>
      <c r="K62" s="158" t="n"/>
      <c r="L62" s="158" t="n"/>
      <c r="M62" s="371" t="inlineStr"/>
      <c r="N62" s="458">
        <f t="array" ref="N62">IFERROR(calcDefaultValueOfProjectTask(M62),"error")</f>
        <v/>
      </c>
      <c r="P62" s="186" t="n"/>
      <c r="Q62" s="186" t="n"/>
      <c r="R62" s="209" t="n"/>
      <c r="S62" s="215" t="n"/>
      <c r="T62" s="209" t="n"/>
      <c r="V62" s="459">
        <f>IF(J62&lt;&gt;"",IFERROR(J62-SUM(W62:AZ62),0),"")</f>
        <v/>
      </c>
      <c r="W62" s="163" t="n"/>
      <c r="X62" s="163" t="n"/>
      <c r="Y62" s="163" t="n"/>
      <c r="Z62" s="163" t="n"/>
      <c r="AA62" s="163" t="n"/>
      <c r="AB62" s="163" t="n"/>
      <c r="AC62" s="163" t="n"/>
      <c r="AD62" s="163" t="n"/>
      <c r="AE62" s="163" t="n"/>
      <c r="AF62" s="163" t="n"/>
      <c r="AG62" s="163" t="n"/>
      <c r="AH62" s="163" t="n"/>
      <c r="AI62" s="163" t="n"/>
      <c r="AJ62" s="163" t="n"/>
      <c r="AK62" s="163" t="n"/>
      <c r="AL62" s="163" t="n"/>
      <c r="AM62" s="163" t="n"/>
      <c r="AN62" s="163" t="n"/>
      <c r="AO62" s="163" t="n"/>
      <c r="AP62" s="163" t="n"/>
      <c r="AQ62" s="163" t="n"/>
      <c r="AR62" s="163" t="n"/>
      <c r="AS62" s="163" t="n"/>
      <c r="AT62" s="163" t="n"/>
      <c r="AU62" s="163" t="n"/>
      <c r="AV62" s="163" t="n"/>
      <c r="AW62" s="163" t="n"/>
      <c r="AX62" s="163" t="n"/>
      <c r="AY62" s="163" t="n"/>
      <c r="AZ62" s="163" t="n"/>
    </row>
    <row r="63" ht="14.5" customHeight="1">
      <c r="A63" s="158" t="n"/>
      <c r="B63" s="161" t="n"/>
      <c r="C63" s="159" t="n"/>
      <c r="D63" s="159" t="n"/>
      <c r="E63" s="159" t="n"/>
      <c r="F63" s="161" t="n"/>
      <c r="G63" s="160" t="n"/>
      <c r="H63" s="172" t="n"/>
      <c r="I63" s="162" t="n"/>
      <c r="J63" s="452" t="n"/>
      <c r="K63" s="158" t="n"/>
      <c r="L63" s="158" t="n"/>
      <c r="M63" s="371" t="inlineStr"/>
      <c r="N63" s="458">
        <f t="array" ref="N63">IFERROR(calcDefaultValueOfProjectTask(M63),"error")</f>
        <v/>
      </c>
      <c r="P63" s="186" t="n"/>
      <c r="Q63" s="186" t="n"/>
      <c r="R63" s="209" t="n"/>
      <c r="S63" s="215" t="n"/>
      <c r="T63" s="209" t="n"/>
      <c r="V63" s="459">
        <f>IF(J63&lt;&gt;"",IFERROR(J63-SUM(W63:AZ63),0),"")</f>
        <v/>
      </c>
      <c r="W63" s="163" t="n"/>
      <c r="X63" s="163" t="n"/>
      <c r="Y63" s="163" t="n"/>
      <c r="Z63" s="163" t="n"/>
      <c r="AA63" s="163" t="n"/>
      <c r="AB63" s="163" t="n"/>
      <c r="AC63" s="163" t="n"/>
      <c r="AD63" s="163" t="n"/>
      <c r="AE63" s="163" t="n"/>
      <c r="AF63" s="163" t="n"/>
      <c r="AG63" s="163" t="n"/>
      <c r="AH63" s="163" t="n"/>
      <c r="AI63" s="163" t="n"/>
      <c r="AJ63" s="163" t="n"/>
      <c r="AK63" s="163" t="n"/>
      <c r="AL63" s="163" t="n"/>
      <c r="AM63" s="163" t="n"/>
      <c r="AN63" s="163" t="n"/>
      <c r="AO63" s="163" t="n"/>
      <c r="AP63" s="163" t="n"/>
      <c r="AQ63" s="163" t="n"/>
      <c r="AR63" s="163" t="n"/>
      <c r="AS63" s="163" t="n"/>
      <c r="AT63" s="163" t="n"/>
      <c r="AU63" s="163" t="n"/>
      <c r="AV63" s="163" t="n"/>
      <c r="AW63" s="163" t="n"/>
      <c r="AX63" s="163" t="n"/>
      <c r="AY63" s="163" t="n"/>
      <c r="AZ63" s="163" t="n"/>
    </row>
    <row r="64" ht="14.5" customHeight="1">
      <c r="A64" s="158" t="n"/>
      <c r="B64" s="161" t="n"/>
      <c r="C64" s="159" t="n"/>
      <c r="D64" s="159" t="n"/>
      <c r="E64" s="159" t="n"/>
      <c r="F64" s="161" t="n"/>
      <c r="G64" s="160" t="n"/>
      <c r="H64" s="172" t="n"/>
      <c r="I64" s="162" t="n"/>
      <c r="J64" s="452" t="n"/>
      <c r="K64" s="158" t="n"/>
      <c r="L64" s="158" t="n"/>
      <c r="M64" s="371" t="inlineStr"/>
      <c r="N64" s="458">
        <f t="array" ref="N64">IFERROR(calcDefaultValueOfProjectTask(M64),"error")</f>
        <v/>
      </c>
      <c r="P64" s="186" t="n"/>
      <c r="Q64" s="186" t="n"/>
      <c r="R64" s="209" t="n"/>
      <c r="S64" s="215" t="n"/>
      <c r="T64" s="209" t="n"/>
      <c r="V64" s="459">
        <f>IF(J64&lt;&gt;"",IFERROR(J64-SUM(W64:AZ64),0),"")</f>
        <v/>
      </c>
      <c r="W64" s="163" t="n"/>
      <c r="X64" s="163" t="n"/>
      <c r="Y64" s="163" t="n"/>
      <c r="Z64" s="163" t="n"/>
      <c r="AA64" s="163" t="n"/>
      <c r="AB64" s="163" t="n"/>
      <c r="AC64" s="163" t="n"/>
      <c r="AD64" s="163" t="n"/>
      <c r="AE64" s="163" t="n"/>
      <c r="AF64" s="163" t="n"/>
      <c r="AG64" s="163" t="n"/>
      <c r="AH64" s="163" t="n"/>
      <c r="AI64" s="163" t="n"/>
      <c r="AJ64" s="163" t="n"/>
      <c r="AK64" s="163" t="n"/>
      <c r="AL64" s="163" t="n"/>
      <c r="AM64" s="163" t="n"/>
      <c r="AN64" s="163" t="n"/>
      <c r="AO64" s="163" t="n"/>
      <c r="AP64" s="163" t="n"/>
      <c r="AQ64" s="163" t="n"/>
      <c r="AR64" s="163" t="n"/>
      <c r="AS64" s="163" t="n"/>
      <c r="AT64" s="163" t="n"/>
      <c r="AU64" s="163" t="n"/>
      <c r="AV64" s="163" t="n"/>
      <c r="AW64" s="163" t="n"/>
      <c r="AX64" s="163" t="n"/>
      <c r="AY64" s="163" t="n"/>
      <c r="AZ64" s="163" t="n"/>
    </row>
    <row r="65" ht="14.5" customHeight="1">
      <c r="A65" s="158" t="n"/>
      <c r="B65" s="161" t="n"/>
      <c r="C65" s="159" t="n"/>
      <c r="D65" s="159" t="n"/>
      <c r="E65" s="159" t="n"/>
      <c r="F65" s="161" t="n"/>
      <c r="G65" s="160" t="n"/>
      <c r="H65" s="172" t="n"/>
      <c r="I65" s="162" t="n"/>
      <c r="J65" s="452" t="n"/>
      <c r="K65" s="158" t="n"/>
      <c r="L65" s="158" t="n"/>
      <c r="M65" s="371" t="inlineStr"/>
      <c r="N65" s="458">
        <f t="array" ref="N65">IFERROR(calcDefaultValueOfProjectTask(M65),"error")</f>
        <v/>
      </c>
      <c r="P65" s="186" t="n"/>
      <c r="Q65" s="186" t="n"/>
      <c r="R65" s="209" t="n"/>
      <c r="S65" s="215" t="n"/>
      <c r="T65" s="209" t="n"/>
      <c r="V65" s="459">
        <f>IF(J65&lt;&gt;"",IFERROR(J65-SUM(W65:AZ65),0),"")</f>
        <v/>
      </c>
      <c r="W65" s="163" t="n"/>
      <c r="X65" s="163" t="n"/>
      <c r="Y65" s="163" t="n"/>
      <c r="Z65" s="163" t="n"/>
      <c r="AA65" s="163" t="n"/>
      <c r="AB65" s="163" t="n"/>
      <c r="AC65" s="163" t="n"/>
      <c r="AD65" s="163" t="n"/>
      <c r="AE65" s="163" t="n"/>
      <c r="AF65" s="163" t="n"/>
      <c r="AG65" s="163" t="n"/>
      <c r="AH65" s="163" t="n"/>
      <c r="AI65" s="163" t="n"/>
      <c r="AJ65" s="163" t="n"/>
      <c r="AK65" s="163" t="n"/>
      <c r="AL65" s="163" t="n"/>
      <c r="AM65" s="163" t="n"/>
      <c r="AN65" s="163" t="n"/>
      <c r="AO65" s="163" t="n"/>
      <c r="AP65" s="163" t="n"/>
      <c r="AQ65" s="163" t="n"/>
      <c r="AR65" s="163" t="n"/>
      <c r="AS65" s="163" t="n"/>
      <c r="AT65" s="163" t="n"/>
      <c r="AU65" s="163" t="n"/>
      <c r="AV65" s="163" t="n"/>
      <c r="AW65" s="163" t="n"/>
      <c r="AX65" s="163" t="n"/>
      <c r="AY65" s="163" t="n"/>
      <c r="AZ65" s="163" t="n"/>
    </row>
    <row r="66" ht="14.5" customHeight="1">
      <c r="A66" s="158" t="n"/>
      <c r="B66" s="161" t="n"/>
      <c r="C66" s="159" t="n"/>
      <c r="D66" s="159" t="n"/>
      <c r="E66" s="159" t="n"/>
      <c r="F66" s="161" t="n"/>
      <c r="G66" s="160" t="n"/>
      <c r="H66" s="172" t="n"/>
      <c r="I66" s="162" t="n"/>
      <c r="J66" s="452" t="n"/>
      <c r="K66" s="158" t="n"/>
      <c r="L66" s="158" t="n"/>
      <c r="M66" s="371" t="inlineStr"/>
      <c r="N66" s="458">
        <f t="array" ref="N66">IFERROR(calcDefaultValueOfProjectTask(M66),"error")</f>
        <v/>
      </c>
      <c r="P66" s="186" t="n"/>
      <c r="Q66" s="186" t="n"/>
      <c r="R66" s="209" t="n"/>
      <c r="S66" s="215" t="n"/>
      <c r="T66" s="209" t="n"/>
      <c r="V66" s="459">
        <f>IF(J66&lt;&gt;"",IFERROR(J66-SUM(W66:AZ66),0),"")</f>
        <v/>
      </c>
      <c r="W66" s="163" t="n"/>
      <c r="X66" s="163" t="n"/>
      <c r="Y66" s="163" t="n"/>
      <c r="Z66" s="163" t="n"/>
      <c r="AA66" s="163" t="n"/>
      <c r="AB66" s="163" t="n"/>
      <c r="AC66" s="163" t="n"/>
      <c r="AD66" s="163" t="n"/>
      <c r="AE66" s="163" t="n"/>
      <c r="AF66" s="163" t="n"/>
      <c r="AG66" s="163" t="n"/>
      <c r="AH66" s="163" t="n"/>
      <c r="AI66" s="163" t="n"/>
      <c r="AJ66" s="163" t="n"/>
      <c r="AK66" s="163" t="n"/>
      <c r="AL66" s="163" t="n"/>
      <c r="AM66" s="163" t="n"/>
      <c r="AN66" s="163" t="n"/>
      <c r="AO66" s="163" t="n"/>
      <c r="AP66" s="163" t="n"/>
      <c r="AQ66" s="163" t="n"/>
      <c r="AR66" s="163" t="n"/>
      <c r="AS66" s="163" t="n"/>
      <c r="AT66" s="163" t="n"/>
      <c r="AU66" s="163" t="n"/>
      <c r="AV66" s="163" t="n"/>
      <c r="AW66" s="163" t="n"/>
      <c r="AX66" s="163" t="n"/>
      <c r="AY66" s="163" t="n"/>
      <c r="AZ66" s="163" t="n"/>
    </row>
    <row r="67" ht="14.5" customHeight="1">
      <c r="A67" s="158" t="n"/>
      <c r="B67" s="161" t="n"/>
      <c r="C67" s="159" t="n"/>
      <c r="D67" s="159" t="n"/>
      <c r="E67" s="159" t="n"/>
      <c r="F67" s="161" t="n"/>
      <c r="G67" s="160" t="n"/>
      <c r="H67" s="172" t="n"/>
      <c r="I67" s="162" t="n"/>
      <c r="J67" s="452" t="n"/>
      <c r="K67" s="158" t="n"/>
      <c r="L67" s="158" t="n"/>
      <c r="M67" s="371" t="inlineStr"/>
      <c r="N67" s="458">
        <f t="array" ref="N67">IFERROR(calcDefaultValueOfProjectTask(M67),"error")</f>
        <v/>
      </c>
      <c r="P67" s="186" t="n"/>
      <c r="Q67" s="186" t="n"/>
      <c r="R67" s="209" t="n"/>
      <c r="S67" s="215" t="n"/>
      <c r="T67" s="209" t="n"/>
      <c r="V67" s="459">
        <f>IF(J67&lt;&gt;"",IFERROR(J67-SUM(W67:AZ67),0),"")</f>
        <v/>
      </c>
      <c r="W67" s="163" t="n"/>
      <c r="X67" s="163" t="n"/>
      <c r="Y67" s="163" t="n"/>
      <c r="Z67" s="163" t="n"/>
      <c r="AA67" s="163" t="n"/>
      <c r="AB67" s="163" t="n"/>
      <c r="AC67" s="163" t="n"/>
      <c r="AD67" s="163" t="n"/>
      <c r="AE67" s="163" t="n"/>
      <c r="AF67" s="163" t="n"/>
      <c r="AG67" s="163" t="n"/>
      <c r="AH67" s="163" t="n"/>
      <c r="AI67" s="163" t="n"/>
      <c r="AJ67" s="163" t="n"/>
      <c r="AK67" s="163" t="n"/>
      <c r="AL67" s="163" t="n"/>
      <c r="AM67" s="163" t="n"/>
      <c r="AN67" s="163" t="n"/>
      <c r="AO67" s="163" t="n"/>
      <c r="AP67" s="163" t="n"/>
      <c r="AQ67" s="163" t="n"/>
      <c r="AR67" s="163" t="n"/>
      <c r="AS67" s="163" t="n"/>
      <c r="AT67" s="163" t="n"/>
      <c r="AU67" s="163" t="n"/>
      <c r="AV67" s="163" t="n"/>
      <c r="AW67" s="163" t="n"/>
      <c r="AX67" s="163" t="n"/>
      <c r="AY67" s="163" t="n"/>
      <c r="AZ67" s="163" t="n"/>
    </row>
    <row r="68" ht="14.5" customHeight="1">
      <c r="A68" s="158" t="n"/>
      <c r="B68" s="161" t="n"/>
      <c r="C68" s="159" t="n"/>
      <c r="D68" s="159" t="n"/>
      <c r="E68" s="159" t="n"/>
      <c r="F68" s="161" t="n"/>
      <c r="G68" s="160" t="n"/>
      <c r="H68" s="172" t="n"/>
      <c r="I68" s="162" t="n"/>
      <c r="J68" s="452" t="n"/>
      <c r="K68" s="158" t="n"/>
      <c r="L68" s="158" t="n"/>
      <c r="M68" s="371" t="inlineStr"/>
      <c r="N68" s="458">
        <f t="array" ref="N68">IFERROR(calcDefaultValueOfProjectTask(M68),"error")</f>
        <v/>
      </c>
      <c r="P68" s="186" t="n"/>
      <c r="Q68" s="186" t="n"/>
      <c r="R68" s="209" t="n"/>
      <c r="S68" s="215" t="n"/>
      <c r="T68" s="209" t="n"/>
      <c r="V68" s="459">
        <f>IF(J68&lt;&gt;"",IFERROR(J68-SUM(W68:AZ68),0),"")</f>
        <v/>
      </c>
      <c r="W68" s="163" t="n"/>
      <c r="X68" s="163" t="n"/>
      <c r="Y68" s="163" t="n"/>
      <c r="Z68" s="163" t="n"/>
      <c r="AA68" s="163" t="n"/>
      <c r="AB68" s="163" t="n"/>
      <c r="AC68" s="163" t="n"/>
      <c r="AD68" s="163" t="n"/>
      <c r="AE68" s="163" t="n"/>
      <c r="AF68" s="163" t="n"/>
      <c r="AG68" s="163" t="n"/>
      <c r="AH68" s="163" t="n"/>
      <c r="AI68" s="163" t="n"/>
      <c r="AJ68" s="163" t="n"/>
      <c r="AK68" s="163" t="n"/>
      <c r="AL68" s="163" t="n"/>
      <c r="AM68" s="163" t="n"/>
      <c r="AN68" s="163" t="n"/>
      <c r="AO68" s="163" t="n"/>
      <c r="AP68" s="163" t="n"/>
      <c r="AQ68" s="163" t="n"/>
      <c r="AR68" s="163" t="n"/>
      <c r="AS68" s="163" t="n"/>
      <c r="AT68" s="163" t="n"/>
      <c r="AU68" s="163" t="n"/>
      <c r="AV68" s="163" t="n"/>
      <c r="AW68" s="163" t="n"/>
      <c r="AX68" s="163" t="n"/>
      <c r="AY68" s="163" t="n"/>
      <c r="AZ68" s="163" t="n"/>
    </row>
    <row r="69" ht="15" customFormat="1" customHeight="1" s="7">
      <c r="A69" s="433" t="inlineStr">
        <is>
          <t>Last row. Don't override this row. Please insert new rows before this row! Don't insert or delete rows manually! Only use the menu items above "Insert row" and "Delete row" or short keys CTRL+ or CTRL-.</t>
        </is>
      </c>
      <c r="B69" s="260" t="n"/>
      <c r="C69" s="453" t="n"/>
      <c r="D69" s="453" t="n"/>
      <c r="E69" s="453" t="n"/>
      <c r="F69" s="95" t="n"/>
      <c r="G69" s="453" t="n"/>
      <c r="H69" s="453" t="n"/>
      <c r="I69" s="453" t="n"/>
      <c r="J69" s="453" t="n"/>
      <c r="K69" s="255" t="n"/>
      <c r="L69" s="255" t="n"/>
      <c r="M69" s="372" t="n"/>
      <c r="N69" s="486" t="n"/>
      <c r="P69" s="280" t="n"/>
      <c r="Q69" s="280" t="n"/>
      <c r="R69" s="487" t="n"/>
      <c r="S69" s="488" t="n"/>
      <c r="T69" s="487" t="n"/>
      <c r="V69" s="453" t="n"/>
      <c r="W69" s="283" t="n"/>
      <c r="X69" s="283" t="n"/>
      <c r="Y69" s="283" t="n"/>
      <c r="Z69" s="283" t="n"/>
      <c r="AA69" s="283" t="n"/>
      <c r="AB69" s="283" t="n"/>
      <c r="AC69" s="283" t="n"/>
      <c r="AD69" s="283" t="n"/>
      <c r="AE69" s="283" t="n"/>
      <c r="AF69" s="283" t="n"/>
      <c r="AG69" s="283" t="n"/>
      <c r="AH69" s="283" t="n"/>
      <c r="AI69" s="283" t="n"/>
      <c r="AJ69" s="283" t="n"/>
      <c r="AK69" s="283" t="n"/>
      <c r="AL69" s="283" t="n"/>
      <c r="AM69" s="283" t="n"/>
      <c r="AN69" s="283" t="n"/>
      <c r="AO69" s="283" t="n"/>
      <c r="AP69" s="283" t="n"/>
      <c r="AQ69" s="283" t="n"/>
      <c r="AR69" s="283" t="n"/>
      <c r="AS69" s="283" t="n"/>
      <c r="AT69" s="283" t="n"/>
      <c r="AU69" s="283" t="n"/>
      <c r="AV69" s="283" t="n"/>
      <c r="AW69" s="283" t="n"/>
      <c r="AX69" s="283" t="n"/>
      <c r="AY69" s="283" t="n"/>
      <c r="AZ69" s="283" t="n"/>
    </row>
    <row r="70">
      <c r="P70" s="489">
        <f>_xlfn.MINIFS(P12:P69,T12:T69,"yes")</f>
        <v/>
      </c>
      <c r="Q70" s="489">
        <f>_xlfn.MAXIFS(Q12:Q69,T12:T69,"yes")</f>
        <v/>
      </c>
      <c r="W70" s="148" t="inlineStr">
        <is>
          <t>Use short characters: f[&lt;percent&gt;] = full effort, r[&lt;percent&gt;] = remaining effort, c&lt;value&gt; = constant effort, =&lt;formula&gt; = own formula</t>
        </is>
      </c>
    </row>
    <row r="71">
      <c r="I71" s="75" t="inlineStr">
        <is>
          <t>Feature effort (FT):</t>
        </is>
      </c>
      <c r="J71" s="490">
        <f>SUMIFS($J:$J,$G:$G,"FT*")</f>
        <v/>
      </c>
      <c r="M71" s="379" t="inlineStr">
        <is>
          <t>Special variables:</t>
        </is>
      </c>
      <c r="W71" s="147" t="n"/>
    </row>
    <row r="72" ht="5" customHeight="1">
      <c r="I72" s="75" t="n"/>
      <c r="J72" s="112" t="n"/>
      <c r="M72" s="252" t="n"/>
      <c r="V72" s="112" t="n"/>
      <c r="W72" s="147" t="n"/>
    </row>
    <row r="73">
      <c r="I73" s="75" t="inlineStr">
        <is>
          <t>Travel time (TT):</t>
        </is>
      </c>
      <c r="J73" s="490">
        <f>SUMIFS($J:$J,$G:$G,"TT")</f>
        <v/>
      </c>
      <c r="M73" s="175" t="inlineStr">
        <is>
          <t>[#total1] = Total effort without warranty and travel time and risks (days)</t>
        </is>
      </c>
      <c r="V73" s="491">
        <f>IFERROR(J73/N5/GT_ProjectLength,0)</f>
        <v/>
      </c>
      <c r="W73" s="49">
        <f>SUMIFS(W:W,$G:$G,"TT")</f>
        <v/>
      </c>
      <c r="X73" s="49">
        <f>SUMIFS(X:X,$G:$G,"TT")</f>
        <v/>
      </c>
      <c r="Y73" s="49">
        <f>SUMIFS(Y:Y,$G:$G,"TT")</f>
        <v/>
      </c>
      <c r="Z73" s="49">
        <f>SUMIFS(Z:Z,$G:$G,"TT")</f>
        <v/>
      </c>
      <c r="AA73" s="49">
        <f>SUMIFS(AA:AA,$G:$G,"TT")</f>
        <v/>
      </c>
      <c r="AB73" s="49">
        <f>SUMIFS(AB:AB,$G:$G,"TT")</f>
        <v/>
      </c>
      <c r="AC73" s="49">
        <f>SUMIFS(AC:AC,$G:$G,"TT")</f>
        <v/>
      </c>
      <c r="AD73" s="49">
        <f>SUMIFS(AD:AD,$G:$G,"TT")</f>
        <v/>
      </c>
      <c r="AE73" s="49">
        <f>SUMIFS(AE:AE,$G:$G,"TT")</f>
        <v/>
      </c>
      <c r="AF73" s="49">
        <f>SUMIFS(AF:AF,$G:$G,"TT")</f>
        <v/>
      </c>
      <c r="AG73" s="49">
        <f>SUMIFS(AG:AG,$G:$G,"TT")</f>
        <v/>
      </c>
      <c r="AH73" s="49">
        <f>SUMIFS(AH:AH,$G:$G,"TT")</f>
        <v/>
      </c>
      <c r="AI73" s="49">
        <f>SUMIFS(AI:AI,$G:$G,"TT")</f>
        <v/>
      </c>
      <c r="AJ73" s="49">
        <f>SUMIFS(AJ:AJ,$G:$G,"TT")</f>
        <v/>
      </c>
      <c r="AK73" s="49">
        <f>SUMIFS(AK:AK,$G:$G,"TT")</f>
        <v/>
      </c>
      <c r="AL73" s="49">
        <f>SUMIFS(AL:AL,$G:$G,"TT")</f>
        <v/>
      </c>
      <c r="AM73" s="49">
        <f>SUMIFS(AM:AM,$G:$G,"TT")</f>
        <v/>
      </c>
      <c r="AN73" s="49">
        <f>SUMIFS(AN:AN,$G:$G,"TT")</f>
        <v/>
      </c>
      <c r="AO73" s="49">
        <f>SUMIFS(AO:AO,$G:$G,"TT")</f>
        <v/>
      </c>
      <c r="AP73" s="49">
        <f>SUMIFS(AP:AP,$G:$G,"TT")</f>
        <v/>
      </c>
      <c r="AQ73" s="49">
        <f>SUMIFS(AQ:AQ,$G:$G,"TT")</f>
        <v/>
      </c>
      <c r="AR73" s="49">
        <f>SUMIFS(AR:AR,$G:$G,"TT")</f>
        <v/>
      </c>
      <c r="AS73" s="49">
        <f>SUMIFS(AS:AS,$G:$G,"TT")</f>
        <v/>
      </c>
      <c r="AT73" s="49">
        <f>SUMIFS(AT:AT,$G:$G,"TT")</f>
        <v/>
      </c>
      <c r="AU73" s="49">
        <f>SUMIFS(AU:AU,$G:$G,"TT")</f>
        <v/>
      </c>
      <c r="AV73" s="49">
        <f>SUMIFS(AV:AV,$G:$G,"TT")</f>
        <v/>
      </c>
      <c r="AW73" s="49">
        <f>SUMIFS(AW:AW,$G:$G,"TT")</f>
        <v/>
      </c>
      <c r="AX73" s="49">
        <f>SUMIFS(AX:AX,$G:$G,"TT")</f>
        <v/>
      </c>
      <c r="AY73" s="49">
        <f>SUMIFS(AY:AY,$G:$G,"TT")</f>
        <v/>
      </c>
      <c r="AZ73" s="49">
        <f>SUMIFS(AZ:AZ,$G:$G,"TT")</f>
        <v/>
      </c>
    </row>
    <row r="74">
      <c r="I74" s="75" t="inlineStr">
        <is>
          <t>Warranty (WA):</t>
        </is>
      </c>
      <c r="J74" s="490">
        <f>SUMIFS($J:$J,$G:$G,"WA")</f>
        <v/>
      </c>
      <c r="M74" s="175" t="inlineStr">
        <is>
          <t>[#total2] = Total effort (days)</t>
        </is>
      </c>
      <c r="W74" s="49">
        <f>SUMIFS(W:W,$G:$G,"WA")</f>
        <v/>
      </c>
      <c r="X74" s="49">
        <f>SUMIFS(X:X,$G:$G,"WA")</f>
        <v/>
      </c>
      <c r="Y74" s="49">
        <f>SUMIFS(Y:Y,$G:$G,"WA")</f>
        <v/>
      </c>
      <c r="Z74" s="49">
        <f>SUMIFS(Z:Z,$G:$G,"WA")</f>
        <v/>
      </c>
      <c r="AA74" s="49">
        <f>SUMIFS(AA:AA,$G:$G,"WA")</f>
        <v/>
      </c>
      <c r="AB74" s="49">
        <f>SUMIFS(AB:AB,$G:$G,"WA")</f>
        <v/>
      </c>
      <c r="AC74" s="49">
        <f>SUMIFS(AC:AC,$G:$G,"WA")</f>
        <v/>
      </c>
      <c r="AD74" s="49">
        <f>SUMIFS(AD:AD,$G:$G,"WA")</f>
        <v/>
      </c>
      <c r="AE74" s="49">
        <f>SUMIFS(AE:AE,$G:$G,"WA")</f>
        <v/>
      </c>
      <c r="AF74" s="49">
        <f>SUMIFS(AF:AF,$G:$G,"WA")</f>
        <v/>
      </c>
      <c r="AG74" s="49">
        <f>SUMIFS(AG:AG,$G:$G,"WA")</f>
        <v/>
      </c>
      <c r="AH74" s="49">
        <f>SUMIFS(AH:AH,$G:$G,"WA")</f>
        <v/>
      </c>
      <c r="AI74" s="49">
        <f>SUMIFS(AI:AI,$G:$G,"WA")</f>
        <v/>
      </c>
      <c r="AJ74" s="49">
        <f>SUMIFS(AJ:AJ,$G:$G,"WA")</f>
        <v/>
      </c>
      <c r="AK74" s="49">
        <f>SUMIFS(AK:AK,$G:$G,"WA")</f>
        <v/>
      </c>
      <c r="AL74" s="49">
        <f>SUMIFS(AL:AL,$G:$G,"WA")</f>
        <v/>
      </c>
      <c r="AM74" s="49">
        <f>SUMIFS(AM:AM,$G:$G,"WA")</f>
        <v/>
      </c>
      <c r="AN74" s="49">
        <f>SUMIFS(AN:AN,$G:$G,"WA")</f>
        <v/>
      </c>
      <c r="AO74" s="49">
        <f>SUMIFS(AO:AO,$G:$G,"WA")</f>
        <v/>
      </c>
      <c r="AP74" s="49">
        <f>SUMIFS(AP:AP,$G:$G,"WA")</f>
        <v/>
      </c>
      <c r="AQ74" s="49">
        <f>SUMIFS(AQ:AQ,$G:$G,"WA")</f>
        <v/>
      </c>
      <c r="AR74" s="49">
        <f>SUMIFS(AR:AR,$G:$G,"WA")</f>
        <v/>
      </c>
      <c r="AS74" s="49">
        <f>SUMIFS(AS:AS,$G:$G,"WA")</f>
        <v/>
      </c>
      <c r="AT74" s="49">
        <f>SUMIFS(AT:AT,$G:$G,"WA")</f>
        <v/>
      </c>
      <c r="AU74" s="49">
        <f>SUMIFS(AU:AU,$G:$G,"WA")</f>
        <v/>
      </c>
      <c r="AV74" s="49">
        <f>SUMIFS(AV:AV,$G:$G,"WA")</f>
        <v/>
      </c>
      <c r="AW74" s="49">
        <f>SUMIFS(AW:AW,$G:$G,"WA")</f>
        <v/>
      </c>
      <c r="AX74" s="49">
        <f>SUMIFS(AX:AX,$G:$G,"WA")</f>
        <v/>
      </c>
      <c r="AY74" s="49">
        <f>SUMIFS(AY:AY,$G:$G,"WA")</f>
        <v/>
      </c>
      <c r="AZ74" s="49">
        <f>SUMIFS(AZ:AZ,$G:$G,"WA")</f>
        <v/>
      </c>
    </row>
    <row r="75">
      <c r="I75" s="75" t="inlineStr">
        <is>
          <t>Risks (RIS):</t>
        </is>
      </c>
      <c r="J75" s="490">
        <f>SUMIFS($J:$J,$G:$G,"RIS")</f>
        <v/>
      </c>
      <c r="M75" s="175" t="inlineStr">
        <is>
          <t>[#projectlength] = Projekt length (weeks)</t>
        </is>
      </c>
      <c r="W75" s="49">
        <f>SUMIFS(W:W,$G:$G,"RIS")</f>
        <v/>
      </c>
      <c r="X75" s="49">
        <f>SUMIFS(X:X,$G:$G,"RIS")</f>
        <v/>
      </c>
      <c r="Y75" s="49">
        <f>SUMIFS(Y:Y,$G:$G,"RIS")</f>
        <v/>
      </c>
      <c r="Z75" s="49">
        <f>SUMIFS(Z:Z,$G:$G,"RIS")</f>
        <v/>
      </c>
      <c r="AA75" s="49">
        <f>SUMIFS(AA:AA,$G:$G,"RIS")</f>
        <v/>
      </c>
      <c r="AB75" s="49">
        <f>SUMIFS(AB:AB,$G:$G,"RIS")</f>
        <v/>
      </c>
      <c r="AC75" s="49">
        <f>SUMIFS(AC:AC,$G:$G,"RIS")</f>
        <v/>
      </c>
      <c r="AD75" s="49">
        <f>SUMIFS(AD:AD,$G:$G,"RIS")</f>
        <v/>
      </c>
      <c r="AE75" s="49">
        <f>SUMIFS(AE:AE,$G:$G,"RIS")</f>
        <v/>
      </c>
      <c r="AF75" s="49">
        <f>SUMIFS(AF:AF,$G:$G,"RIS")</f>
        <v/>
      </c>
      <c r="AG75" s="49">
        <f>SUMIFS(AG:AG,$G:$G,"RIS")</f>
        <v/>
      </c>
      <c r="AH75" s="49">
        <f>SUMIFS(AH:AH,$G:$G,"RIS")</f>
        <v/>
      </c>
      <c r="AI75" s="49">
        <f>SUMIFS(AI:AI,$G:$G,"RIS")</f>
        <v/>
      </c>
      <c r="AJ75" s="49">
        <f>SUMIFS(AJ:AJ,$G:$G,"RIS")</f>
        <v/>
      </c>
      <c r="AK75" s="49">
        <f>SUMIFS(AK:AK,$G:$G,"RIS")</f>
        <v/>
      </c>
      <c r="AL75" s="49">
        <f>SUMIFS(AL:AL,$G:$G,"RIS")</f>
        <v/>
      </c>
      <c r="AM75" s="49">
        <f>SUMIFS(AM:AM,$G:$G,"RIS")</f>
        <v/>
      </c>
      <c r="AN75" s="49">
        <f>SUMIFS(AN:AN,$G:$G,"RIS")</f>
        <v/>
      </c>
      <c r="AO75" s="49">
        <f>SUMIFS(AO:AO,$G:$G,"RIS")</f>
        <v/>
      </c>
      <c r="AP75" s="49">
        <f>SUMIFS(AP:AP,$G:$G,"RIS")</f>
        <v/>
      </c>
      <c r="AQ75" s="49">
        <f>SUMIFS(AQ:AQ,$G:$G,"RIS")</f>
        <v/>
      </c>
      <c r="AR75" s="49">
        <f>SUMIFS(AR:AR,$G:$G,"RIS")</f>
        <v/>
      </c>
      <c r="AS75" s="49">
        <f>SUMIFS(AS:AS,$G:$G,"RIS")</f>
        <v/>
      </c>
      <c r="AT75" s="49">
        <f>SUMIFS(AT:AT,$G:$G,"RIS")</f>
        <v/>
      </c>
      <c r="AU75" s="49">
        <f>SUMIFS(AU:AU,$G:$G,"RIS")</f>
        <v/>
      </c>
      <c r="AV75" s="49">
        <f>SUMIFS(AV:AV,$G:$G,"RIS")</f>
        <v/>
      </c>
      <c r="AW75" s="49">
        <f>SUMIFS(AW:AW,$G:$G,"RIS")</f>
        <v/>
      </c>
      <c r="AX75" s="49">
        <f>SUMIFS(AX:AX,$G:$G,"RIS")</f>
        <v/>
      </c>
      <c r="AY75" s="49">
        <f>SUMIFS(AY:AY,$G:$G,"RIS")</f>
        <v/>
      </c>
      <c r="AZ75" s="49">
        <f>SUMIFS(AZ:AZ,$G:$G,"RIS")</f>
        <v/>
      </c>
    </row>
    <row r="76">
      <c r="I76" s="75" t="inlineStr">
        <is>
          <t>Customer tasks (CUS):</t>
        </is>
      </c>
      <c r="J76" s="490">
        <f>SUMIFS($J:$J,$G:$G,"CUS")</f>
        <v/>
      </c>
      <c r="M76" s="175" t="inlineStr">
        <is>
          <t>[#teamsize] =  Team size (FTE)</t>
        </is>
      </c>
      <c r="W76" s="49">
        <f>SUMIFS(W:W,$G:$G,"CUS")</f>
        <v/>
      </c>
      <c r="X76" s="49">
        <f>SUMIFS(X:X,$G:$G,"CUS")</f>
        <v/>
      </c>
      <c r="Y76" s="49">
        <f>SUMIFS(Y:Y,$G:$G,"CUS")</f>
        <v/>
      </c>
      <c r="Z76" s="49">
        <f>SUMIFS(Z:Z,$G:$G,"CUS")</f>
        <v/>
      </c>
      <c r="AA76" s="49">
        <f>SUMIFS(AA:AA,$G:$G,"CUS")</f>
        <v/>
      </c>
      <c r="AB76" s="49">
        <f>SUMIFS(AB:AB,$G:$G,"CUS")</f>
        <v/>
      </c>
      <c r="AC76" s="49">
        <f>SUMIFS(AC:AC,$G:$G,"CUS")</f>
        <v/>
      </c>
      <c r="AD76" s="49">
        <f>SUMIFS(AD:AD,$G:$G,"CUS")</f>
        <v/>
      </c>
      <c r="AE76" s="49">
        <f>SUMIFS(AE:AE,$G:$G,"CUS")</f>
        <v/>
      </c>
      <c r="AF76" s="49">
        <f>SUMIFS(AF:AF,$G:$G,"CUS")</f>
        <v/>
      </c>
      <c r="AG76" s="49">
        <f>SUMIFS(AG:AG,$G:$G,"CUS")</f>
        <v/>
      </c>
      <c r="AH76" s="49">
        <f>SUMIFS(AH:AH,$G:$G,"CUS")</f>
        <v/>
      </c>
      <c r="AI76" s="49">
        <f>SUMIFS(AI:AI,$G:$G,"CUS")</f>
        <v/>
      </c>
      <c r="AJ76" s="49">
        <f>SUMIFS(AJ:AJ,$G:$G,"CUS")</f>
        <v/>
      </c>
      <c r="AK76" s="49">
        <f>SUMIFS(AK:AK,$G:$G,"CUS")</f>
        <v/>
      </c>
      <c r="AL76" s="49">
        <f>SUMIFS(AL:AL,$G:$G,"CUS")</f>
        <v/>
      </c>
      <c r="AM76" s="49">
        <f>SUMIFS(AM:AM,$G:$G,"CUS")</f>
        <v/>
      </c>
      <c r="AN76" s="49">
        <f>SUMIFS(AN:AN,$G:$G,"CUS")</f>
        <v/>
      </c>
      <c r="AO76" s="49">
        <f>SUMIFS(AO:AO,$G:$G,"CUS")</f>
        <v/>
      </c>
      <c r="AP76" s="49">
        <f>SUMIFS(AP:AP,$G:$G,"CUS")</f>
        <v/>
      </c>
      <c r="AQ76" s="49">
        <f>SUMIFS(AQ:AQ,$G:$G,"CUS")</f>
        <v/>
      </c>
      <c r="AR76" s="49">
        <f>SUMIFS(AR:AR,$G:$G,"CUS")</f>
        <v/>
      </c>
      <c r="AS76" s="49">
        <f>SUMIFS(AS:AS,$G:$G,"CUS")</f>
        <v/>
      </c>
      <c r="AT76" s="49">
        <f>SUMIFS(AT:AT,$G:$G,"CUS")</f>
        <v/>
      </c>
      <c r="AU76" s="49">
        <f>SUMIFS(AU:AU,$G:$G,"CUS")</f>
        <v/>
      </c>
      <c r="AV76" s="49">
        <f>SUMIFS(AV:AV,$G:$G,"CUS")</f>
        <v/>
      </c>
      <c r="AW76" s="49">
        <f>SUMIFS(AW:AW,$G:$G,"CUS")</f>
        <v/>
      </c>
      <c r="AX76" s="49">
        <f>SUMIFS(AX:AX,$G:$G,"CUS")</f>
        <v/>
      </c>
      <c r="AY76" s="49">
        <f>SUMIFS(AY:AY,$G:$G,"CUS")</f>
        <v/>
      </c>
      <c r="AZ76" s="49">
        <f>SUMIFS(AZ:AZ,$G:$G,"CUS")</f>
        <v/>
      </c>
    </row>
    <row r="77">
      <c r="I77" s="75" t="inlineStr">
        <is>
          <t>Effort without warranty, travel time and risks:</t>
        </is>
      </c>
      <c r="J77" s="490">
        <f>J11-J73-J74-J75-J76</f>
        <v/>
      </c>
      <c r="M77" s="175" t="inlineStr">
        <is>
          <t>[#sprints] = Number of sprints</t>
        </is>
      </c>
      <c r="W77" s="49">
        <f>W11-W73-W74-W75-W76</f>
        <v/>
      </c>
      <c r="X77" s="49">
        <f>X11-X73-X74-X75-X76</f>
        <v/>
      </c>
      <c r="Y77" s="49">
        <f>Y11-Y73-Y74-Y75-Y76</f>
        <v/>
      </c>
      <c r="Z77" s="49">
        <f>Z11-Z73-Z74-Z75-Z76</f>
        <v/>
      </c>
      <c r="AA77" s="49">
        <f>AA11-AA73-AA74-AA75-AA76</f>
        <v/>
      </c>
      <c r="AB77" s="49">
        <f>AB11-AB73-AB74-AB75-AB76</f>
        <v/>
      </c>
      <c r="AC77" s="49">
        <f>AC11-AC73-AC74-AC75-AC76</f>
        <v/>
      </c>
      <c r="AD77" s="49">
        <f>AD11-AD73-AD74-AD75-AD76</f>
        <v/>
      </c>
      <c r="AE77" s="49">
        <f>AE11-AE73-AE74-AE75-AE76</f>
        <v/>
      </c>
      <c r="AF77" s="49">
        <f>AF11-AF73-AF74-AF75-AF76</f>
        <v/>
      </c>
      <c r="AG77" s="49">
        <f>AG11-AG73-AG74-AG75-AG76</f>
        <v/>
      </c>
      <c r="AH77" s="49">
        <f>AH11-AH73-AH74-AH75-AH76</f>
        <v/>
      </c>
      <c r="AI77" s="49">
        <f>AI11-AI73-AI74-AI75-AI76</f>
        <v/>
      </c>
      <c r="AJ77" s="49">
        <f>AJ11-AJ73-AJ74-AJ75-AJ76</f>
        <v/>
      </c>
      <c r="AK77" s="49">
        <f>AK11-AK73-AK74-AK75-AK76</f>
        <v/>
      </c>
      <c r="AL77" s="49">
        <f>AL11-AL73-AL74-AL75-AL76</f>
        <v/>
      </c>
      <c r="AM77" s="49">
        <f>AM11-AM73-AM74-AM75-AM76</f>
        <v/>
      </c>
      <c r="AN77" s="49">
        <f>AN11-AN73-AN74-AN75-AN76</f>
        <v/>
      </c>
      <c r="AO77" s="49">
        <f>AO11-AO73-AO74-AO75-AO76</f>
        <v/>
      </c>
      <c r="AP77" s="49">
        <f>AP11-AP73-AP74-AP75-AP76</f>
        <v/>
      </c>
      <c r="AQ77" s="49">
        <f>AQ11-AQ73-AQ74-AQ75-AQ76</f>
        <v/>
      </c>
      <c r="AR77" s="49">
        <f>AR11-AR73-AR74-AR75-AR76</f>
        <v/>
      </c>
      <c r="AS77" s="49">
        <f>AS11-AS73-AS74-AS75-AS76</f>
        <v/>
      </c>
      <c r="AT77" s="49">
        <f>AT11-AT73-AT74-AT75-AT76</f>
        <v/>
      </c>
      <c r="AU77" s="49">
        <f>AU11-AU73-AU74-AU75-AU76</f>
        <v/>
      </c>
      <c r="AV77" s="49">
        <f>AV11-AV73-AV74-AV75-AV76</f>
        <v/>
      </c>
      <c r="AW77" s="49">
        <f>AW11-AW73-AW74-AW75-AW76</f>
        <v/>
      </c>
      <c r="AX77" s="49">
        <f>AX11-AX73-AX74-AX75-AX76</f>
        <v/>
      </c>
      <c r="AY77" s="49">
        <f>AY11-AY73-AY74-AY75-AY76</f>
        <v/>
      </c>
      <c r="AZ77" s="49">
        <f>AZ11-AZ73-AZ74-AZ75-AZ76</f>
        <v/>
      </c>
    </row>
    <row r="78">
      <c r="I78" s="75" t="inlineStr">
        <is>
          <t>Optional tasks (OPT):</t>
        </is>
      </c>
      <c r="J78" s="490">
        <f>SUMIFS($J:$J,$G:$G,"OPT")</f>
        <v/>
      </c>
      <c r="W78" s="49">
        <f>SUMIFS(W:W,$G:$G,"OPT")</f>
        <v/>
      </c>
      <c r="X78" s="49">
        <f>SUMIFS(X:X,$G:$G,"OPT")</f>
        <v/>
      </c>
      <c r="Y78" s="49">
        <f>SUMIFS(Y:Y,$G:$G,"OPT")</f>
        <v/>
      </c>
      <c r="Z78" s="49">
        <f>SUMIFS(Z:Z,$G:$G,"OPT")</f>
        <v/>
      </c>
      <c r="AA78" s="49">
        <f>SUMIFS(AA:AA,$G:$G,"OPT")</f>
        <v/>
      </c>
      <c r="AB78" s="49">
        <f>SUMIFS(AB:AB,$G:$G,"OPT")</f>
        <v/>
      </c>
      <c r="AC78" s="49">
        <f>SUMIFS(AC:AC,$G:$G,"OPT")</f>
        <v/>
      </c>
      <c r="AD78" s="49">
        <f>SUMIFS(AD:AD,$G:$G,"OPT")</f>
        <v/>
      </c>
      <c r="AE78" s="49">
        <f>SUMIFS(AE:AE,$G:$G,"OPT")</f>
        <v/>
      </c>
      <c r="AF78" s="49">
        <f>SUMIFS(AF:AF,$G:$G,"OPT")</f>
        <v/>
      </c>
      <c r="AG78" s="49">
        <f>SUMIFS(AG:AG,$G:$G,"OPT")</f>
        <v/>
      </c>
      <c r="AH78" s="49">
        <f>SUMIFS(AH:AH,$G:$G,"OPT")</f>
        <v/>
      </c>
      <c r="AI78" s="49">
        <f>SUMIFS(AI:AI,$G:$G,"OPT")</f>
        <v/>
      </c>
      <c r="AJ78" s="49">
        <f>SUMIFS(AJ:AJ,$G:$G,"OPT")</f>
        <v/>
      </c>
      <c r="AK78" s="49">
        <f>SUMIFS(AK:AK,$G:$G,"OPT")</f>
        <v/>
      </c>
      <c r="AL78" s="49">
        <f>SUMIFS(AL:AL,$G:$G,"OPT")</f>
        <v/>
      </c>
      <c r="AM78" s="49">
        <f>SUMIFS(AM:AM,$G:$G,"OPT")</f>
        <v/>
      </c>
      <c r="AN78" s="49">
        <f>SUMIFS(AN:AN,$G:$G,"OPT")</f>
        <v/>
      </c>
      <c r="AO78" s="49">
        <f>SUMIFS(AO:AO,$G:$G,"OPT")</f>
        <v/>
      </c>
      <c r="AP78" s="49">
        <f>SUMIFS(AP:AP,$G:$G,"OPT")</f>
        <v/>
      </c>
      <c r="AQ78" s="49">
        <f>SUMIFS(AQ:AQ,$G:$G,"OPT")</f>
        <v/>
      </c>
      <c r="AR78" s="49">
        <f>SUMIFS(AR:AR,$G:$G,"OPT")</f>
        <v/>
      </c>
      <c r="AS78" s="49">
        <f>SUMIFS(AS:AS,$G:$G,"OPT")</f>
        <v/>
      </c>
      <c r="AT78" s="49">
        <f>SUMIFS(AT:AT,$G:$G,"OPT")</f>
        <v/>
      </c>
      <c r="AU78" s="49">
        <f>SUMIFS(AU:AU,$G:$G,"OPT")</f>
        <v/>
      </c>
      <c r="AV78" s="49">
        <f>SUMIFS(AV:AV,$G:$G,"OPT")</f>
        <v/>
      </c>
      <c r="AW78" s="49">
        <f>SUMIFS(AW:AW,$G:$G,"OPT")</f>
        <v/>
      </c>
      <c r="AX78" s="49">
        <f>SUMIFS(AX:AX,$G:$G,"OPT")</f>
        <v/>
      </c>
      <c r="AY78" s="49">
        <f>SUMIFS(AY:AY,$G:$G,"OPT")</f>
        <v/>
      </c>
      <c r="AZ78" s="49">
        <f>SUMIFS(AZ:AZ,$G:$G,"OPT")</f>
        <v/>
      </c>
    </row>
    <row r="87">
      <c r="N87" s="492" t="n"/>
      <c r="P87" s="185" t="n"/>
      <c r="Q87" s="185" t="n"/>
      <c r="R87" s="493" t="n"/>
      <c r="S87" s="494" t="n"/>
      <c r="T87" s="493" t="n"/>
    </row>
  </sheetData>
  <autoFilter ref="A10:J69"/>
  <mergeCells count="33">
    <mergeCell ref="AI5:AI10"/>
    <mergeCell ref="V5:V8"/>
    <mergeCell ref="AS5:AS10"/>
    <mergeCell ref="AU5:AU10"/>
    <mergeCell ref="AB5:AB10"/>
    <mergeCell ref="AX5:AX10"/>
    <mergeCell ref="AD5:AD10"/>
    <mergeCell ref="AH5:AH10"/>
    <mergeCell ref="AN5:AN10"/>
    <mergeCell ref="W5:W10"/>
    <mergeCell ref="AP5:AP10"/>
    <mergeCell ref="Y5:Y10"/>
    <mergeCell ref="AZ5:AZ10"/>
    <mergeCell ref="I7:J7"/>
    <mergeCell ref="AA5:AA10"/>
    <mergeCell ref="AT5:AT10"/>
    <mergeCell ref="AC5:AC10"/>
    <mergeCell ref="AK5:AK10"/>
    <mergeCell ref="AM5:AM10"/>
    <mergeCell ref="AO5:AO10"/>
    <mergeCell ref="AQ5:AQ10"/>
    <mergeCell ref="AW5:AW10"/>
    <mergeCell ref="AY5:AY10"/>
    <mergeCell ref="X5:X10"/>
    <mergeCell ref="Z5:Z10"/>
    <mergeCell ref="AF5:AF10"/>
    <mergeCell ref="P8:S8"/>
    <mergeCell ref="AJ5:AJ10"/>
    <mergeCell ref="AL5:AL10"/>
    <mergeCell ref="AR5:AR10"/>
    <mergeCell ref="AV5:AV10"/>
    <mergeCell ref="AE5:AE10"/>
    <mergeCell ref="AG5:AG10"/>
  </mergeCells>
  <conditionalFormatting sqref="V11:V12">
    <cfRule type="expression" priority="534" dxfId="0">
      <formula>AND(V11&lt;&gt;"",OR(V11&gt;0.005,V11&lt;-0.005))</formula>
    </cfRule>
  </conditionalFormatting>
  <conditionalFormatting sqref="V1">
    <cfRule type="expression" priority="468" dxfId="0">
      <formula>AND(V1&lt;&gt;"",OR(V1&gt;0.005,V1&lt;-0.005))</formula>
    </cfRule>
  </conditionalFormatting>
  <conditionalFormatting sqref="J71">
    <cfRule type="expression" priority="449" dxfId="72">
      <formula>ABS($J$71-FT_TotalEffort)&gt;0.01</formula>
    </cfRule>
  </conditionalFormatting>
  <conditionalFormatting sqref="J8">
    <cfRule type="expression" priority="429" dxfId="72">
      <formula>ABS($J$71-FT_TotalEffort)&gt;0.01</formula>
    </cfRule>
  </conditionalFormatting>
  <conditionalFormatting sqref="V68">
    <cfRule type="expression" priority="216" dxfId="0">
      <formula>AND(V68&lt;&gt;"",OR(V68&gt;0.005,V68&lt;-0.005))</formula>
    </cfRule>
  </conditionalFormatting>
  <conditionalFormatting sqref="V13">
    <cfRule type="expression" priority="139" dxfId="0">
      <formula>AND(V13&lt;&gt;"",OR(V13&gt;0.005,V13&lt;-0.005))</formula>
    </cfRule>
  </conditionalFormatting>
  <conditionalFormatting sqref="V14">
    <cfRule type="expression" priority="136" dxfId="0">
      <formula>AND(V14&lt;&gt;"",OR(V14&gt;0.005,V14&lt;-0.005))</formula>
    </cfRule>
  </conditionalFormatting>
  <conditionalFormatting sqref="V15">
    <cfRule type="expression" priority="134" dxfId="0">
      <formula>AND(V15&lt;&gt;"",OR(V15&gt;0.005,V15&lt;-0.005))</formula>
    </cfRule>
  </conditionalFormatting>
  <conditionalFormatting sqref="V22">
    <cfRule type="expression" priority="133" dxfId="0">
      <formula>AND(V22&lt;&gt;"",OR(V22&gt;0.005,V22&lt;-0.005))</formula>
    </cfRule>
  </conditionalFormatting>
  <conditionalFormatting sqref="V24">
    <cfRule type="expression" priority="132" dxfId="0">
      <formula>AND(V24&lt;&gt;"",OR(V24&gt;0.005,V24&lt;-0.005))</formula>
    </cfRule>
  </conditionalFormatting>
  <conditionalFormatting sqref="V45">
    <cfRule type="expression" priority="123" dxfId="0">
      <formula>AND(V45&lt;&gt;"",OR(V45&gt;0.005,V45&lt;-0.005))</formula>
    </cfRule>
  </conditionalFormatting>
  <conditionalFormatting sqref="V47">
    <cfRule type="expression" priority="117" dxfId="0">
      <formula>AND(V47&lt;&gt;"",OR(V47&gt;0.005,V47&lt;-0.005))</formula>
    </cfRule>
  </conditionalFormatting>
  <conditionalFormatting sqref="V48">
    <cfRule type="expression" priority="116" dxfId="0">
      <formula>AND(V48&lt;&gt;"",OR(V48&gt;0.005,V48&lt;-0.005))</formula>
    </cfRule>
  </conditionalFormatting>
  <conditionalFormatting sqref="V49">
    <cfRule type="expression" priority="115" dxfId="0">
      <formula>AND(V49&lt;&gt;"",OR(V49&gt;0.005,V49&lt;-0.005))</formula>
    </cfRule>
  </conditionalFormatting>
  <conditionalFormatting sqref="V50">
    <cfRule type="expression" priority="114" dxfId="0">
      <formula>AND(V50&lt;&gt;"",OR(V50&gt;0.005,V50&lt;-0.005))</formula>
    </cfRule>
  </conditionalFormatting>
  <conditionalFormatting sqref="V51">
    <cfRule type="expression" priority="113" dxfId="0">
      <formula>AND(V51&lt;&gt;"",OR(V51&gt;0.005,V51&lt;-0.005))</formula>
    </cfRule>
  </conditionalFormatting>
  <conditionalFormatting sqref="V52">
    <cfRule type="expression" priority="47" dxfId="0">
      <formula>AND(V52&lt;&gt;"",OR(V52&gt;0.005,V52&lt;-0.005))</formula>
    </cfRule>
  </conditionalFormatting>
  <conditionalFormatting sqref="V53">
    <cfRule type="expression" priority="46" dxfId="0">
      <formula>AND(V53&lt;&gt;"",OR(V53&gt;0.005,V53&lt;-0.005))</formula>
    </cfRule>
  </conditionalFormatting>
  <conditionalFormatting sqref="V54">
    <cfRule type="expression" priority="45" dxfId="0">
      <formula>AND(V54&lt;&gt;"",OR(V54&gt;0.005,V54&lt;-0.005))</formula>
    </cfRule>
  </conditionalFormatting>
  <conditionalFormatting sqref="V55">
    <cfRule type="expression" priority="44" dxfId="0">
      <formula>AND(V55&lt;&gt;"",OR(V55&gt;0.005,V55&lt;-0.005))</formula>
    </cfRule>
  </conditionalFormatting>
  <conditionalFormatting sqref="V56">
    <cfRule type="expression" priority="43" dxfId="0">
      <formula>AND(V56&lt;&gt;"",OR(V56&gt;0.005,V56&lt;-0.005))</formula>
    </cfRule>
  </conditionalFormatting>
  <conditionalFormatting sqref="V57">
    <cfRule type="expression" priority="42" dxfId="0">
      <formula>AND(V57&lt;&gt;"",OR(V57&gt;0.005,V57&lt;-0.005))</formula>
    </cfRule>
  </conditionalFormatting>
  <conditionalFormatting sqref="V58">
    <cfRule type="expression" priority="41" dxfId="0">
      <formula>AND(V58&lt;&gt;"",OR(V58&gt;0.005,V58&lt;-0.005))</formula>
    </cfRule>
  </conditionalFormatting>
  <conditionalFormatting sqref="V59">
    <cfRule type="expression" priority="40" dxfId="0">
      <formula>AND(V59&lt;&gt;"",OR(V59&gt;0.005,V59&lt;-0.005))</formula>
    </cfRule>
  </conditionalFormatting>
  <conditionalFormatting sqref="V60">
    <cfRule type="expression" priority="39" dxfId="0">
      <formula>AND(V60&lt;&gt;"",OR(V60&gt;0.005,V60&lt;-0.005))</formula>
    </cfRule>
  </conditionalFormatting>
  <conditionalFormatting sqref="V61">
    <cfRule type="expression" priority="38" dxfId="0">
      <formula>AND(V61&lt;&gt;"",OR(V61&gt;0.005,V61&lt;-0.005))</formula>
    </cfRule>
  </conditionalFormatting>
  <conditionalFormatting sqref="V62">
    <cfRule type="expression" priority="37" dxfId="0">
      <formula>AND(V62&lt;&gt;"",OR(V62&gt;0.005,V62&lt;-0.005))</formula>
    </cfRule>
  </conditionalFormatting>
  <conditionalFormatting sqref="V63">
    <cfRule type="expression" priority="36" dxfId="0">
      <formula>AND(V63&lt;&gt;"",OR(V63&gt;0.005,V63&lt;-0.005))</formula>
    </cfRule>
  </conditionalFormatting>
  <conditionalFormatting sqref="V64">
    <cfRule type="expression" priority="35" dxfId="0">
      <formula>AND(V64&lt;&gt;"",OR(V64&gt;0.005,V64&lt;-0.005))</formula>
    </cfRule>
  </conditionalFormatting>
  <conditionalFormatting sqref="V65">
    <cfRule type="expression" priority="34" dxfId="0">
      <formula>AND(V65&lt;&gt;"",OR(V65&gt;0.005,V65&lt;-0.005))</formula>
    </cfRule>
  </conditionalFormatting>
  <conditionalFormatting sqref="V66">
    <cfRule type="expression" priority="33" dxfId="0">
      <formula>AND(V66&lt;&gt;"",OR(V66&gt;0.005,V66&lt;-0.005))</formula>
    </cfRule>
  </conditionalFormatting>
  <conditionalFormatting sqref="V67">
    <cfRule type="expression" priority="32" dxfId="0">
      <formula>AND(V67&lt;&gt;"",OR(V67&gt;0.005,V67&lt;-0.005))</formula>
    </cfRule>
  </conditionalFormatting>
  <conditionalFormatting sqref="V44">
    <cfRule type="expression" priority="29" dxfId="0">
      <formula>AND(V44&lt;&gt;"",OR(V44&gt;0.005,V44&lt;-0.005))</formula>
    </cfRule>
  </conditionalFormatting>
  <conditionalFormatting sqref="V23">
    <cfRule type="expression" priority="27" dxfId="0">
      <formula>AND(V23&lt;&gt;"",OR(V23&gt;0.005,V23&lt;-0.005))</formula>
    </cfRule>
  </conditionalFormatting>
  <conditionalFormatting sqref="V41">
    <cfRule type="expression" priority="26" dxfId="0">
      <formula>AND(V41&lt;&gt;"",OR(V41&gt;0.005,V41&lt;-0.005))</formula>
    </cfRule>
  </conditionalFormatting>
  <conditionalFormatting sqref="V40">
    <cfRule type="expression" priority="25" dxfId="0">
      <formula>AND(V40&lt;&gt;"",OR(V40&gt;0.005,V40&lt;-0.005))</formula>
    </cfRule>
  </conditionalFormatting>
  <conditionalFormatting sqref="V38">
    <cfRule type="expression" priority="24" dxfId="0">
      <formula>AND(V38&lt;&gt;"",OR(V38&gt;0.005,V38&lt;-0.005))</formula>
    </cfRule>
  </conditionalFormatting>
  <conditionalFormatting sqref="V21">
    <cfRule type="expression" priority="23" dxfId="0">
      <formula>AND(V21&lt;&gt;"",OR(V21&gt;0.005,V21&lt;-0.005))</formula>
    </cfRule>
  </conditionalFormatting>
  <conditionalFormatting sqref="V36">
    <cfRule type="expression" priority="22" dxfId="0">
      <formula>AND(V36&lt;&gt;"",OR(V36&gt;0.005,V36&lt;-0.005))</formula>
    </cfRule>
  </conditionalFormatting>
  <conditionalFormatting sqref="V16">
    <cfRule type="expression" priority="21" dxfId="0">
      <formula>AND(V16&lt;&gt;"",OR(V16&gt;0.005,V16&lt;-0.005))</formula>
    </cfRule>
  </conditionalFormatting>
  <conditionalFormatting sqref="V18">
    <cfRule type="expression" priority="20" dxfId="0">
      <formula>AND(V18&lt;&gt;"",OR(V18&gt;0.005,V18&lt;-0.005))</formula>
    </cfRule>
  </conditionalFormatting>
  <conditionalFormatting sqref="V20">
    <cfRule type="expression" priority="19" dxfId="0">
      <formula>AND(V20&lt;&gt;"",OR(V20&gt;0.005,V20&lt;-0.005))</formula>
    </cfRule>
  </conditionalFormatting>
  <conditionalFormatting sqref="V35">
    <cfRule type="expression" priority="18" dxfId="0">
      <formula>AND(V35&lt;&gt;"",OR(V35&gt;0.005,V35&lt;-0.005))</formula>
    </cfRule>
  </conditionalFormatting>
  <conditionalFormatting sqref="V42">
    <cfRule type="expression" priority="17" dxfId="0">
      <formula>AND(V42&lt;&gt;"",OR(V42&gt;0.005,V42&lt;-0.005))</formula>
    </cfRule>
  </conditionalFormatting>
  <conditionalFormatting sqref="V43">
    <cfRule type="expression" priority="16" dxfId="0">
      <formula>AND(V43&lt;&gt;"",OR(V43&gt;0.005,V43&lt;-0.005))</formula>
    </cfRule>
  </conditionalFormatting>
  <conditionalFormatting sqref="V37">
    <cfRule type="expression" priority="15" dxfId="0">
      <formula>AND(V37&lt;&gt;"",OR(V37&gt;0.005,V37&lt;-0.005))</formula>
    </cfRule>
  </conditionalFormatting>
  <conditionalFormatting sqref="V39">
    <cfRule type="expression" priority="14" dxfId="0">
      <formula>AND(V39&lt;&gt;"",OR(V39&gt;0.005,V39&lt;-0.005))</formula>
    </cfRule>
  </conditionalFormatting>
  <conditionalFormatting sqref="V46">
    <cfRule type="expression" priority="13" dxfId="0">
      <formula>AND(V46&lt;&gt;"",OR(V46&gt;0.005,V46&lt;-0.005))</formula>
    </cfRule>
  </conditionalFormatting>
  <conditionalFormatting sqref="V30">
    <cfRule type="expression" priority="12" dxfId="0">
      <formula>AND(V30&lt;&gt;"",OR(V30&gt;0.005,V30&lt;-0.005))</formula>
    </cfRule>
  </conditionalFormatting>
  <conditionalFormatting sqref="V29">
    <cfRule type="expression" priority="11" dxfId="0">
      <formula>AND(V29&lt;&gt;"",OR(V29&gt;0.005,V29&lt;-0.005))</formula>
    </cfRule>
  </conditionalFormatting>
  <conditionalFormatting sqref="V28">
    <cfRule type="expression" priority="10" dxfId="0">
      <formula>AND(V28&lt;&gt;"",OR(V28&gt;0.005,V28&lt;-0.005))</formula>
    </cfRule>
  </conditionalFormatting>
  <conditionalFormatting sqref="V27">
    <cfRule type="expression" priority="9" dxfId="0">
      <formula>AND(V27&lt;&gt;"",OR(V27&gt;0.005,V27&lt;-0.005))</formula>
    </cfRule>
  </conditionalFormatting>
  <conditionalFormatting sqref="V26">
    <cfRule type="expression" priority="8" dxfId="0">
      <formula>AND(V26&lt;&gt;"",OR(V26&gt;0.005,V26&lt;-0.005))</formula>
    </cfRule>
  </conditionalFormatting>
  <conditionalFormatting sqref="V34">
    <cfRule type="expression" priority="7" dxfId="0">
      <formula>AND(V34&lt;&gt;"",OR(V34&gt;0.005,V34&lt;-0.005))</formula>
    </cfRule>
  </conditionalFormatting>
  <conditionalFormatting sqref="V25">
    <cfRule type="expression" priority="6" dxfId="0">
      <formula>AND(V25&lt;&gt;"",OR(V25&gt;0.005,V25&lt;-0.005))</formula>
    </cfRule>
  </conditionalFormatting>
  <conditionalFormatting sqref="V31">
    <cfRule type="expression" priority="5" dxfId="0">
      <formula>AND(V31&lt;&gt;"",OR(V31&gt;0.005,V31&lt;-0.005))</formula>
    </cfRule>
  </conditionalFormatting>
  <conditionalFormatting sqref="V33">
    <cfRule type="expression" priority="4" dxfId="0">
      <formula>AND(V33&lt;&gt;"",OR(V33&gt;0.005,V33&lt;-0.005))</formula>
    </cfRule>
  </conditionalFormatting>
  <conditionalFormatting sqref="V32">
    <cfRule type="expression" priority="3" dxfId="0">
      <formula>AND(V32&lt;&gt;"",OR(V32&gt;0.005,V32&lt;-0.005))</formula>
    </cfRule>
  </conditionalFormatting>
  <conditionalFormatting sqref="V19">
    <cfRule type="expression" priority="2" dxfId="0">
      <formula>AND(V19&lt;&gt;"",OR(V19&gt;0.005,V19&lt;-0.005))</formula>
    </cfRule>
  </conditionalFormatting>
  <conditionalFormatting sqref="V17">
    <cfRule type="expression" priority="1" dxfId="0">
      <formula>AND(V17&lt;&gt;"",OR(V17&gt;0.005,V17&lt;-0.005))</formula>
    </cfRule>
  </conditionalFormatting>
  <dataValidations xWindow="328" yWindow="570" count="3">
    <dataValidation sqref="G1 G13:G68" showDropDown="0" showInputMessage="1" showErrorMessage="1" allowBlank="1" type="list">
      <formula1>LI_SpecialTasks</formula1>
    </dataValidation>
    <dataValidation sqref="G10" showDropDown="0" showInputMessage="1" showErrorMessage="1" allowBlank="1" prompt="OPT= Optional task_x000a_CUS= Customer task_x000a_WA= Warranty_x000a_TT= Travel time_x000a_FT(keys)#&lt;column&gt;= Effort of feature task in column &lt;column&gt; with same keys (assistant dialog)_x000a_"/>
    <dataValidation sqref="K1 K13:K68 T1 T13:T68" showDropDown="0" showInputMessage="1" showErrorMessage="1" allowBlank="1" type="list">
      <formula1>"yes,no"</formula1>
    </dataValidation>
  </dataValidations>
  <pageMargins left="0.7" right="0.7" top="0.787401575" bottom="0.7874015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Tabelle13">
    <tabColor theme="4" tint="0.5999938962981048"/>
    <outlinePr summaryBelow="1" summaryRight="1"/>
    <pageSetUpPr/>
  </sheetPr>
  <dimension ref="A1:E16"/>
  <sheetViews>
    <sheetView workbookViewId="0">
      <selection activeCell="A14" sqref="A14"/>
    </sheetView>
  </sheetViews>
  <sheetFormatPr baseColWidth="10" defaultColWidth="11.5" defaultRowHeight="15"/>
  <cols>
    <col width="20.6640625" customWidth="1" min="1" max="1"/>
    <col width="27.6640625" customWidth="1" min="2" max="2"/>
    <col width="24.5" customWidth="1" min="3" max="3"/>
    <col width="19.33203125" customWidth="1" min="4" max="4"/>
    <col width="23.6640625" customWidth="1" style="81" min="5" max="5"/>
    <col width="14.5" customWidth="1" min="6" max="6"/>
    <col width="15.83203125" customWidth="1" min="8" max="8"/>
  </cols>
  <sheetData>
    <row r="1" ht="24" customHeight="1">
      <c r="A1" s="1" t="inlineStr">
        <is>
          <t>Payment milestones</t>
        </is>
      </c>
    </row>
    <row r="2" ht="21" customHeight="1">
      <c r="A2" s="93">
        <f>Start!A2</f>
        <v/>
      </c>
    </row>
    <row r="4">
      <c r="A4" t="inlineStr">
        <is>
          <t>Milestone</t>
        </is>
      </c>
      <c r="B4" t="inlineStr">
        <is>
          <t>Title</t>
        </is>
      </c>
      <c r="C4" t="inlineStr">
        <is>
          <t>Effort</t>
        </is>
      </c>
      <c r="D4" t="inlineStr">
        <is>
          <t>Date</t>
        </is>
      </c>
      <c r="E4" t="inlineStr">
        <is>
          <t>Depencency</t>
        </is>
      </c>
    </row>
    <row r="5">
      <c r="A5" s="290" t="inlineStr">
        <is>
          <t>M1</t>
        </is>
      </c>
      <c r="B5" s="290" t="inlineStr">
        <is>
          <t>BzA Modul 1</t>
        </is>
      </c>
      <c r="D5" s="290" t="n"/>
      <c r="E5" s="290" t="inlineStr">
        <is>
          <t>eot(P-40)</t>
        </is>
      </c>
    </row>
    <row r="6">
      <c r="A6" s="290" t="inlineStr">
        <is>
          <t>M2</t>
        </is>
      </c>
      <c r="B6" s="290" t="inlineStr">
        <is>
          <t>Abnahme Modul 1</t>
        </is>
      </c>
      <c r="D6" s="290" t="n"/>
      <c r="E6" s="290" t="inlineStr">
        <is>
          <t>eot(P-55)</t>
        </is>
      </c>
    </row>
    <row r="7">
      <c r="A7" s="290" t="n"/>
      <c r="B7" s="290" t="n"/>
      <c r="D7" s="290" t="n"/>
      <c r="E7" s="290" t="n"/>
    </row>
    <row r="8">
      <c r="A8" s="290" t="n"/>
      <c r="B8" s="290" t="n"/>
      <c r="D8" s="290" t="n"/>
      <c r="E8" s="290" t="n"/>
    </row>
    <row r="9">
      <c r="A9" s="290" t="n"/>
      <c r="B9" s="290" t="n"/>
      <c r="D9" s="290" t="n"/>
      <c r="E9" s="290" t="n"/>
    </row>
    <row r="11">
      <c r="A11" t="inlineStr">
        <is>
          <t>Milestone</t>
        </is>
      </c>
      <c r="B11" t="inlineStr">
        <is>
          <t>Title</t>
        </is>
      </c>
      <c r="C11" t="inlineStr">
        <is>
          <t>Task group</t>
        </is>
      </c>
      <c r="D11" t="inlineStr">
        <is>
          <t>Summary task</t>
        </is>
      </c>
      <c r="E11" s="81" t="inlineStr">
        <is>
          <t>Percentage</t>
        </is>
      </c>
    </row>
    <row r="12">
      <c r="A12" s="290" t="inlineStr">
        <is>
          <t>M1</t>
        </is>
      </c>
      <c r="B12" s="290" t="inlineStr">
        <is>
          <t>BzA Modul 1</t>
        </is>
      </c>
      <c r="C12" s="290" t="inlineStr">
        <is>
          <t>TP1</t>
        </is>
      </c>
      <c r="D12" s="290" t="inlineStr">
        <is>
          <t>Initialisierung TP1</t>
        </is>
      </c>
      <c r="E12" s="291" t="n">
        <v>1</v>
      </c>
    </row>
    <row r="13">
      <c r="A13" s="290" t="inlineStr">
        <is>
          <t>M1</t>
        </is>
      </c>
      <c r="B13" s="290" t="inlineStr">
        <is>
          <t>BzA Modul 1</t>
        </is>
      </c>
      <c r="C13" s="290" t="inlineStr">
        <is>
          <t>TP1</t>
        </is>
      </c>
      <c r="D13" s="290" t="inlineStr">
        <is>
          <t>Modul 1</t>
        </is>
      </c>
      <c r="E13" s="291" t="n">
        <v>0.8</v>
      </c>
    </row>
    <row r="14">
      <c r="A14" s="290" t="inlineStr">
        <is>
          <t>M1</t>
        </is>
      </c>
      <c r="B14" s="290" t="inlineStr">
        <is>
          <t>BzA Modul 1</t>
        </is>
      </c>
      <c r="C14" s="290" t="inlineStr">
        <is>
          <t>Querschnitt</t>
        </is>
      </c>
      <c r="D14" s="290" t="n"/>
      <c r="E14" s="291" t="inlineStr">
        <is>
          <t>anteilig</t>
        </is>
      </c>
    </row>
    <row r="15">
      <c r="A15" s="290" t="inlineStr">
        <is>
          <t>M2</t>
        </is>
      </c>
      <c r="B15" s="290" t="inlineStr">
        <is>
          <t>Abnahme Modul 1</t>
        </is>
      </c>
      <c r="C15" s="290" t="inlineStr">
        <is>
          <t>TP1</t>
        </is>
      </c>
      <c r="D15" s="290" t="inlineStr">
        <is>
          <t>Modul 1</t>
        </is>
      </c>
      <c r="E15" s="291" t="n">
        <v>0.2</v>
      </c>
    </row>
    <row r="16">
      <c r="A16" s="290" t="n"/>
      <c r="B16" s="290" t="n"/>
      <c r="C16" s="290" t="n"/>
      <c r="D16" s="290" t="n"/>
      <c r="E16" s="292" t="n"/>
    </row>
  </sheetData>
  <pageMargins left="0.7" right="0.7" top="0.787401575" bottom="0.7874015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codeName="Tabelle7">
    <tabColor theme="4" tint="0.5999938962981048"/>
    <outlinePr summaryBelow="1" summaryRight="1"/>
    <pageSetUpPr/>
  </sheetPr>
  <dimension ref="A1:I33"/>
  <sheetViews>
    <sheetView showGridLines="0" workbookViewId="0">
      <pane ySplit="6" topLeftCell="A7" activePane="bottomLeft" state="frozen"/>
      <selection pane="bottomLeft" activeCell="I19" sqref="I19"/>
    </sheetView>
  </sheetViews>
  <sheetFormatPr baseColWidth="10" defaultColWidth="11.5" defaultRowHeight="15"/>
  <cols>
    <col width="11.5" customWidth="1" style="3" min="1" max="1"/>
    <col width="28.1640625" customWidth="1" style="2" min="2" max="2"/>
    <col width="47.33203125" customWidth="1" style="2" min="3" max="3"/>
    <col width="18.33203125" customWidth="1" style="13" min="4" max="4"/>
    <col width="13.5" customWidth="1" style="40" min="5" max="5"/>
    <col width="14.5" customWidth="1" style="437" min="6" max="6"/>
    <col width="18.33203125" customWidth="1" style="437" min="7" max="7"/>
    <col width="11.5" customWidth="1" style="3" min="8" max="16384"/>
  </cols>
  <sheetData>
    <row r="1" hidden="1">
      <c r="A1" s="34" t="n"/>
      <c r="B1" s="19" t="n"/>
      <c r="C1" s="19" t="n"/>
      <c r="D1" s="15" t="n"/>
      <c r="E1" s="85" t="n"/>
      <c r="F1" s="440" t="n"/>
      <c r="G1" s="459">
        <f>IFERROR(E1*F1,0)</f>
        <v/>
      </c>
    </row>
    <row r="2" ht="24" customHeight="1">
      <c r="A2" s="1" t="inlineStr">
        <is>
          <t>Project risk analysis</t>
        </is>
      </c>
      <c r="B2" s="69" t="n"/>
    </row>
    <row r="3" ht="21" customHeight="1">
      <c r="A3" s="4">
        <f>Start!A2</f>
        <v/>
      </c>
      <c r="B3" s="70" t="n"/>
      <c r="H3" s="61" t="n"/>
    </row>
    <row r="4">
      <c r="A4" s="229" t="n"/>
    </row>
    <row r="5" ht="46.5" customHeight="1">
      <c r="A5" s="45" t="inlineStr">
        <is>
          <t>ID</t>
        </is>
      </c>
      <c r="B5" s="71" t="inlineStr">
        <is>
          <t>Risk title</t>
        </is>
      </c>
      <c r="C5" s="46" t="inlineStr">
        <is>
          <t>Risk description</t>
        </is>
      </c>
      <c r="D5" s="52" t="inlineStr">
        <is>
          <t>Risk source
(Linked feature ID or
project task ID)</t>
        </is>
      </c>
      <c r="E5" s="47" t="inlineStr">
        <is>
          <t>Risk
likelihood</t>
        </is>
      </c>
      <c r="F5" s="495" t="inlineStr">
        <is>
          <t>Risk
impact</t>
        </is>
      </c>
      <c r="G5" s="496" t="inlineStr">
        <is>
          <t>Weighted
risk impact</t>
        </is>
      </c>
    </row>
    <row r="6">
      <c r="A6" s="41" t="n"/>
      <c r="B6" s="42" t="n"/>
      <c r="C6" s="42" t="n"/>
      <c r="D6" s="53" t="n"/>
      <c r="E6" s="43" t="n"/>
      <c r="F6" s="490">
        <f>SUBTOTAL(9,F7:F33)</f>
        <v/>
      </c>
      <c r="G6" s="490">
        <f>SUBTOTAL(9,G7:G33)</f>
        <v/>
      </c>
    </row>
    <row r="7" customFormat="1" s="7">
      <c r="A7" s="433" t="inlineStr">
        <is>
          <t>First row. Don't override this row. Please insert new rows after this row! Don't insert or delete rows manually! Only use the menu items above "Insert row" and "Delete row" or short keys CTRL+ or CTRL-.</t>
        </is>
      </c>
      <c r="B7" s="254" t="n"/>
      <c r="C7" s="254" t="n"/>
      <c r="D7" s="255" t="n"/>
      <c r="E7" s="256" t="n"/>
      <c r="F7" s="497" t="n"/>
      <c r="G7" s="453" t="n"/>
    </row>
    <row r="8">
      <c r="A8" s="162" t="inlineStr">
        <is>
          <t>R-1</t>
        </is>
      </c>
      <c r="B8" s="159" t="inlineStr">
        <is>
          <t>Fiona API changes</t>
        </is>
      </c>
      <c r="C8" s="159" t="inlineStr">
        <is>
          <t>External festival API modifications during development</t>
        </is>
      </c>
      <c r="D8" s="164" t="inlineStr">
        <is>
          <t>Medium</t>
        </is>
      </c>
      <c r="E8" s="368" t="inlineStr">
        <is>
          <t>High</t>
        </is>
      </c>
      <c r="F8" s="452" t="inlineStr">
        <is>
          <t>Version locking, abstraction layer, vendor communication</t>
        </is>
      </c>
      <c r="G8" s="459">
        <f>IFERROR(E8*F8,0)</f>
        <v/>
      </c>
    </row>
    <row r="9">
      <c r="A9" s="162" t="inlineStr">
        <is>
          <t>R-2</t>
        </is>
      </c>
      <c r="B9" s="159" t="inlineStr">
        <is>
          <t>Keycloak SSO complexity</t>
        </is>
      </c>
      <c r="C9" s="159" t="inlineStr">
        <is>
          <t>OAuth2 integration more complex than anticipated</t>
        </is>
      </c>
      <c r="D9" s="164" t="inlineStr">
        <is>
          <t>Medium</t>
        </is>
      </c>
      <c r="E9" s="368" t="inlineStr">
        <is>
          <t>Medium</t>
        </is>
      </c>
      <c r="F9" s="452" t="inlineStr">
        <is>
          <t>Early prototype, security expert consultation</t>
        </is>
      </c>
      <c r="G9" s="459">
        <f>IFERROR(E9*F9,0)</f>
        <v/>
      </c>
    </row>
    <row r="10">
      <c r="A10" s="162" t="inlineStr">
        <is>
          <t>R-3</t>
        </is>
      </c>
      <c r="B10" s="159" t="inlineStr">
        <is>
          <t>Sony VOD DRM requirements</t>
        </is>
      </c>
      <c r="C10" s="159" t="inlineStr">
        <is>
          <t>Streaming DRM implementation challenges</t>
        </is>
      </c>
      <c r="D10" s="164" t="inlineStr">
        <is>
          <t>High</t>
        </is>
      </c>
      <c r="E10" s="368" t="inlineStr">
        <is>
          <t>High</t>
        </is>
      </c>
      <c r="F10" s="452" t="inlineStr">
        <is>
          <t>POC before commitment, vendor support contract</t>
        </is>
      </c>
      <c r="G10" s="459">
        <f>IFERROR(E10*F10,0)</f>
        <v/>
      </c>
    </row>
    <row r="11">
      <c r="A11" s="162" t="inlineStr">
        <is>
          <t>R-4</t>
        </is>
      </c>
      <c r="B11" s="159" t="inlineStr">
        <is>
          <t>Solr search performance</t>
        </is>
      </c>
      <c r="C11" s="159" t="inlineStr">
        <is>
          <t>Enterprise search scalability under load</t>
        </is>
      </c>
      <c r="D11" s="164" t="inlineStr">
        <is>
          <t>Medium</t>
        </is>
      </c>
      <c r="E11" s="368" t="inlineStr">
        <is>
          <t>High</t>
        </is>
      </c>
      <c r="F11" s="452" t="inlineStr">
        <is>
          <t>Load testing, caching strategy, index optimization</t>
        </is>
      </c>
      <c r="G11" s="459">
        <f>IFERROR(E11*F11,0)</f>
        <v/>
      </c>
    </row>
    <row r="12">
      <c r="A12" s="162" t="inlineStr">
        <is>
          <t>R-5</t>
        </is>
      </c>
      <c r="B12" s="159" t="inlineStr">
        <is>
          <t>Migration data quality</t>
        </is>
      </c>
      <c r="C12" s="159" t="inlineStr">
        <is>
          <t>Legacy content requires significant cleanup</t>
        </is>
      </c>
      <c r="D12" s="164" t="inlineStr">
        <is>
          <t>High</t>
        </is>
      </c>
      <c r="E12" s="368" t="inlineStr">
        <is>
          <t>Medium</t>
        </is>
      </c>
      <c r="F12" s="452" t="inlineStr">
        <is>
          <t>Early migration tests, data validation scripts</t>
        </is>
      </c>
      <c r="G12" s="459">
        <f>IFERROR(E12*F12,0)</f>
        <v/>
      </c>
    </row>
    <row r="13">
      <c r="A13" s="162" t="inlineStr">
        <is>
          <t>R-6</t>
        </is>
      </c>
      <c r="B13" s="159" t="inlineStr">
        <is>
          <t>Third-party dependencies</t>
        </is>
      </c>
      <c r="C13" s="159" t="inlineStr">
        <is>
          <t>Critical modules become unmaintained</t>
        </is>
      </c>
      <c r="D13" s="164" t="inlineStr">
        <is>
          <t>Low</t>
        </is>
      </c>
      <c r="E13" s="368" t="inlineStr">
        <is>
          <t>High</t>
        </is>
      </c>
      <c r="F13" s="452" t="inlineStr">
        <is>
          <t>Alternative module research, update monitoring</t>
        </is>
      </c>
      <c r="G13" s="459">
        <f>IFERROR(E13*F13,0)</f>
        <v/>
      </c>
    </row>
    <row r="14">
      <c r="A14" s="162" t="inlineStr">
        <is>
          <t>R-7</t>
        </is>
      </c>
      <c r="B14" s="159" t="inlineStr">
        <is>
          <t>Azure cost overruns</t>
        </is>
      </c>
      <c r="C14" s="159" t="inlineStr">
        <is>
          <t>Higher than expected cloud infrastructure costs</t>
        </is>
      </c>
      <c r="D14" s="164" t="inlineStr">
        <is>
          <t>Medium</t>
        </is>
      </c>
      <c r="E14" s="368" t="inlineStr">
        <is>
          <t>Medium</t>
        </is>
      </c>
      <c r="F14" s="452" t="inlineStr">
        <is>
          <t>Cost monitoring, auto-scaling limits, budget alerts</t>
        </is>
      </c>
      <c r="G14" s="459">
        <f>IFERROR(E14*F14,0)</f>
        <v/>
      </c>
    </row>
    <row r="15">
      <c r="A15" s="162" t="inlineStr">
        <is>
          <t>R-8</t>
        </is>
      </c>
      <c r="B15" s="159" t="inlineStr">
        <is>
          <t>Browser compatibility</t>
        </is>
      </c>
      <c r="C15" s="159" t="inlineStr">
        <is>
          <t>Cross-browser issues in complex components</t>
        </is>
      </c>
      <c r="D15" s="164" t="inlineStr">
        <is>
          <t>Medium</t>
        </is>
      </c>
      <c r="E15" s="368" t="inlineStr">
        <is>
          <t>Low</t>
        </is>
      </c>
      <c r="F15" s="452" t="inlineStr">
        <is>
          <t>Early browser testing, progressive enhancement</t>
        </is>
      </c>
      <c r="G15" s="459">
        <f>IFERROR(E15*F15,0)</f>
        <v/>
      </c>
    </row>
    <row r="16">
      <c r="A16" s="162" t="inlineStr">
        <is>
          <t>R-9</t>
        </is>
      </c>
      <c r="B16" s="159" t="inlineStr">
        <is>
          <t>Performance targets</t>
        </is>
      </c>
      <c r="C16" s="159" t="inlineStr">
        <is>
          <t>Page load times exceed 2-second target</t>
        </is>
      </c>
      <c r="D16" s="164" t="inlineStr">
        <is>
          <t>Medium</t>
        </is>
      </c>
      <c r="E16" s="368" t="inlineStr">
        <is>
          <t>High</t>
        </is>
      </c>
      <c r="F16" s="452" t="inlineStr">
        <is>
          <t>Performance budget, CDN optimization, lazy loading</t>
        </is>
      </c>
      <c r="G16" s="459">
        <f>IFERROR(E16*F16,0)</f>
        <v/>
      </c>
    </row>
    <row r="17">
      <c r="A17" s="162" t="inlineStr">
        <is>
          <t>R-10</t>
        </is>
      </c>
      <c r="B17" s="159" t="inlineStr">
        <is>
          <t>Accessibility compliance</t>
        </is>
      </c>
      <c r="C17" s="159" t="inlineStr">
        <is>
          <t>WCAG 2.1 AA compliance gaps discovered late</t>
        </is>
      </c>
      <c r="D17" s="164" t="inlineStr">
        <is>
          <t>Low</t>
        </is>
      </c>
      <c r="E17" s="368" t="inlineStr">
        <is>
          <t>High</t>
        </is>
      </c>
      <c r="F17" s="452" t="inlineStr">
        <is>
          <t>Automated testing from start, accessibility audit</t>
        </is>
      </c>
      <c r="G17" s="459">
        <f>IFERROR(E17*F17,0)</f>
        <v/>
      </c>
    </row>
    <row r="18">
      <c r="A18" s="162" t="inlineStr">
        <is>
          <t>R-11</t>
        </is>
      </c>
      <c r="B18" s="159" t="inlineStr">
        <is>
          <t>Scope creep</t>
        </is>
      </c>
      <c r="C18" s="159" t="inlineStr">
        <is>
          <t>Uncontrolled feature additions during development</t>
        </is>
      </c>
      <c r="D18" s="164" t="inlineStr">
        <is>
          <t>High</t>
        </is>
      </c>
      <c r="E18" s="368" t="inlineStr">
        <is>
          <t>Medium</t>
        </is>
      </c>
      <c r="F18" s="452" t="inlineStr">
        <is>
          <t>Change request process, backlog prioritization</t>
        </is>
      </c>
      <c r="G18" s="459">
        <f>IFERROR(E18*F18,0)</f>
        <v/>
      </c>
    </row>
    <row r="19">
      <c r="A19" s="162" t="inlineStr">
        <is>
          <t>R-12</t>
        </is>
      </c>
      <c r="B19" s="159" t="inlineStr">
        <is>
          <t>Resource availability</t>
        </is>
      </c>
      <c r="C19" s="159" t="inlineStr">
        <is>
          <t>Key team members unavailable during critical phases</t>
        </is>
      </c>
      <c r="D19" s="164" t="inlineStr">
        <is>
          <t>Medium</t>
        </is>
      </c>
      <c r="E19" s="368" t="inlineStr">
        <is>
          <t>High</t>
        </is>
      </c>
      <c r="F19" s="452" t="inlineStr">
        <is>
          <t>Knowledge sharing, documentation, backup resources</t>
        </is>
      </c>
      <c r="G19" s="459">
        <f>IFERROR(E19*F19,0)</f>
        <v/>
      </c>
      <c r="I19" s="498" t="n"/>
    </row>
    <row r="20">
      <c r="A20" s="162" t="n"/>
      <c r="B20" s="159" t="n"/>
      <c r="C20" s="159" t="n"/>
      <c r="D20" s="164" t="n"/>
      <c r="E20" s="368" t="n"/>
      <c r="F20" s="452" t="n"/>
      <c r="G20" s="459">
        <f>IFERROR(E20*F20,0)</f>
        <v/>
      </c>
    </row>
    <row r="21">
      <c r="A21" s="162" t="n"/>
      <c r="B21" s="159" t="n"/>
      <c r="C21" s="159" t="n"/>
      <c r="D21" s="164" t="n"/>
      <c r="E21" s="368" t="n"/>
      <c r="F21" s="452" t="n"/>
      <c r="G21" s="459">
        <f>IFERROR(E21*F21,0)</f>
        <v/>
      </c>
    </row>
    <row r="22">
      <c r="A22" s="162" t="n"/>
      <c r="B22" s="159" t="n"/>
      <c r="C22" s="159" t="n"/>
      <c r="D22" s="164" t="n"/>
      <c r="E22" s="368" t="n"/>
      <c r="F22" s="452" t="n"/>
      <c r="G22" s="459">
        <f>IFERROR(E22*F22,0)</f>
        <v/>
      </c>
    </row>
    <row r="23">
      <c r="A23" s="162" t="n"/>
      <c r="B23" s="159" t="n"/>
      <c r="C23" s="159" t="n"/>
      <c r="D23" s="164" t="n"/>
      <c r="E23" s="368" t="n"/>
      <c r="F23" s="452" t="n"/>
      <c r="G23" s="459">
        <f>IFERROR(E23*F23,0)</f>
        <v/>
      </c>
    </row>
    <row r="24">
      <c r="A24" s="162" t="n"/>
      <c r="B24" s="159" t="n"/>
      <c r="C24" s="159" t="n"/>
      <c r="D24" s="164" t="n"/>
      <c r="E24" s="368" t="n"/>
      <c r="F24" s="452" t="n"/>
      <c r="G24" s="459">
        <f>IFERROR(E24*F24,0)</f>
        <v/>
      </c>
    </row>
    <row r="25">
      <c r="A25" s="162" t="n"/>
      <c r="B25" s="159" t="n"/>
      <c r="C25" s="159" t="n"/>
      <c r="D25" s="164" t="n"/>
      <c r="E25" s="368" t="n"/>
      <c r="F25" s="452" t="n"/>
      <c r="G25" s="459">
        <f>IFERROR(E25*F25,0)</f>
        <v/>
      </c>
    </row>
    <row r="26">
      <c r="A26" s="162" t="n"/>
      <c r="B26" s="159" t="n"/>
      <c r="C26" s="159" t="n"/>
      <c r="D26" s="164" t="n"/>
      <c r="E26" s="368" t="n"/>
      <c r="F26" s="452" t="n"/>
      <c r="G26" s="459">
        <f>IFERROR(E26*F26,0)</f>
        <v/>
      </c>
    </row>
    <row r="27">
      <c r="A27" s="162" t="n"/>
      <c r="B27" s="159" t="n"/>
      <c r="C27" s="159" t="n"/>
      <c r="D27" s="164" t="n"/>
      <c r="E27" s="368" t="n"/>
      <c r="F27" s="452" t="n"/>
      <c r="G27" s="459">
        <f>IFERROR(E27*F27,0)</f>
        <v/>
      </c>
    </row>
    <row r="28">
      <c r="A28" s="162" t="n"/>
      <c r="B28" s="159" t="n"/>
      <c r="C28" s="159" t="n"/>
      <c r="D28" s="164" t="n"/>
      <c r="E28" s="368" t="n"/>
      <c r="F28" s="452" t="n"/>
      <c r="G28" s="459">
        <f>IFERROR(E28*F28,0)</f>
        <v/>
      </c>
    </row>
    <row r="29">
      <c r="A29" s="162" t="n"/>
      <c r="B29" s="159" t="n"/>
      <c r="C29" s="159" t="n"/>
      <c r="D29" s="164" t="n"/>
      <c r="E29" s="368" t="n"/>
      <c r="F29" s="452" t="n"/>
      <c r="G29" s="459">
        <f>IFERROR(E29*F29,0)</f>
        <v/>
      </c>
    </row>
    <row r="30">
      <c r="A30" s="162" t="n"/>
      <c r="B30" s="159" t="n"/>
      <c r="C30" s="159" t="n"/>
      <c r="D30" s="164" t="n"/>
      <c r="E30" s="368" t="n"/>
      <c r="F30" s="452" t="n"/>
      <c r="G30" s="459">
        <f>IFERROR(E30*F30,0)</f>
        <v/>
      </c>
    </row>
    <row r="31">
      <c r="A31" s="162" t="n"/>
      <c r="B31" s="159" t="n"/>
      <c r="C31" s="159" t="n"/>
      <c r="D31" s="164" t="n"/>
      <c r="E31" s="368" t="n"/>
      <c r="F31" s="452" t="n"/>
      <c r="G31" s="459">
        <f>IFERROR(E31*F31,0)</f>
        <v/>
      </c>
    </row>
    <row r="32">
      <c r="A32" s="162" t="n"/>
      <c r="B32" s="159" t="n"/>
      <c r="C32" s="159" t="n"/>
      <c r="D32" s="164" t="n"/>
      <c r="E32" s="368" t="n"/>
      <c r="F32" s="452" t="n"/>
      <c r="G32" s="459">
        <f>IFERROR(E32*F32,0)</f>
        <v/>
      </c>
    </row>
    <row r="33" customFormat="1" s="7">
      <c r="A33" s="433" t="inlineStr">
        <is>
          <t>Last row. Don't override this row. Please insert new rows before this row! Don't insert or delete rows manually! Only use the menu items above "Insert row" and "Delete row" or short keys CTRL+ or CTRL-.</t>
        </is>
      </c>
      <c r="B33" s="254" t="n"/>
      <c r="C33" s="254" t="n"/>
      <c r="D33" s="255" t="n"/>
      <c r="E33" s="259" t="n"/>
      <c r="F33" s="453" t="n"/>
      <c r="G33" s="453" t="n"/>
    </row>
  </sheetData>
  <autoFilter ref="A5:G33"/>
  <conditionalFormatting sqref="G9 G11 G14:G17 G20:G28 G30">
    <cfRule type="expression" priority="27" dxfId="0">
      <formula>AND(G9=0,A9&lt;&gt;"")</formula>
    </cfRule>
  </conditionalFormatting>
  <conditionalFormatting sqref="G1">
    <cfRule type="expression" priority="26" dxfId="0">
      <formula>AND(G1=0,A1&lt;&gt;"")</formula>
    </cfRule>
  </conditionalFormatting>
  <conditionalFormatting sqref="G8">
    <cfRule type="expression" priority="25" dxfId="0">
      <formula>AND(G8=0,A8&lt;&gt;"")</formula>
    </cfRule>
  </conditionalFormatting>
  <conditionalFormatting sqref="G29">
    <cfRule type="expression" priority="24" dxfId="0">
      <formula>AND(G29=0,A29&lt;&gt;"")</formula>
    </cfRule>
  </conditionalFormatting>
  <conditionalFormatting sqref="G31">
    <cfRule type="expression" priority="23" dxfId="0">
      <formula>AND(G31=0,A31&lt;&gt;"")</formula>
    </cfRule>
  </conditionalFormatting>
  <conditionalFormatting sqref="G32">
    <cfRule type="expression" priority="22" dxfId="0">
      <formula>AND(G32=0,A32&lt;&gt;"")</formula>
    </cfRule>
  </conditionalFormatting>
  <conditionalFormatting sqref="G19">
    <cfRule type="expression" priority="17" dxfId="0">
      <formula>AND(G19=0,A19&lt;&gt;"")</formula>
    </cfRule>
  </conditionalFormatting>
  <conditionalFormatting sqref="G18">
    <cfRule type="expression" priority="16" dxfId="0">
      <formula>AND(G18=0,A18&lt;&gt;"")</formula>
    </cfRule>
  </conditionalFormatting>
  <conditionalFormatting sqref="G13">
    <cfRule type="expression" priority="13" dxfId="0">
      <formula>AND(G13=0,A13&lt;&gt;"")</formula>
    </cfRule>
  </conditionalFormatting>
  <conditionalFormatting sqref="G12">
    <cfRule type="expression" priority="11" dxfId="0">
      <formula>AND(G12=0,A12&lt;&gt;"")</formula>
    </cfRule>
  </conditionalFormatting>
  <conditionalFormatting sqref="G10">
    <cfRule type="expression" priority="1" dxfId="0">
      <formula>AND(G10=0,A10&lt;&gt;"")</formula>
    </cfRule>
  </conditionalFormatting>
  <pageMargins left="0.7" right="0.7" top="0.787401575" bottom="0.787401575" header="0.3" footer="0.3"/>
  <pageSetup orientation="portrait" paperSize="9"/>
</worksheet>
</file>

<file path=xl/worksheets/sheet6.xml><?xml version="1.0" encoding="utf-8"?>
<worksheet xmlns="http://schemas.openxmlformats.org/spreadsheetml/2006/main">
  <sheetPr codeName="Tabelle8">
    <tabColor theme="4" tint="0.5999938962981048"/>
    <outlinePr summaryBelow="1" summaryRight="1"/>
    <pageSetUpPr/>
  </sheetPr>
  <dimension ref="A1:AC28"/>
  <sheetViews>
    <sheetView showGridLines="0" zoomScale="90" zoomScaleNormal="90" workbookViewId="0">
      <pane xSplit="6" ySplit="7" topLeftCell="G8" activePane="bottomRight" state="frozen"/>
      <selection pane="topRight" activeCell="E2" sqref="E2"/>
      <selection pane="bottomLeft" activeCell="A8" sqref="A8"/>
      <selection pane="bottomRight" activeCell="A1" sqref="A1"/>
    </sheetView>
  </sheetViews>
  <sheetFormatPr baseColWidth="10" defaultColWidth="11.5" defaultRowHeight="15"/>
  <cols>
    <col hidden="1" width="8" customWidth="1" style="3" min="1" max="1"/>
    <col width="40.1640625" customWidth="1" style="3" min="2" max="2"/>
    <col hidden="1" width="7.1640625" customWidth="1" style="13" min="3" max="4"/>
    <col width="42.5" bestFit="1" customWidth="1" style="25" min="5" max="5"/>
    <col width="11" bestFit="1" customWidth="1" style="342" min="6" max="6"/>
    <col width="24.5" customWidth="1" style="13" min="7" max="7"/>
    <col hidden="1" width="26.83203125" customWidth="1" style="13" min="8" max="8"/>
    <col width="17.1640625" customWidth="1" style="13" min="9" max="9"/>
    <col hidden="1" width="8.6640625" customWidth="1" style="204" min="10" max="10"/>
    <col width="12.5" customWidth="1" style="13" min="11" max="11"/>
    <col width="17.1640625" customWidth="1" style="13" min="12" max="12"/>
    <col width="2.5" customWidth="1" style="13" min="13" max="13"/>
    <col width="14.83203125" customWidth="1" style="13" min="14" max="15"/>
    <col width="15.33203125" customWidth="1" style="3" min="16" max="16"/>
    <col width="15.1640625" customWidth="1" style="48" min="17" max="17"/>
    <col width="14" customWidth="1" style="48" min="18" max="18"/>
    <col width="2.5" customWidth="1" style="13" min="19" max="19"/>
    <col width="14" customWidth="1" style="498" min="20" max="21"/>
    <col width="13.6640625" customWidth="1" style="48" min="22" max="22"/>
    <col width="13.6640625" customWidth="1" style="3" min="23" max="23"/>
    <col width="13.33203125" customWidth="1" style="3" min="24" max="24"/>
    <col width="2.5" customWidth="1" style="13" min="25" max="25"/>
    <col width="14.83203125" customWidth="1" style="3" min="26" max="26"/>
    <col width="15.33203125" customWidth="1" style="3" min="27" max="27"/>
    <col width="15.83203125" customWidth="1" style="3" min="28" max="28"/>
    <col width="13.6640625" customWidth="1" style="3" min="29" max="29"/>
    <col width="11.5" customWidth="1" style="3" min="30" max="16384"/>
  </cols>
  <sheetData>
    <row r="1" hidden="1">
      <c r="A1" s="15" t="n"/>
      <c r="B1" s="35" t="n"/>
      <c r="C1" s="15" t="n"/>
      <c r="D1" s="15" t="n"/>
      <c r="E1" s="35" t="n"/>
      <c r="F1" s="341" t="n"/>
      <c r="G1" s="18" t="inlineStr">
        <is>
          <t>any</t>
        </is>
      </c>
      <c r="H1" s="392">
        <f>_xlfn.XLOOKUP(G1,tblCompanies[Company],tblCompanies[Accounting-related company],"")</f>
        <v/>
      </c>
      <c r="I1" s="18" t="inlineStr">
        <is>
          <t>any</t>
        </is>
      </c>
      <c r="J1" s="203">
        <f>_xlfn.XLOOKUP(I1,tblCountries[Country],tblCountries[Inflation rate],0)</f>
        <v/>
      </c>
      <c r="K1" s="18" t="inlineStr">
        <is>
          <t>any</t>
        </is>
      </c>
      <c r="L1" s="18" t="inlineStr">
        <is>
          <t>any</t>
        </is>
      </c>
      <c r="N1" s="459">
        <f>SUMIFS(tblDataPool[Effort],tblDataPool[Project Role],B1,tblDataPool[Sub role],E1)-T1</f>
        <v/>
      </c>
      <c r="O1" s="51">
        <f>SUMIFS(tblDataPool[Costs],tblDataPool[Project Role],B1,tblDataPool[Sub role],E1)-U1</f>
        <v/>
      </c>
      <c r="P1" s="50" t="n">
        <v>0</v>
      </c>
      <c r="Q1" s="51">
        <f>SUMIFS(tblDataPool[Price],tblDataPool[Project Role],B1,tblDataPool[Sub role],E1)-W1</f>
        <v/>
      </c>
      <c r="R1" s="50" t="n">
        <v>0</v>
      </c>
      <c r="T1" s="459">
        <f>SUMIFS(tblDataPool[Effort],tblDataPool[Project Role],B1,tblDataPool[Sub role],E1,tblDataPool[Item type],"Travel time")</f>
        <v/>
      </c>
      <c r="U1" s="51">
        <f>SUMIFS(tblDataPool[Costs],tblDataPool[Project Role],B1,tblDataPool[Sub role],E1,tblDataPool[Item type],"Travel time")</f>
        <v/>
      </c>
      <c r="V1" s="50">
        <f>P1</f>
        <v/>
      </c>
      <c r="W1" s="51">
        <f>SUMIFS(tblDataPool[Price],tblDataPool[Project Role],B1,tblDataPool[Sub role],E1,tblDataPool[Item type],"Travel time")</f>
        <v/>
      </c>
      <c r="X1" s="50" t="n">
        <v>0</v>
      </c>
      <c r="Z1" s="51">
        <f>Q1+W1-O1-U1</f>
        <v/>
      </c>
      <c r="AA1" s="51">
        <f>IF(OR(ST_Contractor=G1,AND(ST_AccountingRelatedCompany="yes",H1="yes")),Q1+W1,Z1)</f>
        <v/>
      </c>
      <c r="AB1" s="459">
        <f>IF(OR(ST_Contractor=G1,AND(ST_AccountingRelatedCompany="yes",H1="yes")),N1+T1,0)</f>
        <v/>
      </c>
      <c r="AC1" s="51">
        <f>IF(AB1&gt;0,AA1/AB1,0)</f>
        <v/>
      </c>
    </row>
    <row r="2" ht="24" customHeight="1">
      <c r="B2" s="1" t="inlineStr">
        <is>
          <t>Projectroles and pricing</t>
        </is>
      </c>
      <c r="C2" s="97" t="n"/>
      <c r="D2" s="97" t="n"/>
      <c r="E2" s="1" t="n"/>
      <c r="F2" s="337" t="n"/>
      <c r="G2" s="97" t="n"/>
      <c r="H2" s="97" t="n"/>
      <c r="I2" s="97" t="n"/>
      <c r="J2" s="199" t="n"/>
      <c r="K2" s="97" t="n"/>
      <c r="L2" s="97" t="n"/>
      <c r="M2" s="97" t="n"/>
      <c r="N2" s="97" t="n"/>
      <c r="O2" s="97" t="n"/>
      <c r="S2" s="97" t="n"/>
      <c r="Y2" s="97" t="n"/>
    </row>
    <row r="3" ht="21" customHeight="1">
      <c r="B3" s="4">
        <f>Start!A2</f>
        <v/>
      </c>
      <c r="C3" s="98" t="n"/>
      <c r="D3" s="98" t="n"/>
      <c r="E3" s="4" t="n"/>
      <c r="F3" s="338" t="n"/>
      <c r="G3" s="98" t="n"/>
      <c r="H3" s="98" t="n"/>
      <c r="I3" s="98" t="n"/>
      <c r="J3" s="200" t="n"/>
      <c r="K3" s="98" t="n"/>
      <c r="L3" s="98" t="n"/>
      <c r="M3" s="98" t="n"/>
      <c r="P3" s="98" t="n"/>
      <c r="Q3" s="8" t="n"/>
      <c r="R3" s="8" t="n"/>
      <c r="S3" s="98" t="n"/>
      <c r="T3" s="8" t="n"/>
      <c r="U3" s="8" t="n"/>
      <c r="V3" s="8" t="n"/>
      <c r="W3" s="8" t="n"/>
      <c r="X3" s="8" t="n"/>
      <c r="Y3" s="98" t="n"/>
    </row>
    <row r="4" ht="8" customHeight="1">
      <c r="B4" s="4" t="n"/>
      <c r="C4" s="98" t="n"/>
      <c r="D4" s="98" t="n"/>
      <c r="E4" s="4" t="n"/>
      <c r="F4" s="338" t="n"/>
      <c r="G4" s="98" t="n"/>
      <c r="H4" s="98" t="n"/>
      <c r="I4" s="98" t="n"/>
      <c r="J4" s="200" t="n"/>
      <c r="K4" s="98" t="n"/>
      <c r="L4" s="98" t="n"/>
      <c r="M4" s="98" t="n"/>
      <c r="P4" s="98" t="n"/>
      <c r="Q4" s="8" t="n"/>
      <c r="R4" s="8" t="n"/>
      <c r="S4" s="98" t="n"/>
      <c r="T4" s="8" t="n"/>
      <c r="U4" s="8" t="n"/>
      <c r="Y4" s="98" t="n"/>
    </row>
    <row r="5" ht="14.5" customHeight="1">
      <c r="B5" s="432" t="inlineStr">
        <is>
          <t>Only use menu item above "Edit project roles" or "Edit sub roles" for adding, renaming or rearranging project roles or sub roles. New rows cannot be inserted or deleted manually!</t>
        </is>
      </c>
      <c r="C5" s="98" t="n"/>
      <c r="D5" s="98" t="n"/>
      <c r="E5" s="4" t="n"/>
      <c r="F5" s="338" t="n"/>
      <c r="G5" s="98" t="n"/>
      <c r="H5" s="98" t="n"/>
      <c r="I5" s="98" t="n"/>
      <c r="J5" s="200" t="n"/>
      <c r="K5" s="98" t="n"/>
      <c r="L5" s="98" t="n"/>
      <c r="M5" s="98" t="n"/>
      <c r="N5" s="324" t="inlineStr">
        <is>
          <t>Use the menu item above "Recalculate role sheet" or "Refresh tables/charts" to recalculate the efforts.</t>
        </is>
      </c>
      <c r="O5" s="324" t="n"/>
      <c r="S5" s="98" t="n"/>
      <c r="Y5" s="98" t="n"/>
    </row>
    <row r="6" ht="26.5" customHeight="1">
      <c r="A6" s="350" t="n"/>
      <c r="B6" s="499" t="n"/>
      <c r="C6" s="98" t="n"/>
      <c r="D6" s="98" t="n"/>
      <c r="E6" s="4" t="n"/>
      <c r="F6" s="338" t="n"/>
      <c r="G6" s="500" t="inlineStr">
        <is>
          <t>Role details</t>
        </is>
      </c>
      <c r="H6" s="501" t="n"/>
      <c r="I6" s="501" t="n"/>
      <c r="J6" s="501" t="n"/>
      <c r="K6" s="501" t="n"/>
      <c r="L6" s="502" t="n"/>
      <c r="M6" s="322" t="n"/>
      <c r="N6" s="503" t="inlineStr">
        <is>
          <t>Daily rates and costs of project roles (without travel)</t>
        </is>
      </c>
      <c r="O6" s="504" t="n"/>
      <c r="P6" s="504" t="n"/>
      <c r="Q6" s="504" t="n"/>
      <c r="R6" s="504" t="n"/>
      <c r="S6" s="322" t="n"/>
      <c r="T6" s="503" t="inlineStr">
        <is>
          <t>Daily rates and costs of travel time</t>
        </is>
      </c>
      <c r="U6" s="504" t="n"/>
      <c r="V6" s="504" t="n"/>
      <c r="W6" s="504" t="n"/>
      <c r="X6" s="504" t="n"/>
      <c r="Y6" s="322" t="n"/>
    </row>
    <row r="7" ht="32.5" customHeight="1">
      <c r="A7" s="107" t="inlineStr">
        <is>
          <t>Role ID</t>
        </is>
      </c>
      <c r="B7" s="107" t="inlineStr">
        <is>
          <t>Project Role</t>
        </is>
      </c>
      <c r="C7" s="434" t="inlineStr">
        <is>
          <t>ColNo</t>
        </is>
      </c>
      <c r="D7" s="345" t="inlineStr">
        <is>
          <t>Sub Role ID</t>
        </is>
      </c>
      <c r="E7" s="335" t="inlineStr">
        <is>
          <t>Sub role</t>
        </is>
      </c>
      <c r="F7" s="339" t="inlineStr">
        <is>
          <t>Percentage</t>
        </is>
      </c>
      <c r="G7" s="233" t="inlineStr">
        <is>
          <t>Company</t>
        </is>
      </c>
      <c r="H7" s="393" t="inlineStr">
        <is>
          <t>Accounting-related company</t>
        </is>
      </c>
      <c r="I7" s="233" t="inlineStr">
        <is>
          <t>Country</t>
        </is>
      </c>
      <c r="J7" s="201" t="inlineStr">
        <is>
          <t>Inflation rate p.a.</t>
        </is>
      </c>
      <c r="K7" s="233" t="inlineStr">
        <is>
          <t>Location</t>
        </is>
      </c>
      <c r="L7" s="233" t="inlineStr">
        <is>
          <t>Seniority Level</t>
        </is>
      </c>
      <c r="M7" s="106" t="n"/>
      <c r="N7" s="111" t="inlineStr">
        <is>
          <t>Effort</t>
        </is>
      </c>
      <c r="O7" s="111">
        <f>"Costs [" &amp; CF_Currency &amp; "]"</f>
        <v/>
      </c>
      <c r="P7" s="111">
        <f>"Daily costs [" &amp; CF_Currency &amp; "]"</f>
        <v/>
      </c>
      <c r="Q7" s="111">
        <f>"Price [" &amp; CF_Currency &amp; "]"</f>
        <v/>
      </c>
      <c r="R7" s="110">
        <f>"Daily rate [" &amp; CF_Currency &amp; "]"</f>
        <v/>
      </c>
      <c r="S7" s="106" t="n"/>
      <c r="T7" s="110" t="inlineStr">
        <is>
          <t>Travel time</t>
        </is>
      </c>
      <c r="U7" s="110">
        <f>"Costs [" &amp; CF_Currency &amp; "]"</f>
        <v/>
      </c>
      <c r="V7" s="505">
        <f>"Daily costs [" &amp; CF_Currency &amp; "]"</f>
        <v/>
      </c>
      <c r="W7" s="505">
        <f>"Price [" &amp; CF_Currency &amp; "]"</f>
        <v/>
      </c>
      <c r="X7" s="505">
        <f>"Daily rate [" &amp; CF_Currency &amp; "]"</f>
        <v/>
      </c>
      <c r="Y7" s="106" t="n"/>
      <c r="Z7" s="505">
        <f>"Margin [" &amp; CF_Currency &amp; "]"</f>
        <v/>
      </c>
      <c r="AA7" s="505">
        <f>"Gross profit [" &amp; CF_Currency &amp; "]"</f>
        <v/>
      </c>
      <c r="AB7" s="111" t="inlineStr">
        <is>
          <t>Effort of
contractor</t>
        </is>
      </c>
      <c r="AC7" s="505">
        <f>"Gross profit ratio [" &amp; CF_Currency &amp; "/day]"</f>
        <v/>
      </c>
    </row>
    <row r="8">
      <c r="A8" s="41" t="inlineStr">
        <is>
          <t>R-1</t>
        </is>
      </c>
      <c r="B8" s="41" t="inlineStr">
        <is>
          <t>Project manager</t>
        </is>
      </c>
      <c r="C8" s="99" t="inlineStr">
        <is>
          <t>Senior</t>
        </is>
      </c>
      <c r="D8" s="177" t="inlineStr">
        <is>
          <t>Responsible for overall project delivery, stakeholder communication, timeline and budget management</t>
        </is>
      </c>
      <c r="E8" s="336" t="n">
        <v>0.3</v>
      </c>
      <c r="F8" s="340" t="n"/>
      <c r="G8" s="177" t="n"/>
      <c r="H8" s="177" t="n"/>
      <c r="I8" s="177" t="n"/>
      <c r="J8" s="202" t="n"/>
      <c r="K8" s="177" t="n"/>
      <c r="L8" s="177" t="n"/>
      <c r="N8" s="506">
        <f>SUM(N9:N27)</f>
        <v/>
      </c>
      <c r="O8" s="323">
        <f>SUM(O9:O27)</f>
        <v/>
      </c>
      <c r="P8" s="507">
        <f>IFERROR(O8/N8,0)</f>
        <v/>
      </c>
      <c r="Q8" s="323">
        <f>SUM(Q9:Q27)</f>
        <v/>
      </c>
      <c r="R8" s="507">
        <f>IFERROR(Q8/(N8-'Project tasks'!J76),0)</f>
        <v/>
      </c>
      <c r="T8" s="506">
        <f>SUM(T9:T27)</f>
        <v/>
      </c>
      <c r="U8" s="323">
        <f>SUM(U9:U27)</f>
        <v/>
      </c>
      <c r="V8" s="507">
        <f>IFERROR(U8/T8,0)</f>
        <v/>
      </c>
      <c r="W8" s="323">
        <f>SUM(W9:W27)</f>
        <v/>
      </c>
      <c r="X8" s="507">
        <f>IFERROR(W8/T8,0)</f>
        <v/>
      </c>
      <c r="Z8" s="323">
        <f>SUM(Z9:Z27)</f>
        <v/>
      </c>
      <c r="AA8" s="323">
        <f>SUM(AA9:AA27)</f>
        <v/>
      </c>
      <c r="AB8" s="506">
        <f>SUM(AB9:AB27)</f>
        <v/>
      </c>
      <c r="AC8" s="507">
        <f>IF(AB8&gt;0,AA8/AB8,0)</f>
        <v/>
      </c>
    </row>
    <row r="9">
      <c r="A9" s="164" t="inlineStr">
        <is>
          <t>R-2</t>
        </is>
      </c>
      <c r="B9" s="173" t="inlineStr">
        <is>
          <t>Software architect</t>
        </is>
      </c>
      <c r="C9" s="164" t="inlineStr">
        <is>
          <t>Expert</t>
        </is>
      </c>
      <c r="D9" s="164" t="inlineStr">
        <is>
          <t>Technical lead, system architecture design, code reviews, integration strategy</t>
        </is>
      </c>
      <c r="E9" s="369" t="n">
        <v>0.5</v>
      </c>
      <c r="F9" s="370" t="n">
        <v>1</v>
      </c>
      <c r="G9" s="158" t="inlineStr">
        <is>
          <t>any</t>
        </is>
      </c>
      <c r="H9" s="392">
        <f>_xlfn.XLOOKUP(G9,tblCompanies[Company],tblCompanies[Accounting-related company],"")</f>
        <v/>
      </c>
      <c r="I9" s="158" t="inlineStr">
        <is>
          <t>any</t>
        </is>
      </c>
      <c r="J9" s="203">
        <f>_xlfn.XLOOKUP(I9,tblCountries[Country],tblCountries[Inflation rate],0)</f>
        <v/>
      </c>
      <c r="K9" s="158" t="inlineStr">
        <is>
          <t>any</t>
        </is>
      </c>
      <c r="L9" s="158" t="inlineStr">
        <is>
          <t>any</t>
        </is>
      </c>
      <c r="N9" s="459">
        <f>SUMIFS(tblDataPool[Effort],tblDataPool[Project Role],B9,tblDataPool[Sub role],E9)-T9</f>
        <v/>
      </c>
      <c r="O9" s="51">
        <f>SUMIFS(tblDataPool[Costs],tblDataPool[Project Role],B9,tblDataPool[Sub role],E9)-U9</f>
        <v/>
      </c>
      <c r="P9" s="367" t="n">
        <v>500</v>
      </c>
      <c r="Q9" s="51">
        <f>SUMIFS(tblDataPool[Price],tblDataPool[Project Role],B9,tblDataPool[Sub role],E9)-W9</f>
        <v/>
      </c>
      <c r="R9" s="367" t="n">
        <v>900</v>
      </c>
      <c r="T9" s="459">
        <f>SUMIFS(tblDataPool[Effort],tblDataPool[Project Role],B9,tblDataPool[Sub role],E9,tblDataPool[Item type],"Travel time")</f>
        <v/>
      </c>
      <c r="U9" s="51">
        <f>SUMIFS(tblDataPool[Costs],tblDataPool[Project Role],B9,tblDataPool[Sub role],E9,tblDataPool[Item type],"Travel time")</f>
        <v/>
      </c>
      <c r="V9" s="367" t="n">
        <v>500</v>
      </c>
      <c r="W9" s="51">
        <f>SUMIFS(tblDataPool[Price],tblDataPool[Project Role],B9,tblDataPool[Sub role],E9,tblDataPool[Item type],"Travel time")</f>
        <v/>
      </c>
      <c r="X9" s="367" t="n">
        <v>450</v>
      </c>
      <c r="Z9" s="51">
        <f>Q9+W9-O9-U9</f>
        <v/>
      </c>
      <c r="AA9" s="51">
        <f>IF(OR(ST_Contractor=G9,AND(ST_AccountingRelatedCompany="yes",H9="yes")),Q9+W9,Z9)</f>
        <v/>
      </c>
      <c r="AB9" s="459">
        <f>IF(OR(ST_Contractor=G9,AND(ST_AccountingRelatedCompany="yes",H9="yes")),N9+T9,0)</f>
        <v/>
      </c>
      <c r="AC9" s="51">
        <f>IF(AB9&gt;0,AA9/AB9,0)</f>
        <v/>
      </c>
    </row>
    <row r="10">
      <c r="A10" s="164" t="inlineStr">
        <is>
          <t>R-3</t>
        </is>
      </c>
      <c r="B10" s="173" t="inlineStr">
        <is>
          <t>Developer</t>
        </is>
      </c>
      <c r="C10" s="164" t="inlineStr">
        <is>
          <t>Senior</t>
        </is>
      </c>
      <c r="D10" s="164" t="inlineStr">
        <is>
          <t>Backend development #1: Content types, migrations, Keycloak SSO, Fiona API</t>
        </is>
      </c>
      <c r="E10" s="369" t="n">
        <v>1</v>
      </c>
      <c r="F10" s="370" t="n">
        <v>1</v>
      </c>
      <c r="G10" s="158" t="inlineStr">
        <is>
          <t>any</t>
        </is>
      </c>
      <c r="H10" s="392">
        <f>_xlfn.XLOOKUP(G10,tblCompanies[Company],tblCompanies[Accounting-related company],"")</f>
        <v/>
      </c>
      <c r="I10" s="158" t="inlineStr">
        <is>
          <t>any</t>
        </is>
      </c>
      <c r="J10" s="203">
        <f>_xlfn.XLOOKUP(I10,tblCountries[Country],tblCountries[Inflation rate],0)</f>
        <v/>
      </c>
      <c r="K10" s="158" t="inlineStr">
        <is>
          <t>any</t>
        </is>
      </c>
      <c r="L10" s="158" t="inlineStr">
        <is>
          <t>high</t>
        </is>
      </c>
      <c r="N10" s="459">
        <f>SUMIFS(tblDataPool[Effort],tblDataPool[Project Role],B10,tblDataPool[Sub role],E10)-T10</f>
        <v/>
      </c>
      <c r="O10" s="51">
        <f>SUMIFS(tblDataPool[Costs],tblDataPool[Project Role],B10,tblDataPool[Sub role],E10)-U10</f>
        <v/>
      </c>
      <c r="P10" s="367" t="n">
        <v>500</v>
      </c>
      <c r="Q10" s="51">
        <f>SUMIFS(tblDataPool[Price],tblDataPool[Project Role],B10,tblDataPool[Sub role],E10)-W10</f>
        <v/>
      </c>
      <c r="R10" s="367" t="n">
        <v>900</v>
      </c>
      <c r="T10" s="459">
        <f>SUMIFS(tblDataPool[Effort],tblDataPool[Project Role],B10,tblDataPool[Sub role],E10,tblDataPool[Item type],"Travel time")</f>
        <v/>
      </c>
      <c r="U10" s="51">
        <f>SUMIFS(tblDataPool[Costs],tblDataPool[Project Role],B10,tblDataPool[Sub role],E10,tblDataPool[Item type],"Travel time")</f>
        <v/>
      </c>
      <c r="V10" s="367" t="n">
        <v>500</v>
      </c>
      <c r="W10" s="51">
        <f>SUMIFS(tblDataPool[Price],tblDataPool[Project Role],B10,tblDataPool[Sub role],E10,tblDataPool[Item type],"Travel time")</f>
        <v/>
      </c>
      <c r="X10" s="367" t="n">
        <v>450</v>
      </c>
      <c r="Z10" s="51">
        <f>Q10+W10-O10-U10</f>
        <v/>
      </c>
      <c r="AA10" s="51">
        <f>IF(OR(ST_Contractor=G10,AND(ST_AccountingRelatedCompany="yes",H10="yes")),Q10+W10,Z10)</f>
        <v/>
      </c>
      <c r="AB10" s="459">
        <f>IF(OR(ST_Contractor=G10,AND(ST_AccountingRelatedCompany="yes",H10="yes")),N10+T10,0)</f>
        <v/>
      </c>
      <c r="AC10" s="51">
        <f>IF(AB10&gt;0,AA10/AB10,0)</f>
        <v/>
      </c>
    </row>
    <row r="11">
      <c r="A11" s="164" t="inlineStr">
        <is>
          <t>R-4</t>
        </is>
      </c>
      <c r="B11" s="173" t="inlineStr">
        <is>
          <t>Developer</t>
        </is>
      </c>
      <c r="C11" s="164" t="inlineStr">
        <is>
          <t>Senior</t>
        </is>
      </c>
      <c r="D11" s="164" t="inlineStr">
        <is>
          <t>Backend development #2: Sony VOD, Solr search, mobile API, custom modules</t>
        </is>
      </c>
      <c r="E11" s="173" t="n">
        <v>1</v>
      </c>
      <c r="F11" s="370" t="n">
        <v>0</v>
      </c>
      <c r="G11" s="158" t="inlineStr">
        <is>
          <t>any</t>
        </is>
      </c>
      <c r="H11" s="392">
        <f>_xlfn.XLOOKUP(G11,tblCompanies[Company],tblCompanies[Accounting-related company],"")</f>
        <v/>
      </c>
      <c r="I11" s="158" t="inlineStr">
        <is>
          <t>any</t>
        </is>
      </c>
      <c r="J11" s="203">
        <f>_xlfn.XLOOKUP(I11,tblCountries[Country],tblCountries[Inflation rate],0)</f>
        <v/>
      </c>
      <c r="K11" s="158" t="inlineStr">
        <is>
          <t>any</t>
        </is>
      </c>
      <c r="L11" s="158" t="inlineStr">
        <is>
          <t>middle</t>
        </is>
      </c>
      <c r="N11" s="459">
        <f>SUMIFS(tblDataPool[Effort],tblDataPool[Project Role],B11,tblDataPool[Sub role],E11)-T11</f>
        <v/>
      </c>
      <c r="O11" s="51">
        <f>SUMIFS(tblDataPool[Costs],tblDataPool[Project Role],B11,tblDataPool[Sub role],E11)-U11</f>
        <v/>
      </c>
      <c r="P11" s="367" t="n">
        <v>500</v>
      </c>
      <c r="Q11" s="51">
        <f>SUMIFS(tblDataPool[Price],tblDataPool[Project Role],B11,tblDataPool[Sub role],E11)-W11</f>
        <v/>
      </c>
      <c r="R11" s="367" t="n">
        <v>900</v>
      </c>
      <c r="T11" s="459">
        <f>SUMIFS(tblDataPool[Effort],tblDataPool[Project Role],B11,tblDataPool[Sub role],E11,tblDataPool[Item type],"Travel time")</f>
        <v/>
      </c>
      <c r="U11" s="51">
        <f>SUMIFS(tblDataPool[Costs],tblDataPool[Project Role],B11,tblDataPool[Sub role],E11,tblDataPool[Item type],"Travel time")</f>
        <v/>
      </c>
      <c r="V11" s="367" t="n">
        <v>500</v>
      </c>
      <c r="W11" s="51">
        <f>SUMIFS(tblDataPool[Price],tblDataPool[Project Role],B11,tblDataPool[Sub role],E11,tblDataPool[Item type],"Travel time")</f>
        <v/>
      </c>
      <c r="X11" s="367" t="n">
        <v>450</v>
      </c>
      <c r="Z11" s="51">
        <f>Q11+W11-O11-U11</f>
        <v/>
      </c>
      <c r="AA11" s="51">
        <f>IF(OR(ST_Contractor=G11,AND(ST_AccountingRelatedCompany="yes",H11="yes")),Q11+W11,Z11)</f>
        <v/>
      </c>
      <c r="AB11" s="459">
        <f>IF(OR(ST_Contractor=G11,AND(ST_AccountingRelatedCompany="yes",H11="yes")),N11+T11,0)</f>
        <v/>
      </c>
      <c r="AC11" s="51">
        <f>IF(AB11&gt;0,AA11/AB11,0)</f>
        <v/>
      </c>
    </row>
    <row r="12">
      <c r="A12" s="164" t="inlineStr">
        <is>
          <t>R-5</t>
        </is>
      </c>
      <c r="B12" s="173" t="inlineStr">
        <is>
          <t>Developer</t>
        </is>
      </c>
      <c r="C12" s="164" t="inlineStr">
        <is>
          <t>Middle</t>
        </is>
      </c>
      <c r="D12" s="164" t="inlineStr">
        <is>
          <t>Frontend development: Storybook components, Tailwind CSS, accessibility, responsive design</t>
        </is>
      </c>
      <c r="E12" s="173" t="n">
        <v>1</v>
      </c>
      <c r="F12" s="370" t="n">
        <v>1</v>
      </c>
      <c r="G12" s="158" t="inlineStr">
        <is>
          <t>any</t>
        </is>
      </c>
      <c r="H12" s="392">
        <f>_xlfn.XLOOKUP(G12,tblCompanies[Company],tblCompanies[Accounting-related company],"")</f>
        <v/>
      </c>
      <c r="I12" s="158" t="inlineStr">
        <is>
          <t>any</t>
        </is>
      </c>
      <c r="J12" s="203">
        <f>_xlfn.XLOOKUP(I12,tblCountries[Country],tblCountries[Inflation rate],0)</f>
        <v/>
      </c>
      <c r="K12" s="158" t="inlineStr">
        <is>
          <t>any</t>
        </is>
      </c>
      <c r="L12" s="158" t="inlineStr">
        <is>
          <t>high</t>
        </is>
      </c>
      <c r="N12" s="459">
        <f>SUMIFS(tblDataPool[Effort],tblDataPool[Project Role],B12,tblDataPool[Sub role],E12)-T12</f>
        <v/>
      </c>
      <c r="O12" s="51">
        <f>SUMIFS(tblDataPool[Costs],tblDataPool[Project Role],B12,tblDataPool[Sub role],E12)-U12</f>
        <v/>
      </c>
      <c r="P12" s="367" t="n">
        <v>500</v>
      </c>
      <c r="Q12" s="51">
        <f>SUMIFS(tblDataPool[Price],tblDataPool[Project Role],B12,tblDataPool[Sub role],E12)-W12</f>
        <v/>
      </c>
      <c r="R12" s="367" t="n">
        <v>900</v>
      </c>
      <c r="T12" s="459">
        <f>SUMIFS(tblDataPool[Effort],tblDataPool[Project Role],B12,tblDataPool[Sub role],E12,tblDataPool[Item type],"Travel time")</f>
        <v/>
      </c>
      <c r="U12" s="51">
        <f>SUMIFS(tblDataPool[Costs],tblDataPool[Project Role],B12,tblDataPool[Sub role],E12,tblDataPool[Item type],"Travel time")</f>
        <v/>
      </c>
      <c r="V12" s="367" t="n">
        <v>500</v>
      </c>
      <c r="W12" s="51">
        <f>SUMIFS(tblDataPool[Price],tblDataPool[Project Role],B12,tblDataPool[Sub role],E12,tblDataPool[Item type],"Travel time")</f>
        <v/>
      </c>
      <c r="X12" s="367" t="n">
        <v>450</v>
      </c>
      <c r="Z12" s="51">
        <f>Q12+W12-O12-U12</f>
        <v/>
      </c>
      <c r="AA12" s="51">
        <f>IF(OR(ST_Contractor=G12,AND(ST_AccountingRelatedCompany="yes",H12="yes")),Q12+W12,Z12)</f>
        <v/>
      </c>
      <c r="AB12" s="459">
        <f>IF(OR(ST_Contractor=G12,AND(ST_AccountingRelatedCompany="yes",H12="yes")),N12+T12,0)</f>
        <v/>
      </c>
      <c r="AC12" s="51">
        <f>IF(AB12&gt;0,AA12/AB12,0)</f>
        <v/>
      </c>
    </row>
    <row r="13">
      <c r="A13" s="164" t="inlineStr">
        <is>
          <t>R-6</t>
        </is>
      </c>
      <c r="B13" s="173" t="inlineStr">
        <is>
          <t>UI/UX Designer</t>
        </is>
      </c>
      <c r="C13" s="164" t="inlineStr">
        <is>
          <t>Middle</t>
        </is>
      </c>
      <c r="D13" s="164" t="inlineStr">
        <is>
          <t>Design system, component wireframes, user flows, accessibility compliance</t>
        </is>
      </c>
      <c r="E13" s="173" t="n">
        <v>0.4</v>
      </c>
      <c r="F13" s="370" t="n">
        <v>0</v>
      </c>
      <c r="G13" s="158" t="inlineStr">
        <is>
          <t>any</t>
        </is>
      </c>
      <c r="H13" s="392">
        <f>_xlfn.XLOOKUP(G13,tblCompanies[Company],tblCompanies[Accounting-related company],"")</f>
        <v/>
      </c>
      <c r="I13" s="158" t="inlineStr">
        <is>
          <t>any</t>
        </is>
      </c>
      <c r="J13" s="203">
        <f>_xlfn.XLOOKUP(I13,tblCountries[Country],tblCountries[Inflation rate],0)</f>
        <v/>
      </c>
      <c r="K13" s="158" t="inlineStr">
        <is>
          <t>any</t>
        </is>
      </c>
      <c r="L13" s="158" t="inlineStr">
        <is>
          <t>low</t>
        </is>
      </c>
      <c r="N13" s="459">
        <f>SUMIFS(tblDataPool[Effort],tblDataPool[Project Role],B13,tblDataPool[Sub role],E13)-T13</f>
        <v/>
      </c>
      <c r="O13" s="51">
        <f>SUMIFS(tblDataPool[Costs],tblDataPool[Project Role],B13,tblDataPool[Sub role],E13)-U13</f>
        <v/>
      </c>
      <c r="P13" s="367" t="n">
        <v>500</v>
      </c>
      <c r="Q13" s="51">
        <f>SUMIFS(tblDataPool[Price],tblDataPool[Project Role],B13,tblDataPool[Sub role],E13)-W13</f>
        <v/>
      </c>
      <c r="R13" s="367" t="n">
        <v>900</v>
      </c>
      <c r="T13" s="459">
        <f>SUMIFS(tblDataPool[Effort],tblDataPool[Project Role],B13,tblDataPool[Sub role],E13,tblDataPool[Item type],"Travel time")</f>
        <v/>
      </c>
      <c r="U13" s="51">
        <f>SUMIFS(tblDataPool[Costs],tblDataPool[Project Role],B13,tblDataPool[Sub role],E13,tblDataPool[Item type],"Travel time")</f>
        <v/>
      </c>
      <c r="V13" s="367" t="n">
        <v>500</v>
      </c>
      <c r="W13" s="51">
        <f>SUMIFS(tblDataPool[Price],tblDataPool[Project Role],B13,tblDataPool[Sub role],E13,tblDataPool[Item type],"Travel time")</f>
        <v/>
      </c>
      <c r="X13" s="367" t="n">
        <v>450</v>
      </c>
      <c r="Z13" s="51">
        <f>Q13+W13-O13-U13</f>
        <v/>
      </c>
      <c r="AA13" s="51">
        <f>IF(OR(ST_Contractor=G13,AND(ST_AccountingRelatedCompany="yes",H13="yes")),Q13+W13,Z13)</f>
        <v/>
      </c>
      <c r="AB13" s="459">
        <f>IF(OR(ST_Contractor=G13,AND(ST_AccountingRelatedCompany="yes",H13="yes")),N13+T13,0)</f>
        <v/>
      </c>
      <c r="AC13" s="51">
        <f>IF(AB13&gt;0,AA13/AB13,0)</f>
        <v/>
      </c>
    </row>
    <row r="14">
      <c r="A14" s="164" t="inlineStr">
        <is>
          <t>R-7</t>
        </is>
      </c>
      <c r="B14" s="173" t="inlineStr">
        <is>
          <t>DevOps Engineer</t>
        </is>
      </c>
      <c r="C14" s="164" t="inlineStr">
        <is>
          <t>Middle</t>
        </is>
      </c>
      <c r="D14" s="164" t="inlineStr">
        <is>
          <t>Azure infrastructure, CI/CD pipelines, monitoring, performance optimization</t>
        </is>
      </c>
      <c r="E14" s="173" t="n">
        <v>0.5</v>
      </c>
      <c r="F14" s="370" t="n">
        <v>1</v>
      </c>
      <c r="G14" s="158" t="inlineStr">
        <is>
          <t>any</t>
        </is>
      </c>
      <c r="H14" s="392">
        <f>_xlfn.XLOOKUP(G14,tblCompanies[Company],tblCompanies[Accounting-related company],"")</f>
        <v/>
      </c>
      <c r="I14" s="158" t="inlineStr">
        <is>
          <t>any</t>
        </is>
      </c>
      <c r="J14" s="203">
        <f>_xlfn.XLOOKUP(I14,tblCountries[Country],tblCountries[Inflation rate],0)</f>
        <v/>
      </c>
      <c r="K14" s="158" t="inlineStr">
        <is>
          <t>any</t>
        </is>
      </c>
      <c r="L14" s="158" t="inlineStr">
        <is>
          <t>middle</t>
        </is>
      </c>
      <c r="N14" s="459">
        <f>SUMIFS(tblDataPool[Effort],tblDataPool[Project Role],B14,tblDataPool[Sub role],E14)-T14</f>
        <v/>
      </c>
      <c r="O14" s="51">
        <f>SUMIFS(tblDataPool[Costs],tblDataPool[Project Role],B14,tblDataPool[Sub role],E14)-U14</f>
        <v/>
      </c>
      <c r="P14" s="367" t="n">
        <v>500</v>
      </c>
      <c r="Q14" s="51">
        <f>SUMIFS(tblDataPool[Price],tblDataPool[Project Role],B14,tblDataPool[Sub role],E14)-W14</f>
        <v/>
      </c>
      <c r="R14" s="367" t="n">
        <v>900</v>
      </c>
      <c r="T14" s="459">
        <f>SUMIFS(tblDataPool[Effort],tblDataPool[Project Role],B14,tblDataPool[Sub role],E14,tblDataPool[Item type],"Travel time")</f>
        <v/>
      </c>
      <c r="U14" s="51">
        <f>SUMIFS(tblDataPool[Costs],tblDataPool[Project Role],B14,tblDataPool[Sub role],E14,tblDataPool[Item type],"Travel time")</f>
        <v/>
      </c>
      <c r="V14" s="367" t="n">
        <v>500</v>
      </c>
      <c r="W14" s="51">
        <f>SUMIFS(tblDataPool[Price],tblDataPool[Project Role],B14,tblDataPool[Sub role],E14,tblDataPool[Item type],"Travel time")</f>
        <v/>
      </c>
      <c r="X14" s="367" t="n">
        <v>450</v>
      </c>
      <c r="Z14" s="51">
        <f>Q14+W14-O14-U14</f>
        <v/>
      </c>
      <c r="AA14" s="51">
        <f>IF(OR(ST_Contractor=G14,AND(ST_AccountingRelatedCompany="yes",H14="yes")),Q14+W14,Z14)</f>
        <v/>
      </c>
      <c r="AB14" s="459">
        <f>IF(OR(ST_Contractor=G14,AND(ST_AccountingRelatedCompany="yes",H14="yes")),N14+T14,0)</f>
        <v/>
      </c>
      <c r="AC14" s="51">
        <f>IF(AB14&gt;0,AA14/AB14,0)</f>
        <v/>
      </c>
    </row>
    <row r="15">
      <c r="A15" s="164" t="inlineStr">
        <is>
          <t>R-8</t>
        </is>
      </c>
      <c r="B15" s="173" t="inlineStr">
        <is>
          <t>Test Engineer</t>
        </is>
      </c>
      <c r="C15" s="164" t="inlineStr">
        <is>
          <t>Middle</t>
        </is>
      </c>
      <c r="D15" s="164" t="inlineStr">
        <is>
          <t>Test automation (Playwright), quality assurance, security testing, UAT coordination</t>
        </is>
      </c>
      <c r="E15" s="173" t="n">
        <v>0.5</v>
      </c>
      <c r="F15" s="370" t="n">
        <v>0</v>
      </c>
      <c r="G15" s="158" t="inlineStr">
        <is>
          <t>any</t>
        </is>
      </c>
      <c r="H15" s="392">
        <f>_xlfn.XLOOKUP(G15,tblCompanies[Company],tblCompanies[Accounting-related company],"")</f>
        <v/>
      </c>
      <c r="I15" s="158" t="inlineStr">
        <is>
          <t>any</t>
        </is>
      </c>
      <c r="J15" s="203">
        <f>_xlfn.XLOOKUP(I15,tblCountries[Country],tblCountries[Inflation rate],0)</f>
        <v/>
      </c>
      <c r="K15" s="158" t="inlineStr">
        <is>
          <t>any</t>
        </is>
      </c>
      <c r="L15" s="158" t="inlineStr">
        <is>
          <t>high</t>
        </is>
      </c>
      <c r="N15" s="459">
        <f>SUMIFS(tblDataPool[Effort],tblDataPool[Project Role],B15,tblDataPool[Sub role],E15)-T15</f>
        <v/>
      </c>
      <c r="O15" s="51">
        <f>SUMIFS(tblDataPool[Costs],tblDataPool[Project Role],B15,tblDataPool[Sub role],E15)-U15</f>
        <v/>
      </c>
      <c r="P15" s="367" t="n">
        <v>500</v>
      </c>
      <c r="Q15" s="51">
        <f>SUMIFS(tblDataPool[Price],tblDataPool[Project Role],B15,tblDataPool[Sub role],E15)-W15</f>
        <v/>
      </c>
      <c r="R15" s="367" t="n">
        <v>900</v>
      </c>
      <c r="T15" s="459">
        <f>SUMIFS(tblDataPool[Effort],tblDataPool[Project Role],B15,tblDataPool[Sub role],E15,tblDataPool[Item type],"Travel time")</f>
        <v/>
      </c>
      <c r="U15" s="51">
        <f>SUMIFS(tblDataPool[Costs],tblDataPool[Project Role],B15,tblDataPool[Sub role],E15,tblDataPool[Item type],"Travel time")</f>
        <v/>
      </c>
      <c r="V15" s="367" t="n">
        <v>500</v>
      </c>
      <c r="W15" s="51">
        <f>SUMIFS(tblDataPool[Price],tblDataPool[Project Role],B15,tblDataPool[Sub role],E15,tblDataPool[Item type],"Travel time")</f>
        <v/>
      </c>
      <c r="X15" s="367" t="n">
        <v>450</v>
      </c>
      <c r="Z15" s="51">
        <f>Q15+W15-O15-U15</f>
        <v/>
      </c>
      <c r="AA15" s="51">
        <f>IF(OR(ST_Contractor=G15,AND(ST_AccountingRelatedCompany="yes",H15="yes")),Q15+W15,Z15)</f>
        <v/>
      </c>
      <c r="AB15" s="459">
        <f>IF(OR(ST_Contractor=G15,AND(ST_AccountingRelatedCompany="yes",H15="yes")),N15+T15,0)</f>
        <v/>
      </c>
      <c r="AC15" s="51">
        <f>IF(AB15&gt;0,AA15/AB15,0)</f>
        <v/>
      </c>
    </row>
    <row r="16">
      <c r="A16" s="164" t="n">
        <v>5</v>
      </c>
      <c r="B16" s="173" t="inlineStr">
        <is>
          <t>UI/UX Designer</t>
        </is>
      </c>
      <c r="C16" s="164" t="n">
        <v>5</v>
      </c>
      <c r="D16" s="164" t="n">
        <v>8</v>
      </c>
      <c r="E16" s="173" t="inlineStr">
        <is>
          <t>UI/UX Designer (Junior)</t>
        </is>
      </c>
      <c r="F16" s="370" t="n">
        <v>0</v>
      </c>
      <c r="G16" s="158" t="inlineStr">
        <is>
          <t>any</t>
        </is>
      </c>
      <c r="H16" s="392">
        <f>_xlfn.XLOOKUP(G16,tblCompanies[Company],tblCompanies[Accounting-related company],"")</f>
        <v/>
      </c>
      <c r="I16" s="158" t="inlineStr">
        <is>
          <t>any</t>
        </is>
      </c>
      <c r="J16" s="203">
        <f>_xlfn.XLOOKUP(I16,tblCountries[Country],tblCountries[Inflation rate],0)</f>
        <v/>
      </c>
      <c r="K16" s="158" t="inlineStr">
        <is>
          <t>any</t>
        </is>
      </c>
      <c r="L16" s="158" t="inlineStr">
        <is>
          <t>low</t>
        </is>
      </c>
      <c r="N16" s="459">
        <f>SUMIFS(tblDataPool[Effort],tblDataPool[Project Role],B16,tblDataPool[Sub role],E16)-T16</f>
        <v/>
      </c>
      <c r="O16" s="51">
        <f>SUMIFS(tblDataPool[Costs],tblDataPool[Project Role],B16,tblDataPool[Sub role],E16)-U16</f>
        <v/>
      </c>
      <c r="P16" s="367" t="n">
        <v>500</v>
      </c>
      <c r="Q16" s="51">
        <f>SUMIFS(tblDataPool[Price],tblDataPool[Project Role],B16,tblDataPool[Sub role],E16)-W16</f>
        <v/>
      </c>
      <c r="R16" s="367" t="n">
        <v>900</v>
      </c>
      <c r="T16" s="459">
        <f>SUMIFS(tblDataPool[Effort],tblDataPool[Project Role],B16,tblDataPool[Sub role],E16,tblDataPool[Item type],"Travel time")</f>
        <v/>
      </c>
      <c r="U16" s="51">
        <f>SUMIFS(tblDataPool[Costs],tblDataPool[Project Role],B16,tblDataPool[Sub role],E16,tblDataPool[Item type],"Travel time")</f>
        <v/>
      </c>
      <c r="V16" s="367" t="n">
        <v>500</v>
      </c>
      <c r="W16" s="51">
        <f>SUMIFS(tblDataPool[Price],tblDataPool[Project Role],B16,tblDataPool[Sub role],E16,tblDataPool[Item type],"Travel time")</f>
        <v/>
      </c>
      <c r="X16" s="367" t="n">
        <v>450</v>
      </c>
      <c r="Z16" s="51">
        <f>Q16+W16-O16-U16</f>
        <v/>
      </c>
      <c r="AA16" s="51">
        <f>IF(OR(ST_Contractor=G16,AND(ST_AccountingRelatedCompany="yes",H16="yes")),Q16+W16,Z16)</f>
        <v/>
      </c>
      <c r="AB16" s="459">
        <f>IF(OR(ST_Contractor=G16,AND(ST_AccountingRelatedCompany="yes",H16="yes")),N16+T16,0)</f>
        <v/>
      </c>
      <c r="AC16" s="51">
        <f>IF(AB16&gt;0,AA16/AB16,0)</f>
        <v/>
      </c>
    </row>
    <row r="17">
      <c r="A17" s="164" t="n">
        <v>5</v>
      </c>
      <c r="B17" s="173" t="inlineStr">
        <is>
          <t>UI/UX Designer</t>
        </is>
      </c>
      <c r="C17" s="164" t="n">
        <v>5</v>
      </c>
      <c r="D17" s="164" t="n">
        <v>9</v>
      </c>
      <c r="E17" s="173" t="inlineStr">
        <is>
          <t>UI/UX Designer (Middle)</t>
        </is>
      </c>
      <c r="F17" s="370" t="n">
        <v>1</v>
      </c>
      <c r="G17" s="158" t="inlineStr">
        <is>
          <t>any</t>
        </is>
      </c>
      <c r="H17" s="392">
        <f>_xlfn.XLOOKUP(G17,tblCompanies[Company],tblCompanies[Accounting-related company],"")</f>
        <v/>
      </c>
      <c r="I17" s="158" t="inlineStr">
        <is>
          <t>any</t>
        </is>
      </c>
      <c r="J17" s="203">
        <f>_xlfn.XLOOKUP(I17,tblCountries[Country],tblCountries[Inflation rate],0)</f>
        <v/>
      </c>
      <c r="K17" s="158" t="inlineStr">
        <is>
          <t>any</t>
        </is>
      </c>
      <c r="L17" s="158" t="inlineStr">
        <is>
          <t>middle</t>
        </is>
      </c>
      <c r="N17" s="459">
        <f>SUMIFS(tblDataPool[Effort],tblDataPool[Project Role],B17,tblDataPool[Sub role],E17)-T17</f>
        <v/>
      </c>
      <c r="O17" s="51">
        <f>SUMIFS(tblDataPool[Costs],tblDataPool[Project Role],B17,tblDataPool[Sub role],E17)-U17</f>
        <v/>
      </c>
      <c r="P17" s="367" t="n">
        <v>500</v>
      </c>
      <c r="Q17" s="51">
        <f>SUMIFS(tblDataPool[Price],tblDataPool[Project Role],B17,tblDataPool[Sub role],E17)-W17</f>
        <v/>
      </c>
      <c r="R17" s="367" t="n">
        <v>900</v>
      </c>
      <c r="T17" s="459">
        <f>SUMIFS(tblDataPool[Effort],tblDataPool[Project Role],B17,tblDataPool[Sub role],E17,tblDataPool[Item type],"Travel time")</f>
        <v/>
      </c>
      <c r="U17" s="51">
        <f>SUMIFS(tblDataPool[Costs],tblDataPool[Project Role],B17,tblDataPool[Sub role],E17,tblDataPool[Item type],"Travel time")</f>
        <v/>
      </c>
      <c r="V17" s="367" t="n">
        <v>500</v>
      </c>
      <c r="W17" s="51">
        <f>SUMIFS(tblDataPool[Price],tblDataPool[Project Role],B17,tblDataPool[Sub role],E17,tblDataPool[Item type],"Travel time")</f>
        <v/>
      </c>
      <c r="X17" s="367" t="n">
        <v>450</v>
      </c>
      <c r="Z17" s="51">
        <f>Q17+W17-O17-U17</f>
        <v/>
      </c>
      <c r="AA17" s="51">
        <f>IF(OR(ST_Contractor=G17,AND(ST_AccountingRelatedCompany="yes",H17="yes")),Q17+W17,Z17)</f>
        <v/>
      </c>
      <c r="AB17" s="459">
        <f>IF(OR(ST_Contractor=G17,AND(ST_AccountingRelatedCompany="yes",H17="yes")),N17+T17,0)</f>
        <v/>
      </c>
      <c r="AC17" s="51">
        <f>IF(AB17&gt;0,AA17/AB17,0)</f>
        <v/>
      </c>
    </row>
    <row r="18">
      <c r="A18" s="164" t="n">
        <v>5</v>
      </c>
      <c r="B18" s="173" t="inlineStr">
        <is>
          <t>UI/UX Designer</t>
        </is>
      </c>
      <c r="C18" s="164" t="n">
        <v>5</v>
      </c>
      <c r="D18" s="164" t="n">
        <v>10</v>
      </c>
      <c r="E18" s="173" t="inlineStr">
        <is>
          <t>UI/UX Designer (Senior)</t>
        </is>
      </c>
      <c r="F18" s="370" t="n">
        <v>0</v>
      </c>
      <c r="G18" s="158" t="inlineStr">
        <is>
          <t>any</t>
        </is>
      </c>
      <c r="H18" s="392">
        <f>_xlfn.XLOOKUP(G18,tblCompanies[Company],tblCompanies[Accounting-related company],"")</f>
        <v/>
      </c>
      <c r="I18" s="158" t="inlineStr">
        <is>
          <t>any</t>
        </is>
      </c>
      <c r="J18" s="203">
        <f>_xlfn.XLOOKUP(I18,tblCountries[Country],tblCountries[Inflation rate],0)</f>
        <v/>
      </c>
      <c r="K18" s="158" t="inlineStr">
        <is>
          <t>any</t>
        </is>
      </c>
      <c r="L18" s="158" t="inlineStr">
        <is>
          <t>high</t>
        </is>
      </c>
      <c r="N18" s="459">
        <f>SUMIFS(tblDataPool[Effort],tblDataPool[Project Role],B18,tblDataPool[Sub role],E18)-T18</f>
        <v/>
      </c>
      <c r="O18" s="51">
        <f>SUMIFS(tblDataPool[Costs],tblDataPool[Project Role],B18,tblDataPool[Sub role],E18)-U18</f>
        <v/>
      </c>
      <c r="P18" s="367" t="n">
        <v>500</v>
      </c>
      <c r="Q18" s="51">
        <f>SUMIFS(tblDataPool[Price],tblDataPool[Project Role],B18,tblDataPool[Sub role],E18)-W18</f>
        <v/>
      </c>
      <c r="R18" s="367" t="n">
        <v>900</v>
      </c>
      <c r="T18" s="459">
        <f>SUMIFS(tblDataPool[Effort],tblDataPool[Project Role],B18,tblDataPool[Sub role],E18,tblDataPool[Item type],"Travel time")</f>
        <v/>
      </c>
      <c r="U18" s="51">
        <f>SUMIFS(tblDataPool[Costs],tblDataPool[Project Role],B18,tblDataPool[Sub role],E18,tblDataPool[Item type],"Travel time")</f>
        <v/>
      </c>
      <c r="V18" s="367" t="n">
        <v>500</v>
      </c>
      <c r="W18" s="51">
        <f>SUMIFS(tblDataPool[Price],tblDataPool[Project Role],B18,tblDataPool[Sub role],E18,tblDataPool[Item type],"Travel time")</f>
        <v/>
      </c>
      <c r="X18" s="367" t="n">
        <v>450</v>
      </c>
      <c r="Z18" s="51">
        <f>Q18+W18-O18-U18</f>
        <v/>
      </c>
      <c r="AA18" s="51">
        <f>IF(OR(ST_Contractor=G18,AND(ST_AccountingRelatedCompany="yes",H18="yes")),Q18+W18,Z18)</f>
        <v/>
      </c>
      <c r="AB18" s="459">
        <f>IF(OR(ST_Contractor=G18,AND(ST_AccountingRelatedCompany="yes",H18="yes")),N18+T18,0)</f>
        <v/>
      </c>
      <c r="AC18" s="51">
        <f>IF(AB18&gt;0,AA18/AB18,0)</f>
        <v/>
      </c>
    </row>
    <row r="19">
      <c r="A19" s="164" t="n">
        <v>6</v>
      </c>
      <c r="B19" s="173" t="inlineStr">
        <is>
          <t>Test manager</t>
        </is>
      </c>
      <c r="C19" s="164" t="n">
        <v>6</v>
      </c>
      <c r="D19" s="164" t="n">
        <v>11</v>
      </c>
      <c r="E19" s="173" t="inlineStr">
        <is>
          <t>Test manager</t>
        </is>
      </c>
      <c r="F19" s="370" t="n">
        <v>1</v>
      </c>
      <c r="G19" s="158" t="inlineStr">
        <is>
          <t>any</t>
        </is>
      </c>
      <c r="H19" s="392">
        <f>_xlfn.XLOOKUP(G19,tblCompanies[Company],tblCompanies[Accounting-related company],"")</f>
        <v/>
      </c>
      <c r="I19" s="158" t="inlineStr">
        <is>
          <t>any</t>
        </is>
      </c>
      <c r="J19" s="203">
        <f>_xlfn.XLOOKUP(I19,tblCountries[Country],tblCountries[Inflation rate],0)</f>
        <v/>
      </c>
      <c r="K19" s="158" t="inlineStr">
        <is>
          <t>any</t>
        </is>
      </c>
      <c r="L19" s="158" t="inlineStr">
        <is>
          <t>high</t>
        </is>
      </c>
      <c r="N19" s="459">
        <f>SUMIFS(tblDataPool[Effort],tblDataPool[Project Role],B19,tblDataPool[Sub role],E19)-T19</f>
        <v/>
      </c>
      <c r="O19" s="51">
        <f>SUMIFS(tblDataPool[Costs],tblDataPool[Project Role],B19,tblDataPool[Sub role],E19)-U19</f>
        <v/>
      </c>
      <c r="P19" s="367" t="n">
        <v>500</v>
      </c>
      <c r="Q19" s="51">
        <f>SUMIFS(tblDataPool[Price],tblDataPool[Project Role],B19,tblDataPool[Sub role],E19)-W19</f>
        <v/>
      </c>
      <c r="R19" s="367" t="n">
        <v>900</v>
      </c>
      <c r="T19" s="459">
        <f>SUMIFS(tblDataPool[Effort],tblDataPool[Project Role],B19,tblDataPool[Sub role],E19,tblDataPool[Item type],"Travel time")</f>
        <v/>
      </c>
      <c r="U19" s="51">
        <f>SUMIFS(tblDataPool[Costs],tblDataPool[Project Role],B19,tblDataPool[Sub role],E19,tblDataPool[Item type],"Travel time")</f>
        <v/>
      </c>
      <c r="V19" s="367" t="n">
        <v>500</v>
      </c>
      <c r="W19" s="51">
        <f>SUMIFS(tblDataPool[Price],tblDataPool[Project Role],B19,tblDataPool[Sub role],E19,tblDataPool[Item type],"Travel time")</f>
        <v/>
      </c>
      <c r="X19" s="367" t="n">
        <v>450</v>
      </c>
      <c r="Z19" s="51">
        <f>Q19+W19-O19-U19</f>
        <v/>
      </c>
      <c r="AA19" s="51">
        <f>IF(OR(ST_Contractor=G19,AND(ST_AccountingRelatedCompany="yes",H19="yes")),Q19+W19,Z19)</f>
        <v/>
      </c>
      <c r="AB19" s="459">
        <f>IF(OR(ST_Contractor=G19,AND(ST_AccountingRelatedCompany="yes",H19="yes")),N19+T19,0)</f>
        <v/>
      </c>
      <c r="AC19" s="51">
        <f>IF(AB19&gt;0,AA19/AB19,0)</f>
        <v/>
      </c>
    </row>
    <row r="20">
      <c r="A20" s="164" t="n">
        <v>7</v>
      </c>
      <c r="B20" s="173" t="inlineStr">
        <is>
          <t>Test Engineer</t>
        </is>
      </c>
      <c r="C20" s="164" t="n">
        <v>7</v>
      </c>
      <c r="D20" s="164" t="n">
        <v>12</v>
      </c>
      <c r="E20" s="173" t="inlineStr">
        <is>
          <t>Test Engineer (Junior)</t>
        </is>
      </c>
      <c r="F20" s="370" t="n">
        <v>0</v>
      </c>
      <c r="G20" s="158" t="inlineStr">
        <is>
          <t>any</t>
        </is>
      </c>
      <c r="H20" s="392">
        <f>_xlfn.XLOOKUP(G20,tblCompanies[Company],tblCompanies[Accounting-related company],"")</f>
        <v/>
      </c>
      <c r="I20" s="158" t="inlineStr">
        <is>
          <t>any</t>
        </is>
      </c>
      <c r="J20" s="203">
        <f>_xlfn.XLOOKUP(I20,tblCountries[Country],tblCountries[Inflation rate],0)</f>
        <v/>
      </c>
      <c r="K20" s="158" t="inlineStr">
        <is>
          <t>any</t>
        </is>
      </c>
      <c r="L20" s="158" t="inlineStr">
        <is>
          <t>low</t>
        </is>
      </c>
      <c r="N20" s="459">
        <f>SUMIFS(tblDataPool[Effort],tblDataPool[Project Role],B20,tblDataPool[Sub role],E20)-T20</f>
        <v/>
      </c>
      <c r="O20" s="51">
        <f>SUMIFS(tblDataPool[Costs],tblDataPool[Project Role],B20,tblDataPool[Sub role],E20)-U20</f>
        <v/>
      </c>
      <c r="P20" s="367" t="n">
        <v>500</v>
      </c>
      <c r="Q20" s="51">
        <f>SUMIFS(tblDataPool[Price],tblDataPool[Project Role],B20,tblDataPool[Sub role],E20)-W20</f>
        <v/>
      </c>
      <c r="R20" s="367" t="n">
        <v>900</v>
      </c>
      <c r="T20" s="459">
        <f>SUMIFS(tblDataPool[Effort],tblDataPool[Project Role],B20,tblDataPool[Sub role],E20,tblDataPool[Item type],"Travel time")</f>
        <v/>
      </c>
      <c r="U20" s="51">
        <f>SUMIFS(tblDataPool[Costs],tblDataPool[Project Role],B20,tblDataPool[Sub role],E20,tblDataPool[Item type],"Travel time")</f>
        <v/>
      </c>
      <c r="V20" s="367" t="n">
        <v>500</v>
      </c>
      <c r="W20" s="51">
        <f>SUMIFS(tblDataPool[Price],tblDataPool[Project Role],B20,tblDataPool[Sub role],E20,tblDataPool[Item type],"Travel time")</f>
        <v/>
      </c>
      <c r="X20" s="367" t="n">
        <v>450</v>
      </c>
      <c r="Z20" s="51">
        <f>Q20+W20-O20-U20</f>
        <v/>
      </c>
      <c r="AA20" s="51">
        <f>IF(OR(ST_Contractor=G20,AND(ST_AccountingRelatedCompany="yes",H20="yes")),Q20+W20,Z20)</f>
        <v/>
      </c>
      <c r="AB20" s="459">
        <f>IF(OR(ST_Contractor=G20,AND(ST_AccountingRelatedCompany="yes",H20="yes")),N20+T20,0)</f>
        <v/>
      </c>
      <c r="AC20" s="51">
        <f>IF(AB20&gt;0,AA20/AB20,0)</f>
        <v/>
      </c>
    </row>
    <row r="21">
      <c r="A21" s="164" t="n">
        <v>7</v>
      </c>
      <c r="B21" s="173" t="inlineStr">
        <is>
          <t>Test Engineer</t>
        </is>
      </c>
      <c r="C21" s="164" t="n">
        <v>7</v>
      </c>
      <c r="D21" s="164" t="n">
        <v>13</v>
      </c>
      <c r="E21" s="173" t="inlineStr">
        <is>
          <t>Test engineer (Middle)</t>
        </is>
      </c>
      <c r="F21" s="370" t="n">
        <v>1</v>
      </c>
      <c r="G21" s="158" t="inlineStr">
        <is>
          <t>any</t>
        </is>
      </c>
      <c r="H21" s="392">
        <f>_xlfn.XLOOKUP(G21,tblCompanies[Company],tblCompanies[Accounting-related company],"")</f>
        <v/>
      </c>
      <c r="I21" s="158" t="inlineStr">
        <is>
          <t>any</t>
        </is>
      </c>
      <c r="J21" s="203">
        <f>_xlfn.XLOOKUP(I21,tblCountries[Country],tblCountries[Inflation rate],0)</f>
        <v/>
      </c>
      <c r="K21" s="158" t="inlineStr">
        <is>
          <t>any</t>
        </is>
      </c>
      <c r="L21" s="158" t="inlineStr">
        <is>
          <t>middle</t>
        </is>
      </c>
      <c r="N21" s="459">
        <f>SUMIFS(tblDataPool[Effort],tblDataPool[Project Role],B21,tblDataPool[Sub role],E21)-T21</f>
        <v/>
      </c>
      <c r="O21" s="51">
        <f>SUMIFS(tblDataPool[Costs],tblDataPool[Project Role],B21,tblDataPool[Sub role],E21)-U21</f>
        <v/>
      </c>
      <c r="P21" s="367" t="n">
        <v>500</v>
      </c>
      <c r="Q21" s="51">
        <f>SUMIFS(tblDataPool[Price],tblDataPool[Project Role],B21,tblDataPool[Sub role],E21)-W21</f>
        <v/>
      </c>
      <c r="R21" s="367" t="n">
        <v>900</v>
      </c>
      <c r="T21" s="459">
        <f>SUMIFS(tblDataPool[Effort],tblDataPool[Project Role],B21,tblDataPool[Sub role],E21,tblDataPool[Item type],"Travel time")</f>
        <v/>
      </c>
      <c r="U21" s="51">
        <f>SUMIFS(tblDataPool[Costs],tblDataPool[Project Role],B21,tblDataPool[Sub role],E21,tblDataPool[Item type],"Travel time")</f>
        <v/>
      </c>
      <c r="V21" s="367" t="n">
        <v>500</v>
      </c>
      <c r="W21" s="51">
        <f>SUMIFS(tblDataPool[Price],tblDataPool[Project Role],B21,tblDataPool[Sub role],E21,tblDataPool[Item type],"Travel time")</f>
        <v/>
      </c>
      <c r="X21" s="367" t="n">
        <v>450</v>
      </c>
      <c r="Z21" s="51">
        <f>Q21+W21-O21-U21</f>
        <v/>
      </c>
      <c r="AA21" s="51">
        <f>IF(OR(ST_Contractor=G21,AND(ST_AccountingRelatedCompany="yes",H21="yes")),Q21+W21,Z21)</f>
        <v/>
      </c>
      <c r="AB21" s="459">
        <f>IF(OR(ST_Contractor=G21,AND(ST_AccountingRelatedCompany="yes",H21="yes")),N21+T21,0)</f>
        <v/>
      </c>
      <c r="AC21" s="51">
        <f>IF(AB21&gt;0,AA21/AB21,0)</f>
        <v/>
      </c>
    </row>
    <row r="22">
      <c r="A22" s="164" t="n">
        <v>7</v>
      </c>
      <c r="B22" s="173" t="inlineStr">
        <is>
          <t>Test Engineer</t>
        </is>
      </c>
      <c r="C22" s="164" t="n">
        <v>7</v>
      </c>
      <c r="D22" s="164" t="n">
        <v>14</v>
      </c>
      <c r="E22" s="173" t="inlineStr">
        <is>
          <t>Test Engineer (Senior)</t>
        </is>
      </c>
      <c r="F22" s="370" t="n">
        <v>0</v>
      </c>
      <c r="G22" s="158" t="inlineStr">
        <is>
          <t>any</t>
        </is>
      </c>
      <c r="H22" s="392">
        <f>_xlfn.XLOOKUP(G22,tblCompanies[Company],tblCompanies[Accounting-related company],"")</f>
        <v/>
      </c>
      <c r="I22" s="158" t="inlineStr">
        <is>
          <t>any</t>
        </is>
      </c>
      <c r="J22" s="203">
        <f>_xlfn.XLOOKUP(I22,tblCountries[Country],tblCountries[Inflation rate],0)</f>
        <v/>
      </c>
      <c r="K22" s="158" t="inlineStr">
        <is>
          <t>any</t>
        </is>
      </c>
      <c r="L22" s="158" t="inlineStr">
        <is>
          <t>high</t>
        </is>
      </c>
      <c r="N22" s="459">
        <f>SUMIFS(tblDataPool[Effort],tblDataPool[Project Role],B22,tblDataPool[Sub role],E22)-T22</f>
        <v/>
      </c>
      <c r="O22" s="51">
        <f>SUMIFS(tblDataPool[Costs],tblDataPool[Project Role],B22,tblDataPool[Sub role],E22)-U22</f>
        <v/>
      </c>
      <c r="P22" s="367" t="n">
        <v>500</v>
      </c>
      <c r="Q22" s="51">
        <f>SUMIFS(tblDataPool[Price],tblDataPool[Project Role],B22,tblDataPool[Sub role],E22)-W22</f>
        <v/>
      </c>
      <c r="R22" s="367" t="n">
        <v>900</v>
      </c>
      <c r="T22" s="459">
        <f>SUMIFS(tblDataPool[Effort],tblDataPool[Project Role],B22,tblDataPool[Sub role],E22,tblDataPool[Item type],"Travel time")</f>
        <v/>
      </c>
      <c r="U22" s="51">
        <f>SUMIFS(tblDataPool[Costs],tblDataPool[Project Role],B22,tblDataPool[Sub role],E22,tblDataPool[Item type],"Travel time")</f>
        <v/>
      </c>
      <c r="V22" s="367" t="n">
        <v>500</v>
      </c>
      <c r="W22" s="51">
        <f>SUMIFS(tblDataPool[Price],tblDataPool[Project Role],B22,tblDataPool[Sub role],E22,tblDataPool[Item type],"Travel time")</f>
        <v/>
      </c>
      <c r="X22" s="367" t="n">
        <v>450</v>
      </c>
      <c r="Z22" s="51">
        <f>Q22+W22-O22-U22</f>
        <v/>
      </c>
      <c r="AA22" s="51">
        <f>IF(OR(ST_Contractor=G22,AND(ST_AccountingRelatedCompany="yes",H22="yes")),Q22+W22,Z22)</f>
        <v/>
      </c>
      <c r="AB22" s="459">
        <f>IF(OR(ST_Contractor=G22,AND(ST_AccountingRelatedCompany="yes",H22="yes")),N22+T22,0)</f>
        <v/>
      </c>
      <c r="AC22" s="51">
        <f>IF(AB22&gt;0,AA22/AB22,0)</f>
        <v/>
      </c>
    </row>
    <row r="23">
      <c r="A23" s="164" t="n">
        <v>8</v>
      </c>
      <c r="B23" s="173" t="inlineStr">
        <is>
          <t>Developer</t>
        </is>
      </c>
      <c r="C23" s="164" t="n">
        <v>8</v>
      </c>
      <c r="D23" s="164" t="n">
        <v>15</v>
      </c>
      <c r="E23" s="173" t="inlineStr">
        <is>
          <t>Developer (Junior)</t>
        </is>
      </c>
      <c r="F23" s="370" t="n">
        <v>0</v>
      </c>
      <c r="G23" s="158" t="inlineStr">
        <is>
          <t>any</t>
        </is>
      </c>
      <c r="H23" s="392">
        <f>_xlfn.XLOOKUP(G23,tblCompanies[Company],tblCompanies[Accounting-related company],"")</f>
        <v/>
      </c>
      <c r="I23" s="158" t="inlineStr">
        <is>
          <t>any</t>
        </is>
      </c>
      <c r="J23" s="203">
        <f>_xlfn.XLOOKUP(I23,tblCountries[Country],tblCountries[Inflation rate],0)</f>
        <v/>
      </c>
      <c r="K23" s="158" t="inlineStr">
        <is>
          <t>any</t>
        </is>
      </c>
      <c r="L23" s="158" t="inlineStr">
        <is>
          <t>low</t>
        </is>
      </c>
      <c r="N23" s="459">
        <f>SUMIFS(tblDataPool[Effort],tblDataPool[Project Role],B23,tblDataPool[Sub role],E23)-T23</f>
        <v/>
      </c>
      <c r="O23" s="51">
        <f>SUMIFS(tblDataPool[Costs],tblDataPool[Project Role],B23,tblDataPool[Sub role],E23)-U23</f>
        <v/>
      </c>
      <c r="P23" s="367" t="n">
        <v>500</v>
      </c>
      <c r="Q23" s="51">
        <f>SUMIFS(tblDataPool[Price],tblDataPool[Project Role],B23,tblDataPool[Sub role],E23)-W23</f>
        <v/>
      </c>
      <c r="R23" s="367" t="n">
        <v>900</v>
      </c>
      <c r="T23" s="459">
        <f>SUMIFS(tblDataPool[Effort],tblDataPool[Project Role],B23,tblDataPool[Sub role],E23,tblDataPool[Item type],"Travel time")</f>
        <v/>
      </c>
      <c r="U23" s="51">
        <f>SUMIFS(tblDataPool[Costs],tblDataPool[Project Role],B23,tblDataPool[Sub role],E23,tblDataPool[Item type],"Travel time")</f>
        <v/>
      </c>
      <c r="V23" s="367" t="n">
        <v>500</v>
      </c>
      <c r="W23" s="51">
        <f>SUMIFS(tblDataPool[Price],tblDataPool[Project Role],B23,tblDataPool[Sub role],E23,tblDataPool[Item type],"Travel time")</f>
        <v/>
      </c>
      <c r="X23" s="367" t="n">
        <v>450</v>
      </c>
      <c r="Z23" s="51">
        <f>Q23+W23-O23-U23</f>
        <v/>
      </c>
      <c r="AA23" s="51">
        <f>IF(OR(ST_Contractor=G23,AND(ST_AccountingRelatedCompany="yes",H23="yes")),Q23+W23,Z23)</f>
        <v/>
      </c>
      <c r="AB23" s="459">
        <f>IF(OR(ST_Contractor=G23,AND(ST_AccountingRelatedCompany="yes",H23="yes")),N23+T23,0)</f>
        <v/>
      </c>
      <c r="AC23" s="51">
        <f>IF(AB23&gt;0,AA23/AB23,0)</f>
        <v/>
      </c>
    </row>
    <row r="24">
      <c r="A24" s="164" t="n">
        <v>8</v>
      </c>
      <c r="B24" s="173" t="inlineStr">
        <is>
          <t>Developer</t>
        </is>
      </c>
      <c r="C24" s="164" t="n">
        <v>8</v>
      </c>
      <c r="D24" s="164" t="n">
        <v>16</v>
      </c>
      <c r="E24" s="173" t="inlineStr">
        <is>
          <t>Developer (Middle)</t>
        </is>
      </c>
      <c r="F24" s="370" t="n">
        <v>1</v>
      </c>
      <c r="G24" s="158" t="inlineStr">
        <is>
          <t>any</t>
        </is>
      </c>
      <c r="H24" s="392">
        <f>_xlfn.XLOOKUP(G24,tblCompanies[Company],tblCompanies[Accounting-related company],"")</f>
        <v/>
      </c>
      <c r="I24" s="158" t="inlineStr">
        <is>
          <t>any</t>
        </is>
      </c>
      <c r="J24" s="203">
        <f>_xlfn.XLOOKUP(I24,tblCountries[Country],tblCountries[Inflation rate],0)</f>
        <v/>
      </c>
      <c r="K24" s="158" t="inlineStr">
        <is>
          <t>any</t>
        </is>
      </c>
      <c r="L24" s="158" t="inlineStr">
        <is>
          <t>middle</t>
        </is>
      </c>
      <c r="N24" s="459">
        <f>SUMIFS(tblDataPool[Effort],tblDataPool[Project Role],B24,tblDataPool[Sub role],E24)-T24</f>
        <v/>
      </c>
      <c r="O24" s="51">
        <f>SUMIFS(tblDataPool[Costs],tblDataPool[Project Role],B24,tblDataPool[Sub role],E24)-U24</f>
        <v/>
      </c>
      <c r="P24" s="367" t="n">
        <v>900</v>
      </c>
      <c r="Q24" s="51">
        <f>SUMIFS(tblDataPool[Price],tblDataPool[Project Role],B24,tblDataPool[Sub role],E24)-W24</f>
        <v/>
      </c>
      <c r="R24" s="367" t="n">
        <v>900</v>
      </c>
      <c r="T24" s="459">
        <f>SUMIFS(tblDataPool[Effort],tblDataPool[Project Role],B24,tblDataPool[Sub role],E24,tblDataPool[Item type],"Travel time")</f>
        <v/>
      </c>
      <c r="U24" s="51">
        <f>SUMIFS(tblDataPool[Costs],tblDataPool[Project Role],B24,tblDataPool[Sub role],E24,tblDataPool[Item type],"Travel time")</f>
        <v/>
      </c>
      <c r="V24" s="367" t="n">
        <v>900</v>
      </c>
      <c r="W24" s="51">
        <f>SUMIFS(tblDataPool[Price],tblDataPool[Project Role],B24,tblDataPool[Sub role],E24,tblDataPool[Item type],"Travel time")</f>
        <v/>
      </c>
      <c r="X24" s="367" t="n">
        <v>450</v>
      </c>
      <c r="Z24" s="51">
        <f>Q24+W24-O24-U24</f>
        <v/>
      </c>
      <c r="AA24" s="51">
        <f>IF(OR(ST_Contractor=G24,AND(ST_AccountingRelatedCompany="yes",H24="yes")),Q24+W24,Z24)</f>
        <v/>
      </c>
      <c r="AB24" s="459">
        <f>IF(OR(ST_Contractor=G24,AND(ST_AccountingRelatedCompany="yes",H24="yes")),N24+T24,0)</f>
        <v/>
      </c>
      <c r="AC24" s="51">
        <f>IF(AB24&gt;0,AA24/AB24,0)</f>
        <v/>
      </c>
    </row>
    <row r="25">
      <c r="A25" s="164" t="n">
        <v>8</v>
      </c>
      <c r="B25" s="173" t="inlineStr">
        <is>
          <t>Developer</t>
        </is>
      </c>
      <c r="C25" s="164" t="n">
        <v>8</v>
      </c>
      <c r="D25" s="164" t="n">
        <v>17</v>
      </c>
      <c r="E25" s="173" t="inlineStr">
        <is>
          <t>Developer (Senior)</t>
        </is>
      </c>
      <c r="F25" s="370" t="n">
        <v>0</v>
      </c>
      <c r="G25" s="158" t="inlineStr">
        <is>
          <t>any</t>
        </is>
      </c>
      <c r="H25" s="392">
        <f>_xlfn.XLOOKUP(G25,tblCompanies[Company],tblCompanies[Accounting-related company],"")</f>
        <v/>
      </c>
      <c r="I25" s="158" t="inlineStr">
        <is>
          <t>any</t>
        </is>
      </c>
      <c r="J25" s="203">
        <f>_xlfn.XLOOKUP(I25,tblCountries[Country],tblCountries[Inflation rate],0)</f>
        <v/>
      </c>
      <c r="K25" s="158" t="inlineStr">
        <is>
          <t>any</t>
        </is>
      </c>
      <c r="L25" s="158" t="inlineStr">
        <is>
          <t>high</t>
        </is>
      </c>
      <c r="N25" s="459">
        <f>SUMIFS(tblDataPool[Effort],tblDataPool[Project Role],B25,tblDataPool[Sub role],E25)-T25</f>
        <v/>
      </c>
      <c r="O25" s="51">
        <f>SUMIFS(tblDataPool[Costs],tblDataPool[Project Role],B25,tblDataPool[Sub role],E25)-U25</f>
        <v/>
      </c>
      <c r="P25" s="367" t="n">
        <v>500</v>
      </c>
      <c r="Q25" s="51">
        <f>SUMIFS(tblDataPool[Price],tblDataPool[Project Role],B25,tblDataPool[Sub role],E25)-W25</f>
        <v/>
      </c>
      <c r="R25" s="367" t="n">
        <v>900</v>
      </c>
      <c r="T25" s="459">
        <f>SUMIFS(tblDataPool[Effort],tblDataPool[Project Role],B25,tblDataPool[Sub role],E25,tblDataPool[Item type],"Travel time")</f>
        <v/>
      </c>
      <c r="U25" s="51">
        <f>SUMIFS(tblDataPool[Costs],tblDataPool[Project Role],B25,tblDataPool[Sub role],E25,tblDataPool[Item type],"Travel time")</f>
        <v/>
      </c>
      <c r="V25" s="367" t="n">
        <v>500</v>
      </c>
      <c r="W25" s="51">
        <f>SUMIFS(tblDataPool[Price],tblDataPool[Project Role],B25,tblDataPool[Sub role],E25,tblDataPool[Item type],"Travel time")</f>
        <v/>
      </c>
      <c r="X25" s="367" t="n">
        <v>450</v>
      </c>
      <c r="Z25" s="51">
        <f>Q25+W25-O25-U25</f>
        <v/>
      </c>
      <c r="AA25" s="51">
        <f>IF(OR(ST_Contractor=G25,AND(ST_AccountingRelatedCompany="yes",H25="yes")),Q25+W25,Z25)</f>
        <v/>
      </c>
      <c r="AB25" s="459">
        <f>IF(OR(ST_Contractor=G25,AND(ST_AccountingRelatedCompany="yes",H25="yes")),N25+T25,0)</f>
        <v/>
      </c>
      <c r="AC25" s="51">
        <f>IF(AB25&gt;0,AA25/AB25,0)</f>
        <v/>
      </c>
    </row>
    <row r="26">
      <c r="A26" s="164" t="n">
        <v>9</v>
      </c>
      <c r="B26" s="173" t="inlineStr">
        <is>
          <t>DevOps Engineer</t>
        </is>
      </c>
      <c r="C26" s="164" t="n">
        <v>9</v>
      </c>
      <c r="D26" s="164" t="n">
        <v>18</v>
      </c>
      <c r="E26" s="173" t="inlineStr">
        <is>
          <t>DevOps Engineer</t>
        </is>
      </c>
      <c r="F26" s="370" t="n">
        <v>1</v>
      </c>
      <c r="G26" s="158" t="inlineStr">
        <is>
          <t>any</t>
        </is>
      </c>
      <c r="H26" s="392">
        <f>_xlfn.XLOOKUP(G26,tblCompanies[Company],tblCompanies[Accounting-related company],"")</f>
        <v/>
      </c>
      <c r="I26" s="158" t="inlineStr">
        <is>
          <t>any</t>
        </is>
      </c>
      <c r="J26" s="203">
        <f>_xlfn.XLOOKUP(I26,tblCountries[Country],tblCountries[Inflation rate],0)</f>
        <v/>
      </c>
      <c r="K26" s="158" t="inlineStr">
        <is>
          <t>any</t>
        </is>
      </c>
      <c r="L26" s="158" t="inlineStr">
        <is>
          <t>middle</t>
        </is>
      </c>
      <c r="N26" s="459">
        <f>SUMIFS(tblDataPool[Effort],tblDataPool[Project Role],B26,tblDataPool[Sub role],E26)-T26</f>
        <v/>
      </c>
      <c r="O26" s="51">
        <f>SUMIFS(tblDataPool[Costs],tblDataPool[Project Role],B26,tblDataPool[Sub role],E26)-U26</f>
        <v/>
      </c>
      <c r="P26" s="367" t="n">
        <v>500</v>
      </c>
      <c r="Q26" s="51">
        <f>SUMIFS(tblDataPool[Price],tblDataPool[Project Role],B26,tblDataPool[Sub role],E26)-W26</f>
        <v/>
      </c>
      <c r="R26" s="367" t="n">
        <v>900</v>
      </c>
      <c r="T26" s="459">
        <f>SUMIFS(tblDataPool[Effort],tblDataPool[Project Role],B26,tblDataPool[Sub role],E26,tblDataPool[Item type],"Travel time")</f>
        <v/>
      </c>
      <c r="U26" s="51">
        <f>SUMIFS(tblDataPool[Costs],tblDataPool[Project Role],B26,tblDataPool[Sub role],E26,tblDataPool[Item type],"Travel time")</f>
        <v/>
      </c>
      <c r="V26" s="367" t="n">
        <v>500</v>
      </c>
      <c r="W26" s="51">
        <f>SUMIFS(tblDataPool[Price],tblDataPool[Project Role],B26,tblDataPool[Sub role],E26,tblDataPool[Item type],"Travel time")</f>
        <v/>
      </c>
      <c r="X26" s="367" t="n">
        <v>450</v>
      </c>
      <c r="Z26" s="51">
        <f>Q26+W26-O26-U26</f>
        <v/>
      </c>
      <c r="AA26" s="51">
        <f>IF(OR(ST_Contractor=G26,AND(ST_AccountingRelatedCompany="yes",H26="yes")),Q26+W26,Z26)</f>
        <v/>
      </c>
      <c r="AB26" s="459">
        <f>IF(OR(ST_Contractor=G26,AND(ST_AccountingRelatedCompany="yes",H26="yes")),N26+T26,0)</f>
        <v/>
      </c>
      <c r="AC26" s="51">
        <f>IF(AB26&gt;0,AA26/AB26,0)</f>
        <v/>
      </c>
    </row>
    <row r="27" ht="14.5" customFormat="1" customHeight="1" s="7">
      <c r="A27" s="346" t="n"/>
      <c r="B27" s="347" t="inlineStr">
        <is>
          <t>Last row. Don't override this row. Only use menu item above "Edit project roles" or "Edit sub roles".</t>
        </is>
      </c>
      <c r="C27" s="347" t="n"/>
      <c r="D27" s="347" t="n"/>
      <c r="E27" s="347" t="n"/>
      <c r="F27" s="347" t="n"/>
      <c r="G27" s="347" t="n"/>
      <c r="H27" s="347" t="n"/>
      <c r="I27" s="347" t="n"/>
      <c r="J27" s="347" t="n"/>
      <c r="K27" s="347" t="n"/>
      <c r="L27" s="348" t="n"/>
      <c r="M27" s="351" t="n"/>
      <c r="N27" s="352" t="n"/>
      <c r="O27" s="353" t="n"/>
      <c r="P27" s="354" t="n"/>
      <c r="Q27" s="355" t="n"/>
      <c r="R27" s="356" t="n"/>
      <c r="S27" s="351" t="n"/>
      <c r="T27" s="508" t="n"/>
      <c r="U27" s="509" t="n"/>
      <c r="V27" s="355" t="n"/>
      <c r="W27" s="354" t="n"/>
      <c r="X27" s="359" t="n"/>
      <c r="Y27" s="351" t="n"/>
      <c r="Z27" s="360" t="n"/>
      <c r="AA27" s="361" t="n"/>
      <c r="AB27" s="361" t="n"/>
      <c r="AC27" s="362" t="n"/>
    </row>
    <row r="28">
      <c r="A28" s="510" t="n"/>
      <c r="D28" s="510" t="n"/>
      <c r="Q28" s="325" t="n"/>
    </row>
  </sheetData>
  <mergeCells count="4">
    <mergeCell ref="T6:X6"/>
    <mergeCell ref="B5:B6"/>
    <mergeCell ref="G6:L6"/>
    <mergeCell ref="N6:R6"/>
  </mergeCells>
  <dataValidations count="4">
    <dataValidation sqref="I1 I9:I26" showDropDown="0" showInputMessage="1" showErrorMessage="1" allowBlank="1" type="list">
      <formula1>INDIRECT("tblCountries[Country]")</formula1>
    </dataValidation>
    <dataValidation sqref="L1 L9:L26" showDropDown="0" showInputMessage="1" showErrorMessage="1" allowBlank="1" type="list">
      <formula1>INDIRECT("tblSeniorityLevels[Seniority Level]")</formula1>
    </dataValidation>
    <dataValidation sqref="K1 K9:K26" showDropDown="0" showInputMessage="1" showErrorMessage="1" allowBlank="1" type="list">
      <formula1>INDIRECT("tblLocations[Location]")</formula1>
    </dataValidation>
    <dataValidation sqref="G1 G9:G26" showDropDown="0" showInputMessage="1" showErrorMessage="1" allowBlank="1" type="list">
      <formula1>INDIRECT("tblCompanies[Company]")</formula1>
    </dataValidation>
  </dataValidations>
  <hyperlinks>
    <hyperlink ref="G7" location="Companies!A1" display="Company"/>
    <hyperlink ref="I7" location="Countries!A1" display="Country"/>
    <hyperlink ref="K7" location="Locations!A1" display="Location"/>
    <hyperlink ref="L7" location="'Seniority Levels'!A1" display="Seniority Level"/>
  </hyperlinks>
  <pageMargins left="0.7" right="0.7" top="0.787401575" bottom="0.787401575" header="0.3" footer="0.3"/>
  <pageSetup orientation="portrait" paperSize="9"/>
</worksheet>
</file>

<file path=xl/worksheets/sheet7.xml><?xml version="1.0" encoding="utf-8"?>
<worksheet xmlns="http://schemas.openxmlformats.org/spreadsheetml/2006/main">
  <sheetPr codeName="Tabelle9">
    <tabColor theme="4" tint="0.5999938962981048"/>
    <outlinePr summaryBelow="1" summaryRight="1"/>
    <pageSetUpPr/>
  </sheetPr>
  <dimension ref="A1:E38"/>
  <sheetViews>
    <sheetView showGridLines="0" workbookViewId="0">
      <selection activeCell="A1" sqref="A1"/>
    </sheetView>
  </sheetViews>
  <sheetFormatPr baseColWidth="10" defaultColWidth="11.5" defaultRowHeight="15"/>
  <cols>
    <col width="10.1640625" customWidth="1" style="3" min="1" max="1"/>
    <col width="38.33203125" customWidth="1" style="2" min="2" max="2"/>
    <col width="37.5" customWidth="1" style="2" min="3" max="3"/>
    <col width="13.5" customWidth="1" style="3" min="4" max="4"/>
    <col width="20.6640625" customWidth="1" style="3" min="5" max="5"/>
    <col width="11.5" customWidth="1" style="3" min="6" max="16384"/>
  </cols>
  <sheetData>
    <row r="1" ht="24" customHeight="1">
      <c r="A1" s="1" t="inlineStr">
        <is>
          <t>Other costs</t>
        </is>
      </c>
    </row>
    <row r="2" ht="21" customHeight="1">
      <c r="A2" s="4">
        <f>Start!A2</f>
        <v/>
      </c>
    </row>
    <row r="3">
      <c r="A3" s="229" t="n"/>
    </row>
    <row r="4" ht="32.25" customHeight="1">
      <c r="A4" s="56" t="inlineStr">
        <is>
          <t>ID</t>
        </is>
      </c>
      <c r="B4" s="57" t="inlineStr">
        <is>
          <t>Description</t>
        </is>
      </c>
      <c r="C4" s="57" t="inlineStr">
        <is>
          <t>Assumptions</t>
        </is>
      </c>
      <c r="D4" s="58">
        <f>"Costs [" &amp; CF_Currency &amp; "]"</f>
        <v/>
      </c>
      <c r="E4" s="59">
        <f>"Costs to be charged [" &amp; CF_Currency &amp; "]"</f>
        <v/>
      </c>
    </row>
    <row r="5">
      <c r="A5" s="41" t="n"/>
      <c r="B5" s="42" t="n"/>
      <c r="C5" s="42" t="n"/>
      <c r="D5" s="49">
        <f>SUBTOTAL(9,D6:D36)</f>
        <v/>
      </c>
      <c r="E5" s="49">
        <f>SUBTOTAL(9,E6:E36)</f>
        <v/>
      </c>
    </row>
    <row r="6" ht="16" customHeight="1">
      <c r="A6" s="35" t="inlineStr">
        <is>
          <t>C-10</t>
        </is>
      </c>
      <c r="B6" s="172" t="inlineStr">
        <is>
          <t>Travel Costs</t>
        </is>
      </c>
      <c r="C6" s="159" t="n"/>
      <c r="D6" s="367" t="n"/>
      <c r="E6" s="367">
        <f>$D$6</f>
        <v/>
      </c>
    </row>
    <row r="7">
      <c r="A7" s="35" t="inlineStr">
        <is>
          <t>C-20</t>
        </is>
      </c>
      <c r="B7" s="159" t="n"/>
      <c r="C7" s="159" t="n"/>
      <c r="D7" s="367" t="n"/>
      <c r="E7" s="367">
        <f>$D$7</f>
        <v/>
      </c>
    </row>
    <row r="8">
      <c r="A8" s="35" t="inlineStr">
        <is>
          <t>C-30</t>
        </is>
      </c>
      <c r="B8" s="159" t="n"/>
      <c r="C8" s="159" t="n"/>
      <c r="D8" s="367" t="n"/>
      <c r="E8" s="367">
        <f>$D$8</f>
        <v/>
      </c>
    </row>
    <row r="9">
      <c r="A9" s="35" t="inlineStr">
        <is>
          <t>C-40</t>
        </is>
      </c>
      <c r="B9" s="159" t="n"/>
      <c r="C9" s="159" t="n"/>
      <c r="D9" s="367" t="n"/>
      <c r="E9" s="367">
        <f>$D$9</f>
        <v/>
      </c>
    </row>
    <row r="10">
      <c r="A10" s="35" t="inlineStr">
        <is>
          <t>C-50</t>
        </is>
      </c>
      <c r="B10" s="159" t="n"/>
      <c r="C10" s="159" t="n"/>
      <c r="D10" s="367" t="n"/>
      <c r="E10" s="367">
        <f>$D$10</f>
        <v/>
      </c>
    </row>
    <row r="11">
      <c r="A11" s="35" t="inlineStr">
        <is>
          <t>C-60</t>
        </is>
      </c>
      <c r="B11" s="159" t="n"/>
      <c r="C11" s="159" t="n"/>
      <c r="D11" s="367" t="n"/>
      <c r="E11" s="367">
        <f>$D$11</f>
        <v/>
      </c>
    </row>
    <row r="12">
      <c r="A12" s="35" t="inlineStr">
        <is>
          <t>C-70</t>
        </is>
      </c>
      <c r="B12" s="159" t="n"/>
      <c r="C12" s="159" t="n"/>
      <c r="D12" s="367" t="n"/>
      <c r="E12" s="367">
        <f>$D$12</f>
        <v/>
      </c>
    </row>
    <row r="13">
      <c r="A13" s="35" t="inlineStr">
        <is>
          <t>C-80</t>
        </is>
      </c>
      <c r="B13" s="159" t="n"/>
      <c r="C13" s="159" t="n"/>
      <c r="D13" s="367" t="n"/>
      <c r="E13" s="367">
        <f>$D$13</f>
        <v/>
      </c>
    </row>
    <row r="14">
      <c r="A14" s="35" t="inlineStr">
        <is>
          <t>C-90</t>
        </is>
      </c>
      <c r="B14" s="159" t="n"/>
      <c r="C14" s="159" t="n"/>
      <c r="D14" s="367" t="n"/>
      <c r="E14" s="367">
        <f>$D$14</f>
        <v/>
      </c>
    </row>
    <row r="15">
      <c r="A15" s="35" t="inlineStr">
        <is>
          <t>C-100</t>
        </is>
      </c>
      <c r="B15" s="159" t="n"/>
      <c r="C15" s="159" t="n"/>
      <c r="D15" s="367" t="n"/>
      <c r="E15" s="367">
        <f>$D$15</f>
        <v/>
      </c>
    </row>
    <row r="16">
      <c r="A16" s="35" t="inlineStr">
        <is>
          <t>C-110</t>
        </is>
      </c>
      <c r="B16" s="159" t="n"/>
      <c r="C16" s="159" t="n"/>
      <c r="D16" s="367" t="n"/>
      <c r="E16" s="367">
        <f>$D$16</f>
        <v/>
      </c>
    </row>
    <row r="17">
      <c r="A17" s="35" t="inlineStr">
        <is>
          <t>C-120</t>
        </is>
      </c>
      <c r="B17" s="159" t="n"/>
      <c r="C17" s="159" t="n"/>
      <c r="D17" s="367" t="n"/>
      <c r="E17" s="367">
        <f>$D$17</f>
        <v/>
      </c>
    </row>
    <row r="18">
      <c r="A18" s="35" t="inlineStr">
        <is>
          <t>C-130</t>
        </is>
      </c>
      <c r="B18" s="159" t="n"/>
      <c r="C18" s="159" t="n"/>
      <c r="D18" s="367" t="n"/>
      <c r="E18" s="367">
        <f>$D$18</f>
        <v/>
      </c>
    </row>
    <row r="19">
      <c r="A19" s="35" t="inlineStr">
        <is>
          <t>C-140</t>
        </is>
      </c>
      <c r="B19" s="159" t="n"/>
      <c r="C19" s="159" t="n"/>
      <c r="D19" s="367" t="n"/>
      <c r="E19" s="367">
        <f>$D$19</f>
        <v/>
      </c>
    </row>
    <row r="20">
      <c r="A20" s="35" t="inlineStr">
        <is>
          <t>C-150</t>
        </is>
      </c>
      <c r="B20" s="159" t="n"/>
      <c r="C20" s="159" t="n"/>
      <c r="D20" s="367" t="n"/>
      <c r="E20" s="367">
        <f>$D$20</f>
        <v/>
      </c>
    </row>
    <row r="21">
      <c r="A21" s="35" t="inlineStr">
        <is>
          <t>C-160</t>
        </is>
      </c>
      <c r="B21" s="159" t="n"/>
      <c r="C21" s="159" t="n"/>
      <c r="D21" s="367" t="n"/>
      <c r="E21" s="367">
        <f>$D$21</f>
        <v/>
      </c>
    </row>
    <row r="22">
      <c r="A22" s="35" t="inlineStr">
        <is>
          <t>C-170</t>
        </is>
      </c>
      <c r="B22" s="159" t="n"/>
      <c r="C22" s="159" t="n"/>
      <c r="D22" s="367" t="n"/>
      <c r="E22" s="367">
        <f>$D$22</f>
        <v/>
      </c>
    </row>
    <row r="23">
      <c r="A23" s="35" t="inlineStr">
        <is>
          <t>C-180</t>
        </is>
      </c>
      <c r="B23" s="159" t="n"/>
      <c r="C23" s="159" t="n"/>
      <c r="D23" s="367" t="n"/>
      <c r="E23" s="367">
        <f>$D$23</f>
        <v/>
      </c>
    </row>
    <row r="24">
      <c r="A24" s="35" t="inlineStr">
        <is>
          <t>C-190</t>
        </is>
      </c>
      <c r="B24" s="159" t="n"/>
      <c r="C24" s="159" t="n"/>
      <c r="D24" s="367" t="n"/>
      <c r="E24" s="367">
        <f>$D$24</f>
        <v/>
      </c>
    </row>
    <row r="25">
      <c r="A25" s="35" t="inlineStr">
        <is>
          <t>C-200</t>
        </is>
      </c>
      <c r="B25" s="159" t="n"/>
      <c r="C25" s="159" t="n"/>
      <c r="D25" s="367" t="n"/>
      <c r="E25" s="367">
        <f>$D$25</f>
        <v/>
      </c>
    </row>
    <row r="26">
      <c r="A26" s="35" t="inlineStr">
        <is>
          <t>C-210</t>
        </is>
      </c>
      <c r="B26" s="159" t="n"/>
      <c r="C26" s="159" t="n"/>
      <c r="D26" s="367" t="n"/>
      <c r="E26" s="367">
        <f>$D$26</f>
        <v/>
      </c>
    </row>
    <row r="27">
      <c r="A27" s="35" t="inlineStr">
        <is>
          <t>C-220</t>
        </is>
      </c>
      <c r="B27" s="159" t="n"/>
      <c r="C27" s="159" t="n"/>
      <c r="D27" s="367" t="n"/>
      <c r="E27" s="367">
        <f>$D$27</f>
        <v/>
      </c>
    </row>
    <row r="28">
      <c r="A28" s="35" t="inlineStr">
        <is>
          <t>C-230</t>
        </is>
      </c>
      <c r="B28" s="159" t="n"/>
      <c r="C28" s="159" t="n"/>
      <c r="D28" s="367" t="n"/>
      <c r="E28" s="367">
        <f>$D$28</f>
        <v/>
      </c>
    </row>
    <row r="29">
      <c r="A29" s="35" t="inlineStr">
        <is>
          <t>C-240</t>
        </is>
      </c>
      <c r="B29" s="159" t="n"/>
      <c r="C29" s="159" t="n"/>
      <c r="D29" s="367" t="n"/>
      <c r="E29" s="367">
        <f>$D$29</f>
        <v/>
      </c>
    </row>
    <row r="30">
      <c r="A30" s="35" t="inlineStr">
        <is>
          <t>C-250</t>
        </is>
      </c>
      <c r="B30" s="159" t="n"/>
      <c r="C30" s="159" t="n"/>
      <c r="D30" s="367" t="n"/>
      <c r="E30" s="367">
        <f>$D$30</f>
        <v/>
      </c>
    </row>
    <row r="31">
      <c r="A31" s="35" t="inlineStr">
        <is>
          <t>C-260</t>
        </is>
      </c>
      <c r="B31" s="159" t="n"/>
      <c r="C31" s="159" t="n"/>
      <c r="D31" s="367" t="n"/>
      <c r="E31" s="367">
        <f>$D$31</f>
        <v/>
      </c>
    </row>
    <row r="32">
      <c r="A32" s="35" t="inlineStr">
        <is>
          <t>C-270</t>
        </is>
      </c>
      <c r="B32" s="159" t="n"/>
      <c r="C32" s="159" t="n"/>
      <c r="D32" s="367" t="n"/>
      <c r="E32" s="367">
        <f>$D$32</f>
        <v/>
      </c>
    </row>
    <row r="33">
      <c r="A33" s="35" t="inlineStr">
        <is>
          <t>C-280</t>
        </is>
      </c>
      <c r="B33" s="159" t="n"/>
      <c r="C33" s="159" t="n"/>
      <c r="D33" s="367" t="n"/>
      <c r="E33" s="367">
        <f>$D$33</f>
        <v/>
      </c>
    </row>
    <row r="34">
      <c r="A34" s="35" t="inlineStr">
        <is>
          <t>C-290</t>
        </is>
      </c>
      <c r="B34" s="159" t="n"/>
      <c r="C34" s="159" t="n"/>
      <c r="D34" s="367" t="n"/>
      <c r="E34" s="367">
        <f>$D$34</f>
        <v/>
      </c>
    </row>
    <row r="35">
      <c r="A35" s="35" t="inlineStr">
        <is>
          <t>C-300</t>
        </is>
      </c>
      <c r="B35" s="159" t="n"/>
      <c r="C35" s="159" t="n"/>
      <c r="D35" s="367" t="n"/>
      <c r="E35" s="367">
        <f>$D$35</f>
        <v/>
      </c>
    </row>
    <row r="36" customFormat="1" s="61">
      <c r="A36" s="433" t="inlineStr">
        <is>
          <t>Last row. Don't override this row. New rows cannot be inserted oder added.</t>
        </is>
      </c>
      <c r="B36" s="511" t="n"/>
      <c r="C36" s="512" t="n"/>
      <c r="D36" s="270" t="n"/>
      <c r="E36" s="270" t="n"/>
    </row>
    <row r="38">
      <c r="D38" s="75" t="inlineStr">
        <is>
          <t>Costs to be charged (without travel costs):</t>
        </is>
      </c>
      <c r="E38" s="114">
        <f>E5-E6</f>
        <v/>
      </c>
    </row>
  </sheetData>
  <mergeCells count="1">
    <mergeCell ref="A36:C36"/>
  </mergeCells>
  <conditionalFormatting sqref="E6:E35">
    <cfRule type="expression" priority="2" dxfId="0">
      <formula>AND(E6=0,#REF!&gt;0)</formula>
    </cfRule>
  </conditionalFormatting>
  <pageMargins left="0.7" right="0.7" top="0.787401575" bottom="0.787401575" header="0.3" footer="0.3"/>
  <pageSetup orientation="portrait" paperSize="9"/>
</worksheet>
</file>

<file path=xl/worksheets/sheet8.xml><?xml version="1.0" encoding="utf-8"?>
<worksheet xmlns="http://schemas.openxmlformats.org/spreadsheetml/2006/main">
  <sheetPr codeName="Tabelle38">
    <tabColor theme="4" tint="0.5999938962981048"/>
    <outlinePr summaryBelow="1" summaryRight="1"/>
    <pageSetUpPr/>
  </sheetPr>
  <dimension ref="A1:C7"/>
  <sheetViews>
    <sheetView workbookViewId="0">
      <selection activeCell="E24" sqref="E24"/>
    </sheetView>
  </sheetViews>
  <sheetFormatPr baseColWidth="10" defaultColWidth="11.5" defaultRowHeight="15"/>
  <cols>
    <col width="20.5" customWidth="1" style="242" min="1" max="1"/>
    <col width="94.1640625" customWidth="1" style="238" min="2" max="2"/>
    <col width="21" customWidth="1" style="296" min="3" max="3"/>
    <col width="11.5" customWidth="1" style="3" min="4" max="16384"/>
  </cols>
  <sheetData>
    <row r="1" ht="24" customHeight="1">
      <c r="A1" s="236" t="inlineStr">
        <is>
          <t>History of changes</t>
        </is>
      </c>
    </row>
    <row r="2" ht="21" customHeight="1">
      <c r="A2" s="237">
        <f>Start!A2</f>
        <v/>
      </c>
      <c r="B2" s="419" t="n"/>
      <c r="C2" s="242" t="n"/>
    </row>
    <row r="3">
      <c r="A3" s="187" t="n"/>
    </row>
    <row r="4">
      <c r="A4" s="247" t="inlineStr">
        <is>
          <t>Changes are entered automatically! But you can also add your own entries. Please use the tabulator key in the last column of the last row for adding a new row.</t>
        </is>
      </c>
    </row>
    <row r="5" ht="16" customHeight="1">
      <c r="A5" s="239" t="inlineStr">
        <is>
          <t>Date of change</t>
        </is>
      </c>
      <c r="B5" s="240" t="inlineStr">
        <is>
          <t>Description</t>
        </is>
      </c>
      <c r="C5" s="316" t="inlineStr">
        <is>
          <t>Author</t>
        </is>
      </c>
    </row>
    <row r="6" ht="32" customHeight="1">
      <c r="A6" s="420" t="inlineStr">
        <is>
          <t>28.03.2025</t>
        </is>
      </c>
      <c r="B6" s="241" t="inlineStr">
        <is>
          <t>Preparation: total effort (without risks) = 0,00 days, feature effort = 0,00 days, weighted risk impact = 0,00 days, total price = 0,00 €, total adjusted price = 0,00 €</t>
        </is>
      </c>
      <c r="C6" s="317" t="inlineStr">
        <is>
          <t>g.wichert</t>
        </is>
      </c>
    </row>
    <row r="7" ht="32" customHeight="1">
      <c r="A7" s="420" t="inlineStr">
        <is>
          <t>10.11.2025</t>
        </is>
      </c>
      <c r="B7" s="241" t="inlineStr">
        <is>
          <t>Preparation: total effort (without risks) = 0,00 days, feature effort = 0,00 days, weighted risk impact = 0,00 days, total price = 0,00 €, total adjusted price = 0,00 €</t>
        </is>
      </c>
      <c r="C7" s="317" t="inlineStr"/>
    </row>
  </sheetData>
  <pageMargins left="0.7" right="0.7" top="0.787401575" bottom="0.787401575" header="0.3" footer="0.3"/>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codeName="Tabelle10">
    <tabColor theme="9" tint="-0.249977111117893"/>
    <outlinePr summaryBelow="1" summaryRight="1"/>
    <pageSetUpPr/>
  </sheetPr>
  <dimension ref="A1:L126"/>
  <sheetViews>
    <sheetView showGridLines="0" workbookViewId="0">
      <selection activeCell="L19" sqref="L19"/>
    </sheetView>
  </sheetViews>
  <sheetFormatPr baseColWidth="10" defaultColWidth="11.5" defaultRowHeight="15"/>
  <cols>
    <col width="28.33203125" bestFit="1" customWidth="1" min="1" max="1"/>
    <col width="20.6640625" customWidth="1" min="2" max="2"/>
    <col width="16.5" customWidth="1" style="54" min="3" max="3"/>
    <col width="16.1640625" customWidth="1" style="54" min="4" max="4"/>
    <col width="15" customWidth="1" style="54" min="5" max="5"/>
    <col width="16.5" customWidth="1" style="54" min="6" max="6"/>
    <col width="20.33203125" customWidth="1" style="54" min="7" max="7"/>
    <col width="12.83203125" customWidth="1" min="8" max="8"/>
    <col width="17" customWidth="1" min="9" max="9"/>
    <col width="14.5" customWidth="1" style="101" min="10" max="10"/>
    <col width="19.83203125" customWidth="1" min="11" max="11"/>
    <col width="18" customWidth="1" min="12" max="12"/>
    <col width="14.83203125" customWidth="1" min="13" max="13"/>
  </cols>
  <sheetData>
    <row r="1" ht="24" customHeight="1">
      <c r="A1" s="1" t="inlineStr">
        <is>
          <t>Summary</t>
        </is>
      </c>
      <c r="D1" s="54">
        <f>"Gross profit ratio [" &amp; CF_Currency &amp; "/day]:"</f>
        <v/>
      </c>
      <c r="E1" s="513">
        <f>IFERROR(GETPIVOTDATA("Total Gross profit",$A$18)/GETPIVOTDATA("Total Effort Contractor",$A$18),0)</f>
        <v/>
      </c>
    </row>
    <row r="2" ht="21" customHeight="1">
      <c r="A2" s="4">
        <f>Start!A2</f>
        <v/>
      </c>
      <c r="D2" s="8">
        <f>"Gross profit ratio [" &amp; CF_Currency &amp; "/hour]:"</f>
        <v/>
      </c>
      <c r="E2" s="514">
        <f>E1/8</f>
        <v/>
      </c>
    </row>
    <row r="3">
      <c r="A3" s="229" t="n"/>
      <c r="D3" s="320" t="n"/>
      <c r="G3" s="87" t="inlineStr">
        <is>
          <t>Use menu above "Confirm adjusted total price" to adjust all daily rates.</t>
        </is>
      </c>
    </row>
    <row r="4" ht="16" customHeight="1">
      <c r="A4" s="107" t="inlineStr">
        <is>
          <t>Position</t>
        </is>
      </c>
      <c r="B4" s="515" t="inlineStr">
        <is>
          <t>Total effort</t>
        </is>
      </c>
      <c r="C4" s="512" t="n"/>
      <c r="D4" s="124">
        <f>"Avg. daily rate [" &amp; CF_Currency &amp; "]"</f>
        <v/>
      </c>
      <c r="E4" s="123">
        <f>"Total price [" &amp; CF_Currency &amp; "]"</f>
        <v/>
      </c>
      <c r="G4" s="124">
        <f>"Adjusted total price [" &amp; CF_Currency &amp; "]"</f>
        <v/>
      </c>
      <c r="H4" s="326" t="inlineStr">
        <is>
          <t>Difference</t>
        </is>
      </c>
    </row>
    <row r="5">
      <c r="A5" s="115" t="n"/>
      <c r="B5" s="516">
        <f>SUBTOTAL(9,B6:B12)-B7</f>
        <v/>
      </c>
      <c r="C5" s="144">
        <f>SUBTOTAL(9,C6:C12)-C7</f>
        <v/>
      </c>
      <c r="D5" s="117" t="n"/>
      <c r="E5" s="118">
        <f>SUBTOTAL(9,E6:E12)-E7</f>
        <v/>
      </c>
      <c r="F5" s="113">
        <f>IF(ABS(E5-G5)&lt;0.001,1,0)</f>
        <v/>
      </c>
      <c r="G5" s="121">
        <f>$E$5</f>
        <v/>
      </c>
      <c r="H5" s="122" t="n"/>
    </row>
    <row r="6">
      <c r="A6" s="94" t="inlineStr">
        <is>
          <t>Project tasks and features</t>
        </is>
      </c>
      <c r="B6" s="517">
        <f>GT_EffortWithoutWAAndTTAndRisks</f>
        <v/>
      </c>
      <c r="C6" s="145">
        <f>IFERROR(B6/$B$5,0)</f>
        <v/>
      </c>
      <c r="D6" s="120">
        <f>'Project roles'!$R$8</f>
        <v/>
      </c>
      <c r="E6" s="120">
        <f>B6*D6</f>
        <v/>
      </c>
      <c r="G6" s="120">
        <f>B6*D6*(100%+H6)</f>
        <v/>
      </c>
      <c r="H6" s="135">
        <f>IFERROR((G5-E10-E12)/(E5-E10-E12)-100%,0)</f>
        <v/>
      </c>
    </row>
    <row r="7">
      <c r="A7" s="142" t="inlineStr">
        <is>
          <t>included optional tasks</t>
        </is>
      </c>
      <c r="B7" s="518">
        <f>'Project tasks'!J78</f>
        <v/>
      </c>
      <c r="C7" s="145" t="n"/>
      <c r="D7" s="120">
        <f>'Project roles'!$R$8</f>
        <v/>
      </c>
      <c r="E7" s="140">
        <f>B7*D7</f>
        <v/>
      </c>
      <c r="F7" s="10" t="n"/>
      <c r="G7" s="120">
        <f>B7*D7*(100%+H7)</f>
        <v/>
      </c>
      <c r="H7" s="141">
        <f>H6</f>
        <v/>
      </c>
    </row>
    <row r="8">
      <c r="A8" s="94" t="inlineStr">
        <is>
          <t>Risks</t>
        </is>
      </c>
      <c r="B8" s="517">
        <f>'Project tasks'!J75</f>
        <v/>
      </c>
      <c r="C8" s="145">
        <f>IFERROR(B8/$B$5,0)</f>
        <v/>
      </c>
      <c r="D8" s="120">
        <f>'Project roles'!$R$8</f>
        <v/>
      </c>
      <c r="E8" s="120">
        <f>B8*D8</f>
        <v/>
      </c>
      <c r="G8" s="120">
        <f>B8*D8*(100%+H8)</f>
        <v/>
      </c>
      <c r="H8" s="135">
        <f>H6</f>
        <v/>
      </c>
    </row>
    <row r="9">
      <c r="A9" s="94" t="inlineStr">
        <is>
          <t>Travel time</t>
        </is>
      </c>
      <c r="B9" s="517">
        <f>'Project tasks'!J73</f>
        <v/>
      </c>
      <c r="C9" s="145">
        <f>IFERROR(B9/$B$5,0)</f>
        <v/>
      </c>
      <c r="D9" s="120">
        <f>'Project roles'!X8</f>
        <v/>
      </c>
      <c r="E9" s="120">
        <f>B9*D9</f>
        <v/>
      </c>
      <c r="G9" s="120">
        <f>B9*D9*(100%+H9)</f>
        <v/>
      </c>
      <c r="H9" s="135">
        <f>H6</f>
        <v/>
      </c>
    </row>
    <row r="10">
      <c r="A10" s="94" t="inlineStr">
        <is>
          <t>Travel costs</t>
        </is>
      </c>
      <c r="B10" s="517" t="n"/>
      <c r="C10" s="145" t="n"/>
      <c r="D10" s="120" t="n"/>
      <c r="E10" s="120">
        <f>'Other costs'!E6</f>
        <v/>
      </c>
      <c r="G10" s="120">
        <f>E10</f>
        <v/>
      </c>
      <c r="H10" s="135" t="n">
        <v>0</v>
      </c>
    </row>
    <row r="11">
      <c r="A11" s="94" t="inlineStr">
        <is>
          <t>Warranty</t>
        </is>
      </c>
      <c r="B11" s="517">
        <f>'Project tasks'!J74</f>
        <v/>
      </c>
      <c r="C11" s="145">
        <f>IFERROR(B11/$B$5,0)</f>
        <v/>
      </c>
      <c r="D11" s="120">
        <f>'Project roles'!$R$8</f>
        <v/>
      </c>
      <c r="E11" s="120">
        <f>B11*D11</f>
        <v/>
      </c>
      <c r="G11" s="120">
        <f>B11*D11*(100%+H11)</f>
        <v/>
      </c>
      <c r="H11" s="135">
        <f>H8</f>
        <v/>
      </c>
    </row>
    <row r="12">
      <c r="A12" s="94" t="inlineStr">
        <is>
          <t>Other costs (without travel costs)</t>
        </is>
      </c>
      <c r="B12" s="517" t="n"/>
      <c r="C12" s="145" t="n"/>
      <c r="D12" s="120" t="n"/>
      <c r="E12" s="120">
        <f>'Other costs'!E38</f>
        <v/>
      </c>
      <c r="G12" s="120">
        <f>E12</f>
        <v/>
      </c>
      <c r="H12" s="135" t="n">
        <v>0</v>
      </c>
    </row>
    <row r="13">
      <c r="B13" s="519" t="n"/>
      <c r="C13" s="328" t="n"/>
      <c r="D13" s="113" t="n"/>
      <c r="E13" s="113" t="n"/>
      <c r="G13" s="113" t="n"/>
      <c r="H13" s="329" t="n"/>
      <c r="I13" s="113" t="n"/>
      <c r="K13" s="101" t="n"/>
    </row>
    <row r="14">
      <c r="B14" s="519" t="n"/>
      <c r="C14" s="113" t="n"/>
      <c r="D14" s="127" t="n"/>
      <c r="E14" s="128" t="n"/>
      <c r="G14" s="126" t="n"/>
      <c r="H14" s="113" t="n"/>
    </row>
    <row r="15" ht="16" customHeight="1">
      <c r="A15" s="327" t="inlineStr">
        <is>
          <t>The following pivot tables show the costs and price structure from different perspectives:</t>
        </is>
      </c>
      <c r="B15" s="519" t="n"/>
      <c r="C15" s="113" t="n"/>
      <c r="D15" s="127" t="n"/>
      <c r="E15" s="128" t="n"/>
      <c r="G15" s="126" t="n"/>
      <c r="H15" s="113" t="n"/>
    </row>
    <row r="16" ht="10.25" customHeight="1">
      <c r="A16" s="327" t="n"/>
      <c r="B16" s="519" t="n"/>
      <c r="C16" s="113" t="n"/>
      <c r="D16" s="127" t="n"/>
      <c r="E16" s="128" t="n"/>
      <c r="G16" s="126" t="n"/>
      <c r="H16" s="113" t="n"/>
    </row>
    <row r="17">
      <c r="C17" s="330" t="inlineStr">
        <is>
          <t>Costs without inflation. Use menu above 'Edit options' to change this option.</t>
        </is>
      </c>
      <c r="E17" s="175" t="n"/>
      <c r="F17" s="175" t="n"/>
      <c r="G17" s="175" t="n"/>
      <c r="H17" s="175" t="n"/>
      <c r="I17" s="175" t="n"/>
      <c r="J17" s="175" t="n"/>
    </row>
    <row r="18">
      <c r="A18" s="133" t="inlineStr">
        <is>
          <t>Item Type</t>
        </is>
      </c>
      <c r="B18" s="134" t="inlineStr">
        <is>
          <t>Total effort</t>
        </is>
      </c>
      <c r="C18" s="134" t="inlineStr">
        <is>
          <t>Total Costs</t>
        </is>
      </c>
      <c r="D18" s="134" t="inlineStr">
        <is>
          <t>Total Price</t>
        </is>
      </c>
      <c r="E18" s="134" t="inlineStr">
        <is>
          <t>Total Margin</t>
        </is>
      </c>
      <c r="F18" s="130" t="inlineStr">
        <is>
          <t>Total Gross profit</t>
        </is>
      </c>
      <c r="G18" s="130" t="inlineStr">
        <is>
          <t>Total Effort Contractor</t>
        </is>
      </c>
    </row>
    <row r="19">
      <c r="A19" s="131" t="inlineStr">
        <is>
          <t>Task</t>
        </is>
      </c>
      <c r="B19" s="520" t="n">
        <v>0</v>
      </c>
      <c r="C19" s="120" t="n">
        <v>0</v>
      </c>
      <c r="D19" s="120" t="n">
        <v>0</v>
      </c>
      <c r="E19" s="120" t="n">
        <v>0</v>
      </c>
      <c r="F19" s="521" t="n">
        <v>0</v>
      </c>
      <c r="G19" s="520" t="n">
        <v>0</v>
      </c>
    </row>
    <row r="20">
      <c r="A20" s="131" t="inlineStr">
        <is>
          <t>Travel time</t>
        </is>
      </c>
      <c r="B20" s="520" t="n">
        <v>0</v>
      </c>
      <c r="C20" s="120" t="n">
        <v>0</v>
      </c>
      <c r="D20" s="120" t="n">
        <v>0</v>
      </c>
      <c r="E20" s="120" t="n">
        <v>0</v>
      </c>
      <c r="F20" s="521" t="n">
        <v>0</v>
      </c>
      <c r="G20" s="520" t="n">
        <v>0</v>
      </c>
    </row>
    <row r="21">
      <c r="A21" s="131" t="inlineStr">
        <is>
          <t>Warranty</t>
        </is>
      </c>
      <c r="B21" s="520" t="n">
        <v>0</v>
      </c>
      <c r="C21" s="120" t="n">
        <v>0</v>
      </c>
      <c r="D21" s="120" t="n">
        <v>0</v>
      </c>
      <c r="E21" s="120" t="n">
        <v>0</v>
      </c>
      <c r="F21" s="521" t="n">
        <v>0</v>
      </c>
      <c r="G21" s="520" t="n">
        <v>0</v>
      </c>
    </row>
    <row r="22">
      <c r="A22" s="131" t="inlineStr">
        <is>
          <t>Gesamtergebnis</t>
        </is>
      </c>
      <c r="B22" s="520" t="n">
        <v>0</v>
      </c>
      <c r="C22" s="120" t="n">
        <v>0</v>
      </c>
      <c r="D22" s="120" t="n">
        <v>0</v>
      </c>
      <c r="E22" s="120" t="n">
        <v>0</v>
      </c>
      <c r="F22" s="521" t="n">
        <v>0</v>
      </c>
      <c r="G22" s="520" t="n">
        <v>0</v>
      </c>
    </row>
    <row r="23"/>
    <row r="24"/>
    <row r="25"/>
    <row r="26"/>
    <row r="27"/>
    <row r="28"/>
    <row r="29">
      <c r="E29" s="87">
        <f>SU_Info</f>
        <v/>
      </c>
    </row>
    <row r="30">
      <c r="A30" s="64" t="inlineStr">
        <is>
          <t>Task group</t>
        </is>
      </c>
      <c r="B30" s="129" t="inlineStr">
        <is>
          <t>Summary task</t>
        </is>
      </c>
      <c r="C30" s="129" t="inlineStr">
        <is>
          <t>Item type</t>
        </is>
      </c>
      <c r="D30" s="130" t="inlineStr">
        <is>
          <t>Total effort</t>
        </is>
      </c>
      <c r="E30" s="130" t="inlineStr">
        <is>
          <t>Total Costs</t>
        </is>
      </c>
      <c r="F30" s="130" t="inlineStr">
        <is>
          <t>Total Price</t>
        </is>
      </c>
      <c r="G30" s="130" t="inlineStr">
        <is>
          <t>Total Margin</t>
        </is>
      </c>
      <c r="I30" s="64" t="inlineStr">
        <is>
          <t>Feature group</t>
        </is>
      </c>
      <c r="J30" s="64" t="inlineStr">
        <is>
          <t>Feature sub group</t>
        </is>
      </c>
      <c r="K30" s="129" t="inlineStr">
        <is>
          <t>Item type</t>
        </is>
      </c>
      <c r="L30" s="130" t="inlineStr">
        <is>
          <t>Total effort</t>
        </is>
      </c>
    </row>
    <row r="31">
      <c r="A31" s="94" t="inlineStr">
        <is>
          <t>(Leer)</t>
        </is>
      </c>
      <c r="B31" s="94" t="inlineStr">
        <is>
          <t>Gewährleistung</t>
        </is>
      </c>
      <c r="C31" s="94" t="inlineStr">
        <is>
          <t>Warranty</t>
        </is>
      </c>
      <c r="D31" s="520" t="n">
        <v>0</v>
      </c>
      <c r="E31" s="120" t="n">
        <v>0</v>
      </c>
      <c r="F31" s="120" t="n">
        <v>0</v>
      </c>
      <c r="G31" s="120" t="n">
        <v>0</v>
      </c>
      <c r="I31" s="94" t="inlineStr">
        <is>
          <t>(Leer)</t>
        </is>
      </c>
      <c r="J31" s="94" t="inlineStr">
        <is>
          <t>(Leer)</t>
        </is>
      </c>
      <c r="K31" s="94" t="inlineStr">
        <is>
          <t>Task</t>
        </is>
      </c>
      <c r="L31" s="520" t="n">
        <v>0</v>
      </c>
    </row>
    <row r="32">
      <c r="A32" s="94" t="n"/>
      <c r="B32" s="94" t="inlineStr">
        <is>
          <t>Implementierung</t>
        </is>
      </c>
      <c r="C32" s="94" t="inlineStr">
        <is>
          <t>Task</t>
        </is>
      </c>
      <c r="D32" s="520" t="n">
        <v>0</v>
      </c>
      <c r="E32" s="120" t="n">
        <v>0</v>
      </c>
      <c r="F32" s="120" t="n">
        <v>0</v>
      </c>
      <c r="G32" s="120" t="n">
        <v>0</v>
      </c>
      <c r="I32" s="94" t="n"/>
      <c r="J32" s="94" t="n"/>
      <c r="K32" s="94" t="inlineStr">
        <is>
          <t>Travel time</t>
        </is>
      </c>
      <c r="L32" s="520" t="n">
        <v>0</v>
      </c>
    </row>
    <row r="33">
      <c r="A33" s="94" t="n"/>
      <c r="B33" s="94" t="inlineStr">
        <is>
          <t>Inititialisierung</t>
        </is>
      </c>
      <c r="C33" s="94" t="inlineStr">
        <is>
          <t>Task</t>
        </is>
      </c>
      <c r="D33" s="520" t="n">
        <v>0</v>
      </c>
      <c r="E33" s="120" t="n">
        <v>0</v>
      </c>
      <c r="F33" s="120" t="n">
        <v>0</v>
      </c>
      <c r="G33" s="120" t="n">
        <v>0</v>
      </c>
      <c r="I33" s="94" t="n"/>
      <c r="J33" s="94" t="n"/>
      <c r="K33" s="94" t="inlineStr">
        <is>
          <t>Warranty</t>
        </is>
      </c>
      <c r="L33" s="520" t="n">
        <v>0</v>
      </c>
    </row>
    <row r="34">
      <c r="A34" s="94" t="n"/>
      <c r="B34" s="94" t="inlineStr">
        <is>
          <t>Übergreifende Aufgaben</t>
        </is>
      </c>
      <c r="C34" s="94" t="inlineStr">
        <is>
          <t>Task</t>
        </is>
      </c>
      <c r="D34" s="520" t="n">
        <v>0</v>
      </c>
      <c r="E34" s="120" t="n">
        <v>0</v>
      </c>
      <c r="F34" s="120" t="n">
        <v>0</v>
      </c>
      <c r="G34" s="120" t="n">
        <v>0</v>
      </c>
      <c r="I34" s="131" t="inlineStr">
        <is>
          <t>Gesamtergebnis</t>
        </is>
      </c>
      <c r="J34" s="131" t="n"/>
      <c r="K34" s="131" t="n"/>
      <c r="L34" s="520" t="n">
        <v>0</v>
      </c>
    </row>
    <row r="35">
      <c r="A35" s="94" t="n"/>
      <c r="B35" s="94" t="n"/>
      <c r="C35" s="94" t="inlineStr">
        <is>
          <t>Travel time</t>
        </is>
      </c>
      <c r="D35" s="520" t="n">
        <v>0</v>
      </c>
      <c r="E35" s="120" t="n">
        <v>0</v>
      </c>
      <c r="F35" s="120" t="n">
        <v>0</v>
      </c>
      <c r="G35" s="120" t="n">
        <v>0</v>
      </c>
    </row>
    <row r="36">
      <c r="A36" s="94" t="inlineStr">
        <is>
          <t>Gesamtergebnis</t>
        </is>
      </c>
      <c r="B36" s="94" t="n"/>
      <c r="C36" s="94" t="n"/>
      <c r="D36" s="520" t="n">
        <v>0</v>
      </c>
      <c r="E36" s="120" t="n">
        <v>0</v>
      </c>
      <c r="F36" s="120" t="n">
        <v>0</v>
      </c>
      <c r="G36" s="120" t="n">
        <v>0</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sheetData>
  <mergeCells count="1">
    <mergeCell ref="B4:C4"/>
  </mergeCells>
  <conditionalFormatting sqref="F5">
    <cfRule type="iconSet" priority="1">
      <iconSet iconSet="3Symbols2" showValue="0">
        <cfvo type="percent" val="0"/>
        <cfvo type="num" val="0"/>
        <cfvo type="num" val="1"/>
      </iconSet>
    </cfRule>
  </conditionalFormatting>
  <pageMargins left="0.7" right="0.7" top="0.787401575" bottom="0.787401575" header="0.3" footer="0.3"/>
  <pageSetup orientation="portrait" paperSize="9"/>
</worksheet>
</file>

<file path=xl/worksheets/sheet10.xml><?xml version="1.0" encoding="utf-8"?>
<worksheet xmlns="http://schemas.openxmlformats.org/spreadsheetml/2006/main">
  <sheetPr codeName="Tabelle37">
    <tabColor theme="9" tint="-0.249977111117893"/>
    <outlinePr summaryBelow="1" summaryRight="1"/>
    <pageSetUpPr/>
  </sheetPr>
  <dimension ref="A1:BO16"/>
  <sheetViews>
    <sheetView showGridLines="0" zoomScale="101" zoomScaleNormal="101" workbookViewId="0">
      <selection activeCell="I14" sqref="I14"/>
    </sheetView>
  </sheetViews>
  <sheetFormatPr baseColWidth="10" defaultColWidth="11.5" defaultRowHeight="15"/>
  <cols>
    <col width="21.6640625" customWidth="1" min="2" max="2"/>
    <col hidden="1" outlineLevel="1" width="11.5" customWidth="1" style="81" min="3" max="3"/>
    <col collapsed="1" width="51.33203125" bestFit="1" customWidth="1" min="4" max="4"/>
    <col width="13.1640625" customWidth="1" style="81" min="5" max="5"/>
    <col outlineLevel="1" width="11.5" customWidth="1" style="522" min="6" max="6"/>
    <col outlineLevel="1" width="16.83203125" customWidth="1" style="13" min="7" max="7"/>
    <col width="11.5" customWidth="1" style="81" min="8" max="8"/>
    <col width="13.6640625" customWidth="1" min="9" max="19"/>
    <col width="7.6640625" customWidth="1" min="20" max="27"/>
    <col width="6.6640625" customWidth="1" min="28" max="67"/>
  </cols>
  <sheetData>
    <row r="1" ht="24" customHeight="1">
      <c r="A1" s="1" t="inlineStr">
        <is>
          <t>GANTT Chart</t>
        </is>
      </c>
      <c r="D1" s="175" t="inlineStr">
        <is>
          <t>Use the menu above "Refresh tables/charts" to rebuild this chart.</t>
        </is>
      </c>
      <c r="J1" s="223" t="n"/>
      <c r="L1" s="223" t="n"/>
      <c r="N1" s="223" t="n"/>
    </row>
    <row r="2" ht="21" customHeight="1">
      <c r="A2" s="4">
        <f>Start!A2</f>
        <v/>
      </c>
    </row>
    <row r="4" ht="16" customFormat="1" customHeight="1" s="218">
      <c r="A4" s="383" t="inlineStr">
        <is>
          <t>Task group</t>
        </is>
      </c>
      <c r="B4" s="220" t="inlineStr">
        <is>
          <t>Summary task</t>
        </is>
      </c>
      <c r="C4" s="225" t="inlineStr">
        <is>
          <t>ID</t>
        </is>
      </c>
      <c r="D4" s="220" t="inlineStr">
        <is>
          <t>Task</t>
        </is>
      </c>
      <c r="E4" s="221" t="inlineStr">
        <is>
          <t>Start</t>
        </is>
      </c>
      <c r="F4" s="226" t="inlineStr">
        <is>
          <t>Duration</t>
        </is>
      </c>
      <c r="G4" s="226" t="inlineStr">
        <is>
          <t>Dependency</t>
        </is>
      </c>
      <c r="H4" s="222" t="inlineStr">
        <is>
          <t>Finish</t>
        </is>
      </c>
      <c r="I4" s="219" t="inlineStr"/>
      <c r="J4" s="403" t="inlineStr"/>
      <c r="K4" s="403" t="inlineStr"/>
      <c r="L4" s="403" t="inlineStr"/>
      <c r="M4" s="403" t="inlineStr"/>
      <c r="N4" s="403" t="inlineStr"/>
      <c r="O4" s="403" t="inlineStr"/>
      <c r="P4" s="403" t="inlineStr"/>
      <c r="Q4" s="403" t="inlineStr"/>
      <c r="R4" s="403" t="inlineStr"/>
      <c r="S4" s="403" t="inlineStr"/>
      <c r="T4" s="403" t="inlineStr"/>
      <c r="U4" s="403" t="inlineStr"/>
      <c r="V4" s="403" t="inlineStr"/>
      <c r="W4" s="403" t="inlineStr"/>
      <c r="X4" s="403" t="inlineStr"/>
      <c r="Y4" s="403" t="inlineStr"/>
      <c r="Z4" s="403" t="inlineStr"/>
      <c r="AA4" s="403" t="inlineStr"/>
      <c r="AB4" s="403" t="inlineStr"/>
      <c r="AC4" s="403" t="inlineStr"/>
      <c r="AD4" s="403" t="inlineStr"/>
      <c r="AE4" s="403" t="inlineStr"/>
      <c r="AF4" s="403" t="inlineStr"/>
      <c r="AG4" s="403" t="inlineStr"/>
      <c r="AH4" s="403" t="inlineStr"/>
      <c r="AI4" s="403" t="inlineStr"/>
      <c r="AJ4" s="403" t="inlineStr"/>
      <c r="AK4" s="403" t="inlineStr"/>
      <c r="AL4" s="403" t="inlineStr"/>
      <c r="AM4" s="403" t="inlineStr"/>
      <c r="AN4" s="403" t="inlineStr"/>
      <c r="AO4" s="403" t="inlineStr"/>
      <c r="AP4" s="403" t="inlineStr"/>
      <c r="AQ4" s="403" t="inlineStr"/>
      <c r="AR4" s="403" t="inlineStr"/>
      <c r="AS4" s="403" t="inlineStr"/>
      <c r="AT4" s="403" t="inlineStr"/>
      <c r="AU4" s="403" t="inlineStr"/>
      <c r="AV4" s="403" t="inlineStr"/>
      <c r="AW4" s="403" t="inlineStr"/>
      <c r="AX4" s="403" t="inlineStr"/>
      <c r="AY4" s="403" t="inlineStr"/>
      <c r="AZ4" s="403" t="inlineStr"/>
      <c r="BA4" s="403" t="inlineStr"/>
      <c r="BB4" s="403" t="inlineStr"/>
      <c r="BC4" s="403" t="inlineStr"/>
      <c r="BD4" s="403" t="inlineStr"/>
      <c r="BE4" s="403" t="inlineStr"/>
      <c r="BF4" s="403" t="inlineStr"/>
      <c r="BG4" s="403" t="inlineStr"/>
      <c r="BH4" s="403" t="inlineStr"/>
      <c r="BI4" s="403" t="inlineStr"/>
      <c r="BJ4" s="403" t="inlineStr"/>
      <c r="BK4" s="403" t="inlineStr"/>
      <c r="BL4" s="403" t="inlineStr"/>
      <c r="BM4" s="403" t="inlineStr"/>
      <c r="BN4" s="403" t="inlineStr"/>
      <c r="BO4" s="403" t="inlineStr"/>
    </row>
    <row r="5">
      <c r="A5" s="289" t="n"/>
      <c r="B5" s="289" t="n"/>
      <c r="C5" s="289" t="n"/>
      <c r="D5" s="289" t="n"/>
      <c r="E5" s="289" t="n"/>
      <c r="F5" s="289" t="n"/>
      <c r="G5" s="289" t="n"/>
      <c r="H5" s="289" t="n"/>
    </row>
    <row r="6"/>
    <row r="7"/>
    <row r="8"/>
    <row r="9"/>
    <row r="10"/>
    <row r="11"/>
    <row r="12"/>
    <row r="13"/>
    <row r="14"/>
    <row r="15"/>
    <row r="16"/>
    <row r="17"/>
    <row r="18"/>
    <row r="19"/>
    <row r="20"/>
    <row r="21"/>
    <row r="22"/>
    <row r="23"/>
    <row r="24"/>
    <row r="25"/>
    <row r="26"/>
    <row r="27"/>
    <row r="28"/>
    <row r="29"/>
    <row r="30"/>
    <row r="31"/>
    <row r="32" ht="15" customHeight="1"/>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sheetData>
  <pageMargins left="0.7" right="0.7" top="0.787401575" bottom="0.787401575" header="0.3" footer="0.3"/>
</worksheet>
</file>

<file path=xl/worksheets/sheet11.xml><?xml version="1.0" encoding="utf-8"?>
<worksheet xmlns="http://schemas.openxmlformats.org/spreadsheetml/2006/main">
  <sheetPr codeName="Tabelle42">
    <tabColor theme="9" tint="-0.249977111117893"/>
    <outlinePr summaryBelow="1" summaryRight="1"/>
    <pageSetUpPr/>
  </sheetPr>
  <dimension ref="A1:U12"/>
  <sheetViews>
    <sheetView showGridLines="0" workbookViewId="0">
      <selection activeCell="P11" sqref="P11"/>
    </sheetView>
  </sheetViews>
  <sheetFormatPr baseColWidth="10" defaultColWidth="11.5" defaultRowHeight="15"/>
  <cols>
    <col width="30.6640625" customWidth="1" min="16" max="16"/>
    <col width="15.33203125" customWidth="1" min="17" max="17"/>
    <col width="18.6640625" customWidth="1" min="18" max="18"/>
    <col width="18.6640625" bestFit="1" customWidth="1" style="402" min="19" max="19"/>
    <col width="12.5" customWidth="1" style="523" min="20" max="20"/>
    <col width="20.5" customWidth="1" style="523" min="21" max="21"/>
  </cols>
  <sheetData>
    <row r="1" ht="24" customHeight="1">
      <c r="A1" s="1" t="inlineStr">
        <is>
          <t>Risks Chart</t>
        </is>
      </c>
      <c r="C1" s="81" t="n"/>
      <c r="D1" s="175" t="inlineStr">
        <is>
          <t>Use the menu above "Refresh tables/charts" to rebuild this chart.</t>
        </is>
      </c>
    </row>
    <row r="2" ht="21" customHeight="1">
      <c r="A2" s="4">
        <f>Start!A2</f>
        <v/>
      </c>
      <c r="C2" s="81" t="n"/>
    </row>
    <row r="4">
      <c r="O4" t="inlineStr">
        <is>
          <t>ID</t>
        </is>
      </c>
      <c r="P4" t="inlineStr">
        <is>
          <t>Risk title</t>
        </is>
      </c>
      <c r="Q4" s="402" t="inlineStr">
        <is>
          <t>Risk likelihood</t>
        </is>
      </c>
      <c r="R4" s="523" t="inlineStr">
        <is>
          <t>Risk impact</t>
        </is>
      </c>
      <c r="S4" s="523" t="inlineStr">
        <is>
          <t>Weighted risk impact</t>
        </is>
      </c>
    </row>
    <row r="5">
      <c r="Q5" s="402" t="n"/>
      <c r="R5" s="523" t="n"/>
      <c r="S5" s="523" t="n"/>
    </row>
    <row r="6">
      <c r="O6" t="inlineStr">
        <is>
          <t>Ergebnis</t>
        </is>
      </c>
      <c r="Q6" s="402" t="n"/>
      <c r="R6" s="523" t="n"/>
      <c r="S6" s="523">
        <f>SUBTOTAL(109,tblRisksForChart[Weighted risk impact])</f>
        <v/>
      </c>
    </row>
    <row r="7"/>
    <row r="8"/>
    <row r="9"/>
    <row r="10"/>
    <row r="11"/>
    <row r="12"/>
  </sheetData>
  <conditionalFormatting sqref="S5">
    <cfRule type="dataBar" priority="536">
      <dataBar>
        <cfvo type="min"/>
        <cfvo type="max"/>
        <color rgb="FFFF555A"/>
      </dataBar>
    </cfRule>
  </conditionalFormatting>
  <pageMargins left="0.7" right="0.7" top="0.787401575" bottom="0.7874015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codeName="Tabelle11">
    <tabColor theme="9" tint="0.5999938962981048"/>
    <outlinePr summaryBelow="1" summaryRight="1"/>
    <pageSetUpPr/>
  </sheetPr>
  <dimension ref="A1:AS9037"/>
  <sheetViews>
    <sheetView showGridLines="0" workbookViewId="0">
      <pane xSplit="4" ySplit="5" topLeftCell="Y6" activePane="bottomRight" state="frozen"/>
      <selection pane="topRight" activeCell="D1" sqref="D1"/>
      <selection pane="bottomLeft" activeCell="A5" sqref="A5"/>
      <selection pane="bottomRight" activeCell="A10" sqref="A10"/>
    </sheetView>
  </sheetViews>
  <sheetFormatPr baseColWidth="10" defaultColWidth="11.5" defaultRowHeight="15"/>
  <cols>
    <col width="15.6640625" customWidth="1" style="25" min="1" max="1"/>
    <col width="15.5" customWidth="1" style="25" min="2" max="3"/>
    <col width="40" bestFit="1" customWidth="1" style="25" min="4" max="4"/>
    <col width="23.33203125" customWidth="1" style="25" min="5" max="5"/>
    <col width="13.5" customWidth="1" style="25" min="6" max="7"/>
    <col width="20.83203125" customWidth="1" style="25" min="8" max="8"/>
    <col width="17.6640625" customWidth="1" style="25" min="9" max="9"/>
    <col width="14.33203125" customWidth="1" style="25" min="10" max="10"/>
    <col width="19" customWidth="1" style="25" min="11" max="11"/>
    <col width="26.83203125" customWidth="1" style="25" min="12" max="12"/>
    <col width="15.5" customWidth="1" style="25" min="14" max="16"/>
    <col width="11.5" customWidth="1" style="101" min="17" max="17"/>
    <col width="9.1640625" bestFit="1" customWidth="1" style="25" min="18" max="18"/>
    <col width="11.5" customWidth="1" style="25" min="19" max="20"/>
    <col width="14.6640625" customWidth="1" style="195" min="21" max="21"/>
    <col width="11.5" customWidth="1" style="194" min="22" max="23"/>
    <col width="19.6640625" customWidth="1" style="437" min="24" max="26"/>
    <col width="15.5" customWidth="1" style="75" min="27" max="28"/>
    <col width="15.5" customWidth="1" style="40" min="29" max="29"/>
    <col width="11.5" customWidth="1" style="75" min="30" max="31"/>
    <col width="11.5" customWidth="1" style="524" min="32" max="32"/>
    <col width="11.5" customWidth="1" style="75" min="33" max="34"/>
    <col width="11.5" customWidth="1" style="190" min="35" max="35"/>
    <col width="12.33203125" customWidth="1" style="437" min="36" max="36"/>
    <col width="15.83203125" customWidth="1" style="437" min="37" max="37"/>
    <col width="19.6640625" customWidth="1" style="437" min="38" max="38"/>
    <col width="17.83203125" bestFit="1" customWidth="1" style="54" min="39" max="39"/>
    <col width="10.5" customWidth="1" style="113" min="40" max="40"/>
    <col width="10.83203125" customWidth="1" style="113" min="41" max="41"/>
    <col width="11.5" bestFit="1" customWidth="1" style="48" min="42" max="42"/>
    <col width="11.5" customWidth="1" style="48" min="43" max="44"/>
    <col width="15" bestFit="1" customWidth="1" style="437" min="45" max="45"/>
    <col width="11.5" customWidth="1" style="3" min="46" max="16384"/>
  </cols>
  <sheetData>
    <row r="1" ht="24" customHeight="1">
      <c r="A1" s="1" t="inlineStr">
        <is>
          <t>Data pool</t>
        </is>
      </c>
      <c r="C1" s="149" t="inlineStr">
        <is>
          <t>25 / 23</t>
        </is>
      </c>
      <c r="D1" s="149" t="inlineStr">
        <is>
          <t>32 / 30</t>
        </is>
      </c>
      <c r="E1" s="75" t="n"/>
      <c r="F1" s="13" t="n"/>
      <c r="G1" s="13" t="n"/>
      <c r="M1" s="25" t="n"/>
      <c r="Q1" s="25" t="n"/>
      <c r="U1" s="194" t="n"/>
      <c r="AA1" s="25" t="n"/>
      <c r="AB1" s="25" t="n"/>
      <c r="AC1" s="195" t="n"/>
      <c r="AD1" s="25" t="n"/>
      <c r="AE1" s="25" t="n"/>
      <c r="AG1" s="25" t="n"/>
      <c r="AH1" s="25" t="n"/>
      <c r="AI1" s="187" t="n"/>
      <c r="AM1" s="48" t="n"/>
      <c r="AN1" s="48" t="n"/>
      <c r="AO1" s="48" t="n"/>
    </row>
    <row r="2" ht="21" customHeight="1">
      <c r="A2" s="4">
        <f>Start!A2</f>
        <v/>
      </c>
      <c r="E2" s="75" t="n"/>
      <c r="F2" s="13" t="n"/>
      <c r="G2" s="13" t="n"/>
      <c r="M2" s="25" t="n"/>
      <c r="Q2" s="25" t="n"/>
      <c r="U2" s="194" t="n"/>
      <c r="AA2" s="25" t="n"/>
      <c r="AB2" s="25" t="n"/>
      <c r="AC2" s="195" t="n"/>
      <c r="AD2" s="25" t="n"/>
      <c r="AE2" s="25" t="n"/>
      <c r="AG2" s="25" t="n"/>
      <c r="AH2" s="25" t="n"/>
      <c r="AI2" s="187" t="n"/>
      <c r="AM2" s="48" t="n"/>
      <c r="AN2" s="48" t="n"/>
      <c r="AO2" s="48" t="n"/>
    </row>
    <row r="3" ht="21" customHeight="1">
      <c r="A3" s="4" t="n"/>
      <c r="M3" s="25" t="n"/>
      <c r="Q3" s="25" t="n"/>
      <c r="U3" s="194" t="n"/>
      <c r="AA3" s="25" t="n"/>
      <c r="AB3" s="25" t="n"/>
      <c r="AC3" s="195" t="n"/>
      <c r="AD3" s="25" t="n"/>
      <c r="AE3" s="25" t="n"/>
      <c r="AG3" s="25" t="n"/>
      <c r="AH3" s="25" t="n"/>
      <c r="AI3" s="187" t="n"/>
      <c r="AM3" s="48" t="n"/>
      <c r="AN3" s="48" t="n"/>
      <c r="AO3" s="48" t="n"/>
    </row>
    <row r="4" hidden="1">
      <c r="A4" s="25" t="n">
        <v>0</v>
      </c>
      <c r="B4" s="25" t="n">
        <v>1</v>
      </c>
      <c r="D4" s="25" t="n">
        <v>2</v>
      </c>
      <c r="E4" s="25" t="n">
        <v>3</v>
      </c>
      <c r="F4" s="25" t="n">
        <v>4</v>
      </c>
      <c r="I4" s="25" t="n">
        <v>8</v>
      </c>
      <c r="J4" s="25" t="n">
        <v>5</v>
      </c>
      <c r="K4" s="25" t="n">
        <v>6</v>
      </c>
      <c r="L4" s="25" t="n">
        <v>7</v>
      </c>
      <c r="M4" s="25" t="n">
        <v>9</v>
      </c>
      <c r="N4" s="25" t="n">
        <v>10</v>
      </c>
      <c r="O4" s="25" t="n">
        <v>11</v>
      </c>
      <c r="P4" s="25" t="n">
        <v>12</v>
      </c>
      <c r="Q4" s="25" t="n">
        <v>13</v>
      </c>
      <c r="R4" s="25" t="n">
        <v>14</v>
      </c>
      <c r="S4" s="25" t="n">
        <v>15</v>
      </c>
      <c r="T4" s="25" t="n">
        <v>16</v>
      </c>
      <c r="U4" s="195" t="n">
        <v>17</v>
      </c>
      <c r="V4" s="195" t="n">
        <v>18</v>
      </c>
      <c r="W4" s="195" t="n">
        <v>19</v>
      </c>
      <c r="X4" s="437" t="n">
        <v>20</v>
      </c>
      <c r="Y4" s="437" t="n">
        <v>21</v>
      </c>
      <c r="Z4" s="437" t="n">
        <v>22</v>
      </c>
      <c r="AA4" s="25" t="n">
        <v>23</v>
      </c>
      <c r="AB4" s="25" t="n"/>
      <c r="AC4" s="195" t="n"/>
      <c r="AD4" s="25" t="n"/>
      <c r="AE4" s="25" t="n"/>
      <c r="AG4" s="25" t="n"/>
      <c r="AH4" s="25" t="n"/>
      <c r="AI4" s="187" t="n"/>
      <c r="AJ4" s="437" t="n">
        <v>24</v>
      </c>
      <c r="AK4" s="437" t="n">
        <v>25</v>
      </c>
      <c r="AL4" s="437" t="n">
        <v>26</v>
      </c>
      <c r="AM4" s="75" t="n">
        <v>27</v>
      </c>
      <c r="AN4" s="75" t="n">
        <v>28</v>
      </c>
      <c r="AO4" s="75" t="n">
        <v>29</v>
      </c>
      <c r="AP4" s="75" t="n">
        <v>30</v>
      </c>
      <c r="AQ4" s="75" t="n">
        <v>31</v>
      </c>
      <c r="AR4" s="75" t="n"/>
    </row>
    <row r="5" ht="22.5" customHeight="1">
      <c r="A5" s="100" t="inlineStr">
        <is>
          <t>Item type</t>
        </is>
      </c>
      <c r="B5" s="100" t="inlineStr">
        <is>
          <t>Task id</t>
        </is>
      </c>
      <c r="C5" s="100" t="inlineStr">
        <is>
          <t>Task group</t>
        </is>
      </c>
      <c r="D5" s="100" t="inlineStr">
        <is>
          <t>Summary task</t>
        </is>
      </c>
      <c r="E5" s="100" t="inlineStr">
        <is>
          <t>Task</t>
        </is>
      </c>
      <c r="F5" s="100" t="inlineStr">
        <is>
          <t>Feature id</t>
        </is>
      </c>
      <c r="G5" s="100" t="inlineStr">
        <is>
          <t>Feature range</t>
        </is>
      </c>
      <c r="H5" s="100" t="inlineStr">
        <is>
          <t>Feature group</t>
        </is>
      </c>
      <c r="I5" s="100" t="inlineStr">
        <is>
          <t>Feature sub group</t>
        </is>
      </c>
      <c r="J5" s="100" t="inlineStr">
        <is>
          <t>Feature task no</t>
        </is>
      </c>
      <c r="K5" s="100" t="inlineStr">
        <is>
          <t>Feature</t>
        </is>
      </c>
      <c r="L5" s="100" t="inlineStr">
        <is>
          <t>Sub feature</t>
        </is>
      </c>
      <c r="M5" s="100" t="inlineStr">
        <is>
          <t>Costs id</t>
        </is>
      </c>
      <c r="N5" s="100" t="inlineStr">
        <is>
          <t>Cost descr</t>
        </is>
      </c>
      <c r="O5" s="100" t="inlineStr">
        <is>
          <t>Assumptions</t>
        </is>
      </c>
      <c r="P5" s="100" t="inlineStr">
        <is>
          <t>Ref. id</t>
        </is>
      </c>
      <c r="Q5" s="100" t="inlineStr">
        <is>
          <t>Risks</t>
        </is>
      </c>
      <c r="R5" s="100" t="inlineStr">
        <is>
          <t>Risk id</t>
        </is>
      </c>
      <c r="S5" s="100" t="inlineStr">
        <is>
          <t>Risk title</t>
        </is>
      </c>
      <c r="T5" s="100" t="inlineStr">
        <is>
          <t>Risk description</t>
        </is>
      </c>
      <c r="U5" s="196" t="inlineStr">
        <is>
          <t>Risk likelihood</t>
        </is>
      </c>
      <c r="V5" s="196" t="inlineStr">
        <is>
          <t>Risk likelihood (first team)</t>
        </is>
      </c>
      <c r="W5" s="196" t="inlineStr">
        <is>
          <t>Risk likelihood (second team)</t>
        </is>
      </c>
      <c r="X5" s="525" t="inlineStr">
        <is>
          <t>Risk impact</t>
        </is>
      </c>
      <c r="Y5" s="525" t="inlineStr">
        <is>
          <t>Risk impact (first team)</t>
        </is>
      </c>
      <c r="Z5" s="525" t="inlineStr">
        <is>
          <t>Risk impact (second team)</t>
        </is>
      </c>
      <c r="AA5" s="100" t="inlineStr">
        <is>
          <t>Project Role</t>
        </is>
      </c>
      <c r="AB5" s="100" t="inlineStr">
        <is>
          <t>Sub role</t>
        </is>
      </c>
      <c r="AC5" s="343" t="inlineStr">
        <is>
          <t>Sub role percentage</t>
        </is>
      </c>
      <c r="AD5" s="100" t="inlineStr">
        <is>
          <t>Company</t>
        </is>
      </c>
      <c r="AE5" s="100" t="inlineStr">
        <is>
          <t>Country</t>
        </is>
      </c>
      <c r="AF5" s="526" t="inlineStr">
        <is>
          <t>Inflation rate</t>
        </is>
      </c>
      <c r="AG5" s="100" t="inlineStr">
        <is>
          <t>Location</t>
        </is>
      </c>
      <c r="AH5" s="100" t="inlineStr">
        <is>
          <t>Seniority Level</t>
        </is>
      </c>
      <c r="AI5" s="189" t="inlineStr">
        <is>
          <t>Period start</t>
        </is>
      </c>
      <c r="AJ5" s="525" t="inlineStr">
        <is>
          <t>Effort</t>
        </is>
      </c>
      <c r="AK5" s="525" t="inlineStr">
        <is>
          <t>Effort (first team)</t>
        </is>
      </c>
      <c r="AL5" s="525" t="inlineStr">
        <is>
          <t>Effort (second team)</t>
        </is>
      </c>
      <c r="AM5" s="197" t="inlineStr">
        <is>
          <t>Daily costs</t>
        </is>
      </c>
      <c r="AN5" s="197" t="inlineStr">
        <is>
          <t>Costs</t>
        </is>
      </c>
      <c r="AO5" s="197" t="inlineStr">
        <is>
          <t>Daily rate</t>
        </is>
      </c>
      <c r="AP5" s="197" t="inlineStr">
        <is>
          <t>Price</t>
        </is>
      </c>
      <c r="AQ5" s="197" t="inlineStr">
        <is>
          <t>Margin</t>
        </is>
      </c>
      <c r="AR5" s="197" t="inlineStr">
        <is>
          <t>Gross profit</t>
        </is>
      </c>
      <c r="AS5" s="525" t="inlineStr">
        <is>
          <t>Effort contractor</t>
        </is>
      </c>
    </row>
    <row r="6">
      <c r="A6" s="25" t="inlineStr">
        <is>
          <t>Task</t>
        </is>
      </c>
      <c r="B6" s="25" t="inlineStr">
        <is>
          <t>P-10</t>
        </is>
      </c>
      <c r="D6" s="25" t="inlineStr">
        <is>
          <t>Inititialisierung</t>
        </is>
      </c>
      <c r="E6" s="25" t="inlineStr">
        <is>
          <t>Projektinitialisierung und -planung</t>
        </is>
      </c>
      <c r="M6" s="25" t="n"/>
      <c r="Q6" s="25" t="n"/>
      <c r="U6" s="194" t="n">
        <v>0</v>
      </c>
      <c r="V6" s="194" t="n">
        <v>0</v>
      </c>
      <c r="W6" s="194" t="n">
        <v>0</v>
      </c>
      <c r="X6" s="437" t="n">
        <v>0</v>
      </c>
      <c r="Y6" s="437" t="n">
        <v>0</v>
      </c>
      <c r="Z6" s="437" t="n">
        <v>0</v>
      </c>
      <c r="AA6" s="25" t="inlineStr">
        <is>
          <t>Any role</t>
        </is>
      </c>
      <c r="AB6" s="25" t="inlineStr">
        <is>
          <t>Any role</t>
        </is>
      </c>
      <c r="AC6" s="195" t="n">
        <v>1</v>
      </c>
      <c r="AD6" s="25" t="inlineStr">
        <is>
          <t>any</t>
        </is>
      </c>
      <c r="AE6" s="25" t="inlineStr">
        <is>
          <t>any</t>
        </is>
      </c>
      <c r="AF6" s="524" t="n">
        <v>0.02</v>
      </c>
      <c r="AG6" s="25" t="inlineStr">
        <is>
          <t>any</t>
        </is>
      </c>
      <c r="AH6" s="25" t="inlineStr">
        <is>
          <t>any</t>
        </is>
      </c>
      <c r="AI6" s="394" t="n"/>
      <c r="AJ6" s="437" t="n">
        <v>0</v>
      </c>
      <c r="AK6" s="437" t="n">
        <v>0</v>
      </c>
      <c r="AL6" s="437" t="n">
        <v>0</v>
      </c>
      <c r="AM6" s="48" t="n">
        <v>500</v>
      </c>
      <c r="AN6" s="48" t="n">
        <v>0</v>
      </c>
      <c r="AO6" s="48" t="n">
        <v>900</v>
      </c>
      <c r="AP6" s="48" t="n">
        <v>0</v>
      </c>
      <c r="AQ6" s="48" t="n">
        <v>0</v>
      </c>
      <c r="AR6" s="48" t="n">
        <v>0</v>
      </c>
      <c r="AS6" s="437" t="n">
        <v>0</v>
      </c>
    </row>
    <row r="7">
      <c r="A7" s="25" t="inlineStr">
        <is>
          <t>Task</t>
        </is>
      </c>
      <c r="B7" s="25" t="inlineStr">
        <is>
          <t>P-20</t>
        </is>
      </c>
      <c r="D7" s="25" t="inlineStr">
        <is>
          <t>Inititialisierung</t>
        </is>
      </c>
      <c r="E7" s="25" t="inlineStr">
        <is>
          <t>Planung und Durchführung Projekt Kick Off-Meeting</t>
        </is>
      </c>
      <c r="M7" s="25" t="n"/>
      <c r="Q7" s="25" t="n"/>
      <c r="U7" s="194" t="n">
        <v>0</v>
      </c>
      <c r="V7" s="194" t="n">
        <v>0</v>
      </c>
      <c r="W7" s="194" t="n">
        <v>0</v>
      </c>
      <c r="X7" s="437" t="n">
        <v>0</v>
      </c>
      <c r="Y7" s="437" t="n">
        <v>0</v>
      </c>
      <c r="Z7" s="437" t="n">
        <v>0</v>
      </c>
      <c r="AA7" s="25" t="inlineStr">
        <is>
          <t>Any role</t>
        </is>
      </c>
      <c r="AB7" s="25" t="inlineStr">
        <is>
          <t>Any role</t>
        </is>
      </c>
      <c r="AC7" s="195" t="n">
        <v>1</v>
      </c>
      <c r="AD7" s="25" t="inlineStr">
        <is>
          <t>any</t>
        </is>
      </c>
      <c r="AE7" s="25" t="inlineStr">
        <is>
          <t>any</t>
        </is>
      </c>
      <c r="AF7" s="524" t="n">
        <v>0.02</v>
      </c>
      <c r="AG7" s="25" t="inlineStr">
        <is>
          <t>any</t>
        </is>
      </c>
      <c r="AH7" s="25" t="inlineStr">
        <is>
          <t>any</t>
        </is>
      </c>
      <c r="AI7" s="394" t="n"/>
      <c r="AJ7" s="437" t="n">
        <v>0</v>
      </c>
      <c r="AK7" s="437" t="n">
        <v>0</v>
      </c>
      <c r="AL7" s="437" t="n">
        <v>0</v>
      </c>
      <c r="AM7" s="48" t="n">
        <v>500</v>
      </c>
      <c r="AN7" s="48" t="n">
        <v>0</v>
      </c>
      <c r="AO7" s="48" t="n">
        <v>900</v>
      </c>
      <c r="AP7" s="48" t="n">
        <v>0</v>
      </c>
      <c r="AQ7" s="48" t="n">
        <v>0</v>
      </c>
      <c r="AR7" s="48" t="n">
        <v>0</v>
      </c>
      <c r="AS7" s="437" t="n">
        <v>0</v>
      </c>
    </row>
    <row r="8">
      <c r="A8" s="25" t="inlineStr">
        <is>
          <t>Task</t>
        </is>
      </c>
      <c r="B8" s="25" t="inlineStr">
        <is>
          <t>P-30</t>
        </is>
      </c>
      <c r="D8" s="25" t="inlineStr">
        <is>
          <t>Inititialisierung</t>
        </is>
      </c>
      <c r="E8" s="25" t="inlineStr">
        <is>
          <t>Erstellung Software Architekturkonzept</t>
        </is>
      </c>
      <c r="M8" s="25" t="n"/>
      <c r="Q8" s="25" t="n"/>
      <c r="U8" s="194" t="n">
        <v>0</v>
      </c>
      <c r="V8" s="194" t="n">
        <v>0</v>
      </c>
      <c r="W8" s="194" t="n">
        <v>0</v>
      </c>
      <c r="X8" s="437" t="n">
        <v>0</v>
      </c>
      <c r="Y8" s="437" t="n">
        <v>0</v>
      </c>
      <c r="Z8" s="437" t="n">
        <v>0</v>
      </c>
      <c r="AA8" s="25" t="inlineStr">
        <is>
          <t>Any role</t>
        </is>
      </c>
      <c r="AB8" s="25" t="inlineStr">
        <is>
          <t>Any role</t>
        </is>
      </c>
      <c r="AC8" s="195" t="n">
        <v>1</v>
      </c>
      <c r="AD8" s="25" t="inlineStr">
        <is>
          <t>any</t>
        </is>
      </c>
      <c r="AE8" s="25" t="inlineStr">
        <is>
          <t>any</t>
        </is>
      </c>
      <c r="AF8" s="524" t="n">
        <v>0.02</v>
      </c>
      <c r="AG8" s="25" t="inlineStr">
        <is>
          <t>any</t>
        </is>
      </c>
      <c r="AH8" s="25" t="inlineStr">
        <is>
          <t>any</t>
        </is>
      </c>
      <c r="AI8" s="394" t="n"/>
      <c r="AJ8" s="437" t="n">
        <v>0</v>
      </c>
      <c r="AK8" s="437" t="n">
        <v>0</v>
      </c>
      <c r="AL8" s="437" t="n">
        <v>0</v>
      </c>
      <c r="AM8" s="48" t="n">
        <v>500</v>
      </c>
      <c r="AN8" s="48" t="n">
        <v>0</v>
      </c>
      <c r="AO8" s="48" t="n">
        <v>900</v>
      </c>
      <c r="AP8" s="48" t="n">
        <v>0</v>
      </c>
      <c r="AQ8" s="48" t="n">
        <v>0</v>
      </c>
      <c r="AR8" s="48" t="n">
        <v>0</v>
      </c>
      <c r="AS8" s="437" t="n">
        <v>0</v>
      </c>
    </row>
    <row r="9">
      <c r="A9" s="25" t="inlineStr">
        <is>
          <t>Task</t>
        </is>
      </c>
      <c r="B9" s="25" t="inlineStr">
        <is>
          <t>P-40</t>
        </is>
      </c>
      <c r="D9" s="25" t="inlineStr">
        <is>
          <t>Inititialisierung</t>
        </is>
      </c>
      <c r="E9" s="25" t="inlineStr">
        <is>
          <t>Erstellung Testkonzept</t>
        </is>
      </c>
      <c r="M9" s="25" t="n"/>
      <c r="Q9" s="25" t="n"/>
      <c r="U9" s="194" t="n">
        <v>0</v>
      </c>
      <c r="V9" s="194" t="n">
        <v>0</v>
      </c>
      <c r="W9" s="194" t="n">
        <v>0</v>
      </c>
      <c r="X9" s="437" t="n">
        <v>0</v>
      </c>
      <c r="Y9" s="437" t="n">
        <v>0</v>
      </c>
      <c r="Z9" s="437" t="n">
        <v>0</v>
      </c>
      <c r="AA9" s="25" t="inlineStr">
        <is>
          <t>Any role</t>
        </is>
      </c>
      <c r="AB9" s="25" t="inlineStr">
        <is>
          <t>Any role</t>
        </is>
      </c>
      <c r="AC9" s="195" t="n">
        <v>1</v>
      </c>
      <c r="AD9" s="25" t="inlineStr">
        <is>
          <t>any</t>
        </is>
      </c>
      <c r="AE9" s="25" t="inlineStr">
        <is>
          <t>any</t>
        </is>
      </c>
      <c r="AF9" s="524" t="n">
        <v>0.02</v>
      </c>
      <c r="AG9" s="25" t="inlineStr">
        <is>
          <t>any</t>
        </is>
      </c>
      <c r="AH9" s="25" t="inlineStr">
        <is>
          <t>any</t>
        </is>
      </c>
      <c r="AI9" s="394" t="n"/>
      <c r="AJ9" s="437" t="n">
        <v>0</v>
      </c>
      <c r="AK9" s="437" t="n">
        <v>0</v>
      </c>
      <c r="AL9" s="437" t="n">
        <v>0</v>
      </c>
      <c r="AM9" s="48" t="n">
        <v>500</v>
      </c>
      <c r="AN9" s="48" t="n">
        <v>0</v>
      </c>
      <c r="AO9" s="48" t="n">
        <v>900</v>
      </c>
      <c r="AP9" s="48" t="n">
        <v>0</v>
      </c>
      <c r="AQ9" s="48" t="n">
        <v>0</v>
      </c>
      <c r="AR9" s="48" t="n">
        <v>0</v>
      </c>
      <c r="AS9" s="437" t="n">
        <v>0</v>
      </c>
    </row>
    <row r="10">
      <c r="A10" s="25" t="inlineStr">
        <is>
          <t>Task</t>
        </is>
      </c>
      <c r="B10" s="25" t="inlineStr">
        <is>
          <t>P-50</t>
        </is>
      </c>
      <c r="D10" s="25" t="inlineStr">
        <is>
          <t>Inititialisierung</t>
        </is>
      </c>
      <c r="E10" s="25" t="inlineStr">
        <is>
          <t>Aufbau Entwicklungsumgebung</t>
        </is>
      </c>
      <c r="M10" s="25" t="n"/>
      <c r="Q10" s="25" t="n"/>
      <c r="U10" s="194" t="n">
        <v>0</v>
      </c>
      <c r="V10" s="194" t="n">
        <v>0</v>
      </c>
      <c r="W10" s="194" t="n">
        <v>0</v>
      </c>
      <c r="X10" s="437" t="n">
        <v>0</v>
      </c>
      <c r="Y10" s="437" t="n">
        <v>0</v>
      </c>
      <c r="Z10" s="437" t="n">
        <v>0</v>
      </c>
      <c r="AA10" s="25" t="inlineStr">
        <is>
          <t>Any role</t>
        </is>
      </c>
      <c r="AB10" s="25" t="inlineStr">
        <is>
          <t>Any role</t>
        </is>
      </c>
      <c r="AC10" s="195" t="n">
        <v>1</v>
      </c>
      <c r="AD10" s="25" t="inlineStr">
        <is>
          <t>any</t>
        </is>
      </c>
      <c r="AE10" s="25" t="inlineStr">
        <is>
          <t>any</t>
        </is>
      </c>
      <c r="AF10" s="524" t="n">
        <v>0.02</v>
      </c>
      <c r="AG10" s="25" t="inlineStr">
        <is>
          <t>any</t>
        </is>
      </c>
      <c r="AH10" s="25" t="inlineStr">
        <is>
          <t>any</t>
        </is>
      </c>
      <c r="AI10" s="394" t="n"/>
      <c r="AJ10" s="437" t="n">
        <v>0</v>
      </c>
      <c r="AK10" s="437" t="n">
        <v>0</v>
      </c>
      <c r="AL10" s="437" t="n">
        <v>0</v>
      </c>
      <c r="AM10" s="48" t="n">
        <v>500</v>
      </c>
      <c r="AN10" s="48" t="n">
        <v>0</v>
      </c>
      <c r="AO10" s="48" t="n">
        <v>900</v>
      </c>
      <c r="AP10" s="48" t="n">
        <v>0</v>
      </c>
      <c r="AQ10" s="48" t="n">
        <v>0</v>
      </c>
      <c r="AR10" s="48" t="n">
        <v>0</v>
      </c>
      <c r="AS10" s="437" t="n">
        <v>0</v>
      </c>
    </row>
    <row r="11">
      <c r="A11" s="25" t="inlineStr">
        <is>
          <t>Task</t>
        </is>
      </c>
      <c r="B11" s="25" t="inlineStr">
        <is>
          <t>P-60</t>
        </is>
      </c>
      <c r="D11" s="25" t="inlineStr">
        <is>
          <t>Implementierung</t>
        </is>
      </c>
      <c r="E11" s="25" t="inlineStr">
        <is>
          <t>Analyse &amp; Software Design</t>
        </is>
      </c>
      <c r="M11" s="25" t="n"/>
      <c r="Q11" s="25" t="n"/>
      <c r="U11" s="194" t="n">
        <v>0</v>
      </c>
      <c r="V11" s="194" t="n">
        <v>0</v>
      </c>
      <c r="W11" s="194" t="n">
        <v>0</v>
      </c>
      <c r="X11" s="437" t="n">
        <v>0</v>
      </c>
      <c r="Y11" s="437" t="n">
        <v>0</v>
      </c>
      <c r="Z11" s="437" t="n">
        <v>0</v>
      </c>
      <c r="AA11" s="25" t="inlineStr">
        <is>
          <t>Any role</t>
        </is>
      </c>
      <c r="AB11" s="25" t="inlineStr">
        <is>
          <t>Any role</t>
        </is>
      </c>
      <c r="AC11" s="195" t="n">
        <v>1</v>
      </c>
      <c r="AD11" s="25" t="inlineStr">
        <is>
          <t>any</t>
        </is>
      </c>
      <c r="AE11" s="25" t="inlineStr">
        <is>
          <t>any</t>
        </is>
      </c>
      <c r="AF11" s="524" t="n">
        <v>0.02</v>
      </c>
      <c r="AG11" s="25" t="inlineStr">
        <is>
          <t>any</t>
        </is>
      </c>
      <c r="AH11" s="25" t="inlineStr">
        <is>
          <t>any</t>
        </is>
      </c>
      <c r="AI11" s="394" t="n"/>
      <c r="AJ11" s="437" t="n">
        <v>0</v>
      </c>
      <c r="AK11" s="437" t="n">
        <v>0</v>
      </c>
      <c r="AL11" s="437" t="n">
        <v>0</v>
      </c>
      <c r="AM11" s="48" t="n">
        <v>500</v>
      </c>
      <c r="AN11" s="48" t="n">
        <v>0</v>
      </c>
      <c r="AO11" s="48" t="n">
        <v>900</v>
      </c>
      <c r="AP11" s="48" t="n">
        <v>0</v>
      </c>
      <c r="AQ11" s="48" t="n">
        <v>0</v>
      </c>
      <c r="AR11" s="48" t="n">
        <v>0</v>
      </c>
      <c r="AS11" s="437" t="n">
        <v>0</v>
      </c>
    </row>
    <row r="12">
      <c r="A12" s="25" t="inlineStr">
        <is>
          <t>Task</t>
        </is>
      </c>
      <c r="B12" s="25" t="inlineStr">
        <is>
          <t>P-70</t>
        </is>
      </c>
      <c r="D12" s="25" t="inlineStr">
        <is>
          <t>Implementierung</t>
        </is>
      </c>
      <c r="E12" s="25" t="inlineStr">
        <is>
          <t>Software-entwicklung</t>
        </is>
      </c>
      <c r="M12" s="25" t="n"/>
      <c r="Q12" s="25" t="n"/>
      <c r="U12" s="194" t="n">
        <v>0</v>
      </c>
      <c r="V12" s="194" t="n">
        <v>0</v>
      </c>
      <c r="W12" s="194" t="n">
        <v>0</v>
      </c>
      <c r="X12" s="437" t="n">
        <v>0</v>
      </c>
      <c r="Y12" s="437" t="n">
        <v>0</v>
      </c>
      <c r="Z12" s="437" t="n">
        <v>0</v>
      </c>
      <c r="AA12" s="25" t="inlineStr">
        <is>
          <t>Any role</t>
        </is>
      </c>
      <c r="AB12" s="25" t="inlineStr">
        <is>
          <t>Any role</t>
        </is>
      </c>
      <c r="AC12" s="195" t="n">
        <v>1</v>
      </c>
      <c r="AD12" s="25" t="inlineStr">
        <is>
          <t>any</t>
        </is>
      </c>
      <c r="AE12" s="25" t="inlineStr">
        <is>
          <t>any</t>
        </is>
      </c>
      <c r="AF12" s="524" t="n">
        <v>0.02</v>
      </c>
      <c r="AG12" s="25" t="inlineStr">
        <is>
          <t>any</t>
        </is>
      </c>
      <c r="AH12" s="25" t="inlineStr">
        <is>
          <t>any</t>
        </is>
      </c>
      <c r="AI12" s="394" t="n"/>
      <c r="AJ12" s="437" t="n">
        <v>0</v>
      </c>
      <c r="AK12" s="437" t="n">
        <v>0</v>
      </c>
      <c r="AL12" s="437" t="n">
        <v>0</v>
      </c>
      <c r="AM12" s="48" t="n">
        <v>500</v>
      </c>
      <c r="AN12" s="48" t="n">
        <v>0</v>
      </c>
      <c r="AO12" s="48" t="n">
        <v>900</v>
      </c>
      <c r="AP12" s="48" t="n">
        <v>0</v>
      </c>
      <c r="AQ12" s="48" t="n">
        <v>0</v>
      </c>
      <c r="AR12" s="48" t="n">
        <v>0</v>
      </c>
      <c r="AS12" s="437" t="n">
        <v>0</v>
      </c>
    </row>
    <row r="13">
      <c r="A13" s="25" t="inlineStr">
        <is>
          <t>Task</t>
        </is>
      </c>
      <c r="B13" s="25" t="inlineStr">
        <is>
          <t>P-80</t>
        </is>
      </c>
      <c r="D13" s="25" t="inlineStr">
        <is>
          <t>Implementierung</t>
        </is>
      </c>
      <c r="E13" s="25" t="inlineStr">
        <is>
          <t>Softwaretest</t>
        </is>
      </c>
      <c r="M13" s="25" t="n"/>
      <c r="Q13" s="25" t="n"/>
      <c r="U13" s="194" t="n">
        <v>0</v>
      </c>
      <c r="V13" s="194" t="n">
        <v>0</v>
      </c>
      <c r="W13" s="194" t="n">
        <v>0</v>
      </c>
      <c r="X13" s="437" t="n">
        <v>0</v>
      </c>
      <c r="Y13" s="437" t="n">
        <v>0</v>
      </c>
      <c r="Z13" s="437" t="n">
        <v>0</v>
      </c>
      <c r="AA13" s="25" t="inlineStr">
        <is>
          <t>Any role</t>
        </is>
      </c>
      <c r="AB13" s="25" t="inlineStr">
        <is>
          <t>Any role</t>
        </is>
      </c>
      <c r="AC13" s="195" t="n">
        <v>1</v>
      </c>
      <c r="AD13" s="25" t="inlineStr">
        <is>
          <t>any</t>
        </is>
      </c>
      <c r="AE13" s="25" t="inlineStr">
        <is>
          <t>any</t>
        </is>
      </c>
      <c r="AF13" s="524" t="n">
        <v>0.02</v>
      </c>
      <c r="AG13" s="25" t="inlineStr">
        <is>
          <t>any</t>
        </is>
      </c>
      <c r="AH13" s="25" t="inlineStr">
        <is>
          <t>any</t>
        </is>
      </c>
      <c r="AI13" s="394" t="n"/>
      <c r="AJ13" s="437" t="n">
        <v>0</v>
      </c>
      <c r="AK13" s="437" t="n">
        <v>0</v>
      </c>
      <c r="AL13" s="437" t="n">
        <v>0</v>
      </c>
      <c r="AM13" s="48" t="n">
        <v>500</v>
      </c>
      <c r="AN13" s="48" t="n">
        <v>0</v>
      </c>
      <c r="AO13" s="48" t="n">
        <v>900</v>
      </c>
      <c r="AP13" s="48" t="n">
        <v>0</v>
      </c>
      <c r="AQ13" s="48" t="n">
        <v>0</v>
      </c>
      <c r="AR13" s="48" t="n">
        <v>0</v>
      </c>
      <c r="AS13" s="437" t="n">
        <v>0</v>
      </c>
    </row>
    <row r="14">
      <c r="A14" s="25" t="inlineStr">
        <is>
          <t>Task</t>
        </is>
      </c>
      <c r="B14" s="25" t="inlineStr">
        <is>
          <t>P-90</t>
        </is>
      </c>
      <c r="D14" s="25" t="inlineStr">
        <is>
          <t>Implementierung</t>
        </is>
      </c>
      <c r="E14" s="25" t="inlineStr">
        <is>
          <t>Entwicklung und Wartung Testautomatisierung</t>
        </is>
      </c>
      <c r="M14" s="25" t="n"/>
      <c r="Q14" s="25" t="n"/>
      <c r="U14" s="194" t="n">
        <v>0</v>
      </c>
      <c r="V14" s="194" t="n">
        <v>0</v>
      </c>
      <c r="W14" s="194" t="n">
        <v>0</v>
      </c>
      <c r="X14" s="437" t="n">
        <v>0</v>
      </c>
      <c r="Y14" s="437" t="n">
        <v>0</v>
      </c>
      <c r="Z14" s="437" t="n">
        <v>0</v>
      </c>
      <c r="AA14" s="25" t="inlineStr">
        <is>
          <t>Any role</t>
        </is>
      </c>
      <c r="AB14" s="25" t="inlineStr">
        <is>
          <t>Any role</t>
        </is>
      </c>
      <c r="AC14" s="195" t="n">
        <v>1</v>
      </c>
      <c r="AD14" s="25" t="inlineStr">
        <is>
          <t>any</t>
        </is>
      </c>
      <c r="AE14" s="25" t="inlineStr">
        <is>
          <t>any</t>
        </is>
      </c>
      <c r="AF14" s="524" t="n">
        <v>0.02</v>
      </c>
      <c r="AG14" s="25" t="inlineStr">
        <is>
          <t>any</t>
        </is>
      </c>
      <c r="AH14" s="25" t="inlineStr">
        <is>
          <t>any</t>
        </is>
      </c>
      <c r="AI14" s="394" t="n"/>
      <c r="AJ14" s="437" t="n">
        <v>0</v>
      </c>
      <c r="AK14" s="437" t="n">
        <v>0</v>
      </c>
      <c r="AL14" s="437" t="n">
        <v>0</v>
      </c>
      <c r="AM14" s="48" t="n">
        <v>500</v>
      </c>
      <c r="AN14" s="48" t="n">
        <v>0</v>
      </c>
      <c r="AO14" s="48" t="n">
        <v>900</v>
      </c>
      <c r="AP14" s="48" t="n">
        <v>0</v>
      </c>
      <c r="AQ14" s="48" t="n">
        <v>0</v>
      </c>
      <c r="AR14" s="48" t="n">
        <v>0</v>
      </c>
      <c r="AS14" s="437" t="n">
        <v>0</v>
      </c>
    </row>
    <row r="15">
      <c r="A15" s="25" t="inlineStr">
        <is>
          <t>Task</t>
        </is>
      </c>
      <c r="B15" s="25" t="inlineStr">
        <is>
          <t>P-100</t>
        </is>
      </c>
      <c r="D15" s="25" t="inlineStr">
        <is>
          <t>Implementierung</t>
        </is>
      </c>
      <c r="E15" s="25" t="inlineStr">
        <is>
          <t>Performance Test</t>
        </is>
      </c>
      <c r="M15" s="25" t="n"/>
      <c r="Q15" s="25" t="n"/>
      <c r="U15" s="194" t="n">
        <v>0</v>
      </c>
      <c r="V15" s="194" t="n">
        <v>0</v>
      </c>
      <c r="W15" s="194" t="n">
        <v>0</v>
      </c>
      <c r="X15" s="437" t="n">
        <v>0</v>
      </c>
      <c r="Y15" s="437" t="n">
        <v>0</v>
      </c>
      <c r="Z15" s="437" t="n">
        <v>0</v>
      </c>
      <c r="AA15" s="25" t="inlineStr">
        <is>
          <t>Any role</t>
        </is>
      </c>
      <c r="AB15" s="25" t="inlineStr">
        <is>
          <t>Any role</t>
        </is>
      </c>
      <c r="AC15" s="195" t="n">
        <v>1</v>
      </c>
      <c r="AD15" s="25" t="inlineStr">
        <is>
          <t>any</t>
        </is>
      </c>
      <c r="AE15" s="25" t="inlineStr">
        <is>
          <t>any</t>
        </is>
      </c>
      <c r="AF15" s="524" t="n">
        <v>0.02</v>
      </c>
      <c r="AG15" s="25" t="inlineStr">
        <is>
          <t>any</t>
        </is>
      </c>
      <c r="AH15" s="25" t="inlineStr">
        <is>
          <t>any</t>
        </is>
      </c>
      <c r="AI15" s="394" t="n"/>
      <c r="AJ15" s="437" t="n">
        <v>0</v>
      </c>
      <c r="AK15" s="437" t="n">
        <v>0</v>
      </c>
      <c r="AL15" s="437" t="n">
        <v>0</v>
      </c>
      <c r="AM15" s="48" t="n">
        <v>500</v>
      </c>
      <c r="AN15" s="48" t="n">
        <v>0</v>
      </c>
      <c r="AO15" s="48" t="n">
        <v>900</v>
      </c>
      <c r="AP15" s="48" t="n">
        <v>0</v>
      </c>
      <c r="AQ15" s="48" t="n">
        <v>0</v>
      </c>
      <c r="AR15" s="48" t="n">
        <v>0</v>
      </c>
      <c r="AS15" s="437" t="n">
        <v>0</v>
      </c>
    </row>
    <row r="16">
      <c r="A16" s="25" t="inlineStr">
        <is>
          <t>Task</t>
        </is>
      </c>
      <c r="B16" s="25" t="inlineStr">
        <is>
          <t>P-110</t>
        </is>
      </c>
      <c r="D16" s="25" t="inlineStr">
        <is>
          <t>Implementierung</t>
        </is>
      </c>
      <c r="E16" s="25" t="inlineStr">
        <is>
          <t>Sicherheitsprüfung</t>
        </is>
      </c>
      <c r="M16" s="25" t="n"/>
      <c r="Q16" s="25" t="n"/>
      <c r="U16" s="194" t="n">
        <v>0</v>
      </c>
      <c r="V16" s="194" t="n">
        <v>0</v>
      </c>
      <c r="W16" s="194" t="n">
        <v>0</v>
      </c>
      <c r="X16" s="437" t="n">
        <v>0</v>
      </c>
      <c r="Y16" s="437" t="n">
        <v>0</v>
      </c>
      <c r="Z16" s="437" t="n">
        <v>0</v>
      </c>
      <c r="AA16" s="25" t="inlineStr">
        <is>
          <t>Any role</t>
        </is>
      </c>
      <c r="AB16" s="25" t="inlineStr">
        <is>
          <t>Any role</t>
        </is>
      </c>
      <c r="AC16" s="195" t="n">
        <v>1</v>
      </c>
      <c r="AD16" s="25" t="inlineStr">
        <is>
          <t>any</t>
        </is>
      </c>
      <c r="AE16" s="25" t="inlineStr">
        <is>
          <t>any</t>
        </is>
      </c>
      <c r="AF16" s="524" t="n">
        <v>0.02</v>
      </c>
      <c r="AG16" s="25" t="inlineStr">
        <is>
          <t>any</t>
        </is>
      </c>
      <c r="AH16" s="25" t="inlineStr">
        <is>
          <t>any</t>
        </is>
      </c>
      <c r="AI16" s="394" t="n"/>
      <c r="AJ16" s="437" t="n">
        <v>0</v>
      </c>
      <c r="AK16" s="437" t="n">
        <v>0</v>
      </c>
      <c r="AL16" s="437" t="n">
        <v>0</v>
      </c>
      <c r="AM16" s="48" t="n">
        <v>500</v>
      </c>
      <c r="AN16" s="48" t="n">
        <v>0</v>
      </c>
      <c r="AO16" s="48" t="n">
        <v>900</v>
      </c>
      <c r="AP16" s="48" t="n">
        <v>0</v>
      </c>
      <c r="AQ16" s="48" t="n">
        <v>0</v>
      </c>
      <c r="AR16" s="48" t="n">
        <v>0</v>
      </c>
      <c r="AS16" s="437" t="n">
        <v>0</v>
      </c>
    </row>
    <row r="17">
      <c r="A17" s="25" t="inlineStr">
        <is>
          <t>Task</t>
        </is>
      </c>
      <c r="B17" s="25" t="inlineStr">
        <is>
          <t>P-120</t>
        </is>
      </c>
      <c r="D17" s="25" t="inlineStr">
        <is>
          <t>Implementierung</t>
        </is>
      </c>
      <c r="E17" s="25" t="inlineStr">
        <is>
          <t>Erstellung Anwenderhandbuch</t>
        </is>
      </c>
      <c r="M17" s="25" t="n"/>
      <c r="Q17" s="25" t="n"/>
      <c r="U17" s="194" t="n">
        <v>0</v>
      </c>
      <c r="V17" s="194" t="n">
        <v>0</v>
      </c>
      <c r="W17" s="194" t="n">
        <v>0</v>
      </c>
      <c r="X17" s="437" t="n">
        <v>0</v>
      </c>
      <c r="Y17" s="437" t="n">
        <v>0</v>
      </c>
      <c r="Z17" s="437" t="n">
        <v>0</v>
      </c>
      <c r="AA17" s="25" t="inlineStr">
        <is>
          <t>Any role</t>
        </is>
      </c>
      <c r="AB17" s="25" t="inlineStr">
        <is>
          <t>Any role</t>
        </is>
      </c>
      <c r="AC17" s="195" t="n">
        <v>1</v>
      </c>
      <c r="AD17" s="25" t="inlineStr">
        <is>
          <t>any</t>
        </is>
      </c>
      <c r="AE17" s="25" t="inlineStr">
        <is>
          <t>any</t>
        </is>
      </c>
      <c r="AF17" s="524" t="n">
        <v>0.02</v>
      </c>
      <c r="AG17" s="25" t="inlineStr">
        <is>
          <t>any</t>
        </is>
      </c>
      <c r="AH17" s="25" t="inlineStr">
        <is>
          <t>any</t>
        </is>
      </c>
      <c r="AI17" s="394" t="n"/>
      <c r="AJ17" s="437" t="n">
        <v>0</v>
      </c>
      <c r="AK17" s="437" t="n">
        <v>0</v>
      </c>
      <c r="AL17" s="437" t="n">
        <v>0</v>
      </c>
      <c r="AM17" s="48" t="n">
        <v>500</v>
      </c>
      <c r="AN17" s="48" t="n">
        <v>0</v>
      </c>
      <c r="AO17" s="48" t="n">
        <v>900</v>
      </c>
      <c r="AP17" s="48" t="n">
        <v>0</v>
      </c>
      <c r="AQ17" s="48" t="n">
        <v>0</v>
      </c>
      <c r="AR17" s="48" t="n">
        <v>0</v>
      </c>
      <c r="AS17" s="437" t="n">
        <v>0</v>
      </c>
    </row>
    <row r="18">
      <c r="A18" s="25" t="inlineStr">
        <is>
          <t>Task</t>
        </is>
      </c>
      <c r="B18" s="25" t="inlineStr">
        <is>
          <t>P-130</t>
        </is>
      </c>
      <c r="D18" s="25" t="inlineStr">
        <is>
          <t>Implementierung</t>
        </is>
      </c>
      <c r="E18" s="25" t="inlineStr">
        <is>
          <t>Kundenschulung</t>
        </is>
      </c>
      <c r="M18" s="25" t="n"/>
      <c r="Q18" s="25" t="n"/>
      <c r="U18" s="194" t="n">
        <v>0</v>
      </c>
      <c r="V18" s="194" t="n">
        <v>0</v>
      </c>
      <c r="W18" s="194" t="n">
        <v>0</v>
      </c>
      <c r="X18" s="437" t="n">
        <v>0</v>
      </c>
      <c r="Y18" s="437" t="n">
        <v>0</v>
      </c>
      <c r="Z18" s="437" t="n">
        <v>0</v>
      </c>
      <c r="AA18" s="25" t="inlineStr">
        <is>
          <t>Any role</t>
        </is>
      </c>
      <c r="AB18" s="25" t="inlineStr">
        <is>
          <t>Any role</t>
        </is>
      </c>
      <c r="AC18" s="195" t="n">
        <v>1</v>
      </c>
      <c r="AD18" s="25" t="inlineStr">
        <is>
          <t>any</t>
        </is>
      </c>
      <c r="AE18" s="25" t="inlineStr">
        <is>
          <t>any</t>
        </is>
      </c>
      <c r="AF18" s="524" t="n">
        <v>0.02</v>
      </c>
      <c r="AG18" s="25" t="inlineStr">
        <is>
          <t>any</t>
        </is>
      </c>
      <c r="AH18" s="25" t="inlineStr">
        <is>
          <t>any</t>
        </is>
      </c>
      <c r="AI18" s="394" t="n"/>
      <c r="AJ18" s="437" t="n">
        <v>0</v>
      </c>
      <c r="AK18" s="437" t="n">
        <v>0</v>
      </c>
      <c r="AL18" s="437" t="n">
        <v>0</v>
      </c>
      <c r="AM18" s="48" t="n">
        <v>500</v>
      </c>
      <c r="AN18" s="48" t="n">
        <v>0</v>
      </c>
      <c r="AO18" s="48" t="n">
        <v>900</v>
      </c>
      <c r="AP18" s="48" t="n">
        <v>0</v>
      </c>
      <c r="AQ18" s="48" t="n">
        <v>0</v>
      </c>
      <c r="AR18" s="48" t="n">
        <v>0</v>
      </c>
      <c r="AS18" s="437" t="n">
        <v>0</v>
      </c>
    </row>
    <row r="19">
      <c r="A19" s="25" t="inlineStr">
        <is>
          <t>Task</t>
        </is>
      </c>
      <c r="B19" s="25" t="inlineStr">
        <is>
          <t>P-140</t>
        </is>
      </c>
      <c r="D19" s="25" t="inlineStr">
        <is>
          <t>Implementierung</t>
        </is>
      </c>
      <c r="E19" s="25" t="inlineStr">
        <is>
          <t>Fehlerbearb. nach BzA</t>
        </is>
      </c>
      <c r="M19" s="25" t="n"/>
      <c r="Q19" s="25" t="n"/>
      <c r="U19" s="194" t="n">
        <v>0</v>
      </c>
      <c r="V19" s="194" t="n">
        <v>0</v>
      </c>
      <c r="W19" s="194" t="n">
        <v>0</v>
      </c>
      <c r="X19" s="437" t="n">
        <v>0</v>
      </c>
      <c r="Y19" s="437" t="n">
        <v>0</v>
      </c>
      <c r="Z19" s="437" t="n">
        <v>0</v>
      </c>
      <c r="AA19" s="25" t="inlineStr">
        <is>
          <t>Any role</t>
        </is>
      </c>
      <c r="AB19" s="25" t="inlineStr">
        <is>
          <t>Any role</t>
        </is>
      </c>
      <c r="AC19" s="195" t="n">
        <v>1</v>
      </c>
      <c r="AD19" s="25" t="inlineStr">
        <is>
          <t>any</t>
        </is>
      </c>
      <c r="AE19" s="25" t="inlineStr">
        <is>
          <t>any</t>
        </is>
      </c>
      <c r="AF19" s="524" t="n">
        <v>0.02</v>
      </c>
      <c r="AG19" s="25" t="inlineStr">
        <is>
          <t>any</t>
        </is>
      </c>
      <c r="AH19" s="25" t="inlineStr">
        <is>
          <t>any</t>
        </is>
      </c>
      <c r="AI19" s="394" t="n"/>
      <c r="AJ19" s="437" t="n">
        <v>0</v>
      </c>
      <c r="AK19" s="437" t="n">
        <v>0</v>
      </c>
      <c r="AL19" s="437" t="n">
        <v>0</v>
      </c>
      <c r="AM19" s="48" t="n">
        <v>500</v>
      </c>
      <c r="AN19" s="48" t="n">
        <v>0</v>
      </c>
      <c r="AO19" s="48" t="n">
        <v>900</v>
      </c>
      <c r="AP19" s="48" t="n">
        <v>0</v>
      </c>
      <c r="AQ19" s="48" t="n">
        <v>0</v>
      </c>
      <c r="AR19" s="48" t="n">
        <v>0</v>
      </c>
      <c r="AS19" s="437" t="n">
        <v>0</v>
      </c>
    </row>
    <row r="20">
      <c r="A20" s="25" t="inlineStr">
        <is>
          <t>Task</t>
        </is>
      </c>
      <c r="B20" s="25" t="inlineStr">
        <is>
          <t>P-150</t>
        </is>
      </c>
      <c r="D20" s="25" t="inlineStr">
        <is>
          <t>Implementierung</t>
        </is>
      </c>
      <c r="E20" s="25" t="inlineStr">
        <is>
          <t>Datenmigration</t>
        </is>
      </c>
      <c r="M20" s="25" t="n"/>
      <c r="Q20" s="25" t="n"/>
      <c r="U20" s="194" t="n">
        <v>0</v>
      </c>
      <c r="V20" s="194" t="n">
        <v>0</v>
      </c>
      <c r="W20" s="194" t="n">
        <v>0</v>
      </c>
      <c r="X20" s="437" t="n">
        <v>0</v>
      </c>
      <c r="Y20" s="437" t="n">
        <v>0</v>
      </c>
      <c r="Z20" s="437" t="n">
        <v>0</v>
      </c>
      <c r="AA20" s="25" t="inlineStr">
        <is>
          <t>Any role</t>
        </is>
      </c>
      <c r="AB20" s="25" t="inlineStr">
        <is>
          <t>Any role</t>
        </is>
      </c>
      <c r="AC20" s="195" t="n">
        <v>1</v>
      </c>
      <c r="AD20" s="25" t="inlineStr">
        <is>
          <t>any</t>
        </is>
      </c>
      <c r="AE20" s="25" t="inlineStr">
        <is>
          <t>any</t>
        </is>
      </c>
      <c r="AF20" s="524" t="n">
        <v>0.02</v>
      </c>
      <c r="AG20" s="25" t="inlineStr">
        <is>
          <t>any</t>
        </is>
      </c>
      <c r="AH20" s="25" t="inlineStr">
        <is>
          <t>any</t>
        </is>
      </c>
      <c r="AI20" s="394" t="n"/>
      <c r="AJ20" s="437" t="n">
        <v>0</v>
      </c>
      <c r="AK20" s="437" t="n">
        <v>0</v>
      </c>
      <c r="AL20" s="437" t="n">
        <v>0</v>
      </c>
      <c r="AM20" s="48" t="n">
        <v>500</v>
      </c>
      <c r="AN20" s="48" t="n">
        <v>0</v>
      </c>
      <c r="AO20" s="48" t="n">
        <v>900</v>
      </c>
      <c r="AP20" s="48" t="n">
        <v>0</v>
      </c>
      <c r="AQ20" s="48" t="n">
        <v>0</v>
      </c>
      <c r="AR20" s="48" t="n">
        <v>0</v>
      </c>
      <c r="AS20" s="437" t="n">
        <v>0</v>
      </c>
    </row>
    <row r="21">
      <c r="A21" s="25" t="inlineStr">
        <is>
          <t>Task</t>
        </is>
      </c>
      <c r="B21" s="25" t="inlineStr">
        <is>
          <t>P-160</t>
        </is>
      </c>
      <c r="D21" s="25" t="inlineStr">
        <is>
          <t>Implementierung</t>
        </is>
      </c>
      <c r="E21" s="25" t="inlineStr">
        <is>
          <t>Unterstützung des Kunden bei der Installation und Konfiguration der Software</t>
        </is>
      </c>
      <c r="M21" s="25" t="n"/>
      <c r="Q21" s="25" t="n"/>
      <c r="U21" s="194" t="n">
        <v>0</v>
      </c>
      <c r="V21" s="194" t="n">
        <v>0</v>
      </c>
      <c r="W21" s="194" t="n">
        <v>0</v>
      </c>
      <c r="X21" s="437" t="n">
        <v>0</v>
      </c>
      <c r="Y21" s="437" t="n">
        <v>0</v>
      </c>
      <c r="Z21" s="437" t="n">
        <v>0</v>
      </c>
      <c r="AA21" s="25" t="inlineStr">
        <is>
          <t>Any role</t>
        </is>
      </c>
      <c r="AB21" s="25" t="inlineStr">
        <is>
          <t>Any role</t>
        </is>
      </c>
      <c r="AC21" s="195" t="n">
        <v>1</v>
      </c>
      <c r="AD21" s="25" t="inlineStr">
        <is>
          <t>any</t>
        </is>
      </c>
      <c r="AE21" s="25" t="inlineStr">
        <is>
          <t>any</t>
        </is>
      </c>
      <c r="AF21" s="524" t="n">
        <v>0.02</v>
      </c>
      <c r="AG21" s="25" t="inlineStr">
        <is>
          <t>any</t>
        </is>
      </c>
      <c r="AH21" s="25" t="inlineStr">
        <is>
          <t>any</t>
        </is>
      </c>
      <c r="AI21" s="394" t="n"/>
      <c r="AJ21" s="437" t="n">
        <v>0</v>
      </c>
      <c r="AK21" s="437" t="n">
        <v>0</v>
      </c>
      <c r="AL21" s="437" t="n">
        <v>0</v>
      </c>
      <c r="AM21" s="48" t="n">
        <v>500</v>
      </c>
      <c r="AN21" s="48" t="n">
        <v>0</v>
      </c>
      <c r="AO21" s="48" t="n">
        <v>900</v>
      </c>
      <c r="AP21" s="48" t="n">
        <v>0</v>
      </c>
      <c r="AQ21" s="48" t="n">
        <v>0</v>
      </c>
      <c r="AR21" s="48" t="n">
        <v>0</v>
      </c>
      <c r="AS21" s="437" t="n">
        <v>0</v>
      </c>
    </row>
    <row r="22">
      <c r="A22" s="25" t="inlineStr">
        <is>
          <t>Task</t>
        </is>
      </c>
      <c r="B22" s="25" t="inlineStr">
        <is>
          <t>P-170</t>
        </is>
      </c>
      <c r="D22" s="25" t="inlineStr">
        <is>
          <t>Übergreifende Aufgaben</t>
        </is>
      </c>
      <c r="E22" s="25" t="inlineStr">
        <is>
          <t>Projektmanagement</t>
        </is>
      </c>
      <c r="M22" s="25" t="n"/>
      <c r="Q22" s="25" t="n"/>
      <c r="U22" s="194" t="n">
        <v>0</v>
      </c>
      <c r="V22" s="194" t="n">
        <v>0</v>
      </c>
      <c r="W22" s="194" t="n">
        <v>0</v>
      </c>
      <c r="X22" s="437" t="n">
        <v>0</v>
      </c>
      <c r="Y22" s="437" t="n">
        <v>0</v>
      </c>
      <c r="Z22" s="437" t="n">
        <v>0</v>
      </c>
      <c r="AA22" s="25" t="inlineStr">
        <is>
          <t>Any role</t>
        </is>
      </c>
      <c r="AB22" s="25" t="inlineStr">
        <is>
          <t>Any role</t>
        </is>
      </c>
      <c r="AC22" s="195" t="n">
        <v>1</v>
      </c>
      <c r="AD22" s="25" t="inlineStr">
        <is>
          <t>any</t>
        </is>
      </c>
      <c r="AE22" s="25" t="inlineStr">
        <is>
          <t>any</t>
        </is>
      </c>
      <c r="AF22" s="524" t="n">
        <v>0.02</v>
      </c>
      <c r="AG22" s="25" t="inlineStr">
        <is>
          <t>any</t>
        </is>
      </c>
      <c r="AH22" s="25" t="inlineStr">
        <is>
          <t>any</t>
        </is>
      </c>
      <c r="AI22" s="394" t="n"/>
      <c r="AJ22" s="437" t="n">
        <v>0</v>
      </c>
      <c r="AK22" s="437" t="n">
        <v>0</v>
      </c>
      <c r="AL22" s="437" t="n">
        <v>0</v>
      </c>
      <c r="AM22" s="48" t="n">
        <v>500</v>
      </c>
      <c r="AN22" s="48" t="n">
        <v>0</v>
      </c>
      <c r="AO22" s="48" t="n">
        <v>900</v>
      </c>
      <c r="AP22" s="48" t="n">
        <v>0</v>
      </c>
      <c r="AQ22" s="48" t="n">
        <v>0</v>
      </c>
      <c r="AR22" s="48" t="n">
        <v>0</v>
      </c>
      <c r="AS22" s="437" t="n">
        <v>0</v>
      </c>
    </row>
    <row r="23">
      <c r="A23" s="25" t="inlineStr">
        <is>
          <t>Task</t>
        </is>
      </c>
      <c r="B23" s="25" t="inlineStr">
        <is>
          <t>P-180</t>
        </is>
      </c>
      <c r="D23" s="25" t="inlineStr">
        <is>
          <t>Übergreifende Aufgaben</t>
        </is>
      </c>
      <c r="E23" s="25" t="inlineStr">
        <is>
          <t>Testmanagement</t>
        </is>
      </c>
      <c r="M23" s="25" t="n"/>
      <c r="Q23" s="25" t="n"/>
      <c r="U23" s="194" t="n">
        <v>0</v>
      </c>
      <c r="V23" s="194" t="n">
        <v>0</v>
      </c>
      <c r="W23" s="194" t="n">
        <v>0</v>
      </c>
      <c r="X23" s="437" t="n">
        <v>0</v>
      </c>
      <c r="Y23" s="437" t="n">
        <v>0</v>
      </c>
      <c r="Z23" s="437" t="n">
        <v>0</v>
      </c>
      <c r="AA23" s="25" t="inlineStr">
        <is>
          <t>Any role</t>
        </is>
      </c>
      <c r="AB23" s="25" t="inlineStr">
        <is>
          <t>Any role</t>
        </is>
      </c>
      <c r="AC23" s="195" t="n">
        <v>1</v>
      </c>
      <c r="AD23" s="25" t="inlineStr">
        <is>
          <t>any</t>
        </is>
      </c>
      <c r="AE23" s="25" t="inlineStr">
        <is>
          <t>any</t>
        </is>
      </c>
      <c r="AF23" s="524" t="n">
        <v>0.02</v>
      </c>
      <c r="AG23" s="25" t="inlineStr">
        <is>
          <t>any</t>
        </is>
      </c>
      <c r="AH23" s="25" t="inlineStr">
        <is>
          <t>any</t>
        </is>
      </c>
      <c r="AI23" s="394" t="n"/>
      <c r="AJ23" s="437" t="n">
        <v>0</v>
      </c>
      <c r="AK23" s="437" t="n">
        <v>0</v>
      </c>
      <c r="AL23" s="437" t="n">
        <v>0</v>
      </c>
      <c r="AM23" s="48" t="n">
        <v>500</v>
      </c>
      <c r="AN23" s="48" t="n">
        <v>0</v>
      </c>
      <c r="AO23" s="48" t="n">
        <v>900</v>
      </c>
      <c r="AP23" s="48" t="n">
        <v>0</v>
      </c>
      <c r="AQ23" s="48" t="n">
        <v>0</v>
      </c>
      <c r="AR23" s="48" t="n">
        <v>0</v>
      </c>
      <c r="AS23" s="437" t="n">
        <v>0</v>
      </c>
    </row>
    <row r="24">
      <c r="A24" s="25" t="inlineStr">
        <is>
          <t>Task</t>
        </is>
      </c>
      <c r="B24" s="25" t="inlineStr">
        <is>
          <t>P-190</t>
        </is>
      </c>
      <c r="D24" s="25" t="inlineStr">
        <is>
          <t>Übergreifende Aufgaben</t>
        </is>
      </c>
      <c r="E24" s="25" t="inlineStr">
        <is>
          <t>Architekturmanagement</t>
        </is>
      </c>
      <c r="M24" s="25" t="n"/>
      <c r="Q24" s="25" t="n"/>
      <c r="U24" s="194" t="n">
        <v>0</v>
      </c>
      <c r="V24" s="194" t="n">
        <v>0</v>
      </c>
      <c r="W24" s="194" t="n">
        <v>0</v>
      </c>
      <c r="X24" s="437" t="n">
        <v>0</v>
      </c>
      <c r="Y24" s="437" t="n">
        <v>0</v>
      </c>
      <c r="Z24" s="437" t="n">
        <v>0</v>
      </c>
      <c r="AA24" s="25" t="inlineStr">
        <is>
          <t>Any role</t>
        </is>
      </c>
      <c r="AB24" s="25" t="inlineStr">
        <is>
          <t>Any role</t>
        </is>
      </c>
      <c r="AC24" s="195" t="n">
        <v>1</v>
      </c>
      <c r="AD24" s="25" t="inlineStr">
        <is>
          <t>any</t>
        </is>
      </c>
      <c r="AE24" s="25" t="inlineStr">
        <is>
          <t>any</t>
        </is>
      </c>
      <c r="AF24" s="524" t="n">
        <v>0.02</v>
      </c>
      <c r="AG24" s="25" t="inlineStr">
        <is>
          <t>any</t>
        </is>
      </c>
      <c r="AH24" s="25" t="inlineStr">
        <is>
          <t>any</t>
        </is>
      </c>
      <c r="AI24" s="394" t="n"/>
      <c r="AJ24" s="437" t="n">
        <v>0</v>
      </c>
      <c r="AK24" s="437" t="n">
        <v>0</v>
      </c>
      <c r="AL24" s="437" t="n">
        <v>0</v>
      </c>
      <c r="AM24" s="48" t="n">
        <v>500</v>
      </c>
      <c r="AN24" s="48" t="n">
        <v>0</v>
      </c>
      <c r="AO24" s="48" t="n">
        <v>900</v>
      </c>
      <c r="AP24" s="48" t="n">
        <v>0</v>
      </c>
      <c r="AQ24" s="48" t="n">
        <v>0</v>
      </c>
      <c r="AR24" s="48" t="n">
        <v>0</v>
      </c>
      <c r="AS24" s="437" t="n">
        <v>0</v>
      </c>
    </row>
    <row r="25">
      <c r="A25" s="25" t="inlineStr">
        <is>
          <t>Task</t>
        </is>
      </c>
      <c r="B25" s="25" t="inlineStr">
        <is>
          <t>P-200</t>
        </is>
      </c>
      <c r="D25" s="25" t="inlineStr">
        <is>
          <t>Übergreifende Aufgaben</t>
        </is>
      </c>
      <c r="E25" s="25" t="inlineStr">
        <is>
          <t>DevOps Support</t>
        </is>
      </c>
      <c r="M25" s="25" t="n"/>
      <c r="Q25" s="25" t="n"/>
      <c r="U25" s="194" t="n">
        <v>0</v>
      </c>
      <c r="V25" s="194" t="n">
        <v>0</v>
      </c>
      <c r="W25" s="194" t="n">
        <v>0</v>
      </c>
      <c r="X25" s="437" t="n">
        <v>0</v>
      </c>
      <c r="Y25" s="437" t="n">
        <v>0</v>
      </c>
      <c r="Z25" s="437" t="n">
        <v>0</v>
      </c>
      <c r="AA25" s="25" t="inlineStr">
        <is>
          <t>Any role</t>
        </is>
      </c>
      <c r="AB25" s="25" t="inlineStr">
        <is>
          <t>Any role</t>
        </is>
      </c>
      <c r="AC25" s="195" t="n">
        <v>1</v>
      </c>
      <c r="AD25" s="25" t="inlineStr">
        <is>
          <t>any</t>
        </is>
      </c>
      <c r="AE25" s="25" t="inlineStr">
        <is>
          <t>any</t>
        </is>
      </c>
      <c r="AF25" s="524" t="n">
        <v>0.02</v>
      </c>
      <c r="AG25" s="25" t="inlineStr">
        <is>
          <t>any</t>
        </is>
      </c>
      <c r="AH25" s="25" t="inlineStr">
        <is>
          <t>any</t>
        </is>
      </c>
      <c r="AI25" s="394" t="n"/>
      <c r="AJ25" s="437" t="n">
        <v>0</v>
      </c>
      <c r="AK25" s="437" t="n">
        <v>0</v>
      </c>
      <c r="AL25" s="437" t="n">
        <v>0</v>
      </c>
      <c r="AM25" s="48" t="n">
        <v>500</v>
      </c>
      <c r="AN25" s="48" t="n">
        <v>0</v>
      </c>
      <c r="AO25" s="48" t="n">
        <v>900</v>
      </c>
      <c r="AP25" s="48" t="n">
        <v>0</v>
      </c>
      <c r="AQ25" s="48" t="n">
        <v>0</v>
      </c>
      <c r="AR25" s="48" t="n">
        <v>0</v>
      </c>
      <c r="AS25" s="437" t="n">
        <v>0</v>
      </c>
    </row>
    <row r="26">
      <c r="A26" s="25" t="inlineStr">
        <is>
          <t>Task</t>
        </is>
      </c>
      <c r="B26" s="25" t="inlineStr">
        <is>
          <t>P-210</t>
        </is>
      </c>
      <c r="D26" s="25" t="inlineStr">
        <is>
          <t>Übergreifende Aufgaben</t>
        </is>
      </c>
      <c r="E26" s="25" t="inlineStr">
        <is>
          <t>Smartshoremanagement</t>
        </is>
      </c>
      <c r="M26" s="25" t="n"/>
      <c r="Q26" s="25" t="n"/>
      <c r="U26" s="194" t="n">
        <v>0</v>
      </c>
      <c r="V26" s="194" t="n">
        <v>0</v>
      </c>
      <c r="W26" s="194" t="n">
        <v>0</v>
      </c>
      <c r="X26" s="437" t="n">
        <v>0</v>
      </c>
      <c r="Y26" s="437" t="n">
        <v>0</v>
      </c>
      <c r="Z26" s="437" t="n">
        <v>0</v>
      </c>
      <c r="AA26" s="25" t="inlineStr">
        <is>
          <t>Any role</t>
        </is>
      </c>
      <c r="AB26" s="25" t="inlineStr">
        <is>
          <t>Any role</t>
        </is>
      </c>
      <c r="AC26" s="195" t="n">
        <v>1</v>
      </c>
      <c r="AD26" s="25" t="inlineStr">
        <is>
          <t>any</t>
        </is>
      </c>
      <c r="AE26" s="25" t="inlineStr">
        <is>
          <t>any</t>
        </is>
      </c>
      <c r="AF26" s="524" t="n">
        <v>0.02</v>
      </c>
      <c r="AG26" s="25" t="inlineStr">
        <is>
          <t>any</t>
        </is>
      </c>
      <c r="AH26" s="25" t="inlineStr">
        <is>
          <t>any</t>
        </is>
      </c>
      <c r="AI26" s="394" t="n"/>
      <c r="AJ26" s="437" t="n">
        <v>0</v>
      </c>
      <c r="AK26" s="437" t="n">
        <v>0</v>
      </c>
      <c r="AL26" s="437" t="n">
        <v>0</v>
      </c>
      <c r="AM26" s="48" t="n">
        <v>500</v>
      </c>
      <c r="AN26" s="48" t="n">
        <v>0</v>
      </c>
      <c r="AO26" s="48" t="n">
        <v>900</v>
      </c>
      <c r="AP26" s="48" t="n">
        <v>0</v>
      </c>
      <c r="AQ26" s="48" t="n">
        <v>0</v>
      </c>
      <c r="AR26" s="48" t="n">
        <v>0</v>
      </c>
      <c r="AS26" s="437" t="n">
        <v>0</v>
      </c>
    </row>
    <row r="27">
      <c r="A27" s="25" t="inlineStr">
        <is>
          <t>Task</t>
        </is>
      </c>
      <c r="B27" s="25" t="inlineStr">
        <is>
          <t>P-220</t>
        </is>
      </c>
      <c r="D27" s="25" t="inlineStr">
        <is>
          <t>Übergreifende Aufgaben</t>
        </is>
      </c>
      <c r="E27" s="25" t="inlineStr">
        <is>
          <t>Projektmeetings</t>
        </is>
      </c>
      <c r="M27" s="25" t="n"/>
      <c r="Q27" s="25" t="n"/>
      <c r="U27" s="194" t="n">
        <v>0</v>
      </c>
      <c r="V27" s="194" t="n">
        <v>0</v>
      </c>
      <c r="W27" s="194" t="n">
        <v>0</v>
      </c>
      <c r="X27" s="437" t="n">
        <v>0</v>
      </c>
      <c r="Y27" s="437" t="n">
        <v>0</v>
      </c>
      <c r="Z27" s="437" t="n">
        <v>0</v>
      </c>
      <c r="AA27" s="25" t="inlineStr">
        <is>
          <t>Any role</t>
        </is>
      </c>
      <c r="AB27" s="25" t="inlineStr">
        <is>
          <t>Any role</t>
        </is>
      </c>
      <c r="AC27" s="195" t="n">
        <v>1</v>
      </c>
      <c r="AD27" s="25" t="inlineStr">
        <is>
          <t>any</t>
        </is>
      </c>
      <c r="AE27" s="25" t="inlineStr">
        <is>
          <t>any</t>
        </is>
      </c>
      <c r="AF27" s="524" t="n">
        <v>0.02</v>
      </c>
      <c r="AG27" s="25" t="inlineStr">
        <is>
          <t>any</t>
        </is>
      </c>
      <c r="AH27" s="25" t="inlineStr">
        <is>
          <t>any</t>
        </is>
      </c>
      <c r="AI27" s="394" t="n"/>
      <c r="AJ27" s="437" t="n">
        <v>0</v>
      </c>
      <c r="AK27" s="437" t="n">
        <v>0</v>
      </c>
      <c r="AL27" s="437" t="n">
        <v>0</v>
      </c>
      <c r="AM27" s="48" t="n">
        <v>500</v>
      </c>
      <c r="AN27" s="48" t="n">
        <v>0</v>
      </c>
      <c r="AO27" s="48" t="n">
        <v>900</v>
      </c>
      <c r="AP27" s="48" t="n">
        <v>0</v>
      </c>
      <c r="AQ27" s="48" t="n">
        <v>0</v>
      </c>
      <c r="AR27" s="48" t="n">
        <v>0</v>
      </c>
      <c r="AS27" s="437" t="n">
        <v>0</v>
      </c>
    </row>
    <row r="28">
      <c r="A28" s="25" t="inlineStr">
        <is>
          <t>Travel time</t>
        </is>
      </c>
      <c r="B28" s="25" t="inlineStr">
        <is>
          <t>P-230</t>
        </is>
      </c>
      <c r="D28" s="25" t="inlineStr">
        <is>
          <t>Übergreifende Aufgaben</t>
        </is>
      </c>
      <c r="E28" s="25" t="inlineStr">
        <is>
          <t>Reisezeiten</t>
        </is>
      </c>
      <c r="M28" s="25" t="n"/>
      <c r="Q28" s="25" t="n"/>
      <c r="U28" s="194" t="n">
        <v>0</v>
      </c>
      <c r="V28" s="194" t="n">
        <v>0</v>
      </c>
      <c r="W28" s="194" t="n">
        <v>0</v>
      </c>
      <c r="X28" s="437" t="n">
        <v>0</v>
      </c>
      <c r="Y28" s="437" t="n">
        <v>0</v>
      </c>
      <c r="Z28" s="437" t="n">
        <v>0</v>
      </c>
      <c r="AA28" s="25" t="inlineStr">
        <is>
          <t>Any role</t>
        </is>
      </c>
      <c r="AB28" s="25" t="inlineStr">
        <is>
          <t>Any role</t>
        </is>
      </c>
      <c r="AC28" s="195" t="n">
        <v>1</v>
      </c>
      <c r="AD28" s="25" t="inlineStr">
        <is>
          <t>any</t>
        </is>
      </c>
      <c r="AE28" s="25" t="inlineStr">
        <is>
          <t>any</t>
        </is>
      </c>
      <c r="AF28" s="524" t="n">
        <v>0.02</v>
      </c>
      <c r="AG28" s="25" t="inlineStr">
        <is>
          <t>any</t>
        </is>
      </c>
      <c r="AH28" s="25" t="inlineStr">
        <is>
          <t>any</t>
        </is>
      </c>
      <c r="AI28" s="394" t="n"/>
      <c r="AJ28" s="437" t="n">
        <v>0</v>
      </c>
      <c r="AK28" s="437" t="n">
        <v>0</v>
      </c>
      <c r="AL28" s="437" t="n">
        <v>0</v>
      </c>
      <c r="AM28" s="48" t="n">
        <v>500</v>
      </c>
      <c r="AN28" s="48" t="n">
        <v>0</v>
      </c>
      <c r="AO28" s="48" t="n">
        <v>450</v>
      </c>
      <c r="AP28" s="48" t="n">
        <v>0</v>
      </c>
      <c r="AQ28" s="48" t="n">
        <v>0</v>
      </c>
      <c r="AR28" s="48" t="n">
        <v>0</v>
      </c>
      <c r="AS28" s="437" t="n">
        <v>0</v>
      </c>
    </row>
    <row r="29">
      <c r="A29" s="25" t="inlineStr">
        <is>
          <t>Warranty</t>
        </is>
      </c>
      <c r="B29" s="25" t="inlineStr">
        <is>
          <t>P-250</t>
        </is>
      </c>
      <c r="D29" s="25" t="inlineStr">
        <is>
          <t>Gewährleistung</t>
        </is>
      </c>
      <c r="E29" s="25" t="inlineStr">
        <is>
          <t>Gewährleistung</t>
        </is>
      </c>
      <c r="M29" s="25" t="n"/>
      <c r="Q29" s="25" t="n"/>
      <c r="U29" s="194" t="n">
        <v>0</v>
      </c>
      <c r="V29" s="194" t="n">
        <v>0</v>
      </c>
      <c r="W29" s="194" t="n">
        <v>0</v>
      </c>
      <c r="X29" s="437" t="n">
        <v>0</v>
      </c>
      <c r="Y29" s="437" t="n">
        <v>0</v>
      </c>
      <c r="Z29" s="437" t="n">
        <v>0</v>
      </c>
      <c r="AA29" s="25" t="inlineStr">
        <is>
          <t>Any role</t>
        </is>
      </c>
      <c r="AB29" s="25" t="inlineStr">
        <is>
          <t>Any role</t>
        </is>
      </c>
      <c r="AC29" s="195" t="n">
        <v>1</v>
      </c>
      <c r="AD29" s="25" t="inlineStr">
        <is>
          <t>any</t>
        </is>
      </c>
      <c r="AE29" s="25" t="inlineStr">
        <is>
          <t>any</t>
        </is>
      </c>
      <c r="AF29" s="524" t="n">
        <v>0.02</v>
      </c>
      <c r="AG29" s="25" t="inlineStr">
        <is>
          <t>any</t>
        </is>
      </c>
      <c r="AH29" s="25" t="inlineStr">
        <is>
          <t>any</t>
        </is>
      </c>
      <c r="AI29" s="394" t="n"/>
      <c r="AJ29" s="437" t="n">
        <v>0</v>
      </c>
      <c r="AK29" s="437" t="n">
        <v>0</v>
      </c>
      <c r="AL29" s="437" t="n">
        <v>0</v>
      </c>
      <c r="AM29" s="48" t="n">
        <v>500</v>
      </c>
      <c r="AN29" s="48" t="n">
        <v>0</v>
      </c>
      <c r="AO29" s="48" t="n">
        <v>900</v>
      </c>
      <c r="AP29" s="48" t="n">
        <v>0</v>
      </c>
      <c r="AQ29" s="48" t="n">
        <v>0</v>
      </c>
      <c r="AR29" s="48" t="n">
        <v>0</v>
      </c>
      <c r="AS29" s="437" t="n">
        <v>0</v>
      </c>
    </row>
    <row r="30">
      <c r="M30" s="25" t="n"/>
      <c r="Q30" s="25" t="n"/>
      <c r="U30" s="194" t="n"/>
      <c r="AA30" s="25" t="n"/>
      <c r="AB30" s="25" t="n"/>
      <c r="AC30" s="195" t="n"/>
      <c r="AD30" s="25" t="n"/>
      <c r="AE30" s="25" t="n"/>
      <c r="AG30" s="25" t="n"/>
      <c r="AH30" s="25" t="n"/>
      <c r="AI30" s="394" t="n"/>
      <c r="AM30" s="48" t="n"/>
      <c r="AN30" s="48" t="n"/>
      <c r="AO30" s="48" t="n"/>
    </row>
    <row r="31">
      <c r="M31" s="25" t="n"/>
      <c r="Q31" s="25" t="n"/>
      <c r="U31" s="194" t="n"/>
      <c r="AA31" s="25" t="n"/>
      <c r="AB31" s="25" t="n"/>
      <c r="AC31" s="195" t="n"/>
      <c r="AD31" s="25" t="n"/>
      <c r="AE31" s="25" t="n"/>
      <c r="AG31" s="25" t="n"/>
      <c r="AH31" s="25" t="n"/>
      <c r="AI31" s="394" t="n"/>
      <c r="AM31" s="48" t="n"/>
      <c r="AN31" s="48" t="n"/>
      <c r="AO31" s="48" t="n"/>
    </row>
    <row r="32">
      <c r="M32" s="25" t="n"/>
      <c r="Q32" s="25" t="n"/>
      <c r="U32" s="194" t="n"/>
      <c r="AA32" s="25" t="n"/>
      <c r="AB32" s="25" t="n"/>
      <c r="AC32" s="195" t="n"/>
      <c r="AD32" s="25" t="n"/>
      <c r="AE32" s="25" t="n"/>
      <c r="AG32" s="25" t="n"/>
      <c r="AH32" s="25" t="n"/>
      <c r="AI32" s="394" t="n"/>
      <c r="AM32" s="48" t="n"/>
      <c r="AN32" s="48" t="n"/>
      <c r="AO32" s="48" t="n"/>
    </row>
    <row r="33">
      <c r="M33" s="25" t="n"/>
      <c r="Q33" s="25" t="n"/>
      <c r="U33" s="194" t="n"/>
      <c r="AA33" s="25" t="n"/>
      <c r="AB33" s="25" t="n"/>
      <c r="AC33" s="195" t="n"/>
      <c r="AD33" s="25" t="n"/>
      <c r="AE33" s="25" t="n"/>
      <c r="AG33" s="25" t="n"/>
      <c r="AH33" s="25" t="n"/>
      <c r="AI33" s="394" t="n"/>
      <c r="AM33" s="48" t="n"/>
      <c r="AN33" s="48" t="n"/>
      <c r="AO33" s="48" t="n"/>
    </row>
    <row r="34">
      <c r="M34" s="25" t="n"/>
      <c r="Q34" s="25" t="n"/>
      <c r="U34" s="194" t="n"/>
      <c r="AA34" s="25" t="n"/>
      <c r="AB34" s="25" t="n"/>
      <c r="AC34" s="195" t="n"/>
      <c r="AD34" s="25" t="n"/>
      <c r="AE34" s="25" t="n"/>
      <c r="AG34" s="25" t="n"/>
      <c r="AH34" s="25" t="n"/>
      <c r="AI34" s="394" t="n"/>
      <c r="AM34" s="48" t="n"/>
      <c r="AN34" s="48" t="n"/>
      <c r="AO34" s="48" t="n"/>
    </row>
    <row r="35">
      <c r="M35" s="25" t="n"/>
      <c r="Q35" s="25" t="n"/>
      <c r="U35" s="194" t="n"/>
      <c r="AA35" s="25" t="n"/>
      <c r="AB35" s="25" t="n"/>
      <c r="AC35" s="195" t="n"/>
      <c r="AD35" s="25" t="n"/>
      <c r="AE35" s="25" t="n"/>
      <c r="AG35" s="25" t="n"/>
      <c r="AH35" s="25" t="n"/>
      <c r="AI35" s="394" t="n"/>
      <c r="AM35" s="48" t="n"/>
      <c r="AN35" s="48" t="n"/>
      <c r="AO35" s="48" t="n"/>
    </row>
    <row r="36">
      <c r="M36" s="25" t="n"/>
      <c r="Q36" s="25" t="n"/>
      <c r="U36" s="194" t="n"/>
      <c r="AA36" s="25" t="n"/>
      <c r="AB36" s="25" t="n"/>
      <c r="AC36" s="195" t="n"/>
      <c r="AD36" s="25" t="n"/>
      <c r="AE36" s="25" t="n"/>
      <c r="AG36" s="25" t="n"/>
      <c r="AH36" s="25" t="n"/>
      <c r="AI36" s="394" t="n"/>
      <c r="AM36" s="48" t="n"/>
      <c r="AN36" s="48" t="n"/>
      <c r="AO36" s="48" t="n"/>
    </row>
    <row r="37">
      <c r="M37" s="25" t="n"/>
      <c r="Q37" s="25" t="n"/>
      <c r="U37" s="194" t="n"/>
      <c r="AA37" s="25" t="n"/>
      <c r="AB37" s="25" t="n"/>
      <c r="AC37" s="195" t="n"/>
      <c r="AD37" s="25" t="n"/>
      <c r="AE37" s="25" t="n"/>
      <c r="AG37" s="25" t="n"/>
      <c r="AH37" s="25" t="n"/>
      <c r="AI37" s="394" t="n"/>
      <c r="AM37" s="48" t="n"/>
      <c r="AN37" s="48" t="n"/>
      <c r="AO37" s="48" t="n"/>
    </row>
    <row r="38">
      <c r="M38" s="25" t="n"/>
      <c r="Q38" s="25" t="n"/>
      <c r="U38" s="194" t="n"/>
      <c r="AA38" s="25" t="n"/>
      <c r="AB38" s="25" t="n"/>
      <c r="AC38" s="195" t="n"/>
      <c r="AD38" s="25" t="n"/>
      <c r="AE38" s="25" t="n"/>
      <c r="AG38" s="25" t="n"/>
      <c r="AH38" s="25" t="n"/>
      <c r="AI38" s="394" t="n"/>
      <c r="AM38" s="48" t="n"/>
      <c r="AN38" s="48" t="n"/>
      <c r="AO38" s="48" t="n"/>
    </row>
    <row r="39">
      <c r="M39" s="25" t="n"/>
      <c r="Q39" s="25" t="n"/>
      <c r="U39" s="194" t="n"/>
      <c r="AA39" s="25" t="n"/>
      <c r="AB39" s="25" t="n"/>
      <c r="AC39" s="195" t="n"/>
      <c r="AD39" s="25" t="n"/>
      <c r="AE39" s="25" t="n"/>
      <c r="AG39" s="25" t="n"/>
      <c r="AH39" s="25" t="n"/>
      <c r="AI39" s="394" t="n"/>
      <c r="AM39" s="48" t="n"/>
      <c r="AN39" s="48" t="n"/>
      <c r="AO39" s="48" t="n"/>
    </row>
    <row r="40">
      <c r="M40" s="25" t="n"/>
      <c r="Q40" s="25" t="n"/>
      <c r="U40" s="194" t="n"/>
      <c r="AA40" s="25" t="n"/>
      <c r="AB40" s="25" t="n"/>
      <c r="AC40" s="195" t="n"/>
      <c r="AD40" s="25" t="n"/>
      <c r="AE40" s="25" t="n"/>
      <c r="AG40" s="25" t="n"/>
      <c r="AH40" s="25" t="n"/>
      <c r="AI40" s="394" t="n"/>
      <c r="AM40" s="48" t="n"/>
      <c r="AN40" s="48" t="n"/>
      <c r="AO40" s="48" t="n"/>
    </row>
    <row r="41">
      <c r="M41" s="25" t="n"/>
      <c r="Q41" s="25" t="n"/>
      <c r="U41" s="194" t="n"/>
      <c r="AA41" s="25" t="n"/>
      <c r="AB41" s="25" t="n"/>
      <c r="AC41" s="195" t="n"/>
      <c r="AD41" s="25" t="n"/>
      <c r="AE41" s="25" t="n"/>
      <c r="AG41" s="25" t="n"/>
      <c r="AH41" s="25" t="n"/>
      <c r="AI41" s="394" t="n"/>
      <c r="AM41" s="48" t="n"/>
      <c r="AN41" s="48" t="n"/>
      <c r="AO41" s="48" t="n"/>
    </row>
    <row r="42">
      <c r="M42" s="25" t="n"/>
      <c r="Q42" s="25" t="n"/>
      <c r="U42" s="194" t="n"/>
      <c r="AA42" s="25" t="n"/>
      <c r="AB42" s="25" t="n"/>
      <c r="AC42" s="195" t="n"/>
      <c r="AD42" s="25" t="n"/>
      <c r="AE42" s="25" t="n"/>
      <c r="AG42" s="25" t="n"/>
      <c r="AH42" s="25" t="n"/>
      <c r="AI42" s="394" t="n"/>
      <c r="AM42" s="48" t="n"/>
      <c r="AN42" s="48" t="n"/>
      <c r="AO42" s="48" t="n"/>
    </row>
    <row r="43">
      <c r="M43" s="25" t="n"/>
      <c r="Q43" s="25" t="n"/>
      <c r="U43" s="194" t="n"/>
      <c r="AA43" s="25" t="n"/>
      <c r="AB43" s="25" t="n"/>
      <c r="AC43" s="195" t="n"/>
      <c r="AD43" s="25" t="n"/>
      <c r="AE43" s="25" t="n"/>
      <c r="AG43" s="25" t="n"/>
      <c r="AH43" s="25" t="n"/>
      <c r="AI43" s="394" t="n"/>
      <c r="AM43" s="48" t="n"/>
      <c r="AN43" s="48" t="n"/>
      <c r="AO43" s="48" t="n"/>
    </row>
    <row r="44">
      <c r="M44" s="25" t="n"/>
      <c r="Q44" s="25" t="n"/>
      <c r="U44" s="194" t="n"/>
      <c r="AA44" s="25" t="n"/>
      <c r="AB44" s="25" t="n"/>
      <c r="AC44" s="195" t="n"/>
      <c r="AD44" s="25" t="n"/>
      <c r="AE44" s="25" t="n"/>
      <c r="AG44" s="25" t="n"/>
      <c r="AH44" s="25" t="n"/>
      <c r="AI44" s="394" t="n"/>
      <c r="AM44" s="48" t="n"/>
      <c r="AN44" s="48" t="n"/>
      <c r="AO44" s="48" t="n"/>
    </row>
    <row r="45">
      <c r="M45" s="25" t="n"/>
      <c r="Q45" s="25" t="n"/>
      <c r="U45" s="194" t="n"/>
      <c r="AA45" s="25" t="n"/>
      <c r="AB45" s="25" t="n"/>
      <c r="AC45" s="195" t="n"/>
      <c r="AD45" s="25" t="n"/>
      <c r="AE45" s="25" t="n"/>
      <c r="AG45" s="25" t="n"/>
      <c r="AH45" s="25" t="n"/>
      <c r="AI45" s="394" t="n"/>
      <c r="AM45" s="48" t="n"/>
      <c r="AN45" s="48" t="n"/>
      <c r="AO45" s="48" t="n"/>
    </row>
    <row r="46">
      <c r="M46" s="25" t="n"/>
      <c r="Q46" s="25" t="n"/>
      <c r="U46" s="194" t="n"/>
      <c r="AA46" s="25" t="n"/>
      <c r="AB46" s="25" t="n"/>
      <c r="AC46" s="195" t="n"/>
      <c r="AD46" s="25" t="n"/>
      <c r="AE46" s="25" t="n"/>
      <c r="AG46" s="25" t="n"/>
      <c r="AH46" s="25" t="n"/>
      <c r="AI46" s="394" t="n"/>
      <c r="AM46" s="48" t="n"/>
      <c r="AN46" s="48" t="n"/>
      <c r="AO46" s="48" t="n"/>
    </row>
    <row r="47">
      <c r="M47" s="25" t="n"/>
      <c r="Q47" s="25" t="n"/>
      <c r="U47" s="194" t="n"/>
      <c r="AA47" s="25" t="n"/>
      <c r="AB47" s="25" t="n"/>
      <c r="AC47" s="195" t="n"/>
      <c r="AD47" s="25" t="n"/>
      <c r="AE47" s="25" t="n"/>
      <c r="AG47" s="25" t="n"/>
      <c r="AH47" s="25" t="n"/>
      <c r="AI47" s="394" t="n"/>
      <c r="AM47" s="48" t="n"/>
      <c r="AN47" s="48" t="n"/>
      <c r="AO47" s="48" t="n"/>
    </row>
    <row r="48">
      <c r="M48" s="25" t="n"/>
      <c r="Q48" s="25" t="n"/>
      <c r="U48" s="194" t="n"/>
      <c r="AA48" s="25" t="n"/>
      <c r="AB48" s="25" t="n"/>
      <c r="AC48" s="195" t="n"/>
      <c r="AD48" s="25" t="n"/>
      <c r="AE48" s="25" t="n"/>
      <c r="AG48" s="25" t="n"/>
      <c r="AH48" s="25" t="n"/>
      <c r="AI48" s="394" t="n"/>
      <c r="AM48" s="48" t="n"/>
      <c r="AN48" s="48" t="n"/>
      <c r="AO48" s="48" t="n"/>
    </row>
    <row r="49">
      <c r="M49" s="25" t="n"/>
      <c r="Q49" s="25" t="n"/>
      <c r="U49" s="194" t="n"/>
      <c r="AA49" s="25" t="n"/>
      <c r="AB49" s="25" t="n"/>
      <c r="AC49" s="195" t="n"/>
      <c r="AD49" s="25" t="n"/>
      <c r="AE49" s="25" t="n"/>
      <c r="AG49" s="25" t="n"/>
      <c r="AH49" s="25" t="n"/>
      <c r="AI49" s="394" t="n"/>
      <c r="AM49" s="48" t="n"/>
      <c r="AN49" s="48" t="n"/>
      <c r="AO49" s="48" t="n"/>
    </row>
    <row r="50">
      <c r="M50" s="25" t="n"/>
      <c r="Q50" s="25" t="n"/>
      <c r="U50" s="194" t="n"/>
      <c r="AA50" s="25" t="n"/>
      <c r="AB50" s="25" t="n"/>
      <c r="AC50" s="195" t="n"/>
      <c r="AD50" s="25" t="n"/>
      <c r="AE50" s="25" t="n"/>
      <c r="AG50" s="25" t="n"/>
      <c r="AH50" s="25" t="n"/>
      <c r="AI50" s="394" t="n"/>
      <c r="AM50" s="48" t="n"/>
      <c r="AN50" s="48" t="n"/>
      <c r="AO50" s="48" t="n"/>
    </row>
    <row r="51">
      <c r="M51" s="25" t="n"/>
      <c r="Q51" s="25" t="n"/>
      <c r="U51" s="194" t="n"/>
      <c r="AA51" s="25" t="n"/>
      <c r="AB51" s="25" t="n"/>
      <c r="AC51" s="195" t="n"/>
      <c r="AD51" s="25" t="n"/>
      <c r="AE51" s="25" t="n"/>
      <c r="AG51" s="25" t="n"/>
      <c r="AH51" s="25" t="n"/>
      <c r="AI51" s="394" t="n"/>
      <c r="AM51" s="48" t="n"/>
      <c r="AN51" s="48" t="n"/>
      <c r="AO51" s="48" t="n"/>
    </row>
    <row r="52">
      <c r="M52" s="25" t="n"/>
      <c r="Q52" s="25" t="n"/>
      <c r="U52" s="194" t="n"/>
      <c r="AA52" s="25" t="n"/>
      <c r="AB52" s="25" t="n"/>
      <c r="AC52" s="195" t="n"/>
      <c r="AD52" s="25" t="n"/>
      <c r="AE52" s="25" t="n"/>
      <c r="AG52" s="25" t="n"/>
      <c r="AH52" s="25" t="n"/>
      <c r="AI52" s="394" t="n"/>
      <c r="AM52" s="48" t="n"/>
      <c r="AN52" s="48" t="n"/>
      <c r="AO52" s="48" t="n"/>
    </row>
    <row r="53">
      <c r="M53" s="25" t="n"/>
      <c r="Q53" s="25" t="n"/>
      <c r="U53" s="194" t="n"/>
      <c r="AA53" s="25" t="n"/>
      <c r="AB53" s="25" t="n"/>
      <c r="AC53" s="195" t="n"/>
      <c r="AD53" s="25" t="n"/>
      <c r="AE53" s="25" t="n"/>
      <c r="AG53" s="25" t="n"/>
      <c r="AH53" s="25" t="n"/>
      <c r="AI53" s="394" t="n"/>
      <c r="AM53" s="48" t="n"/>
      <c r="AN53" s="48" t="n"/>
      <c r="AO53" s="48" t="n"/>
    </row>
    <row r="54">
      <c r="M54" s="25" t="n"/>
      <c r="Q54" s="25" t="n"/>
      <c r="U54" s="194" t="n"/>
      <c r="AA54" s="25" t="n"/>
      <c r="AB54" s="25" t="n"/>
      <c r="AC54" s="195" t="n"/>
      <c r="AD54" s="25" t="n"/>
      <c r="AE54" s="25" t="n"/>
      <c r="AG54" s="25" t="n"/>
      <c r="AH54" s="25" t="n"/>
      <c r="AI54" s="394" t="n"/>
      <c r="AM54" s="48" t="n"/>
      <c r="AN54" s="48" t="n"/>
      <c r="AO54" s="48" t="n"/>
    </row>
    <row r="55">
      <c r="M55" s="25" t="n"/>
      <c r="Q55" s="25" t="n"/>
      <c r="U55" s="194" t="n"/>
      <c r="AA55" s="25" t="n"/>
      <c r="AB55" s="25" t="n"/>
      <c r="AC55" s="195" t="n"/>
      <c r="AD55" s="25" t="n"/>
      <c r="AE55" s="25" t="n"/>
      <c r="AG55" s="25" t="n"/>
      <c r="AH55" s="25" t="n"/>
      <c r="AI55" s="394" t="n"/>
      <c r="AM55" s="48" t="n"/>
      <c r="AN55" s="48" t="n"/>
      <c r="AO55" s="48" t="n"/>
    </row>
    <row r="56">
      <c r="M56" s="25" t="n"/>
      <c r="Q56" s="25" t="n"/>
      <c r="U56" s="194" t="n"/>
      <c r="AA56" s="25" t="n"/>
      <c r="AB56" s="25" t="n"/>
      <c r="AC56" s="195" t="n"/>
      <c r="AD56" s="25" t="n"/>
      <c r="AE56" s="25" t="n"/>
      <c r="AG56" s="25" t="n"/>
      <c r="AH56" s="25" t="n"/>
      <c r="AI56" s="394" t="n"/>
      <c r="AM56" s="48" t="n"/>
      <c r="AN56" s="48" t="n"/>
      <c r="AO56" s="48" t="n"/>
    </row>
    <row r="57">
      <c r="M57" s="25" t="n"/>
      <c r="Q57" s="25" t="n"/>
      <c r="U57" s="194" t="n"/>
      <c r="AA57" s="25" t="n"/>
      <c r="AB57" s="25" t="n"/>
      <c r="AC57" s="195" t="n"/>
      <c r="AD57" s="25" t="n"/>
      <c r="AE57" s="25" t="n"/>
      <c r="AG57" s="25" t="n"/>
      <c r="AH57" s="25" t="n"/>
      <c r="AI57" s="394" t="n"/>
      <c r="AM57" s="48" t="n"/>
      <c r="AN57" s="48" t="n"/>
      <c r="AO57" s="48" t="n"/>
    </row>
    <row r="58">
      <c r="M58" s="25" t="n"/>
      <c r="Q58" s="25" t="n"/>
      <c r="U58" s="194" t="n"/>
      <c r="AA58" s="25" t="n"/>
      <c r="AB58" s="25" t="n"/>
      <c r="AC58" s="195" t="n"/>
      <c r="AD58" s="25" t="n"/>
      <c r="AE58" s="25" t="n"/>
      <c r="AG58" s="25" t="n"/>
      <c r="AH58" s="25" t="n"/>
      <c r="AI58" s="394" t="n"/>
      <c r="AM58" s="48" t="n"/>
      <c r="AN58" s="48" t="n"/>
      <c r="AO58" s="48" t="n"/>
    </row>
    <row r="59">
      <c r="M59" s="25" t="n"/>
      <c r="Q59" s="25" t="n"/>
      <c r="U59" s="194" t="n"/>
      <c r="AA59" s="25" t="n"/>
      <c r="AB59" s="25" t="n"/>
      <c r="AC59" s="195" t="n"/>
      <c r="AD59" s="25" t="n"/>
      <c r="AE59" s="25" t="n"/>
      <c r="AG59" s="25" t="n"/>
      <c r="AH59" s="25" t="n"/>
      <c r="AI59" s="394" t="n"/>
      <c r="AM59" s="48" t="n"/>
      <c r="AN59" s="48" t="n"/>
      <c r="AO59" s="48" t="n"/>
    </row>
    <row r="60">
      <c r="M60" s="25" t="n"/>
      <c r="Q60" s="25" t="n"/>
      <c r="U60" s="194" t="n"/>
      <c r="AA60" s="25" t="n"/>
      <c r="AB60" s="25" t="n"/>
      <c r="AC60" s="195" t="n"/>
      <c r="AD60" s="25" t="n"/>
      <c r="AE60" s="25" t="n"/>
      <c r="AG60" s="25" t="n"/>
      <c r="AH60" s="25" t="n"/>
      <c r="AI60" s="394" t="n"/>
      <c r="AM60" s="48" t="n"/>
      <c r="AN60" s="48" t="n"/>
      <c r="AO60" s="48" t="n"/>
    </row>
    <row r="61">
      <c r="M61" s="25" t="n"/>
      <c r="Q61" s="25" t="n"/>
      <c r="U61" s="194" t="n"/>
      <c r="AA61" s="25" t="n"/>
      <c r="AB61" s="25" t="n"/>
      <c r="AC61" s="195" t="n"/>
      <c r="AD61" s="25" t="n"/>
      <c r="AE61" s="25" t="n"/>
      <c r="AG61" s="25" t="n"/>
      <c r="AH61" s="25" t="n"/>
      <c r="AI61" s="394" t="n"/>
      <c r="AM61" s="48" t="n"/>
      <c r="AN61" s="48" t="n"/>
      <c r="AO61" s="48" t="n"/>
    </row>
    <row r="62">
      <c r="M62" s="25" t="n"/>
      <c r="Q62" s="25" t="n"/>
      <c r="U62" s="194" t="n"/>
      <c r="AA62" s="25" t="n"/>
      <c r="AB62" s="25" t="n"/>
      <c r="AC62" s="195" t="n"/>
      <c r="AD62" s="25" t="n"/>
      <c r="AE62" s="25" t="n"/>
      <c r="AG62" s="25" t="n"/>
      <c r="AH62" s="25" t="n"/>
      <c r="AI62" s="394" t="n"/>
      <c r="AM62" s="48" t="n"/>
      <c r="AN62" s="48" t="n"/>
      <c r="AO62" s="48" t="n"/>
    </row>
    <row r="63">
      <c r="M63" s="25" t="n"/>
      <c r="Q63" s="25" t="n"/>
      <c r="U63" s="194" t="n"/>
      <c r="AA63" s="25" t="n"/>
      <c r="AB63" s="25" t="n"/>
      <c r="AC63" s="195" t="n"/>
      <c r="AD63" s="25" t="n"/>
      <c r="AE63" s="25" t="n"/>
      <c r="AG63" s="25" t="n"/>
      <c r="AH63" s="25" t="n"/>
      <c r="AI63" s="394" t="n"/>
      <c r="AM63" s="48" t="n"/>
      <c r="AN63" s="48" t="n"/>
      <c r="AO63" s="48" t="n"/>
    </row>
    <row r="64">
      <c r="M64" s="25" t="n"/>
      <c r="Q64" s="25" t="n"/>
      <c r="U64" s="194" t="n"/>
      <c r="AA64" s="25" t="n"/>
      <c r="AB64" s="25" t="n"/>
      <c r="AC64" s="195" t="n"/>
      <c r="AD64" s="25" t="n"/>
      <c r="AE64" s="25" t="n"/>
      <c r="AG64" s="25" t="n"/>
      <c r="AH64" s="25" t="n"/>
      <c r="AI64" s="394" t="n"/>
      <c r="AM64" s="48" t="n"/>
      <c r="AN64" s="48" t="n"/>
      <c r="AO64" s="48" t="n"/>
    </row>
    <row r="65">
      <c r="M65" s="25" t="n"/>
      <c r="Q65" s="25" t="n"/>
      <c r="U65" s="194" t="n"/>
      <c r="AA65" s="25" t="n"/>
      <c r="AB65" s="25" t="n"/>
      <c r="AC65" s="195" t="n"/>
      <c r="AD65" s="25" t="n"/>
      <c r="AE65" s="25" t="n"/>
      <c r="AG65" s="25" t="n"/>
      <c r="AH65" s="25" t="n"/>
      <c r="AI65" s="394" t="n"/>
      <c r="AM65" s="48" t="n"/>
      <c r="AN65" s="48" t="n"/>
      <c r="AO65" s="48" t="n"/>
    </row>
    <row r="66">
      <c r="M66" s="25" t="n"/>
      <c r="Q66" s="25" t="n"/>
      <c r="U66" s="194" t="n"/>
      <c r="AA66" s="25" t="n"/>
      <c r="AB66" s="25" t="n"/>
      <c r="AC66" s="195" t="n"/>
      <c r="AD66" s="25" t="n"/>
      <c r="AE66" s="25" t="n"/>
      <c r="AG66" s="25" t="n"/>
      <c r="AH66" s="25" t="n"/>
      <c r="AI66" s="394" t="n"/>
      <c r="AM66" s="48" t="n"/>
      <c r="AN66" s="48" t="n"/>
      <c r="AO66" s="48" t="n"/>
    </row>
    <row r="67">
      <c r="M67" s="25" t="n"/>
      <c r="Q67" s="25" t="n"/>
      <c r="U67" s="194" t="n"/>
      <c r="AA67" s="25" t="n"/>
      <c r="AB67" s="25" t="n"/>
      <c r="AC67" s="195" t="n"/>
      <c r="AD67" s="25" t="n"/>
      <c r="AE67" s="25" t="n"/>
      <c r="AG67" s="25" t="n"/>
      <c r="AH67" s="25" t="n"/>
      <c r="AI67" s="394" t="n"/>
      <c r="AM67" s="48" t="n"/>
      <c r="AN67" s="48" t="n"/>
      <c r="AO67" s="48" t="n"/>
    </row>
    <row r="68">
      <c r="M68" s="25" t="n"/>
      <c r="Q68" s="25" t="n"/>
      <c r="U68" s="194" t="n"/>
      <c r="AA68" s="25" t="n"/>
      <c r="AB68" s="25" t="n"/>
      <c r="AC68" s="195" t="n"/>
      <c r="AD68" s="25" t="n"/>
      <c r="AE68" s="25" t="n"/>
      <c r="AG68" s="25" t="n"/>
      <c r="AH68" s="25" t="n"/>
      <c r="AI68" s="394" t="n"/>
      <c r="AM68" s="48" t="n"/>
      <c r="AN68" s="48" t="n"/>
      <c r="AO68" s="48" t="n"/>
    </row>
    <row r="69">
      <c r="M69" s="25" t="n"/>
      <c r="Q69" s="25" t="n"/>
      <c r="U69" s="194" t="n"/>
      <c r="AA69" s="25" t="n"/>
      <c r="AB69" s="25" t="n"/>
      <c r="AC69" s="195" t="n"/>
      <c r="AD69" s="25" t="n"/>
      <c r="AE69" s="25" t="n"/>
      <c r="AG69" s="25" t="n"/>
      <c r="AH69" s="25" t="n"/>
      <c r="AI69" s="394" t="n"/>
      <c r="AM69" s="48" t="n"/>
      <c r="AN69" s="48" t="n"/>
      <c r="AO69" s="48" t="n"/>
    </row>
    <row r="70">
      <c r="M70" s="25" t="n"/>
      <c r="Q70" s="25" t="n"/>
      <c r="U70" s="194" t="n"/>
      <c r="AA70" s="25" t="n"/>
      <c r="AB70" s="25" t="n"/>
      <c r="AC70" s="195" t="n"/>
      <c r="AD70" s="25" t="n"/>
      <c r="AE70" s="25" t="n"/>
      <c r="AG70" s="25" t="n"/>
      <c r="AH70" s="25" t="n"/>
      <c r="AI70" s="394" t="n"/>
      <c r="AM70" s="48" t="n"/>
      <c r="AN70" s="48" t="n"/>
      <c r="AO70" s="48" t="n"/>
    </row>
    <row r="71">
      <c r="M71" s="25" t="n"/>
      <c r="Q71" s="25" t="n"/>
      <c r="U71" s="194" t="n"/>
      <c r="AA71" s="25" t="n"/>
      <c r="AB71" s="25" t="n"/>
      <c r="AC71" s="195" t="n"/>
      <c r="AD71" s="25" t="n"/>
      <c r="AE71" s="25" t="n"/>
      <c r="AG71" s="25" t="n"/>
      <c r="AH71" s="25" t="n"/>
      <c r="AI71" s="394" t="n"/>
      <c r="AM71" s="48" t="n"/>
      <c r="AN71" s="48" t="n"/>
      <c r="AO71" s="48" t="n"/>
    </row>
    <row r="72">
      <c r="M72" s="25" t="n"/>
      <c r="Q72" s="25" t="n"/>
      <c r="U72" s="194" t="n"/>
      <c r="AA72" s="25" t="n"/>
      <c r="AB72" s="25" t="n"/>
      <c r="AC72" s="195" t="n"/>
      <c r="AD72" s="25" t="n"/>
      <c r="AE72" s="25" t="n"/>
      <c r="AG72" s="25" t="n"/>
      <c r="AH72" s="25" t="n"/>
      <c r="AI72" s="394" t="n"/>
      <c r="AM72" s="48" t="n"/>
      <c r="AN72" s="48" t="n"/>
      <c r="AO72" s="48" t="n"/>
    </row>
    <row r="73">
      <c r="M73" s="25" t="n"/>
      <c r="Q73" s="25" t="n"/>
      <c r="U73" s="194" t="n"/>
      <c r="AA73" s="25" t="n"/>
      <c r="AB73" s="25" t="n"/>
      <c r="AC73" s="195" t="n"/>
      <c r="AD73" s="25" t="n"/>
      <c r="AE73" s="25" t="n"/>
      <c r="AG73" s="25" t="n"/>
      <c r="AH73" s="25" t="n"/>
      <c r="AI73" s="394" t="n"/>
      <c r="AM73" s="48" t="n"/>
      <c r="AN73" s="48" t="n"/>
      <c r="AO73" s="48" t="n"/>
    </row>
    <row r="74">
      <c r="M74" s="25" t="n"/>
      <c r="Q74" s="25" t="n"/>
      <c r="U74" s="194" t="n"/>
      <c r="AA74" s="25" t="n"/>
      <c r="AB74" s="25" t="n"/>
      <c r="AC74" s="195" t="n"/>
      <c r="AD74" s="25" t="n"/>
      <c r="AE74" s="25" t="n"/>
      <c r="AG74" s="25" t="n"/>
      <c r="AH74" s="25" t="n"/>
      <c r="AI74" s="394" t="n"/>
      <c r="AM74" s="48" t="n"/>
      <c r="AN74" s="48" t="n"/>
      <c r="AO74" s="48" t="n"/>
    </row>
    <row r="75">
      <c r="M75" s="25" t="n"/>
      <c r="Q75" s="25" t="n"/>
      <c r="U75" s="194" t="n"/>
      <c r="AA75" s="25" t="n"/>
      <c r="AB75" s="25" t="n"/>
      <c r="AC75" s="195" t="n"/>
      <c r="AD75" s="25" t="n"/>
      <c r="AE75" s="25" t="n"/>
      <c r="AG75" s="25" t="n"/>
      <c r="AH75" s="25" t="n"/>
      <c r="AI75" s="394" t="n"/>
      <c r="AM75" s="48" t="n"/>
      <c r="AN75" s="48" t="n"/>
      <c r="AO75" s="48" t="n"/>
    </row>
    <row r="76">
      <c r="M76" s="25" t="n"/>
      <c r="Q76" s="25" t="n"/>
      <c r="U76" s="194" t="n"/>
      <c r="AA76" s="25" t="n"/>
      <c r="AB76" s="25" t="n"/>
      <c r="AC76" s="195" t="n"/>
      <c r="AD76" s="25" t="n"/>
      <c r="AE76" s="25" t="n"/>
      <c r="AG76" s="25" t="n"/>
      <c r="AH76" s="25" t="n"/>
      <c r="AI76" s="394" t="n"/>
      <c r="AM76" s="48" t="n"/>
      <c r="AN76" s="48" t="n"/>
      <c r="AO76" s="48" t="n"/>
    </row>
    <row r="77">
      <c r="M77" s="25" t="n"/>
      <c r="Q77" s="25" t="n"/>
      <c r="U77" s="194" t="n"/>
      <c r="AA77" s="25" t="n"/>
      <c r="AB77" s="25" t="n"/>
      <c r="AC77" s="195" t="n"/>
      <c r="AD77" s="25" t="n"/>
      <c r="AE77" s="25" t="n"/>
      <c r="AG77" s="25" t="n"/>
      <c r="AH77" s="25" t="n"/>
      <c r="AI77" s="394" t="n"/>
      <c r="AM77" s="48" t="n"/>
      <c r="AN77" s="48" t="n"/>
      <c r="AO77" s="48" t="n"/>
    </row>
    <row r="78">
      <c r="M78" s="25" t="n"/>
      <c r="Q78" s="25" t="n"/>
      <c r="U78" s="194" t="n"/>
      <c r="AA78" s="25" t="n"/>
      <c r="AB78" s="25" t="n"/>
      <c r="AC78" s="195" t="n"/>
      <c r="AD78" s="25" t="n"/>
      <c r="AE78" s="25" t="n"/>
      <c r="AG78" s="25" t="n"/>
      <c r="AH78" s="25" t="n"/>
      <c r="AI78" s="394" t="n"/>
      <c r="AM78" s="48" t="n"/>
      <c r="AN78" s="48" t="n"/>
      <c r="AO78" s="48" t="n"/>
    </row>
    <row r="79">
      <c r="M79" s="25" t="n"/>
      <c r="Q79" s="25" t="n"/>
      <c r="U79" s="194" t="n"/>
      <c r="AA79" s="25" t="n"/>
      <c r="AB79" s="25" t="n"/>
      <c r="AC79" s="195" t="n"/>
      <c r="AD79" s="25" t="n"/>
      <c r="AE79" s="25" t="n"/>
      <c r="AG79" s="25" t="n"/>
      <c r="AH79" s="25" t="n"/>
      <c r="AI79" s="394" t="n"/>
      <c r="AM79" s="48" t="n"/>
      <c r="AN79" s="48" t="n"/>
      <c r="AO79" s="48" t="n"/>
    </row>
    <row r="80">
      <c r="M80" s="25" t="n"/>
      <c r="Q80" s="25" t="n"/>
      <c r="U80" s="194" t="n"/>
      <c r="AA80" s="25" t="n"/>
      <c r="AB80" s="25" t="n"/>
      <c r="AC80" s="195" t="n"/>
      <c r="AD80" s="25" t="n"/>
      <c r="AE80" s="25" t="n"/>
      <c r="AG80" s="25" t="n"/>
      <c r="AH80" s="25" t="n"/>
      <c r="AI80" s="394" t="n"/>
      <c r="AM80" s="48" t="n"/>
      <c r="AN80" s="48" t="n"/>
      <c r="AO80" s="48" t="n"/>
    </row>
    <row r="81">
      <c r="M81" s="25" t="n"/>
      <c r="Q81" s="25" t="n"/>
      <c r="U81" s="194" t="n"/>
      <c r="AA81" s="25" t="n"/>
      <c r="AB81" s="25" t="n"/>
      <c r="AC81" s="195" t="n"/>
      <c r="AD81" s="25" t="n"/>
      <c r="AE81" s="25" t="n"/>
      <c r="AG81" s="25" t="n"/>
      <c r="AH81" s="25" t="n"/>
      <c r="AI81" s="394" t="n"/>
      <c r="AM81" s="48" t="n"/>
      <c r="AN81" s="48" t="n"/>
      <c r="AO81" s="48" t="n"/>
    </row>
    <row r="82">
      <c r="M82" s="25" t="n"/>
      <c r="Q82" s="25" t="n"/>
      <c r="U82" s="194" t="n"/>
      <c r="AA82" s="25" t="n"/>
      <c r="AB82" s="25" t="n"/>
      <c r="AC82" s="195" t="n"/>
      <c r="AD82" s="25" t="n"/>
      <c r="AE82" s="25" t="n"/>
      <c r="AG82" s="25" t="n"/>
      <c r="AH82" s="25" t="n"/>
      <c r="AI82" s="394" t="n"/>
      <c r="AM82" s="48" t="n"/>
      <c r="AN82" s="48" t="n"/>
      <c r="AO82" s="48" t="n"/>
    </row>
    <row r="83">
      <c r="M83" s="25" t="n"/>
      <c r="Q83" s="25" t="n"/>
      <c r="U83" s="194" t="n"/>
      <c r="AA83" s="25" t="n"/>
      <c r="AB83" s="25" t="n"/>
      <c r="AC83" s="195" t="n"/>
      <c r="AD83" s="25" t="n"/>
      <c r="AE83" s="25" t="n"/>
      <c r="AG83" s="25" t="n"/>
      <c r="AH83" s="25" t="n"/>
      <c r="AI83" s="394" t="n"/>
      <c r="AM83" s="48" t="n"/>
      <c r="AN83" s="48" t="n"/>
      <c r="AO83" s="48" t="n"/>
    </row>
    <row r="84">
      <c r="M84" s="25" t="n"/>
      <c r="Q84" s="25" t="n"/>
      <c r="U84" s="194" t="n"/>
      <c r="AA84" s="25" t="n"/>
      <c r="AB84" s="25" t="n"/>
      <c r="AC84" s="195" t="n"/>
      <c r="AD84" s="25" t="n"/>
      <c r="AE84" s="25" t="n"/>
      <c r="AG84" s="25" t="n"/>
      <c r="AH84" s="25" t="n"/>
      <c r="AI84" s="394" t="n"/>
      <c r="AM84" s="48" t="n"/>
      <c r="AN84" s="48" t="n"/>
      <c r="AO84" s="48" t="n"/>
    </row>
    <row r="85">
      <c r="M85" s="25" t="n"/>
      <c r="Q85" s="25" t="n"/>
      <c r="U85" s="194" t="n"/>
      <c r="AA85" s="25" t="n"/>
      <c r="AB85" s="25" t="n"/>
      <c r="AC85" s="195" t="n"/>
      <c r="AD85" s="25" t="n"/>
      <c r="AE85" s="25" t="n"/>
      <c r="AG85" s="25" t="n"/>
      <c r="AH85" s="25" t="n"/>
      <c r="AI85" s="394" t="n"/>
      <c r="AM85" s="48" t="n"/>
      <c r="AN85" s="48" t="n"/>
      <c r="AO85" s="48" t="n"/>
    </row>
    <row r="86">
      <c r="M86" s="25" t="n"/>
      <c r="Q86" s="25" t="n"/>
      <c r="U86" s="194" t="n"/>
      <c r="AA86" s="25" t="n"/>
      <c r="AB86" s="25" t="n"/>
      <c r="AC86" s="195" t="n"/>
      <c r="AD86" s="25" t="n"/>
      <c r="AE86" s="25" t="n"/>
      <c r="AG86" s="25" t="n"/>
      <c r="AH86" s="25" t="n"/>
      <c r="AI86" s="394" t="n"/>
      <c r="AM86" s="48" t="n"/>
      <c r="AN86" s="48" t="n"/>
      <c r="AO86" s="48" t="n"/>
    </row>
    <row r="87">
      <c r="M87" s="25" t="n"/>
      <c r="Q87" s="25" t="n"/>
      <c r="U87" s="194" t="n"/>
      <c r="AA87" s="25" t="n"/>
      <c r="AB87" s="25" t="n"/>
      <c r="AC87" s="195" t="n"/>
      <c r="AD87" s="25" t="n"/>
      <c r="AE87" s="25" t="n"/>
      <c r="AG87" s="25" t="n"/>
      <c r="AH87" s="25" t="n"/>
      <c r="AI87" s="394" t="n"/>
      <c r="AM87" s="48" t="n"/>
      <c r="AN87" s="48" t="n"/>
      <c r="AO87" s="48" t="n"/>
    </row>
    <row r="88">
      <c r="M88" s="25" t="n"/>
      <c r="Q88" s="25" t="n"/>
      <c r="U88" s="194" t="n"/>
      <c r="AA88" s="25" t="n"/>
      <c r="AB88" s="25" t="n"/>
      <c r="AC88" s="195" t="n"/>
      <c r="AD88" s="25" t="n"/>
      <c r="AE88" s="25" t="n"/>
      <c r="AG88" s="25" t="n"/>
      <c r="AH88" s="25" t="n"/>
      <c r="AI88" s="394" t="n"/>
      <c r="AM88" s="48" t="n"/>
      <c r="AN88" s="48" t="n"/>
      <c r="AO88" s="48" t="n"/>
    </row>
    <row r="89">
      <c r="M89" s="25" t="n"/>
      <c r="Q89" s="25" t="n"/>
      <c r="U89" s="194" t="n"/>
      <c r="AA89" s="25" t="n"/>
      <c r="AB89" s="25" t="n"/>
      <c r="AC89" s="195" t="n"/>
      <c r="AD89" s="25" t="n"/>
      <c r="AE89" s="25" t="n"/>
      <c r="AG89" s="25" t="n"/>
      <c r="AH89" s="25" t="n"/>
      <c r="AI89" s="394" t="n"/>
      <c r="AM89" s="48" t="n"/>
      <c r="AN89" s="48" t="n"/>
      <c r="AO89" s="48" t="n"/>
    </row>
    <row r="90">
      <c r="M90" s="25" t="n"/>
      <c r="Q90" s="25" t="n"/>
      <c r="U90" s="194" t="n"/>
      <c r="AA90" s="25" t="n"/>
      <c r="AB90" s="25" t="n"/>
      <c r="AC90" s="195" t="n"/>
      <c r="AD90" s="25" t="n"/>
      <c r="AE90" s="25" t="n"/>
      <c r="AG90" s="25" t="n"/>
      <c r="AH90" s="25" t="n"/>
      <c r="AI90" s="394" t="n"/>
      <c r="AM90" s="48" t="n"/>
      <c r="AN90" s="48" t="n"/>
      <c r="AO90" s="48" t="n"/>
    </row>
    <row r="91">
      <c r="M91" s="25" t="n"/>
      <c r="Q91" s="25" t="n"/>
      <c r="U91" s="194" t="n"/>
      <c r="AA91" s="25" t="n"/>
      <c r="AB91" s="25" t="n"/>
      <c r="AC91" s="195" t="n"/>
      <c r="AD91" s="25" t="n"/>
      <c r="AE91" s="25" t="n"/>
      <c r="AG91" s="25" t="n"/>
      <c r="AH91" s="25" t="n"/>
      <c r="AI91" s="394" t="n"/>
      <c r="AM91" s="48" t="n"/>
      <c r="AN91" s="48" t="n"/>
      <c r="AO91" s="48" t="n"/>
    </row>
    <row r="92">
      <c r="M92" s="25" t="n"/>
      <c r="Q92" s="25" t="n"/>
      <c r="U92" s="194" t="n"/>
      <c r="AA92" s="25" t="n"/>
      <c r="AB92" s="25" t="n"/>
      <c r="AC92" s="195" t="n"/>
      <c r="AD92" s="25" t="n"/>
      <c r="AE92" s="25" t="n"/>
      <c r="AG92" s="25" t="n"/>
      <c r="AH92" s="25" t="n"/>
      <c r="AI92" s="394" t="n"/>
      <c r="AM92" s="48" t="n"/>
      <c r="AN92" s="48" t="n"/>
      <c r="AO92" s="48" t="n"/>
    </row>
    <row r="93">
      <c r="M93" s="25" t="n"/>
      <c r="Q93" s="25" t="n"/>
      <c r="U93" s="194" t="n"/>
      <c r="AA93" s="25" t="n"/>
      <c r="AB93" s="25" t="n"/>
      <c r="AC93" s="195" t="n"/>
      <c r="AD93" s="25" t="n"/>
      <c r="AE93" s="25" t="n"/>
      <c r="AG93" s="25" t="n"/>
      <c r="AH93" s="25" t="n"/>
      <c r="AI93" s="394" t="n"/>
      <c r="AM93" s="48" t="n"/>
      <c r="AN93" s="48" t="n"/>
      <c r="AO93" s="48" t="n"/>
    </row>
    <row r="94">
      <c r="M94" s="25" t="n"/>
      <c r="Q94" s="25" t="n"/>
      <c r="U94" s="194" t="n"/>
      <c r="AA94" s="25" t="n"/>
      <c r="AB94" s="25" t="n"/>
      <c r="AC94" s="195" t="n"/>
      <c r="AD94" s="25" t="n"/>
      <c r="AE94" s="25" t="n"/>
      <c r="AG94" s="25" t="n"/>
      <c r="AH94" s="25" t="n"/>
      <c r="AI94" s="394" t="n"/>
      <c r="AM94" s="48" t="n"/>
      <c r="AN94" s="48" t="n"/>
      <c r="AO94" s="48" t="n"/>
    </row>
    <row r="95">
      <c r="M95" s="25" t="n"/>
      <c r="Q95" s="25" t="n"/>
      <c r="U95" s="194" t="n"/>
      <c r="AA95" s="25" t="n"/>
      <c r="AB95" s="25" t="n"/>
      <c r="AC95" s="195" t="n"/>
      <c r="AD95" s="25" t="n"/>
      <c r="AE95" s="25" t="n"/>
      <c r="AG95" s="25" t="n"/>
      <c r="AH95" s="25" t="n"/>
      <c r="AI95" s="394" t="n"/>
      <c r="AM95" s="48" t="n"/>
      <c r="AN95" s="48" t="n"/>
      <c r="AO95" s="48" t="n"/>
    </row>
    <row r="96">
      <c r="M96" s="25" t="n"/>
      <c r="Q96" s="25" t="n"/>
      <c r="U96" s="194" t="n"/>
      <c r="AA96" s="25" t="n"/>
      <c r="AB96" s="25" t="n"/>
      <c r="AC96" s="195" t="n"/>
      <c r="AD96" s="25" t="n"/>
      <c r="AE96" s="25" t="n"/>
      <c r="AG96" s="25" t="n"/>
      <c r="AH96" s="25" t="n"/>
      <c r="AI96" s="394" t="n"/>
      <c r="AM96" s="48" t="n"/>
      <c r="AN96" s="48" t="n"/>
      <c r="AO96" s="48" t="n"/>
    </row>
    <row r="97">
      <c r="M97" s="25" t="n"/>
      <c r="Q97" s="25" t="n"/>
      <c r="U97" s="194" t="n"/>
      <c r="AA97" s="25" t="n"/>
      <c r="AB97" s="25" t="n"/>
      <c r="AC97" s="195" t="n"/>
      <c r="AD97" s="25" t="n"/>
      <c r="AE97" s="25" t="n"/>
      <c r="AG97" s="25" t="n"/>
      <c r="AH97" s="25" t="n"/>
      <c r="AI97" s="394" t="n"/>
      <c r="AM97" s="48" t="n"/>
      <c r="AN97" s="48" t="n"/>
      <c r="AO97" s="48" t="n"/>
    </row>
    <row r="98">
      <c r="M98" s="25" t="n"/>
      <c r="Q98" s="25" t="n"/>
      <c r="U98" s="194" t="n"/>
      <c r="AA98" s="25" t="n"/>
      <c r="AB98" s="25" t="n"/>
      <c r="AC98" s="195" t="n"/>
      <c r="AD98" s="25" t="n"/>
      <c r="AE98" s="25" t="n"/>
      <c r="AG98" s="25" t="n"/>
      <c r="AH98" s="25" t="n"/>
      <c r="AI98" s="394" t="n"/>
      <c r="AM98" s="48" t="n"/>
      <c r="AN98" s="48" t="n"/>
      <c r="AO98" s="48" t="n"/>
    </row>
    <row r="99">
      <c r="M99" s="25" t="n"/>
      <c r="Q99" s="25" t="n"/>
      <c r="U99" s="194" t="n"/>
      <c r="AA99" s="25" t="n"/>
      <c r="AB99" s="25" t="n"/>
      <c r="AC99" s="195" t="n"/>
      <c r="AD99" s="25" t="n"/>
      <c r="AE99" s="25" t="n"/>
      <c r="AG99" s="25" t="n"/>
      <c r="AH99" s="25" t="n"/>
      <c r="AI99" s="394" t="n"/>
      <c r="AM99" s="48" t="n"/>
      <c r="AN99" s="48" t="n"/>
      <c r="AO99" s="48" t="n"/>
    </row>
    <row r="100">
      <c r="M100" s="25" t="n"/>
      <c r="Q100" s="25" t="n"/>
      <c r="U100" s="194" t="n"/>
      <c r="AA100" s="25" t="n"/>
      <c r="AB100" s="25" t="n"/>
      <c r="AC100" s="195" t="n"/>
      <c r="AD100" s="25" t="n"/>
      <c r="AE100" s="25" t="n"/>
      <c r="AG100" s="25" t="n"/>
      <c r="AH100" s="25" t="n"/>
      <c r="AI100" s="394" t="n"/>
      <c r="AM100" s="48" t="n"/>
      <c r="AN100" s="48" t="n"/>
      <c r="AO100" s="48" t="n"/>
    </row>
    <row r="101">
      <c r="M101" s="25" t="n"/>
      <c r="Q101" s="25" t="n"/>
      <c r="U101" s="194" t="n"/>
      <c r="AA101" s="25" t="n"/>
      <c r="AB101" s="25" t="n"/>
      <c r="AC101" s="195" t="n"/>
      <c r="AD101" s="25" t="n"/>
      <c r="AE101" s="25" t="n"/>
      <c r="AG101" s="25" t="n"/>
      <c r="AH101" s="25" t="n"/>
      <c r="AI101" s="394" t="n"/>
      <c r="AM101" s="48" t="n"/>
      <c r="AN101" s="48" t="n"/>
      <c r="AO101" s="48" t="n"/>
    </row>
    <row r="102">
      <c r="M102" s="25" t="n"/>
      <c r="Q102" s="25" t="n"/>
      <c r="U102" s="194" t="n"/>
      <c r="AA102" s="25" t="n"/>
      <c r="AB102" s="25" t="n"/>
      <c r="AC102" s="195" t="n"/>
      <c r="AD102" s="25" t="n"/>
      <c r="AE102" s="25" t="n"/>
      <c r="AG102" s="25" t="n"/>
      <c r="AH102" s="25" t="n"/>
      <c r="AI102" s="394" t="n"/>
      <c r="AM102" s="48" t="n"/>
      <c r="AN102" s="48" t="n"/>
      <c r="AO102" s="48" t="n"/>
    </row>
    <row r="103">
      <c r="M103" s="25" t="n"/>
      <c r="Q103" s="25" t="n"/>
      <c r="U103" s="194" t="n"/>
      <c r="AA103" s="25" t="n"/>
      <c r="AB103" s="25" t="n"/>
      <c r="AC103" s="195" t="n"/>
      <c r="AD103" s="25" t="n"/>
      <c r="AE103" s="25" t="n"/>
      <c r="AG103" s="25" t="n"/>
      <c r="AH103" s="25" t="n"/>
      <c r="AI103" s="394" t="n"/>
      <c r="AM103" s="48" t="n"/>
      <c r="AN103" s="48" t="n"/>
      <c r="AO103" s="48" t="n"/>
    </row>
    <row r="104">
      <c r="M104" s="25" t="n"/>
      <c r="Q104" s="25" t="n"/>
      <c r="U104" s="194" t="n"/>
      <c r="AA104" s="25" t="n"/>
      <c r="AB104" s="25" t="n"/>
      <c r="AC104" s="195" t="n"/>
      <c r="AD104" s="25" t="n"/>
      <c r="AE104" s="25" t="n"/>
      <c r="AG104" s="25" t="n"/>
      <c r="AH104" s="25" t="n"/>
      <c r="AI104" s="394" t="n"/>
      <c r="AM104" s="48" t="n"/>
      <c r="AN104" s="48" t="n"/>
      <c r="AO104" s="48" t="n"/>
    </row>
    <row r="105">
      <c r="M105" s="25" t="n"/>
      <c r="Q105" s="25" t="n"/>
      <c r="U105" s="194" t="n"/>
      <c r="AA105" s="25" t="n"/>
      <c r="AB105" s="25" t="n"/>
      <c r="AC105" s="195" t="n"/>
      <c r="AD105" s="25" t="n"/>
      <c r="AE105" s="25" t="n"/>
      <c r="AG105" s="25" t="n"/>
      <c r="AH105" s="25" t="n"/>
      <c r="AI105" s="394" t="n"/>
      <c r="AM105" s="48" t="n"/>
      <c r="AN105" s="48" t="n"/>
      <c r="AO105" s="48" t="n"/>
    </row>
    <row r="106">
      <c r="M106" s="25" t="n"/>
      <c r="Q106" s="25" t="n"/>
      <c r="U106" s="194" t="n"/>
      <c r="AA106" s="25" t="n"/>
      <c r="AB106" s="25" t="n"/>
      <c r="AC106" s="195" t="n"/>
      <c r="AD106" s="25" t="n"/>
      <c r="AE106" s="25" t="n"/>
      <c r="AG106" s="25" t="n"/>
      <c r="AH106" s="25" t="n"/>
      <c r="AI106" s="394" t="n"/>
      <c r="AM106" s="48" t="n"/>
      <c r="AN106" s="48" t="n"/>
      <c r="AO106" s="48" t="n"/>
    </row>
    <row r="107">
      <c r="M107" s="25" t="n"/>
      <c r="Q107" s="25" t="n"/>
      <c r="U107" s="194" t="n"/>
      <c r="AA107" s="25" t="n"/>
      <c r="AB107" s="25" t="n"/>
      <c r="AC107" s="195" t="n"/>
      <c r="AD107" s="25" t="n"/>
      <c r="AE107" s="25" t="n"/>
      <c r="AG107" s="25" t="n"/>
      <c r="AH107" s="25" t="n"/>
      <c r="AI107" s="394" t="n"/>
      <c r="AM107" s="48" t="n"/>
      <c r="AN107" s="48" t="n"/>
      <c r="AO107" s="48" t="n"/>
    </row>
    <row r="108">
      <c r="M108" s="25" t="n"/>
      <c r="Q108" s="25" t="n"/>
      <c r="U108" s="194" t="n"/>
      <c r="AA108" s="25" t="n"/>
      <c r="AB108" s="25" t="n"/>
      <c r="AC108" s="195" t="n"/>
      <c r="AD108" s="25" t="n"/>
      <c r="AE108" s="25" t="n"/>
      <c r="AG108" s="25" t="n"/>
      <c r="AH108" s="25" t="n"/>
      <c r="AI108" s="394" t="n"/>
      <c r="AM108" s="48" t="n"/>
      <c r="AN108" s="48" t="n"/>
      <c r="AO108" s="48" t="n"/>
    </row>
    <row r="109">
      <c r="M109" s="25" t="n"/>
      <c r="Q109" s="25" t="n"/>
      <c r="U109" s="194" t="n"/>
      <c r="AA109" s="25" t="n"/>
      <c r="AB109" s="25" t="n"/>
      <c r="AC109" s="195" t="n"/>
      <c r="AD109" s="25" t="n"/>
      <c r="AE109" s="25" t="n"/>
      <c r="AG109" s="25" t="n"/>
      <c r="AH109" s="25" t="n"/>
      <c r="AI109" s="394" t="n"/>
      <c r="AM109" s="48" t="n"/>
      <c r="AN109" s="48" t="n"/>
      <c r="AO109" s="48" t="n"/>
    </row>
    <row r="110">
      <c r="M110" s="25" t="n"/>
      <c r="Q110" s="25" t="n"/>
      <c r="U110" s="194" t="n"/>
      <c r="AA110" s="25" t="n"/>
      <c r="AB110" s="25" t="n"/>
      <c r="AC110" s="195" t="n"/>
      <c r="AD110" s="25" t="n"/>
      <c r="AE110" s="25" t="n"/>
      <c r="AG110" s="25" t="n"/>
      <c r="AH110" s="25" t="n"/>
      <c r="AI110" s="394" t="n"/>
      <c r="AM110" s="48" t="n"/>
      <c r="AN110" s="48" t="n"/>
      <c r="AO110" s="48" t="n"/>
    </row>
    <row r="111">
      <c r="M111" s="25" t="n"/>
      <c r="Q111" s="25" t="n"/>
      <c r="U111" s="194" t="n"/>
      <c r="AA111" s="25" t="n"/>
      <c r="AB111" s="25" t="n"/>
      <c r="AC111" s="195" t="n"/>
      <c r="AD111" s="25" t="n"/>
      <c r="AE111" s="25" t="n"/>
      <c r="AG111" s="25" t="n"/>
      <c r="AH111" s="25" t="n"/>
      <c r="AI111" s="394" t="n"/>
      <c r="AM111" s="48" t="n"/>
      <c r="AN111" s="48" t="n"/>
      <c r="AO111" s="48" t="n"/>
    </row>
    <row r="112">
      <c r="M112" s="25" t="n"/>
      <c r="Q112" s="25" t="n"/>
      <c r="U112" s="194" t="n"/>
      <c r="AA112" s="25" t="n"/>
      <c r="AB112" s="25" t="n"/>
      <c r="AC112" s="195" t="n"/>
      <c r="AD112" s="25" t="n"/>
      <c r="AE112" s="25" t="n"/>
      <c r="AG112" s="25" t="n"/>
      <c r="AH112" s="25" t="n"/>
      <c r="AI112" s="394" t="n"/>
      <c r="AM112" s="48" t="n"/>
      <c r="AN112" s="48" t="n"/>
      <c r="AO112" s="48" t="n"/>
    </row>
    <row r="113">
      <c r="M113" s="25" t="n"/>
      <c r="Q113" s="25" t="n"/>
      <c r="U113" s="194" t="n"/>
      <c r="AA113" s="25" t="n"/>
      <c r="AB113" s="25" t="n"/>
      <c r="AC113" s="195" t="n"/>
      <c r="AD113" s="25" t="n"/>
      <c r="AE113" s="25" t="n"/>
      <c r="AG113" s="25" t="n"/>
      <c r="AH113" s="25" t="n"/>
      <c r="AI113" s="394" t="n"/>
      <c r="AM113" s="48" t="n"/>
      <c r="AN113" s="48" t="n"/>
      <c r="AO113" s="48" t="n"/>
    </row>
    <row r="114">
      <c r="M114" s="25" t="n"/>
      <c r="Q114" s="25" t="n"/>
      <c r="U114" s="194" t="n"/>
      <c r="AA114" s="25" t="n"/>
      <c r="AB114" s="25" t="n"/>
      <c r="AC114" s="195" t="n"/>
      <c r="AD114" s="25" t="n"/>
      <c r="AE114" s="25" t="n"/>
      <c r="AG114" s="25" t="n"/>
      <c r="AH114" s="25" t="n"/>
      <c r="AI114" s="394" t="n"/>
      <c r="AM114" s="48" t="n"/>
      <c r="AN114" s="48" t="n"/>
      <c r="AO114" s="48" t="n"/>
    </row>
    <row r="115">
      <c r="M115" s="25" t="n"/>
      <c r="Q115" s="25" t="n"/>
      <c r="U115" s="194" t="n"/>
      <c r="AA115" s="25" t="n"/>
      <c r="AB115" s="25" t="n"/>
      <c r="AC115" s="195" t="n"/>
      <c r="AD115" s="25" t="n"/>
      <c r="AE115" s="25" t="n"/>
      <c r="AG115" s="25" t="n"/>
      <c r="AH115" s="25" t="n"/>
      <c r="AI115" s="394" t="n"/>
      <c r="AM115" s="48" t="n"/>
      <c r="AN115" s="48" t="n"/>
      <c r="AO115" s="48" t="n"/>
    </row>
    <row r="116">
      <c r="M116" s="25" t="n"/>
      <c r="Q116" s="25" t="n"/>
      <c r="U116" s="194" t="n"/>
      <c r="AA116" s="25" t="n"/>
      <c r="AB116" s="25" t="n"/>
      <c r="AC116" s="195" t="n"/>
      <c r="AD116" s="25" t="n"/>
      <c r="AE116" s="25" t="n"/>
      <c r="AG116" s="25" t="n"/>
      <c r="AH116" s="25" t="n"/>
      <c r="AI116" s="394" t="n"/>
      <c r="AM116" s="48" t="n"/>
      <c r="AN116" s="48" t="n"/>
      <c r="AO116" s="48" t="n"/>
    </row>
    <row r="117">
      <c r="M117" s="25" t="n"/>
      <c r="Q117" s="25" t="n"/>
      <c r="U117" s="194" t="n"/>
      <c r="AA117" s="25" t="n"/>
      <c r="AB117" s="25" t="n"/>
      <c r="AC117" s="195" t="n"/>
      <c r="AD117" s="25" t="n"/>
      <c r="AE117" s="25" t="n"/>
      <c r="AG117" s="25" t="n"/>
      <c r="AH117" s="25" t="n"/>
      <c r="AI117" s="394" t="n"/>
      <c r="AM117" s="48" t="n"/>
      <c r="AN117" s="48" t="n"/>
      <c r="AO117" s="48" t="n"/>
    </row>
    <row r="118">
      <c r="M118" s="25" t="n"/>
      <c r="Q118" s="25" t="n"/>
      <c r="U118" s="194" t="n"/>
      <c r="AA118" s="25" t="n"/>
      <c r="AB118" s="25" t="n"/>
      <c r="AC118" s="195" t="n"/>
      <c r="AD118" s="25" t="n"/>
      <c r="AE118" s="25" t="n"/>
      <c r="AG118" s="25" t="n"/>
      <c r="AH118" s="25" t="n"/>
      <c r="AI118" s="394" t="n"/>
      <c r="AM118" s="48" t="n"/>
      <c r="AN118" s="48" t="n"/>
      <c r="AO118" s="48" t="n"/>
    </row>
    <row r="119">
      <c r="M119" s="25" t="n"/>
      <c r="Q119" s="25" t="n"/>
      <c r="U119" s="194" t="n"/>
      <c r="AA119" s="25" t="n"/>
      <c r="AB119" s="25" t="n"/>
      <c r="AC119" s="195" t="n"/>
      <c r="AD119" s="25" t="n"/>
      <c r="AE119" s="25" t="n"/>
      <c r="AG119" s="25" t="n"/>
      <c r="AH119" s="25" t="n"/>
      <c r="AI119" s="394" t="n"/>
      <c r="AM119" s="48" t="n"/>
      <c r="AN119" s="48" t="n"/>
      <c r="AO119" s="48" t="n"/>
    </row>
    <row r="120">
      <c r="M120" s="25" t="n"/>
      <c r="Q120" s="25" t="n"/>
      <c r="U120" s="194" t="n"/>
      <c r="AA120" s="25" t="n"/>
      <c r="AB120" s="25" t="n"/>
      <c r="AC120" s="195" t="n"/>
      <c r="AD120" s="25" t="n"/>
      <c r="AE120" s="25" t="n"/>
      <c r="AG120" s="25" t="n"/>
      <c r="AH120" s="25" t="n"/>
      <c r="AI120" s="394" t="n"/>
      <c r="AM120" s="48" t="n"/>
      <c r="AN120" s="48" t="n"/>
      <c r="AO120" s="48" t="n"/>
    </row>
    <row r="121">
      <c r="M121" s="25" t="n"/>
      <c r="Q121" s="25" t="n"/>
      <c r="U121" s="194" t="n"/>
      <c r="AA121" s="25" t="n"/>
      <c r="AB121" s="25" t="n"/>
      <c r="AC121" s="195" t="n"/>
      <c r="AD121" s="25" t="n"/>
      <c r="AE121" s="25" t="n"/>
      <c r="AG121" s="25" t="n"/>
      <c r="AH121" s="25" t="n"/>
      <c r="AI121" s="394" t="n"/>
      <c r="AM121" s="48" t="n"/>
      <c r="AN121" s="48" t="n"/>
      <c r="AO121" s="48" t="n"/>
    </row>
    <row r="122">
      <c r="M122" s="25" t="n"/>
      <c r="Q122" s="25" t="n"/>
      <c r="U122" s="194" t="n"/>
      <c r="AA122" s="25" t="n"/>
      <c r="AB122" s="25" t="n"/>
      <c r="AC122" s="195" t="n"/>
      <c r="AD122" s="25" t="n"/>
      <c r="AE122" s="25" t="n"/>
      <c r="AG122" s="25" t="n"/>
      <c r="AH122" s="25" t="n"/>
      <c r="AI122" s="394" t="n"/>
      <c r="AM122" s="48" t="n"/>
      <c r="AN122" s="48" t="n"/>
      <c r="AO122" s="48" t="n"/>
    </row>
    <row r="123">
      <c r="M123" s="25" t="n"/>
      <c r="Q123" s="25" t="n"/>
      <c r="U123" s="194" t="n"/>
      <c r="AA123" s="25" t="n"/>
      <c r="AB123" s="25" t="n"/>
      <c r="AC123" s="195" t="n"/>
      <c r="AD123" s="25" t="n"/>
      <c r="AE123" s="25" t="n"/>
      <c r="AG123" s="25" t="n"/>
      <c r="AH123" s="25" t="n"/>
      <c r="AI123" s="394" t="n"/>
      <c r="AM123" s="48" t="n"/>
      <c r="AN123" s="48" t="n"/>
      <c r="AO123" s="48" t="n"/>
    </row>
    <row r="124">
      <c r="M124" s="25" t="n"/>
      <c r="Q124" s="25" t="n"/>
      <c r="U124" s="194" t="n"/>
      <c r="AA124" s="25" t="n"/>
      <c r="AB124" s="25" t="n"/>
      <c r="AC124" s="195" t="n"/>
      <c r="AD124" s="25" t="n"/>
      <c r="AE124" s="25" t="n"/>
      <c r="AG124" s="25" t="n"/>
      <c r="AH124" s="25" t="n"/>
      <c r="AI124" s="394" t="n"/>
      <c r="AM124" s="48" t="n"/>
      <c r="AN124" s="48" t="n"/>
      <c r="AO124" s="48" t="n"/>
    </row>
    <row r="125">
      <c r="M125" s="25" t="n"/>
      <c r="Q125" s="25" t="n"/>
      <c r="U125" s="194" t="n"/>
      <c r="AA125" s="25" t="n"/>
      <c r="AB125" s="25" t="n"/>
      <c r="AC125" s="195" t="n"/>
      <c r="AD125" s="25" t="n"/>
      <c r="AE125" s="25" t="n"/>
      <c r="AG125" s="25" t="n"/>
      <c r="AH125" s="25" t="n"/>
      <c r="AI125" s="394" t="n"/>
      <c r="AM125" s="48" t="n"/>
      <c r="AN125" s="48" t="n"/>
      <c r="AO125" s="48" t="n"/>
    </row>
    <row r="126">
      <c r="M126" s="25" t="n"/>
      <c r="Q126" s="25" t="n"/>
      <c r="U126" s="194" t="n"/>
      <c r="AA126" s="25" t="n"/>
      <c r="AB126" s="25" t="n"/>
      <c r="AC126" s="195" t="n"/>
      <c r="AD126" s="25" t="n"/>
      <c r="AE126" s="25" t="n"/>
      <c r="AG126" s="25" t="n"/>
      <c r="AH126" s="25" t="n"/>
      <c r="AI126" s="394" t="n"/>
      <c r="AM126" s="48" t="n"/>
      <c r="AN126" s="48" t="n"/>
      <c r="AO126" s="48" t="n"/>
    </row>
    <row r="127">
      <c r="M127" s="25" t="n"/>
      <c r="Q127" s="25" t="n"/>
      <c r="U127" s="194" t="n"/>
      <c r="AA127" s="25" t="n"/>
      <c r="AB127" s="25" t="n"/>
      <c r="AC127" s="195" t="n"/>
      <c r="AD127" s="25" t="n"/>
      <c r="AE127" s="25" t="n"/>
      <c r="AG127" s="25" t="n"/>
      <c r="AH127" s="25" t="n"/>
      <c r="AI127" s="394" t="n"/>
      <c r="AM127" s="48" t="n"/>
      <c r="AN127" s="48" t="n"/>
      <c r="AO127" s="48" t="n"/>
    </row>
    <row r="128">
      <c r="M128" s="25" t="n"/>
      <c r="Q128" s="25" t="n"/>
      <c r="U128" s="194" t="n"/>
      <c r="AA128" s="25" t="n"/>
      <c r="AB128" s="25" t="n"/>
      <c r="AC128" s="195" t="n"/>
      <c r="AD128" s="25" t="n"/>
      <c r="AE128" s="25" t="n"/>
      <c r="AG128" s="25" t="n"/>
      <c r="AH128" s="25" t="n"/>
      <c r="AI128" s="394" t="n"/>
      <c r="AM128" s="48" t="n"/>
      <c r="AN128" s="48" t="n"/>
      <c r="AO128" s="48" t="n"/>
    </row>
    <row r="129">
      <c r="M129" s="25" t="n"/>
      <c r="Q129" s="25" t="n"/>
      <c r="U129" s="194" t="n"/>
      <c r="AA129" s="25" t="n"/>
      <c r="AB129" s="25" t="n"/>
      <c r="AC129" s="195" t="n"/>
      <c r="AD129" s="25" t="n"/>
      <c r="AE129" s="25" t="n"/>
      <c r="AG129" s="25" t="n"/>
      <c r="AH129" s="25" t="n"/>
      <c r="AI129" s="394" t="n"/>
      <c r="AM129" s="48" t="n"/>
      <c r="AN129" s="48" t="n"/>
      <c r="AO129" s="48" t="n"/>
    </row>
    <row r="130">
      <c r="M130" s="25" t="n"/>
      <c r="Q130" s="25" t="n"/>
      <c r="U130" s="194" t="n"/>
      <c r="AA130" s="25" t="n"/>
      <c r="AB130" s="25" t="n"/>
      <c r="AC130" s="195" t="n"/>
      <c r="AD130" s="25" t="n"/>
      <c r="AE130" s="25" t="n"/>
      <c r="AG130" s="25" t="n"/>
      <c r="AH130" s="25" t="n"/>
      <c r="AI130" s="394" t="n"/>
      <c r="AM130" s="48" t="n"/>
      <c r="AN130" s="48" t="n"/>
      <c r="AO130" s="48" t="n"/>
    </row>
    <row r="131">
      <c r="M131" s="25" t="n"/>
      <c r="Q131" s="25" t="n"/>
      <c r="U131" s="194" t="n"/>
      <c r="AA131" s="25" t="n"/>
      <c r="AB131" s="25" t="n"/>
      <c r="AC131" s="195" t="n"/>
      <c r="AD131" s="25" t="n"/>
      <c r="AE131" s="25" t="n"/>
      <c r="AG131" s="25" t="n"/>
      <c r="AH131" s="25" t="n"/>
      <c r="AI131" s="394" t="n"/>
      <c r="AM131" s="48" t="n"/>
      <c r="AN131" s="48" t="n"/>
      <c r="AO131" s="48" t="n"/>
    </row>
    <row r="132">
      <c r="M132" s="25" t="n"/>
      <c r="Q132" s="25" t="n"/>
      <c r="U132" s="194" t="n"/>
      <c r="AA132" s="25" t="n"/>
      <c r="AB132" s="25" t="n"/>
      <c r="AC132" s="195" t="n"/>
      <c r="AD132" s="25" t="n"/>
      <c r="AE132" s="25" t="n"/>
      <c r="AG132" s="25" t="n"/>
      <c r="AH132" s="25" t="n"/>
      <c r="AI132" s="394" t="n"/>
      <c r="AM132" s="48" t="n"/>
      <c r="AN132" s="48" t="n"/>
      <c r="AO132" s="48" t="n"/>
    </row>
    <row r="133">
      <c r="M133" s="25" t="n"/>
      <c r="Q133" s="25" t="n"/>
      <c r="U133" s="194" t="n"/>
      <c r="AA133" s="25" t="n"/>
      <c r="AB133" s="25" t="n"/>
      <c r="AC133" s="195" t="n"/>
      <c r="AD133" s="25" t="n"/>
      <c r="AE133" s="25" t="n"/>
      <c r="AG133" s="25" t="n"/>
      <c r="AH133" s="25" t="n"/>
      <c r="AI133" s="394" t="n"/>
      <c r="AM133" s="48" t="n"/>
      <c r="AN133" s="48" t="n"/>
      <c r="AO133" s="48" t="n"/>
    </row>
    <row r="134">
      <c r="M134" s="25" t="n"/>
      <c r="Q134" s="25" t="n"/>
      <c r="U134" s="194" t="n"/>
      <c r="AA134" s="25" t="n"/>
      <c r="AB134" s="25" t="n"/>
      <c r="AC134" s="195" t="n"/>
      <c r="AD134" s="25" t="n"/>
      <c r="AE134" s="25" t="n"/>
      <c r="AG134" s="25" t="n"/>
      <c r="AH134" s="25" t="n"/>
      <c r="AI134" s="394" t="n"/>
      <c r="AM134" s="48" t="n"/>
      <c r="AN134" s="48" t="n"/>
      <c r="AO134" s="48" t="n"/>
    </row>
    <row r="135">
      <c r="M135" s="25" t="n"/>
      <c r="Q135" s="25" t="n"/>
      <c r="U135" s="194" t="n"/>
      <c r="AA135" s="25" t="n"/>
      <c r="AB135" s="25" t="n"/>
      <c r="AC135" s="195" t="n"/>
      <c r="AD135" s="25" t="n"/>
      <c r="AE135" s="25" t="n"/>
      <c r="AG135" s="25" t="n"/>
      <c r="AH135" s="25" t="n"/>
      <c r="AI135" s="394" t="n"/>
      <c r="AM135" s="48" t="n"/>
      <c r="AN135" s="48" t="n"/>
      <c r="AO135" s="48" t="n"/>
    </row>
    <row r="136">
      <c r="M136" s="25" t="n"/>
      <c r="Q136" s="25" t="n"/>
      <c r="U136" s="194" t="n"/>
      <c r="AA136" s="25" t="n"/>
      <c r="AB136" s="25" t="n"/>
      <c r="AC136" s="195" t="n"/>
      <c r="AD136" s="25" t="n"/>
      <c r="AE136" s="25" t="n"/>
      <c r="AG136" s="25" t="n"/>
      <c r="AH136" s="25" t="n"/>
      <c r="AI136" s="394" t="n"/>
      <c r="AM136" s="48" t="n"/>
      <c r="AN136" s="48" t="n"/>
      <c r="AO136" s="48" t="n"/>
    </row>
    <row r="137">
      <c r="M137" s="25" t="n"/>
      <c r="Q137" s="25" t="n"/>
      <c r="U137" s="194" t="n"/>
      <c r="AA137" s="25" t="n"/>
      <c r="AB137" s="25" t="n"/>
      <c r="AC137" s="195" t="n"/>
      <c r="AD137" s="25" t="n"/>
      <c r="AE137" s="25" t="n"/>
      <c r="AG137" s="25" t="n"/>
      <c r="AH137" s="25" t="n"/>
      <c r="AI137" s="394" t="n"/>
      <c r="AM137" s="48" t="n"/>
      <c r="AN137" s="48" t="n"/>
      <c r="AO137" s="48" t="n"/>
    </row>
    <row r="138">
      <c r="M138" s="25" t="n"/>
      <c r="Q138" s="25" t="n"/>
      <c r="U138" s="194" t="n"/>
      <c r="AA138" s="25" t="n"/>
      <c r="AB138" s="25" t="n"/>
      <c r="AC138" s="195" t="n"/>
      <c r="AD138" s="25" t="n"/>
      <c r="AE138" s="25" t="n"/>
      <c r="AG138" s="25" t="n"/>
      <c r="AH138" s="25" t="n"/>
      <c r="AI138" s="394" t="n"/>
      <c r="AM138" s="48" t="n"/>
      <c r="AN138" s="48" t="n"/>
      <c r="AO138" s="48" t="n"/>
    </row>
    <row r="139">
      <c r="M139" s="25" t="n"/>
      <c r="Q139" s="25" t="n"/>
      <c r="U139" s="194" t="n"/>
      <c r="AA139" s="25" t="n"/>
      <c r="AB139" s="25" t="n"/>
      <c r="AC139" s="195" t="n"/>
      <c r="AD139" s="25" t="n"/>
      <c r="AE139" s="25" t="n"/>
      <c r="AG139" s="25" t="n"/>
      <c r="AH139" s="25" t="n"/>
      <c r="AI139" s="394" t="n"/>
      <c r="AM139" s="48" t="n"/>
      <c r="AN139" s="48" t="n"/>
      <c r="AO139" s="48" t="n"/>
    </row>
    <row r="140">
      <c r="M140" s="25" t="n"/>
      <c r="Q140" s="25" t="n"/>
      <c r="U140" s="194" t="n"/>
      <c r="AA140" s="25" t="n"/>
      <c r="AB140" s="25" t="n"/>
      <c r="AC140" s="195" t="n"/>
      <c r="AD140" s="25" t="n"/>
      <c r="AE140" s="25" t="n"/>
      <c r="AG140" s="25" t="n"/>
      <c r="AH140" s="25" t="n"/>
      <c r="AI140" s="394" t="n"/>
      <c r="AM140" s="48" t="n"/>
      <c r="AN140" s="48" t="n"/>
      <c r="AO140" s="48" t="n"/>
    </row>
    <row r="141">
      <c r="M141" s="25" t="n"/>
      <c r="Q141" s="25" t="n"/>
      <c r="U141" s="194" t="n"/>
      <c r="AA141" s="25" t="n"/>
      <c r="AB141" s="25" t="n"/>
      <c r="AC141" s="195" t="n"/>
      <c r="AD141" s="25" t="n"/>
      <c r="AE141" s="25" t="n"/>
      <c r="AG141" s="25" t="n"/>
      <c r="AH141" s="25" t="n"/>
      <c r="AI141" s="394" t="n"/>
      <c r="AM141" s="48" t="n"/>
      <c r="AN141" s="48" t="n"/>
      <c r="AO141" s="48" t="n"/>
    </row>
    <row r="142">
      <c r="M142" s="25" t="n"/>
      <c r="Q142" s="25" t="n"/>
      <c r="U142" s="194" t="n"/>
      <c r="AA142" s="25" t="n"/>
      <c r="AB142" s="25" t="n"/>
      <c r="AC142" s="195" t="n"/>
      <c r="AD142" s="25" t="n"/>
      <c r="AE142" s="25" t="n"/>
      <c r="AG142" s="25" t="n"/>
      <c r="AH142" s="25" t="n"/>
      <c r="AI142" s="394" t="n"/>
      <c r="AM142" s="48" t="n"/>
      <c r="AN142" s="48" t="n"/>
      <c r="AO142" s="48" t="n"/>
    </row>
    <row r="143">
      <c r="M143" s="25" t="n"/>
      <c r="Q143" s="25" t="n"/>
      <c r="U143" s="194" t="n"/>
      <c r="AA143" s="25" t="n"/>
      <c r="AB143" s="25" t="n"/>
      <c r="AC143" s="195" t="n"/>
      <c r="AD143" s="25" t="n"/>
      <c r="AE143" s="25" t="n"/>
      <c r="AG143" s="25" t="n"/>
      <c r="AH143" s="25" t="n"/>
      <c r="AI143" s="394" t="n"/>
      <c r="AM143" s="48" t="n"/>
      <c r="AN143" s="48" t="n"/>
      <c r="AO143" s="48" t="n"/>
    </row>
    <row r="144">
      <c r="M144" s="25" t="n"/>
      <c r="Q144" s="25" t="n"/>
      <c r="U144" s="194" t="n"/>
      <c r="AA144" s="25" t="n"/>
      <c r="AB144" s="25" t="n"/>
      <c r="AC144" s="195" t="n"/>
      <c r="AD144" s="25" t="n"/>
      <c r="AE144" s="25" t="n"/>
      <c r="AG144" s="25" t="n"/>
      <c r="AH144" s="25" t="n"/>
      <c r="AI144" s="394" t="n"/>
      <c r="AM144" s="48" t="n"/>
      <c r="AN144" s="48" t="n"/>
      <c r="AO144" s="48" t="n"/>
    </row>
    <row r="145">
      <c r="M145" s="25" t="n"/>
      <c r="Q145" s="25" t="n"/>
      <c r="U145" s="194" t="n"/>
      <c r="AA145" s="25" t="n"/>
      <c r="AB145" s="25" t="n"/>
      <c r="AC145" s="195" t="n"/>
      <c r="AD145" s="25" t="n"/>
      <c r="AE145" s="25" t="n"/>
      <c r="AG145" s="25" t="n"/>
      <c r="AH145" s="25" t="n"/>
      <c r="AI145" s="394" t="n"/>
      <c r="AM145" s="48" t="n"/>
      <c r="AN145" s="48" t="n"/>
      <c r="AO145" s="48" t="n"/>
    </row>
    <row r="146">
      <c r="M146" s="25" t="n"/>
      <c r="Q146" s="25" t="n"/>
      <c r="U146" s="194" t="n"/>
      <c r="AA146" s="25" t="n"/>
      <c r="AB146" s="25" t="n"/>
      <c r="AC146" s="195" t="n"/>
      <c r="AD146" s="25" t="n"/>
      <c r="AE146" s="25" t="n"/>
      <c r="AG146" s="25" t="n"/>
      <c r="AH146" s="25" t="n"/>
      <c r="AI146" s="394" t="n"/>
      <c r="AM146" s="48" t="n"/>
      <c r="AN146" s="48" t="n"/>
      <c r="AO146" s="48" t="n"/>
    </row>
    <row r="147">
      <c r="M147" s="25" t="n"/>
      <c r="Q147" s="25" t="n"/>
      <c r="U147" s="194" t="n"/>
      <c r="AA147" s="25" t="n"/>
      <c r="AB147" s="25" t="n"/>
      <c r="AC147" s="195" t="n"/>
      <c r="AD147" s="25" t="n"/>
      <c r="AE147" s="25" t="n"/>
      <c r="AG147" s="25" t="n"/>
      <c r="AH147" s="25" t="n"/>
      <c r="AI147" s="394" t="n"/>
      <c r="AM147" s="48" t="n"/>
      <c r="AN147" s="48" t="n"/>
      <c r="AO147" s="48" t="n"/>
    </row>
    <row r="148">
      <c r="M148" s="25" t="n"/>
      <c r="Q148" s="25" t="n"/>
      <c r="U148" s="194" t="n"/>
      <c r="AA148" s="25" t="n"/>
      <c r="AB148" s="25" t="n"/>
      <c r="AC148" s="195" t="n"/>
      <c r="AD148" s="25" t="n"/>
      <c r="AE148" s="25" t="n"/>
      <c r="AG148" s="25" t="n"/>
      <c r="AH148" s="25" t="n"/>
      <c r="AI148" s="394" t="n"/>
      <c r="AM148" s="48" t="n"/>
      <c r="AN148" s="48" t="n"/>
      <c r="AO148" s="48" t="n"/>
    </row>
    <row r="149">
      <c r="M149" s="25" t="n"/>
      <c r="Q149" s="25" t="n"/>
      <c r="U149" s="194" t="n"/>
      <c r="AA149" s="25" t="n"/>
      <c r="AB149" s="25" t="n"/>
      <c r="AC149" s="195" t="n"/>
      <c r="AD149" s="25" t="n"/>
      <c r="AE149" s="25" t="n"/>
      <c r="AG149" s="25" t="n"/>
      <c r="AH149" s="25" t="n"/>
      <c r="AI149" s="394" t="n"/>
      <c r="AM149" s="48" t="n"/>
      <c r="AN149" s="48" t="n"/>
      <c r="AO149" s="48" t="n"/>
    </row>
    <row r="150">
      <c r="M150" s="25" t="n"/>
      <c r="Q150" s="25" t="n"/>
      <c r="U150" s="194" t="n"/>
      <c r="AA150" s="25" t="n"/>
      <c r="AB150" s="25" t="n"/>
      <c r="AC150" s="195" t="n"/>
      <c r="AD150" s="25" t="n"/>
      <c r="AE150" s="25" t="n"/>
      <c r="AG150" s="25" t="n"/>
      <c r="AH150" s="25" t="n"/>
      <c r="AI150" s="394" t="n"/>
      <c r="AM150" s="48" t="n"/>
      <c r="AN150" s="48" t="n"/>
      <c r="AO150" s="48" t="n"/>
    </row>
    <row r="151">
      <c r="M151" s="25" t="n"/>
      <c r="Q151" s="25" t="n"/>
      <c r="U151" s="194" t="n"/>
      <c r="AA151" s="25" t="n"/>
      <c r="AB151" s="25" t="n"/>
      <c r="AC151" s="195" t="n"/>
      <c r="AD151" s="25" t="n"/>
      <c r="AE151" s="25" t="n"/>
      <c r="AG151" s="25" t="n"/>
      <c r="AH151" s="25" t="n"/>
      <c r="AI151" s="394" t="n"/>
      <c r="AM151" s="48" t="n"/>
      <c r="AN151" s="48" t="n"/>
      <c r="AO151" s="48" t="n"/>
    </row>
    <row r="152">
      <c r="M152" s="25" t="n"/>
      <c r="Q152" s="25" t="n"/>
      <c r="U152" s="194" t="n"/>
      <c r="AA152" s="25" t="n"/>
      <c r="AB152" s="25" t="n"/>
      <c r="AC152" s="195" t="n"/>
      <c r="AD152" s="25" t="n"/>
      <c r="AE152" s="25" t="n"/>
      <c r="AG152" s="25" t="n"/>
      <c r="AH152" s="25" t="n"/>
      <c r="AI152" s="394" t="n"/>
      <c r="AM152" s="48" t="n"/>
      <c r="AN152" s="48" t="n"/>
      <c r="AO152" s="48" t="n"/>
    </row>
    <row r="153">
      <c r="M153" s="25" t="n"/>
      <c r="Q153" s="25" t="n"/>
      <c r="U153" s="194" t="n"/>
      <c r="AA153" s="25" t="n"/>
      <c r="AB153" s="25" t="n"/>
      <c r="AC153" s="195" t="n"/>
      <c r="AD153" s="25" t="n"/>
      <c r="AE153" s="25" t="n"/>
      <c r="AG153" s="25" t="n"/>
      <c r="AH153" s="25" t="n"/>
      <c r="AI153" s="394" t="n"/>
      <c r="AM153" s="48" t="n"/>
      <c r="AN153" s="48" t="n"/>
      <c r="AO153" s="48" t="n"/>
    </row>
    <row r="154">
      <c r="M154" s="25" t="n"/>
      <c r="Q154" s="25" t="n"/>
      <c r="U154" s="194" t="n"/>
      <c r="AA154" s="25" t="n"/>
      <c r="AB154" s="25" t="n"/>
      <c r="AC154" s="195" t="n"/>
      <c r="AD154" s="25" t="n"/>
      <c r="AE154" s="25" t="n"/>
      <c r="AG154" s="25" t="n"/>
      <c r="AH154" s="25" t="n"/>
      <c r="AI154" s="394" t="n"/>
      <c r="AM154" s="48" t="n"/>
      <c r="AN154" s="48" t="n"/>
      <c r="AO154" s="48" t="n"/>
    </row>
    <row r="155">
      <c r="M155" s="25" t="n"/>
      <c r="Q155" s="25" t="n"/>
      <c r="U155" s="194" t="n"/>
      <c r="AA155" s="25" t="n"/>
      <c r="AB155" s="25" t="n"/>
      <c r="AC155" s="195" t="n"/>
      <c r="AD155" s="25" t="n"/>
      <c r="AE155" s="25" t="n"/>
      <c r="AG155" s="25" t="n"/>
      <c r="AH155" s="25" t="n"/>
      <c r="AI155" s="394" t="n"/>
      <c r="AM155" s="48" t="n"/>
      <c r="AN155" s="48" t="n"/>
      <c r="AO155" s="48" t="n"/>
    </row>
    <row r="156">
      <c r="M156" s="25" t="n"/>
      <c r="Q156" s="25" t="n"/>
      <c r="U156" s="194" t="n"/>
      <c r="AA156" s="25" t="n"/>
      <c r="AB156" s="25" t="n"/>
      <c r="AC156" s="195" t="n"/>
      <c r="AD156" s="25" t="n"/>
      <c r="AE156" s="25" t="n"/>
      <c r="AG156" s="25" t="n"/>
      <c r="AH156" s="25" t="n"/>
      <c r="AI156" s="394" t="n"/>
      <c r="AM156" s="48" t="n"/>
      <c r="AN156" s="48" t="n"/>
      <c r="AO156" s="48" t="n"/>
    </row>
    <row r="157">
      <c r="M157" s="25" t="n"/>
      <c r="Q157" s="25" t="n"/>
      <c r="U157" s="194" t="n"/>
      <c r="AA157" s="25" t="n"/>
      <c r="AB157" s="25" t="n"/>
      <c r="AC157" s="195" t="n"/>
      <c r="AD157" s="25" t="n"/>
      <c r="AE157" s="25" t="n"/>
      <c r="AG157" s="25" t="n"/>
      <c r="AH157" s="25" t="n"/>
      <c r="AI157" s="394" t="n"/>
      <c r="AM157" s="48" t="n"/>
      <c r="AN157" s="48" t="n"/>
      <c r="AO157" s="48" t="n"/>
    </row>
    <row r="158">
      <c r="M158" s="25" t="n"/>
      <c r="Q158" s="25" t="n"/>
      <c r="U158" s="194" t="n"/>
      <c r="AA158" s="25" t="n"/>
      <c r="AB158" s="25" t="n"/>
      <c r="AC158" s="195" t="n"/>
      <c r="AD158" s="25" t="n"/>
      <c r="AE158" s="25" t="n"/>
      <c r="AG158" s="25" t="n"/>
      <c r="AH158" s="25" t="n"/>
      <c r="AI158" s="394" t="n"/>
      <c r="AM158" s="48" t="n"/>
      <c r="AN158" s="48" t="n"/>
      <c r="AO158" s="48" t="n"/>
    </row>
    <row r="159">
      <c r="M159" s="25" t="n"/>
      <c r="Q159" s="25" t="n"/>
      <c r="U159" s="194" t="n"/>
      <c r="AA159" s="25" t="n"/>
      <c r="AB159" s="25" t="n"/>
      <c r="AC159" s="195" t="n"/>
      <c r="AD159" s="25" t="n"/>
      <c r="AE159" s="25" t="n"/>
      <c r="AG159" s="25" t="n"/>
      <c r="AH159" s="25" t="n"/>
      <c r="AI159" s="394" t="n"/>
      <c r="AM159" s="48" t="n"/>
      <c r="AN159" s="48" t="n"/>
      <c r="AO159" s="48" t="n"/>
    </row>
    <row r="160">
      <c r="M160" s="25" t="n"/>
      <c r="Q160" s="25" t="n"/>
      <c r="U160" s="194" t="n"/>
      <c r="AA160" s="25" t="n"/>
      <c r="AB160" s="25" t="n"/>
      <c r="AC160" s="195" t="n"/>
      <c r="AD160" s="25" t="n"/>
      <c r="AE160" s="25" t="n"/>
      <c r="AG160" s="25" t="n"/>
      <c r="AH160" s="25" t="n"/>
      <c r="AI160" s="394" t="n"/>
      <c r="AM160" s="48" t="n"/>
      <c r="AN160" s="48" t="n"/>
      <c r="AO160" s="48" t="n"/>
    </row>
    <row r="161">
      <c r="M161" s="25" t="n"/>
      <c r="Q161" s="25" t="n"/>
      <c r="U161" s="194" t="n"/>
      <c r="AA161" s="25" t="n"/>
      <c r="AB161" s="25" t="n"/>
      <c r="AC161" s="195" t="n"/>
      <c r="AD161" s="25" t="n"/>
      <c r="AE161" s="25" t="n"/>
      <c r="AG161" s="25" t="n"/>
      <c r="AH161" s="25" t="n"/>
      <c r="AI161" s="394" t="n"/>
      <c r="AM161" s="48" t="n"/>
      <c r="AN161" s="48" t="n"/>
      <c r="AO161" s="48" t="n"/>
    </row>
    <row r="162">
      <c r="M162" s="25" t="n"/>
      <c r="Q162" s="25" t="n"/>
      <c r="U162" s="194" t="n"/>
      <c r="AA162" s="25" t="n"/>
      <c r="AB162" s="25" t="n"/>
      <c r="AC162" s="195" t="n"/>
      <c r="AD162" s="25" t="n"/>
      <c r="AE162" s="25" t="n"/>
      <c r="AG162" s="25" t="n"/>
      <c r="AH162" s="25" t="n"/>
      <c r="AI162" s="394" t="n"/>
      <c r="AM162" s="48" t="n"/>
      <c r="AN162" s="48" t="n"/>
      <c r="AO162" s="48" t="n"/>
    </row>
    <row r="163">
      <c r="M163" s="25" t="n"/>
      <c r="Q163" s="25" t="n"/>
      <c r="U163" s="194" t="n"/>
      <c r="AA163" s="25" t="n"/>
      <c r="AB163" s="25" t="n"/>
      <c r="AC163" s="195" t="n"/>
      <c r="AD163" s="25" t="n"/>
      <c r="AE163" s="25" t="n"/>
      <c r="AG163" s="25" t="n"/>
      <c r="AH163" s="25" t="n"/>
      <c r="AI163" s="394" t="n"/>
      <c r="AM163" s="48" t="n"/>
      <c r="AN163" s="48" t="n"/>
      <c r="AO163" s="48" t="n"/>
    </row>
    <row r="164">
      <c r="M164" s="25" t="n"/>
      <c r="Q164" s="25" t="n"/>
      <c r="U164" s="194" t="n"/>
      <c r="AA164" s="25" t="n"/>
      <c r="AB164" s="25" t="n"/>
      <c r="AC164" s="195" t="n"/>
      <c r="AD164" s="25" t="n"/>
      <c r="AE164" s="25" t="n"/>
      <c r="AG164" s="25" t="n"/>
      <c r="AH164" s="25" t="n"/>
      <c r="AI164" s="394" t="n"/>
      <c r="AM164" s="48" t="n"/>
      <c r="AN164" s="48" t="n"/>
      <c r="AO164" s="48" t="n"/>
    </row>
    <row r="165">
      <c r="M165" s="25" t="n"/>
      <c r="Q165" s="25" t="n"/>
      <c r="U165" s="194" t="n"/>
      <c r="AA165" s="25" t="n"/>
      <c r="AB165" s="25" t="n"/>
      <c r="AC165" s="195" t="n"/>
      <c r="AD165" s="25" t="n"/>
      <c r="AE165" s="25" t="n"/>
      <c r="AG165" s="25" t="n"/>
      <c r="AH165" s="25" t="n"/>
      <c r="AI165" s="394" t="n"/>
      <c r="AM165" s="48" t="n"/>
      <c r="AN165" s="48" t="n"/>
      <c r="AO165" s="48" t="n"/>
    </row>
    <row r="166">
      <c r="M166" s="25" t="n"/>
      <c r="Q166" s="25" t="n"/>
      <c r="U166" s="194" t="n"/>
      <c r="AA166" s="25" t="n"/>
      <c r="AB166" s="25" t="n"/>
      <c r="AC166" s="195" t="n"/>
      <c r="AD166" s="25" t="n"/>
      <c r="AE166" s="25" t="n"/>
      <c r="AG166" s="25" t="n"/>
      <c r="AH166" s="25" t="n"/>
      <c r="AI166" s="394" t="n"/>
      <c r="AM166" s="48" t="n"/>
      <c r="AN166" s="48" t="n"/>
      <c r="AO166" s="48" t="n"/>
    </row>
    <row r="167">
      <c r="M167" s="25" t="n"/>
      <c r="Q167" s="25" t="n"/>
      <c r="U167" s="194" t="n"/>
      <c r="AA167" s="25" t="n"/>
      <c r="AB167" s="25" t="n"/>
      <c r="AC167" s="195" t="n"/>
      <c r="AD167" s="25" t="n"/>
      <c r="AE167" s="25" t="n"/>
      <c r="AG167" s="25" t="n"/>
      <c r="AH167" s="25" t="n"/>
      <c r="AI167" s="394" t="n"/>
      <c r="AM167" s="48" t="n"/>
      <c r="AN167" s="48" t="n"/>
      <c r="AO167" s="48" t="n"/>
    </row>
    <row r="168">
      <c r="M168" s="25" t="n"/>
      <c r="Q168" s="25" t="n"/>
      <c r="U168" s="194" t="n"/>
      <c r="AA168" s="25" t="n"/>
      <c r="AB168" s="25" t="n"/>
      <c r="AC168" s="195" t="n"/>
      <c r="AD168" s="25" t="n"/>
      <c r="AE168" s="25" t="n"/>
      <c r="AG168" s="25" t="n"/>
      <c r="AH168" s="25" t="n"/>
      <c r="AI168" s="394" t="n"/>
      <c r="AM168" s="48" t="n"/>
      <c r="AN168" s="48" t="n"/>
      <c r="AO168" s="48" t="n"/>
    </row>
    <row r="169">
      <c r="M169" s="25" t="n"/>
      <c r="Q169" s="25" t="n"/>
      <c r="U169" s="194" t="n"/>
      <c r="AA169" s="25" t="n"/>
      <c r="AB169" s="25" t="n"/>
      <c r="AC169" s="195" t="n"/>
      <c r="AD169" s="25" t="n"/>
      <c r="AE169" s="25" t="n"/>
      <c r="AG169" s="25" t="n"/>
      <c r="AH169" s="25" t="n"/>
      <c r="AI169" s="394" t="n"/>
      <c r="AM169" s="48" t="n"/>
      <c r="AN169" s="48" t="n"/>
      <c r="AO169" s="48" t="n"/>
    </row>
    <row r="170">
      <c r="M170" s="25" t="n"/>
      <c r="Q170" s="25" t="n"/>
      <c r="U170" s="194" t="n"/>
      <c r="AA170" s="25" t="n"/>
      <c r="AB170" s="25" t="n"/>
      <c r="AC170" s="195" t="n"/>
      <c r="AD170" s="25" t="n"/>
      <c r="AE170" s="25" t="n"/>
      <c r="AG170" s="25" t="n"/>
      <c r="AH170" s="25" t="n"/>
      <c r="AI170" s="394" t="n"/>
      <c r="AM170" s="48" t="n"/>
      <c r="AN170" s="48" t="n"/>
      <c r="AO170" s="48" t="n"/>
    </row>
    <row r="171">
      <c r="M171" s="25" t="n"/>
      <c r="Q171" s="25" t="n"/>
      <c r="U171" s="194" t="n"/>
      <c r="AA171" s="25" t="n"/>
      <c r="AB171" s="25" t="n"/>
      <c r="AC171" s="195" t="n"/>
      <c r="AD171" s="25" t="n"/>
      <c r="AE171" s="25" t="n"/>
      <c r="AG171" s="25" t="n"/>
      <c r="AH171" s="25" t="n"/>
      <c r="AI171" s="394" t="n"/>
      <c r="AM171" s="48" t="n"/>
      <c r="AN171" s="48" t="n"/>
      <c r="AO171" s="48" t="n"/>
    </row>
    <row r="172">
      <c r="M172" s="25" t="n"/>
      <c r="Q172" s="25" t="n"/>
      <c r="U172" s="194" t="n"/>
      <c r="AA172" s="25" t="n"/>
      <c r="AB172" s="25" t="n"/>
      <c r="AC172" s="195" t="n"/>
      <c r="AD172" s="25" t="n"/>
      <c r="AE172" s="25" t="n"/>
      <c r="AG172" s="25" t="n"/>
      <c r="AH172" s="25" t="n"/>
      <c r="AI172" s="394" t="n"/>
      <c r="AM172" s="48" t="n"/>
      <c r="AN172" s="48" t="n"/>
      <c r="AO172" s="48" t="n"/>
    </row>
    <row r="173">
      <c r="M173" s="25" t="n"/>
      <c r="Q173" s="25" t="n"/>
      <c r="U173" s="194" t="n"/>
      <c r="AA173" s="25" t="n"/>
      <c r="AB173" s="25" t="n"/>
      <c r="AC173" s="195" t="n"/>
      <c r="AD173" s="25" t="n"/>
      <c r="AE173" s="25" t="n"/>
      <c r="AG173" s="25" t="n"/>
      <c r="AH173" s="25" t="n"/>
      <c r="AI173" s="394" t="n"/>
      <c r="AM173" s="48" t="n"/>
      <c r="AN173" s="48" t="n"/>
      <c r="AO173" s="48" t="n"/>
    </row>
    <row r="174">
      <c r="M174" s="25" t="n"/>
      <c r="Q174" s="25" t="n"/>
      <c r="U174" s="194" t="n"/>
      <c r="AA174" s="25" t="n"/>
      <c r="AB174" s="25" t="n"/>
      <c r="AC174" s="195" t="n"/>
      <c r="AD174" s="25" t="n"/>
      <c r="AE174" s="25" t="n"/>
      <c r="AG174" s="25" t="n"/>
      <c r="AH174" s="25" t="n"/>
      <c r="AI174" s="394" t="n"/>
      <c r="AM174" s="48" t="n"/>
      <c r="AN174" s="48" t="n"/>
      <c r="AO174" s="48" t="n"/>
    </row>
    <row r="175">
      <c r="M175" s="25" t="n"/>
      <c r="Q175" s="25" t="n"/>
      <c r="U175" s="194" t="n"/>
      <c r="AA175" s="25" t="n"/>
      <c r="AB175" s="25" t="n"/>
      <c r="AC175" s="195" t="n"/>
      <c r="AD175" s="25" t="n"/>
      <c r="AE175" s="25" t="n"/>
      <c r="AG175" s="25" t="n"/>
      <c r="AH175" s="25" t="n"/>
      <c r="AI175" s="394" t="n"/>
      <c r="AM175" s="48" t="n"/>
      <c r="AN175" s="48" t="n"/>
      <c r="AO175" s="48" t="n"/>
    </row>
    <row r="176">
      <c r="M176" s="25" t="n"/>
      <c r="Q176" s="25" t="n"/>
      <c r="U176" s="194" t="n"/>
      <c r="AA176" s="25" t="n"/>
      <c r="AB176" s="25" t="n"/>
      <c r="AC176" s="195" t="n"/>
      <c r="AD176" s="25" t="n"/>
      <c r="AE176" s="25" t="n"/>
      <c r="AG176" s="25" t="n"/>
      <c r="AH176" s="25" t="n"/>
      <c r="AI176" s="394" t="n"/>
      <c r="AM176" s="48" t="n"/>
      <c r="AN176" s="48" t="n"/>
      <c r="AO176" s="48" t="n"/>
    </row>
    <row r="177">
      <c r="M177" s="25" t="n"/>
      <c r="Q177" s="25" t="n"/>
      <c r="U177" s="194" t="n"/>
      <c r="AA177" s="25" t="n"/>
      <c r="AB177" s="25" t="n"/>
      <c r="AC177" s="195" t="n"/>
      <c r="AD177" s="25" t="n"/>
      <c r="AE177" s="25" t="n"/>
      <c r="AG177" s="25" t="n"/>
      <c r="AH177" s="25" t="n"/>
      <c r="AI177" s="394" t="n"/>
      <c r="AM177" s="48" t="n"/>
      <c r="AN177" s="48" t="n"/>
      <c r="AO177" s="48" t="n"/>
    </row>
    <row r="178">
      <c r="M178" s="25" t="n"/>
      <c r="Q178" s="25" t="n"/>
      <c r="U178" s="194" t="n"/>
      <c r="AA178" s="25" t="n"/>
      <c r="AB178" s="25" t="n"/>
      <c r="AC178" s="195" t="n"/>
      <c r="AD178" s="25" t="n"/>
      <c r="AE178" s="25" t="n"/>
      <c r="AG178" s="25" t="n"/>
      <c r="AH178" s="25" t="n"/>
      <c r="AI178" s="394" t="n"/>
      <c r="AM178" s="48" t="n"/>
      <c r="AN178" s="48" t="n"/>
      <c r="AO178" s="48" t="n"/>
    </row>
    <row r="179">
      <c r="M179" s="25" t="n"/>
      <c r="Q179" s="25" t="n"/>
      <c r="U179" s="194" t="n"/>
      <c r="AA179" s="25" t="n"/>
      <c r="AB179" s="25" t="n"/>
      <c r="AC179" s="195" t="n"/>
      <c r="AD179" s="25" t="n"/>
      <c r="AE179" s="25" t="n"/>
      <c r="AG179" s="25" t="n"/>
      <c r="AH179" s="25" t="n"/>
      <c r="AI179" s="394" t="n"/>
      <c r="AM179" s="48" t="n"/>
      <c r="AN179" s="48" t="n"/>
      <c r="AO179" s="48" t="n"/>
    </row>
    <row r="180">
      <c r="M180" s="25" t="n"/>
      <c r="Q180" s="25" t="n"/>
      <c r="U180" s="194" t="n"/>
      <c r="AA180" s="25" t="n"/>
      <c r="AB180" s="25" t="n"/>
      <c r="AC180" s="195" t="n"/>
      <c r="AD180" s="25" t="n"/>
      <c r="AE180" s="25" t="n"/>
      <c r="AG180" s="25" t="n"/>
      <c r="AH180" s="25" t="n"/>
      <c r="AI180" s="394" t="n"/>
      <c r="AM180" s="48" t="n"/>
      <c r="AN180" s="48" t="n"/>
      <c r="AO180" s="48" t="n"/>
    </row>
    <row r="181">
      <c r="M181" s="25" t="n"/>
      <c r="Q181" s="25" t="n"/>
      <c r="U181" s="194" t="n"/>
      <c r="AA181" s="25" t="n"/>
      <c r="AB181" s="25" t="n"/>
      <c r="AC181" s="195" t="n"/>
      <c r="AD181" s="25" t="n"/>
      <c r="AE181" s="25" t="n"/>
      <c r="AG181" s="25" t="n"/>
      <c r="AH181" s="25" t="n"/>
      <c r="AI181" s="394" t="n"/>
      <c r="AM181" s="48" t="n"/>
      <c r="AN181" s="48" t="n"/>
      <c r="AO181" s="48" t="n"/>
    </row>
    <row r="182">
      <c r="M182" s="25" t="n"/>
      <c r="Q182" s="25" t="n"/>
      <c r="U182" s="194" t="n"/>
      <c r="AA182" s="25" t="n"/>
      <c r="AB182" s="25" t="n"/>
      <c r="AC182" s="195" t="n"/>
      <c r="AD182" s="25" t="n"/>
      <c r="AE182" s="25" t="n"/>
      <c r="AG182" s="25" t="n"/>
      <c r="AH182" s="25" t="n"/>
      <c r="AI182" s="394" t="n"/>
      <c r="AM182" s="48" t="n"/>
      <c r="AN182" s="48" t="n"/>
      <c r="AO182" s="48" t="n"/>
    </row>
    <row r="183">
      <c r="M183" s="25" t="n"/>
      <c r="Q183" s="25" t="n"/>
      <c r="U183" s="194" t="n"/>
      <c r="AA183" s="25" t="n"/>
      <c r="AB183" s="25" t="n"/>
      <c r="AC183" s="195" t="n"/>
      <c r="AD183" s="25" t="n"/>
      <c r="AE183" s="25" t="n"/>
      <c r="AG183" s="25" t="n"/>
      <c r="AH183" s="25" t="n"/>
      <c r="AI183" s="394" t="n"/>
      <c r="AM183" s="48" t="n"/>
      <c r="AN183" s="48" t="n"/>
      <c r="AO183" s="48" t="n"/>
    </row>
    <row r="184">
      <c r="M184" s="25" t="n"/>
      <c r="Q184" s="25" t="n"/>
      <c r="U184" s="194" t="n"/>
      <c r="AA184" s="25" t="n"/>
      <c r="AB184" s="25" t="n"/>
      <c r="AC184" s="195" t="n"/>
      <c r="AD184" s="25" t="n"/>
      <c r="AE184" s="25" t="n"/>
      <c r="AG184" s="25" t="n"/>
      <c r="AH184" s="25" t="n"/>
      <c r="AI184" s="394" t="n"/>
      <c r="AM184" s="48" t="n"/>
      <c r="AN184" s="48" t="n"/>
      <c r="AO184" s="48" t="n"/>
    </row>
    <row r="185">
      <c r="M185" s="25" t="n"/>
      <c r="Q185" s="25" t="n"/>
      <c r="U185" s="194" t="n"/>
      <c r="AA185" s="25" t="n"/>
      <c r="AB185" s="25" t="n"/>
      <c r="AC185" s="195" t="n"/>
      <c r="AD185" s="25" t="n"/>
      <c r="AE185" s="25" t="n"/>
      <c r="AG185" s="25" t="n"/>
      <c r="AH185" s="25" t="n"/>
      <c r="AI185" s="394" t="n"/>
      <c r="AM185" s="48" t="n"/>
      <c r="AN185" s="48" t="n"/>
      <c r="AO185" s="48" t="n"/>
    </row>
    <row r="186">
      <c r="M186" s="25" t="n"/>
      <c r="Q186" s="25" t="n"/>
      <c r="U186" s="194" t="n"/>
      <c r="AA186" s="25" t="n"/>
      <c r="AB186" s="25" t="n"/>
      <c r="AC186" s="195" t="n"/>
      <c r="AD186" s="25" t="n"/>
      <c r="AE186" s="25" t="n"/>
      <c r="AG186" s="25" t="n"/>
      <c r="AH186" s="25" t="n"/>
      <c r="AI186" s="394" t="n"/>
      <c r="AM186" s="48" t="n"/>
      <c r="AN186" s="48" t="n"/>
      <c r="AO186" s="48" t="n"/>
    </row>
    <row r="187">
      <c r="M187" s="25" t="n"/>
      <c r="Q187" s="25" t="n"/>
      <c r="U187" s="194" t="n"/>
      <c r="AA187" s="25" t="n"/>
      <c r="AB187" s="25" t="n"/>
      <c r="AC187" s="195" t="n"/>
      <c r="AD187" s="25" t="n"/>
      <c r="AE187" s="25" t="n"/>
      <c r="AG187" s="25" t="n"/>
      <c r="AH187" s="25" t="n"/>
      <c r="AI187" s="394" t="n"/>
      <c r="AM187" s="48" t="n"/>
      <c r="AN187" s="48" t="n"/>
      <c r="AO187" s="48" t="n"/>
    </row>
    <row r="188">
      <c r="M188" s="25" t="n"/>
      <c r="Q188" s="25" t="n"/>
      <c r="U188" s="194" t="n"/>
      <c r="AA188" s="25" t="n"/>
      <c r="AB188" s="25" t="n"/>
      <c r="AC188" s="195" t="n"/>
      <c r="AD188" s="25" t="n"/>
      <c r="AE188" s="25" t="n"/>
      <c r="AG188" s="25" t="n"/>
      <c r="AH188" s="25" t="n"/>
      <c r="AI188" s="394" t="n"/>
      <c r="AM188" s="48" t="n"/>
      <c r="AN188" s="48" t="n"/>
      <c r="AO188" s="48" t="n"/>
    </row>
    <row r="189">
      <c r="M189" s="25" t="n"/>
      <c r="Q189" s="25" t="n"/>
      <c r="U189" s="194" t="n"/>
      <c r="AA189" s="25" t="n"/>
      <c r="AB189" s="25" t="n"/>
      <c r="AC189" s="195" t="n"/>
      <c r="AD189" s="25" t="n"/>
      <c r="AE189" s="25" t="n"/>
      <c r="AG189" s="25" t="n"/>
      <c r="AH189" s="25" t="n"/>
      <c r="AI189" s="394" t="n"/>
      <c r="AM189" s="48" t="n"/>
      <c r="AN189" s="48" t="n"/>
      <c r="AO189" s="48" t="n"/>
    </row>
    <row r="190">
      <c r="M190" s="25" t="n"/>
      <c r="Q190" s="25" t="n"/>
      <c r="U190" s="194" t="n"/>
      <c r="AA190" s="25" t="n"/>
      <c r="AB190" s="25" t="n"/>
      <c r="AC190" s="195" t="n"/>
      <c r="AD190" s="25" t="n"/>
      <c r="AE190" s="25" t="n"/>
      <c r="AG190" s="25" t="n"/>
      <c r="AH190" s="25" t="n"/>
      <c r="AI190" s="394" t="n"/>
      <c r="AM190" s="48" t="n"/>
      <c r="AN190" s="48" t="n"/>
      <c r="AO190" s="48" t="n"/>
    </row>
    <row r="191">
      <c r="M191" s="25" t="n"/>
      <c r="Q191" s="25" t="n"/>
      <c r="U191" s="194" t="n"/>
      <c r="AA191" s="25" t="n"/>
      <c r="AB191" s="25" t="n"/>
      <c r="AC191" s="195" t="n"/>
      <c r="AD191" s="25" t="n"/>
      <c r="AE191" s="25" t="n"/>
      <c r="AG191" s="25" t="n"/>
      <c r="AH191" s="25" t="n"/>
      <c r="AI191" s="394" t="n"/>
      <c r="AM191" s="48" t="n"/>
      <c r="AN191" s="48" t="n"/>
      <c r="AO191" s="48" t="n"/>
    </row>
    <row r="192">
      <c r="M192" s="25" t="n"/>
      <c r="Q192" s="25" t="n"/>
      <c r="U192" s="194" t="n"/>
      <c r="AA192" s="25" t="n"/>
      <c r="AB192" s="25" t="n"/>
      <c r="AC192" s="195" t="n"/>
      <c r="AD192" s="25" t="n"/>
      <c r="AE192" s="25" t="n"/>
      <c r="AG192" s="25" t="n"/>
      <c r="AH192" s="25" t="n"/>
      <c r="AI192" s="394" t="n"/>
      <c r="AM192" s="48" t="n"/>
      <c r="AN192" s="48" t="n"/>
      <c r="AO192" s="48" t="n"/>
    </row>
    <row r="193">
      <c r="M193" s="25" t="n"/>
      <c r="Q193" s="25" t="n"/>
      <c r="U193" s="194" t="n"/>
      <c r="AA193" s="25" t="n"/>
      <c r="AB193" s="25" t="n"/>
      <c r="AC193" s="195" t="n"/>
      <c r="AD193" s="25" t="n"/>
      <c r="AE193" s="25" t="n"/>
      <c r="AG193" s="25" t="n"/>
      <c r="AH193" s="25" t="n"/>
      <c r="AI193" s="394" t="n"/>
      <c r="AM193" s="48" t="n"/>
      <c r="AN193" s="48" t="n"/>
      <c r="AO193" s="48" t="n"/>
    </row>
    <row r="194">
      <c r="M194" s="25" t="n"/>
      <c r="Q194" s="25" t="n"/>
      <c r="U194" s="194" t="n"/>
      <c r="AA194" s="25" t="n"/>
      <c r="AB194" s="25" t="n"/>
      <c r="AC194" s="195" t="n"/>
      <c r="AD194" s="25" t="n"/>
      <c r="AE194" s="25" t="n"/>
      <c r="AG194" s="25" t="n"/>
      <c r="AH194" s="25" t="n"/>
      <c r="AI194" s="394" t="n"/>
      <c r="AM194" s="48" t="n"/>
      <c r="AN194" s="48" t="n"/>
      <c r="AO194" s="48" t="n"/>
    </row>
    <row r="195">
      <c r="M195" s="25" t="n"/>
      <c r="Q195" s="25" t="n"/>
      <c r="U195" s="194" t="n"/>
      <c r="AA195" s="25" t="n"/>
      <c r="AB195" s="25" t="n"/>
      <c r="AC195" s="195" t="n"/>
      <c r="AD195" s="25" t="n"/>
      <c r="AE195" s="25" t="n"/>
      <c r="AG195" s="25" t="n"/>
      <c r="AH195" s="25" t="n"/>
      <c r="AI195" s="394" t="n"/>
      <c r="AM195" s="48" t="n"/>
      <c r="AN195" s="48" t="n"/>
      <c r="AO195" s="48" t="n"/>
    </row>
    <row r="196">
      <c r="M196" s="25" t="n"/>
      <c r="Q196" s="25" t="n"/>
      <c r="U196" s="194" t="n"/>
      <c r="AA196" s="25" t="n"/>
      <c r="AB196" s="25" t="n"/>
      <c r="AC196" s="195" t="n"/>
      <c r="AD196" s="25" t="n"/>
      <c r="AE196" s="25" t="n"/>
      <c r="AG196" s="25" t="n"/>
      <c r="AH196" s="25" t="n"/>
      <c r="AI196" s="394" t="n"/>
      <c r="AM196" s="48" t="n"/>
      <c r="AN196" s="48" t="n"/>
      <c r="AO196" s="48" t="n"/>
    </row>
    <row r="197">
      <c r="M197" s="25" t="n"/>
      <c r="Q197" s="25" t="n"/>
      <c r="U197" s="194" t="n"/>
      <c r="AA197" s="25" t="n"/>
      <c r="AB197" s="25" t="n"/>
      <c r="AC197" s="195" t="n"/>
      <c r="AD197" s="25" t="n"/>
      <c r="AE197" s="25" t="n"/>
      <c r="AG197" s="25" t="n"/>
      <c r="AH197" s="25" t="n"/>
      <c r="AI197" s="394" t="n"/>
      <c r="AM197" s="48" t="n"/>
      <c r="AN197" s="48" t="n"/>
      <c r="AO197" s="48" t="n"/>
    </row>
    <row r="198">
      <c r="M198" s="25" t="n"/>
      <c r="Q198" s="25" t="n"/>
      <c r="U198" s="194" t="n"/>
      <c r="AA198" s="25" t="n"/>
      <c r="AB198" s="25" t="n"/>
      <c r="AC198" s="195" t="n"/>
      <c r="AD198" s="25" t="n"/>
      <c r="AE198" s="25" t="n"/>
      <c r="AG198" s="25" t="n"/>
      <c r="AH198" s="25" t="n"/>
      <c r="AI198" s="394" t="n"/>
      <c r="AM198" s="48" t="n"/>
      <c r="AN198" s="48" t="n"/>
      <c r="AO198" s="48" t="n"/>
    </row>
    <row r="199">
      <c r="M199" s="25" t="n"/>
      <c r="Q199" s="25" t="n"/>
      <c r="U199" s="194" t="n"/>
      <c r="AA199" s="25" t="n"/>
      <c r="AB199" s="25" t="n"/>
      <c r="AC199" s="195" t="n"/>
      <c r="AD199" s="25" t="n"/>
      <c r="AE199" s="25" t="n"/>
      <c r="AG199" s="25" t="n"/>
      <c r="AH199" s="25" t="n"/>
      <c r="AI199" s="394" t="n"/>
      <c r="AM199" s="48" t="n"/>
      <c r="AN199" s="48" t="n"/>
      <c r="AO199" s="48" t="n"/>
    </row>
    <row r="200">
      <c r="M200" s="25" t="n"/>
      <c r="Q200" s="25" t="n"/>
      <c r="U200" s="194" t="n"/>
      <c r="AA200" s="25" t="n"/>
      <c r="AB200" s="25" t="n"/>
      <c r="AC200" s="195" t="n"/>
      <c r="AD200" s="25" t="n"/>
      <c r="AE200" s="25" t="n"/>
      <c r="AG200" s="25" t="n"/>
      <c r="AH200" s="25" t="n"/>
      <c r="AI200" s="394" t="n"/>
      <c r="AM200" s="48" t="n"/>
      <c r="AN200" s="48" t="n"/>
      <c r="AO200" s="48" t="n"/>
    </row>
    <row r="201">
      <c r="M201" s="25" t="n"/>
      <c r="Q201" s="25" t="n"/>
      <c r="U201" s="194" t="n"/>
      <c r="AA201" s="25" t="n"/>
      <c r="AB201" s="25" t="n"/>
      <c r="AC201" s="195" t="n"/>
      <c r="AD201" s="25" t="n"/>
      <c r="AE201" s="25" t="n"/>
      <c r="AG201" s="25" t="n"/>
      <c r="AH201" s="25" t="n"/>
      <c r="AI201" s="394" t="n"/>
      <c r="AM201" s="48" t="n"/>
      <c r="AN201" s="48" t="n"/>
      <c r="AO201" s="48" t="n"/>
    </row>
    <row r="202">
      <c r="M202" s="25" t="n"/>
      <c r="Q202" s="25" t="n"/>
      <c r="U202" s="194" t="n"/>
      <c r="AA202" s="25" t="n"/>
      <c r="AB202" s="25" t="n"/>
      <c r="AC202" s="195" t="n"/>
      <c r="AD202" s="25" t="n"/>
      <c r="AE202" s="25" t="n"/>
      <c r="AG202" s="25" t="n"/>
      <c r="AH202" s="25" t="n"/>
      <c r="AI202" s="394" t="n"/>
      <c r="AM202" s="48" t="n"/>
      <c r="AN202" s="48" t="n"/>
      <c r="AO202" s="48" t="n"/>
    </row>
    <row r="203">
      <c r="M203" s="25" t="n"/>
      <c r="Q203" s="25" t="n"/>
      <c r="U203" s="194" t="n"/>
      <c r="AA203" s="25" t="n"/>
      <c r="AB203" s="25" t="n"/>
      <c r="AC203" s="195" t="n"/>
      <c r="AD203" s="25" t="n"/>
      <c r="AE203" s="25" t="n"/>
      <c r="AG203" s="25" t="n"/>
      <c r="AH203" s="25" t="n"/>
      <c r="AI203" s="394" t="n"/>
      <c r="AM203" s="48" t="n"/>
      <c r="AN203" s="48" t="n"/>
      <c r="AO203" s="48" t="n"/>
    </row>
    <row r="204">
      <c r="M204" s="25" t="n"/>
      <c r="Q204" s="25" t="n"/>
      <c r="U204" s="194" t="n"/>
      <c r="AA204" s="25" t="n"/>
      <c r="AB204" s="25" t="n"/>
      <c r="AC204" s="195" t="n"/>
      <c r="AD204" s="25" t="n"/>
      <c r="AE204" s="25" t="n"/>
      <c r="AG204" s="25" t="n"/>
      <c r="AH204" s="25" t="n"/>
      <c r="AI204" s="394" t="n"/>
      <c r="AM204" s="48" t="n"/>
      <c r="AN204" s="48" t="n"/>
      <c r="AO204" s="48" t="n"/>
    </row>
    <row r="205">
      <c r="M205" s="25" t="n"/>
      <c r="Q205" s="25" t="n"/>
      <c r="U205" s="194" t="n"/>
      <c r="AA205" s="25" t="n"/>
      <c r="AB205" s="25" t="n"/>
      <c r="AC205" s="195" t="n"/>
      <c r="AD205" s="25" t="n"/>
      <c r="AE205" s="25" t="n"/>
      <c r="AG205" s="25" t="n"/>
      <c r="AH205" s="25" t="n"/>
      <c r="AI205" s="394" t="n"/>
      <c r="AM205" s="48" t="n"/>
      <c r="AN205" s="48" t="n"/>
      <c r="AO205" s="48" t="n"/>
    </row>
    <row r="206">
      <c r="M206" s="25" t="n"/>
      <c r="Q206" s="25" t="n"/>
      <c r="U206" s="194" t="n"/>
      <c r="AA206" s="25" t="n"/>
      <c r="AB206" s="25" t="n"/>
      <c r="AC206" s="195" t="n"/>
      <c r="AD206" s="25" t="n"/>
      <c r="AE206" s="25" t="n"/>
      <c r="AG206" s="25" t="n"/>
      <c r="AH206" s="25" t="n"/>
      <c r="AI206" s="394" t="n"/>
      <c r="AM206" s="48" t="n"/>
      <c r="AN206" s="48" t="n"/>
      <c r="AO206" s="48" t="n"/>
    </row>
    <row r="207">
      <c r="M207" s="25" t="n"/>
      <c r="Q207" s="25" t="n"/>
      <c r="U207" s="194" t="n"/>
      <c r="AA207" s="25" t="n"/>
      <c r="AB207" s="25" t="n"/>
      <c r="AC207" s="195" t="n"/>
      <c r="AD207" s="25" t="n"/>
      <c r="AE207" s="25" t="n"/>
      <c r="AG207" s="25" t="n"/>
      <c r="AH207" s="25" t="n"/>
      <c r="AI207" s="394" t="n"/>
      <c r="AM207" s="48" t="n"/>
      <c r="AN207" s="48" t="n"/>
      <c r="AO207" s="48" t="n"/>
    </row>
    <row r="208">
      <c r="M208" s="25" t="n"/>
      <c r="Q208" s="25" t="n"/>
      <c r="U208" s="194" t="n"/>
      <c r="AA208" s="25" t="n"/>
      <c r="AB208" s="25" t="n"/>
      <c r="AC208" s="195" t="n"/>
      <c r="AD208" s="25" t="n"/>
      <c r="AE208" s="25" t="n"/>
      <c r="AG208" s="25" t="n"/>
      <c r="AH208" s="25" t="n"/>
      <c r="AI208" s="394" t="n"/>
      <c r="AM208" s="48" t="n"/>
      <c r="AN208" s="48" t="n"/>
      <c r="AO208" s="48" t="n"/>
    </row>
    <row r="209">
      <c r="M209" s="25" t="n"/>
      <c r="Q209" s="25" t="n"/>
      <c r="U209" s="194" t="n"/>
      <c r="AA209" s="25" t="n"/>
      <c r="AB209" s="25" t="n"/>
      <c r="AC209" s="195" t="n"/>
      <c r="AD209" s="25" t="n"/>
      <c r="AE209" s="25" t="n"/>
      <c r="AG209" s="25" t="n"/>
      <c r="AH209" s="25" t="n"/>
      <c r="AI209" s="394" t="n"/>
      <c r="AM209" s="48" t="n"/>
      <c r="AN209" s="48" t="n"/>
      <c r="AO209" s="48" t="n"/>
    </row>
    <row r="210">
      <c r="M210" s="25" t="n"/>
      <c r="Q210" s="25" t="n"/>
      <c r="U210" s="194" t="n"/>
      <c r="AA210" s="25" t="n"/>
      <c r="AB210" s="25" t="n"/>
      <c r="AC210" s="195" t="n"/>
      <c r="AD210" s="25" t="n"/>
      <c r="AE210" s="25" t="n"/>
      <c r="AG210" s="25" t="n"/>
      <c r="AH210" s="25" t="n"/>
      <c r="AI210" s="394" t="n"/>
      <c r="AM210" s="48" t="n"/>
      <c r="AN210" s="48" t="n"/>
      <c r="AO210" s="48" t="n"/>
    </row>
    <row r="211">
      <c r="M211" s="25" t="n"/>
      <c r="Q211" s="25" t="n"/>
      <c r="U211" s="194" t="n"/>
      <c r="AA211" s="25" t="n"/>
      <c r="AB211" s="25" t="n"/>
      <c r="AC211" s="195" t="n"/>
      <c r="AD211" s="25" t="n"/>
      <c r="AE211" s="25" t="n"/>
      <c r="AG211" s="25" t="n"/>
      <c r="AH211" s="25" t="n"/>
      <c r="AI211" s="394" t="n"/>
      <c r="AM211" s="48" t="n"/>
      <c r="AN211" s="48" t="n"/>
      <c r="AO211" s="48" t="n"/>
    </row>
    <row r="212">
      <c r="M212" s="25" t="n"/>
      <c r="Q212" s="25" t="n"/>
      <c r="U212" s="194" t="n"/>
      <c r="AA212" s="25" t="n"/>
      <c r="AB212" s="25" t="n"/>
      <c r="AC212" s="195" t="n"/>
      <c r="AD212" s="25" t="n"/>
      <c r="AE212" s="25" t="n"/>
      <c r="AG212" s="25" t="n"/>
      <c r="AH212" s="25" t="n"/>
      <c r="AI212" s="394" t="n"/>
      <c r="AM212" s="48" t="n"/>
      <c r="AN212" s="48" t="n"/>
      <c r="AO212" s="48" t="n"/>
    </row>
    <row r="213">
      <c r="M213" s="25" t="n"/>
      <c r="Q213" s="25" t="n"/>
      <c r="U213" s="194" t="n"/>
      <c r="AA213" s="25" t="n"/>
      <c r="AB213" s="25" t="n"/>
      <c r="AC213" s="195" t="n"/>
      <c r="AD213" s="25" t="n"/>
      <c r="AE213" s="25" t="n"/>
      <c r="AG213" s="25" t="n"/>
      <c r="AH213" s="25" t="n"/>
      <c r="AI213" s="394" t="n"/>
      <c r="AM213" s="48" t="n"/>
      <c r="AN213" s="48" t="n"/>
      <c r="AO213" s="48" t="n"/>
    </row>
    <row r="214">
      <c r="M214" s="25" t="n"/>
      <c r="Q214" s="25" t="n"/>
      <c r="U214" s="194" t="n"/>
      <c r="AA214" s="25" t="n"/>
      <c r="AB214" s="25" t="n"/>
      <c r="AC214" s="195" t="n"/>
      <c r="AD214" s="25" t="n"/>
      <c r="AE214" s="25" t="n"/>
      <c r="AG214" s="25" t="n"/>
      <c r="AH214" s="25" t="n"/>
      <c r="AI214" s="394" t="n"/>
      <c r="AM214" s="48" t="n"/>
      <c r="AN214" s="48" t="n"/>
      <c r="AO214" s="48" t="n"/>
    </row>
    <row r="215">
      <c r="M215" s="25" t="n"/>
      <c r="Q215" s="25" t="n"/>
      <c r="U215" s="194" t="n"/>
      <c r="AA215" s="25" t="n"/>
      <c r="AB215" s="25" t="n"/>
      <c r="AC215" s="195" t="n"/>
      <c r="AD215" s="25" t="n"/>
      <c r="AE215" s="25" t="n"/>
      <c r="AG215" s="25" t="n"/>
      <c r="AH215" s="25" t="n"/>
      <c r="AI215" s="394" t="n"/>
      <c r="AM215" s="48" t="n"/>
      <c r="AN215" s="48" t="n"/>
      <c r="AO215" s="48" t="n"/>
    </row>
    <row r="216">
      <c r="M216" s="25" t="n"/>
      <c r="Q216" s="25" t="n"/>
      <c r="U216" s="194" t="n"/>
      <c r="AA216" s="25" t="n"/>
      <c r="AB216" s="25" t="n"/>
      <c r="AC216" s="195" t="n"/>
      <c r="AD216" s="25" t="n"/>
      <c r="AE216" s="25" t="n"/>
      <c r="AG216" s="25" t="n"/>
      <c r="AH216" s="25" t="n"/>
      <c r="AI216" s="394" t="n"/>
      <c r="AM216" s="48" t="n"/>
      <c r="AN216" s="48" t="n"/>
      <c r="AO216" s="48" t="n"/>
    </row>
    <row r="217">
      <c r="M217" s="25" t="n"/>
      <c r="Q217" s="25" t="n"/>
      <c r="U217" s="194" t="n"/>
      <c r="AA217" s="25" t="n"/>
      <c r="AB217" s="25" t="n"/>
      <c r="AC217" s="195" t="n"/>
      <c r="AD217" s="25" t="n"/>
      <c r="AE217" s="25" t="n"/>
      <c r="AG217" s="25" t="n"/>
      <c r="AH217" s="25" t="n"/>
      <c r="AI217" s="394" t="n"/>
      <c r="AM217" s="48" t="n"/>
      <c r="AN217" s="48" t="n"/>
      <c r="AO217" s="48" t="n"/>
    </row>
    <row r="218">
      <c r="M218" s="25" t="n"/>
      <c r="Q218" s="25" t="n"/>
      <c r="U218" s="194" t="n"/>
      <c r="AA218" s="25" t="n"/>
      <c r="AB218" s="25" t="n"/>
      <c r="AC218" s="195" t="n"/>
      <c r="AD218" s="25" t="n"/>
      <c r="AE218" s="25" t="n"/>
      <c r="AG218" s="25" t="n"/>
      <c r="AH218" s="25" t="n"/>
      <c r="AI218" s="394" t="n"/>
      <c r="AM218" s="48" t="n"/>
      <c r="AN218" s="48" t="n"/>
      <c r="AO218" s="48" t="n"/>
    </row>
    <row r="219">
      <c r="M219" s="25" t="n"/>
      <c r="Q219" s="25" t="n"/>
      <c r="U219" s="194" t="n"/>
      <c r="AA219" s="25" t="n"/>
      <c r="AB219" s="25" t="n"/>
      <c r="AC219" s="195" t="n"/>
      <c r="AD219" s="25" t="n"/>
      <c r="AE219" s="25" t="n"/>
      <c r="AG219" s="25" t="n"/>
      <c r="AH219" s="25" t="n"/>
      <c r="AI219" s="394" t="n"/>
      <c r="AM219" s="48" t="n"/>
      <c r="AN219" s="48" t="n"/>
      <c r="AO219" s="48" t="n"/>
    </row>
    <row r="220">
      <c r="M220" s="25" t="n"/>
      <c r="Q220" s="25" t="n"/>
      <c r="U220" s="194" t="n"/>
      <c r="AA220" s="25" t="n"/>
      <c r="AB220" s="25" t="n"/>
      <c r="AC220" s="195" t="n"/>
      <c r="AD220" s="25" t="n"/>
      <c r="AE220" s="25" t="n"/>
      <c r="AG220" s="25" t="n"/>
      <c r="AH220" s="25" t="n"/>
      <c r="AI220" s="394" t="n"/>
      <c r="AM220" s="48" t="n"/>
      <c r="AN220" s="48" t="n"/>
      <c r="AO220" s="48" t="n"/>
    </row>
    <row r="221">
      <c r="M221" s="25" t="n"/>
      <c r="Q221" s="25" t="n"/>
      <c r="U221" s="194" t="n"/>
      <c r="AA221" s="25" t="n"/>
      <c r="AB221" s="25" t="n"/>
      <c r="AC221" s="195" t="n"/>
      <c r="AD221" s="25" t="n"/>
      <c r="AE221" s="25" t="n"/>
      <c r="AG221" s="25" t="n"/>
      <c r="AH221" s="25" t="n"/>
      <c r="AI221" s="394" t="n"/>
      <c r="AM221" s="48" t="n"/>
      <c r="AN221" s="48" t="n"/>
      <c r="AO221" s="48" t="n"/>
    </row>
    <row r="222">
      <c r="M222" s="25" t="n"/>
      <c r="Q222" s="25" t="n"/>
      <c r="U222" s="194" t="n"/>
      <c r="AA222" s="25" t="n"/>
      <c r="AB222" s="25" t="n"/>
      <c r="AC222" s="195" t="n"/>
      <c r="AD222" s="25" t="n"/>
      <c r="AE222" s="25" t="n"/>
      <c r="AG222" s="25" t="n"/>
      <c r="AH222" s="25" t="n"/>
      <c r="AI222" s="394" t="n"/>
      <c r="AM222" s="48" t="n"/>
      <c r="AN222" s="48" t="n"/>
      <c r="AO222" s="48" t="n"/>
    </row>
    <row r="223">
      <c r="M223" s="25" t="n"/>
      <c r="Q223" s="25" t="n"/>
      <c r="U223" s="194" t="n"/>
      <c r="AA223" s="25" t="n"/>
      <c r="AB223" s="25" t="n"/>
      <c r="AC223" s="195" t="n"/>
      <c r="AD223" s="25" t="n"/>
      <c r="AE223" s="25" t="n"/>
      <c r="AG223" s="25" t="n"/>
      <c r="AH223" s="25" t="n"/>
      <c r="AI223" s="394" t="n"/>
      <c r="AM223" s="48" t="n"/>
      <c r="AN223" s="48" t="n"/>
      <c r="AO223" s="48" t="n"/>
    </row>
    <row r="224">
      <c r="M224" s="25" t="n"/>
      <c r="Q224" s="25" t="n"/>
      <c r="U224" s="194" t="n"/>
      <c r="AA224" s="25" t="n"/>
      <c r="AB224" s="25" t="n"/>
      <c r="AC224" s="195" t="n"/>
      <c r="AD224" s="25" t="n"/>
      <c r="AE224" s="25" t="n"/>
      <c r="AG224" s="25" t="n"/>
      <c r="AH224" s="25" t="n"/>
      <c r="AI224" s="394" t="n"/>
      <c r="AM224" s="48" t="n"/>
      <c r="AN224" s="48" t="n"/>
      <c r="AO224" s="48" t="n"/>
    </row>
    <row r="225">
      <c r="M225" s="25" t="n"/>
      <c r="Q225" s="25" t="n"/>
      <c r="U225" s="194" t="n"/>
      <c r="AA225" s="25" t="n"/>
      <c r="AB225" s="25" t="n"/>
      <c r="AC225" s="195" t="n"/>
      <c r="AD225" s="25" t="n"/>
      <c r="AE225" s="25" t="n"/>
      <c r="AG225" s="25" t="n"/>
      <c r="AH225" s="25" t="n"/>
      <c r="AI225" s="394" t="n"/>
      <c r="AM225" s="48" t="n"/>
      <c r="AN225" s="48" t="n"/>
      <c r="AO225" s="48" t="n"/>
    </row>
    <row r="226">
      <c r="M226" s="25" t="n"/>
      <c r="Q226" s="25" t="n"/>
      <c r="U226" s="194" t="n"/>
      <c r="AA226" s="25" t="n"/>
      <c r="AB226" s="25" t="n"/>
      <c r="AC226" s="195" t="n"/>
      <c r="AD226" s="25" t="n"/>
      <c r="AE226" s="25" t="n"/>
      <c r="AG226" s="25" t="n"/>
      <c r="AH226" s="25" t="n"/>
      <c r="AI226" s="394" t="n"/>
      <c r="AM226" s="48" t="n"/>
      <c r="AN226" s="48" t="n"/>
      <c r="AO226" s="48" t="n"/>
    </row>
    <row r="227">
      <c r="M227" s="25" t="n"/>
      <c r="Q227" s="25" t="n"/>
      <c r="U227" s="194" t="n"/>
      <c r="AA227" s="25" t="n"/>
      <c r="AB227" s="25" t="n"/>
      <c r="AC227" s="195" t="n"/>
      <c r="AD227" s="25" t="n"/>
      <c r="AE227" s="25" t="n"/>
      <c r="AG227" s="25" t="n"/>
      <c r="AH227" s="25" t="n"/>
      <c r="AI227" s="394" t="n"/>
      <c r="AM227" s="48" t="n"/>
      <c r="AN227" s="48" t="n"/>
      <c r="AO227" s="48" t="n"/>
    </row>
    <row r="228">
      <c r="M228" s="25" t="n"/>
      <c r="Q228" s="25" t="n"/>
      <c r="U228" s="194" t="n"/>
      <c r="AA228" s="25" t="n"/>
      <c r="AB228" s="25" t="n"/>
      <c r="AC228" s="195" t="n"/>
      <c r="AD228" s="25" t="n"/>
      <c r="AE228" s="25" t="n"/>
      <c r="AG228" s="25" t="n"/>
      <c r="AH228" s="25" t="n"/>
      <c r="AI228" s="394" t="n"/>
      <c r="AM228" s="48" t="n"/>
      <c r="AN228" s="48" t="n"/>
      <c r="AO228" s="48" t="n"/>
    </row>
    <row r="229">
      <c r="M229" s="25" t="n"/>
      <c r="Q229" s="25" t="n"/>
      <c r="U229" s="194" t="n"/>
      <c r="AA229" s="25" t="n"/>
      <c r="AB229" s="25" t="n"/>
      <c r="AC229" s="195" t="n"/>
      <c r="AD229" s="25" t="n"/>
      <c r="AE229" s="25" t="n"/>
      <c r="AG229" s="25" t="n"/>
      <c r="AH229" s="25" t="n"/>
      <c r="AI229" s="394" t="n"/>
      <c r="AM229" s="48" t="n"/>
      <c r="AN229" s="48" t="n"/>
      <c r="AO229" s="48" t="n"/>
    </row>
    <row r="230">
      <c r="M230" s="25" t="n"/>
      <c r="Q230" s="25" t="n"/>
      <c r="U230" s="194" t="n"/>
      <c r="AA230" s="25" t="n"/>
      <c r="AB230" s="25" t="n"/>
      <c r="AC230" s="195" t="n"/>
      <c r="AD230" s="25" t="n"/>
      <c r="AE230" s="25" t="n"/>
      <c r="AG230" s="25" t="n"/>
      <c r="AH230" s="25" t="n"/>
      <c r="AI230" s="394" t="n"/>
      <c r="AM230" s="48" t="n"/>
      <c r="AN230" s="48" t="n"/>
      <c r="AO230" s="48" t="n"/>
    </row>
    <row r="231">
      <c r="M231" s="25" t="n"/>
      <c r="Q231" s="25" t="n"/>
      <c r="U231" s="194" t="n"/>
      <c r="AA231" s="25" t="n"/>
      <c r="AB231" s="25" t="n"/>
      <c r="AC231" s="195" t="n"/>
      <c r="AD231" s="25" t="n"/>
      <c r="AE231" s="25" t="n"/>
      <c r="AG231" s="25" t="n"/>
      <c r="AH231" s="25" t="n"/>
      <c r="AI231" s="394" t="n"/>
      <c r="AM231" s="48" t="n"/>
      <c r="AN231" s="48" t="n"/>
      <c r="AO231" s="48" t="n"/>
    </row>
    <row r="232">
      <c r="M232" s="25" t="n"/>
      <c r="Q232" s="25" t="n"/>
      <c r="U232" s="194" t="n"/>
      <c r="AA232" s="25" t="n"/>
      <c r="AB232" s="25" t="n"/>
      <c r="AC232" s="195" t="n"/>
      <c r="AD232" s="25" t="n"/>
      <c r="AE232" s="25" t="n"/>
      <c r="AG232" s="25" t="n"/>
      <c r="AH232" s="25" t="n"/>
      <c r="AI232" s="394" t="n"/>
      <c r="AM232" s="48" t="n"/>
      <c r="AN232" s="48" t="n"/>
      <c r="AO232" s="48" t="n"/>
    </row>
    <row r="233">
      <c r="M233" s="25" t="n"/>
      <c r="Q233" s="25" t="n"/>
      <c r="U233" s="194" t="n"/>
      <c r="AA233" s="25" t="n"/>
      <c r="AB233" s="25" t="n"/>
      <c r="AC233" s="195" t="n"/>
      <c r="AD233" s="25" t="n"/>
      <c r="AE233" s="25" t="n"/>
      <c r="AG233" s="25" t="n"/>
      <c r="AH233" s="25" t="n"/>
      <c r="AI233" s="394" t="n"/>
      <c r="AM233" s="48" t="n"/>
      <c r="AN233" s="48" t="n"/>
      <c r="AO233" s="48" t="n"/>
    </row>
    <row r="234">
      <c r="M234" s="25" t="n"/>
      <c r="Q234" s="25" t="n"/>
      <c r="U234" s="194" t="n"/>
      <c r="AA234" s="25" t="n"/>
      <c r="AB234" s="25" t="n"/>
      <c r="AC234" s="195" t="n"/>
      <c r="AD234" s="25" t="n"/>
      <c r="AE234" s="25" t="n"/>
      <c r="AG234" s="25" t="n"/>
      <c r="AH234" s="25" t="n"/>
      <c r="AI234" s="394" t="n"/>
      <c r="AM234" s="48" t="n"/>
      <c r="AN234" s="48" t="n"/>
      <c r="AO234" s="48" t="n"/>
    </row>
    <row r="235">
      <c r="M235" s="25" t="n"/>
      <c r="Q235" s="25" t="n"/>
      <c r="U235" s="194" t="n"/>
      <c r="AA235" s="25" t="n"/>
      <c r="AB235" s="25" t="n"/>
      <c r="AC235" s="195" t="n"/>
      <c r="AD235" s="25" t="n"/>
      <c r="AE235" s="25" t="n"/>
      <c r="AG235" s="25" t="n"/>
      <c r="AH235" s="25" t="n"/>
      <c r="AI235" s="394" t="n"/>
      <c r="AM235" s="48" t="n"/>
      <c r="AN235" s="48" t="n"/>
      <c r="AO235" s="48" t="n"/>
    </row>
    <row r="236">
      <c r="M236" s="25" t="n"/>
      <c r="Q236" s="25" t="n"/>
      <c r="U236" s="194" t="n"/>
      <c r="AA236" s="25" t="n"/>
      <c r="AB236" s="25" t="n"/>
      <c r="AC236" s="195" t="n"/>
      <c r="AD236" s="25" t="n"/>
      <c r="AE236" s="25" t="n"/>
      <c r="AG236" s="25" t="n"/>
      <c r="AH236" s="25" t="n"/>
      <c r="AI236" s="394" t="n"/>
      <c r="AM236" s="48" t="n"/>
      <c r="AN236" s="48" t="n"/>
      <c r="AO236" s="48" t="n"/>
    </row>
    <row r="237">
      <c r="M237" s="25" t="n"/>
      <c r="Q237" s="25" t="n"/>
      <c r="U237" s="194" t="n"/>
      <c r="AA237" s="25" t="n"/>
      <c r="AB237" s="25" t="n"/>
      <c r="AC237" s="195" t="n"/>
      <c r="AD237" s="25" t="n"/>
      <c r="AE237" s="25" t="n"/>
      <c r="AG237" s="25" t="n"/>
      <c r="AH237" s="25" t="n"/>
      <c r="AI237" s="394" t="n"/>
      <c r="AM237" s="48" t="n"/>
      <c r="AN237" s="48" t="n"/>
      <c r="AO237" s="48" t="n"/>
    </row>
    <row r="238">
      <c r="M238" s="25" t="n"/>
      <c r="Q238" s="25" t="n"/>
      <c r="U238" s="194" t="n"/>
      <c r="AA238" s="25" t="n"/>
      <c r="AB238" s="25" t="n"/>
      <c r="AC238" s="195" t="n"/>
      <c r="AD238" s="25" t="n"/>
      <c r="AE238" s="25" t="n"/>
      <c r="AG238" s="25" t="n"/>
      <c r="AH238" s="25" t="n"/>
      <c r="AI238" s="394" t="n"/>
      <c r="AM238" s="48" t="n"/>
      <c r="AN238" s="48" t="n"/>
      <c r="AO238" s="48" t="n"/>
    </row>
    <row r="239">
      <c r="M239" s="25" t="n"/>
      <c r="Q239" s="25" t="n"/>
      <c r="U239" s="194" t="n"/>
      <c r="AA239" s="25" t="n"/>
      <c r="AB239" s="25" t="n"/>
      <c r="AC239" s="195" t="n"/>
      <c r="AD239" s="25" t="n"/>
      <c r="AE239" s="25" t="n"/>
      <c r="AG239" s="25" t="n"/>
      <c r="AH239" s="25" t="n"/>
      <c r="AI239" s="394" t="n"/>
      <c r="AM239" s="48" t="n"/>
      <c r="AN239" s="48" t="n"/>
      <c r="AO239" s="48" t="n"/>
    </row>
    <row r="240">
      <c r="M240" s="25" t="n"/>
      <c r="Q240" s="25" t="n"/>
      <c r="U240" s="194" t="n"/>
      <c r="AA240" s="25" t="n"/>
      <c r="AB240" s="25" t="n"/>
      <c r="AC240" s="195" t="n"/>
      <c r="AD240" s="25" t="n"/>
      <c r="AE240" s="25" t="n"/>
      <c r="AG240" s="25" t="n"/>
      <c r="AH240" s="25" t="n"/>
      <c r="AI240" s="394" t="n"/>
      <c r="AM240" s="48" t="n"/>
      <c r="AN240" s="48" t="n"/>
      <c r="AO240" s="48" t="n"/>
    </row>
    <row r="241">
      <c r="M241" s="25" t="n"/>
      <c r="Q241" s="25" t="n"/>
      <c r="U241" s="194" t="n"/>
      <c r="AA241" s="25" t="n"/>
      <c r="AB241" s="25" t="n"/>
      <c r="AC241" s="195" t="n"/>
      <c r="AD241" s="25" t="n"/>
      <c r="AE241" s="25" t="n"/>
      <c r="AG241" s="25" t="n"/>
      <c r="AH241" s="25" t="n"/>
      <c r="AI241" s="394" t="n"/>
      <c r="AM241" s="48" t="n"/>
      <c r="AN241" s="48" t="n"/>
      <c r="AO241" s="48" t="n"/>
    </row>
    <row r="242">
      <c r="M242" s="25" t="n"/>
      <c r="Q242" s="25" t="n"/>
      <c r="U242" s="194" t="n"/>
      <c r="AA242" s="25" t="n"/>
      <c r="AB242" s="25" t="n"/>
      <c r="AC242" s="195" t="n"/>
      <c r="AD242" s="25" t="n"/>
      <c r="AE242" s="25" t="n"/>
      <c r="AG242" s="25" t="n"/>
      <c r="AH242" s="25" t="n"/>
      <c r="AI242" s="394" t="n"/>
      <c r="AM242" s="48" t="n"/>
      <c r="AN242" s="48" t="n"/>
      <c r="AO242" s="48" t="n"/>
    </row>
    <row r="243">
      <c r="M243" s="25" t="n"/>
      <c r="Q243" s="25" t="n"/>
      <c r="U243" s="194" t="n"/>
      <c r="AA243" s="25" t="n"/>
      <c r="AB243" s="25" t="n"/>
      <c r="AC243" s="195" t="n"/>
      <c r="AD243" s="25" t="n"/>
      <c r="AE243" s="25" t="n"/>
      <c r="AG243" s="25" t="n"/>
      <c r="AH243" s="25" t="n"/>
      <c r="AI243" s="394" t="n"/>
      <c r="AM243" s="48" t="n"/>
      <c r="AN243" s="48" t="n"/>
      <c r="AO243" s="48" t="n"/>
    </row>
    <row r="244">
      <c r="M244" s="25" t="n"/>
      <c r="Q244" s="25" t="n"/>
      <c r="U244" s="194" t="n"/>
      <c r="AA244" s="25" t="n"/>
      <c r="AB244" s="25" t="n"/>
      <c r="AC244" s="195" t="n"/>
      <c r="AD244" s="25" t="n"/>
      <c r="AE244" s="25" t="n"/>
      <c r="AG244" s="25" t="n"/>
      <c r="AH244" s="25" t="n"/>
      <c r="AI244" s="394" t="n"/>
      <c r="AM244" s="48" t="n"/>
      <c r="AN244" s="48" t="n"/>
      <c r="AO244" s="48" t="n"/>
    </row>
    <row r="245">
      <c r="M245" s="25" t="n"/>
      <c r="Q245" s="25" t="n"/>
      <c r="U245" s="194" t="n"/>
      <c r="AA245" s="25" t="n"/>
      <c r="AB245" s="25" t="n"/>
      <c r="AC245" s="195" t="n"/>
      <c r="AD245" s="25" t="n"/>
      <c r="AE245" s="25" t="n"/>
      <c r="AG245" s="25" t="n"/>
      <c r="AH245" s="25" t="n"/>
      <c r="AI245" s="394" t="n"/>
      <c r="AM245" s="48" t="n"/>
      <c r="AN245" s="48" t="n"/>
      <c r="AO245" s="48" t="n"/>
    </row>
    <row r="246">
      <c r="M246" s="25" t="n"/>
      <c r="Q246" s="25" t="n"/>
      <c r="U246" s="194" t="n"/>
      <c r="AA246" s="25" t="n"/>
      <c r="AB246" s="25" t="n"/>
      <c r="AC246" s="195" t="n"/>
      <c r="AD246" s="25" t="n"/>
      <c r="AE246" s="25" t="n"/>
      <c r="AG246" s="25" t="n"/>
      <c r="AH246" s="25" t="n"/>
      <c r="AI246" s="394" t="n"/>
      <c r="AM246" s="48" t="n"/>
      <c r="AN246" s="48" t="n"/>
      <c r="AO246" s="48" t="n"/>
    </row>
    <row r="247">
      <c r="M247" s="25" t="n"/>
      <c r="Q247" s="25" t="n"/>
      <c r="U247" s="194" t="n"/>
      <c r="AA247" s="25" t="n"/>
      <c r="AB247" s="25" t="n"/>
      <c r="AC247" s="195" t="n"/>
      <c r="AD247" s="25" t="n"/>
      <c r="AE247" s="25" t="n"/>
      <c r="AG247" s="25" t="n"/>
      <c r="AH247" s="25" t="n"/>
      <c r="AI247" s="394" t="n"/>
      <c r="AM247" s="48" t="n"/>
      <c r="AN247" s="48" t="n"/>
      <c r="AO247" s="48" t="n"/>
    </row>
    <row r="248">
      <c r="M248" s="25" t="n"/>
      <c r="Q248" s="25" t="n"/>
      <c r="U248" s="194" t="n"/>
      <c r="AA248" s="25" t="n"/>
      <c r="AB248" s="25" t="n"/>
      <c r="AC248" s="195" t="n"/>
      <c r="AD248" s="25" t="n"/>
      <c r="AE248" s="25" t="n"/>
      <c r="AG248" s="25" t="n"/>
      <c r="AH248" s="25" t="n"/>
      <c r="AI248" s="394" t="n"/>
      <c r="AM248" s="48" t="n"/>
      <c r="AN248" s="48" t="n"/>
      <c r="AO248" s="48" t="n"/>
    </row>
    <row r="249">
      <c r="M249" s="25" t="n"/>
      <c r="Q249" s="25" t="n"/>
      <c r="U249" s="194" t="n"/>
      <c r="AA249" s="25" t="n"/>
      <c r="AB249" s="25" t="n"/>
      <c r="AC249" s="195" t="n"/>
      <c r="AD249" s="25" t="n"/>
      <c r="AE249" s="25" t="n"/>
      <c r="AG249" s="25" t="n"/>
      <c r="AH249" s="25" t="n"/>
      <c r="AI249" s="394" t="n"/>
      <c r="AM249" s="48" t="n"/>
      <c r="AN249" s="48" t="n"/>
      <c r="AO249" s="48" t="n"/>
    </row>
    <row r="250">
      <c r="M250" s="25" t="n"/>
      <c r="Q250" s="25" t="n"/>
      <c r="U250" s="194" t="n"/>
      <c r="AA250" s="25" t="n"/>
      <c r="AB250" s="25" t="n"/>
      <c r="AC250" s="195" t="n"/>
      <c r="AD250" s="25" t="n"/>
      <c r="AE250" s="25" t="n"/>
      <c r="AG250" s="25" t="n"/>
      <c r="AH250" s="25" t="n"/>
      <c r="AI250" s="394" t="n"/>
      <c r="AM250" s="48" t="n"/>
      <c r="AN250" s="48" t="n"/>
      <c r="AO250" s="48" t="n"/>
    </row>
    <row r="251">
      <c r="M251" s="25" t="n"/>
      <c r="Q251" s="25" t="n"/>
      <c r="U251" s="194" t="n"/>
      <c r="AA251" s="25" t="n"/>
      <c r="AB251" s="25" t="n"/>
      <c r="AC251" s="195" t="n"/>
      <c r="AD251" s="25" t="n"/>
      <c r="AE251" s="25" t="n"/>
      <c r="AG251" s="25" t="n"/>
      <c r="AH251" s="25" t="n"/>
      <c r="AI251" s="394" t="n"/>
      <c r="AM251" s="48" t="n"/>
      <c r="AN251" s="48" t="n"/>
      <c r="AO251" s="48" t="n"/>
    </row>
    <row r="252">
      <c r="M252" s="25" t="n"/>
      <c r="Q252" s="25" t="n"/>
      <c r="U252" s="194" t="n"/>
      <c r="AA252" s="25" t="n"/>
      <c r="AB252" s="25" t="n"/>
      <c r="AC252" s="195" t="n"/>
      <c r="AD252" s="25" t="n"/>
      <c r="AE252" s="25" t="n"/>
      <c r="AG252" s="25" t="n"/>
      <c r="AH252" s="25" t="n"/>
      <c r="AI252" s="394" t="n"/>
      <c r="AM252" s="48" t="n"/>
      <c r="AN252" s="48" t="n"/>
      <c r="AO252" s="48" t="n"/>
    </row>
    <row r="253">
      <c r="M253" s="25" t="n"/>
      <c r="Q253" s="25" t="n"/>
      <c r="U253" s="194" t="n"/>
      <c r="AA253" s="25" t="n"/>
      <c r="AB253" s="25" t="n"/>
      <c r="AC253" s="195" t="n"/>
      <c r="AD253" s="25" t="n"/>
      <c r="AE253" s="25" t="n"/>
      <c r="AG253" s="25" t="n"/>
      <c r="AH253" s="25" t="n"/>
      <c r="AI253" s="394" t="n"/>
      <c r="AM253" s="48" t="n"/>
      <c r="AN253" s="48" t="n"/>
      <c r="AO253" s="48" t="n"/>
    </row>
    <row r="254">
      <c r="M254" s="25" t="n"/>
      <c r="Q254" s="25" t="n"/>
      <c r="U254" s="194" t="n"/>
      <c r="AA254" s="25" t="n"/>
      <c r="AB254" s="25" t="n"/>
      <c r="AC254" s="195" t="n"/>
      <c r="AD254" s="25" t="n"/>
      <c r="AE254" s="25" t="n"/>
      <c r="AG254" s="25" t="n"/>
      <c r="AH254" s="25" t="n"/>
      <c r="AI254" s="394" t="n"/>
      <c r="AM254" s="48" t="n"/>
      <c r="AN254" s="48" t="n"/>
      <c r="AO254" s="48" t="n"/>
    </row>
    <row r="255">
      <c r="M255" s="25" t="n"/>
      <c r="Q255" s="25" t="n"/>
      <c r="U255" s="194" t="n"/>
      <c r="AA255" s="25" t="n"/>
      <c r="AB255" s="25" t="n"/>
      <c r="AC255" s="195" t="n"/>
      <c r="AD255" s="25" t="n"/>
      <c r="AE255" s="25" t="n"/>
      <c r="AG255" s="25" t="n"/>
      <c r="AH255" s="25" t="n"/>
      <c r="AI255" s="394" t="n"/>
      <c r="AM255" s="48" t="n"/>
      <c r="AN255" s="48" t="n"/>
      <c r="AO255" s="48" t="n"/>
    </row>
    <row r="256">
      <c r="M256" s="25" t="n"/>
      <c r="Q256" s="25" t="n"/>
      <c r="U256" s="194" t="n"/>
      <c r="AA256" s="25" t="n"/>
      <c r="AB256" s="25" t="n"/>
      <c r="AC256" s="195" t="n"/>
      <c r="AD256" s="25" t="n"/>
      <c r="AE256" s="25" t="n"/>
      <c r="AG256" s="25" t="n"/>
      <c r="AH256" s="25" t="n"/>
      <c r="AI256" s="394" t="n"/>
      <c r="AM256" s="48" t="n"/>
      <c r="AN256" s="48" t="n"/>
      <c r="AO256" s="48" t="n"/>
    </row>
    <row r="257">
      <c r="M257" s="25" t="n"/>
      <c r="Q257" s="25" t="n"/>
      <c r="U257" s="194" t="n"/>
      <c r="AA257" s="25" t="n"/>
      <c r="AB257" s="25" t="n"/>
      <c r="AC257" s="195" t="n"/>
      <c r="AD257" s="25" t="n"/>
      <c r="AE257" s="25" t="n"/>
      <c r="AG257" s="25" t="n"/>
      <c r="AH257" s="25" t="n"/>
      <c r="AI257" s="394" t="n"/>
      <c r="AM257" s="48" t="n"/>
      <c r="AN257" s="48" t="n"/>
      <c r="AO257" s="48" t="n"/>
    </row>
    <row r="258">
      <c r="M258" s="25" t="n"/>
      <c r="Q258" s="25" t="n"/>
      <c r="U258" s="194" t="n"/>
      <c r="AA258" s="25" t="n"/>
      <c r="AB258" s="25" t="n"/>
      <c r="AC258" s="195" t="n"/>
      <c r="AD258" s="25" t="n"/>
      <c r="AE258" s="25" t="n"/>
      <c r="AG258" s="25" t="n"/>
      <c r="AH258" s="25" t="n"/>
      <c r="AI258" s="394" t="n"/>
      <c r="AM258" s="48" t="n"/>
      <c r="AN258" s="48" t="n"/>
      <c r="AO258" s="48" t="n"/>
    </row>
    <row r="259">
      <c r="M259" s="25" t="n"/>
      <c r="Q259" s="25" t="n"/>
      <c r="U259" s="194" t="n"/>
      <c r="AA259" s="25" t="n"/>
      <c r="AB259" s="25" t="n"/>
      <c r="AC259" s="195" t="n"/>
      <c r="AD259" s="25" t="n"/>
      <c r="AE259" s="25" t="n"/>
      <c r="AG259" s="25" t="n"/>
      <c r="AH259" s="25" t="n"/>
      <c r="AI259" s="394" t="n"/>
      <c r="AM259" s="48" t="n"/>
      <c r="AN259" s="48" t="n"/>
      <c r="AO259" s="48" t="n"/>
    </row>
    <row r="260">
      <c r="M260" s="25" t="n"/>
      <c r="Q260" s="25" t="n"/>
      <c r="U260" s="194" t="n"/>
      <c r="AA260" s="25" t="n"/>
      <c r="AB260" s="25" t="n"/>
      <c r="AC260" s="195" t="n"/>
      <c r="AD260" s="25" t="n"/>
      <c r="AE260" s="25" t="n"/>
      <c r="AG260" s="25" t="n"/>
      <c r="AH260" s="25" t="n"/>
      <c r="AI260" s="394" t="n"/>
      <c r="AM260" s="48" t="n"/>
      <c r="AN260" s="48" t="n"/>
      <c r="AO260" s="48" t="n"/>
    </row>
    <row r="261">
      <c r="M261" s="25" t="n"/>
      <c r="Q261" s="25" t="n"/>
      <c r="U261" s="194" t="n"/>
      <c r="AA261" s="25" t="n"/>
      <c r="AB261" s="25" t="n"/>
      <c r="AC261" s="195" t="n"/>
      <c r="AD261" s="25" t="n"/>
      <c r="AE261" s="25" t="n"/>
      <c r="AG261" s="25" t="n"/>
      <c r="AH261" s="25" t="n"/>
      <c r="AI261" s="394" t="n"/>
      <c r="AM261" s="48" t="n"/>
      <c r="AN261" s="48" t="n"/>
      <c r="AO261" s="48" t="n"/>
    </row>
    <row r="262">
      <c r="M262" s="25" t="n"/>
      <c r="Q262" s="25" t="n"/>
      <c r="U262" s="194" t="n"/>
      <c r="AA262" s="25" t="n"/>
      <c r="AB262" s="25" t="n"/>
      <c r="AC262" s="195" t="n"/>
      <c r="AD262" s="25" t="n"/>
      <c r="AE262" s="25" t="n"/>
      <c r="AG262" s="25" t="n"/>
      <c r="AH262" s="25" t="n"/>
      <c r="AI262" s="394" t="n"/>
      <c r="AM262" s="48" t="n"/>
      <c r="AN262" s="48" t="n"/>
      <c r="AO262" s="48" t="n"/>
    </row>
    <row r="263">
      <c r="M263" s="25" t="n"/>
      <c r="Q263" s="25" t="n"/>
      <c r="U263" s="194" t="n"/>
      <c r="AA263" s="25" t="n"/>
      <c r="AB263" s="25" t="n"/>
      <c r="AC263" s="195" t="n"/>
      <c r="AD263" s="25" t="n"/>
      <c r="AE263" s="25" t="n"/>
      <c r="AG263" s="25" t="n"/>
      <c r="AH263" s="25" t="n"/>
      <c r="AI263" s="394" t="n"/>
      <c r="AM263" s="48" t="n"/>
      <c r="AN263" s="48" t="n"/>
      <c r="AO263" s="48" t="n"/>
    </row>
    <row r="264">
      <c r="M264" s="25" t="n"/>
      <c r="Q264" s="25" t="n"/>
      <c r="U264" s="194" t="n"/>
      <c r="AA264" s="25" t="n"/>
      <c r="AB264" s="25" t="n"/>
      <c r="AC264" s="195" t="n"/>
      <c r="AD264" s="25" t="n"/>
      <c r="AE264" s="25" t="n"/>
      <c r="AG264" s="25" t="n"/>
      <c r="AH264" s="25" t="n"/>
      <c r="AI264" s="394" t="n"/>
      <c r="AM264" s="48" t="n"/>
      <c r="AN264" s="48" t="n"/>
      <c r="AO264" s="48" t="n"/>
    </row>
    <row r="265">
      <c r="M265" s="25" t="n"/>
      <c r="Q265" s="25" t="n"/>
      <c r="U265" s="194" t="n"/>
      <c r="AA265" s="25" t="n"/>
      <c r="AB265" s="25" t="n"/>
      <c r="AC265" s="195" t="n"/>
      <c r="AD265" s="25" t="n"/>
      <c r="AE265" s="25" t="n"/>
      <c r="AG265" s="25" t="n"/>
      <c r="AH265" s="25" t="n"/>
      <c r="AI265" s="394" t="n"/>
      <c r="AM265" s="48" t="n"/>
      <c r="AN265" s="48" t="n"/>
      <c r="AO265" s="48" t="n"/>
    </row>
    <row r="266">
      <c r="M266" s="25" t="n"/>
      <c r="Q266" s="25" t="n"/>
      <c r="U266" s="194" t="n"/>
      <c r="AA266" s="25" t="n"/>
      <c r="AB266" s="25" t="n"/>
      <c r="AC266" s="195" t="n"/>
      <c r="AD266" s="25" t="n"/>
      <c r="AE266" s="25" t="n"/>
      <c r="AG266" s="25" t="n"/>
      <c r="AH266" s="25" t="n"/>
      <c r="AI266" s="394" t="n"/>
      <c r="AM266" s="48" t="n"/>
      <c r="AN266" s="48" t="n"/>
      <c r="AO266" s="48" t="n"/>
    </row>
    <row r="267">
      <c r="M267" s="25" t="n"/>
      <c r="Q267" s="25" t="n"/>
      <c r="U267" s="194" t="n"/>
      <c r="AA267" s="25" t="n"/>
      <c r="AB267" s="25" t="n"/>
      <c r="AC267" s="195" t="n"/>
      <c r="AD267" s="25" t="n"/>
      <c r="AE267" s="25" t="n"/>
      <c r="AG267" s="25" t="n"/>
      <c r="AH267" s="25" t="n"/>
      <c r="AI267" s="394" t="n"/>
      <c r="AM267" s="48" t="n"/>
      <c r="AN267" s="48" t="n"/>
      <c r="AO267" s="48" t="n"/>
    </row>
    <row r="268">
      <c r="M268" s="25" t="n"/>
      <c r="Q268" s="25" t="n"/>
      <c r="U268" s="194" t="n"/>
      <c r="AA268" s="25" t="n"/>
      <c r="AB268" s="25" t="n"/>
      <c r="AC268" s="195" t="n"/>
      <c r="AD268" s="25" t="n"/>
      <c r="AE268" s="25" t="n"/>
      <c r="AG268" s="25" t="n"/>
      <c r="AH268" s="25" t="n"/>
      <c r="AI268" s="394" t="n"/>
      <c r="AM268" s="48" t="n"/>
      <c r="AN268" s="48" t="n"/>
      <c r="AO268" s="48" t="n"/>
    </row>
    <row r="269">
      <c r="M269" s="25" t="n"/>
      <c r="Q269" s="25" t="n"/>
      <c r="U269" s="194" t="n"/>
      <c r="AA269" s="25" t="n"/>
      <c r="AB269" s="25" t="n"/>
      <c r="AC269" s="195" t="n"/>
      <c r="AD269" s="25" t="n"/>
      <c r="AE269" s="25" t="n"/>
      <c r="AG269" s="25" t="n"/>
      <c r="AH269" s="25" t="n"/>
      <c r="AI269" s="394" t="n"/>
      <c r="AM269" s="48" t="n"/>
      <c r="AN269" s="48" t="n"/>
      <c r="AO269" s="48" t="n"/>
    </row>
    <row r="270">
      <c r="M270" s="25" t="n"/>
      <c r="Q270" s="25" t="n"/>
      <c r="U270" s="194" t="n"/>
      <c r="AA270" s="25" t="n"/>
      <c r="AB270" s="25" t="n"/>
      <c r="AC270" s="195" t="n"/>
      <c r="AD270" s="25" t="n"/>
      <c r="AE270" s="25" t="n"/>
      <c r="AG270" s="25" t="n"/>
      <c r="AH270" s="25" t="n"/>
      <c r="AI270" s="394" t="n"/>
      <c r="AM270" s="48" t="n"/>
      <c r="AN270" s="48" t="n"/>
      <c r="AO270" s="48" t="n"/>
    </row>
    <row r="271">
      <c r="M271" s="25" t="n"/>
      <c r="Q271" s="25" t="n"/>
      <c r="U271" s="194" t="n"/>
      <c r="AA271" s="25" t="n"/>
      <c r="AB271" s="25" t="n"/>
      <c r="AC271" s="195" t="n"/>
      <c r="AD271" s="25" t="n"/>
      <c r="AE271" s="25" t="n"/>
      <c r="AG271" s="25" t="n"/>
      <c r="AH271" s="25" t="n"/>
      <c r="AI271" s="394" t="n"/>
      <c r="AM271" s="48" t="n"/>
      <c r="AN271" s="48" t="n"/>
      <c r="AO271" s="48" t="n"/>
    </row>
    <row r="272">
      <c r="M272" s="25" t="n"/>
      <c r="Q272" s="25" t="n"/>
      <c r="U272" s="194" t="n"/>
      <c r="AA272" s="25" t="n"/>
      <c r="AB272" s="25" t="n"/>
      <c r="AC272" s="195" t="n"/>
      <c r="AD272" s="25" t="n"/>
      <c r="AE272" s="25" t="n"/>
      <c r="AG272" s="25" t="n"/>
      <c r="AH272" s="25" t="n"/>
      <c r="AI272" s="394" t="n"/>
      <c r="AM272" s="48" t="n"/>
      <c r="AN272" s="48" t="n"/>
      <c r="AO272" s="48" t="n"/>
    </row>
    <row r="273">
      <c r="M273" s="25" t="n"/>
      <c r="Q273" s="25" t="n"/>
      <c r="U273" s="194" t="n"/>
      <c r="AA273" s="25" t="n"/>
      <c r="AB273" s="25" t="n"/>
      <c r="AC273" s="195" t="n"/>
      <c r="AD273" s="25" t="n"/>
      <c r="AE273" s="25" t="n"/>
      <c r="AG273" s="25" t="n"/>
      <c r="AH273" s="25" t="n"/>
      <c r="AI273" s="394" t="n"/>
      <c r="AM273" s="48" t="n"/>
      <c r="AN273" s="48" t="n"/>
      <c r="AO273" s="48" t="n"/>
    </row>
    <row r="274">
      <c r="M274" s="25" t="n"/>
      <c r="Q274" s="25" t="n"/>
      <c r="U274" s="194" t="n"/>
      <c r="AA274" s="25" t="n"/>
      <c r="AB274" s="25" t="n"/>
      <c r="AC274" s="195" t="n"/>
      <c r="AD274" s="25" t="n"/>
      <c r="AE274" s="25" t="n"/>
      <c r="AG274" s="25" t="n"/>
      <c r="AH274" s="25" t="n"/>
      <c r="AI274" s="394" t="n"/>
      <c r="AM274" s="48" t="n"/>
      <c r="AN274" s="48" t="n"/>
      <c r="AO274" s="48" t="n"/>
    </row>
    <row r="275">
      <c r="M275" s="25" t="n"/>
      <c r="Q275" s="25" t="n"/>
      <c r="U275" s="194" t="n"/>
      <c r="AA275" s="25" t="n"/>
      <c r="AB275" s="25" t="n"/>
      <c r="AC275" s="195" t="n"/>
      <c r="AD275" s="25" t="n"/>
      <c r="AE275" s="25" t="n"/>
      <c r="AG275" s="25" t="n"/>
      <c r="AH275" s="25" t="n"/>
      <c r="AI275" s="394" t="n"/>
      <c r="AM275" s="48" t="n"/>
      <c r="AN275" s="48" t="n"/>
      <c r="AO275" s="48" t="n"/>
    </row>
    <row r="276">
      <c r="M276" s="25" t="n"/>
      <c r="Q276" s="25" t="n"/>
      <c r="U276" s="194" t="n"/>
      <c r="AA276" s="25" t="n"/>
      <c r="AB276" s="25" t="n"/>
      <c r="AC276" s="195" t="n"/>
      <c r="AD276" s="25" t="n"/>
      <c r="AE276" s="25" t="n"/>
      <c r="AG276" s="25" t="n"/>
      <c r="AH276" s="25" t="n"/>
      <c r="AI276" s="394" t="n"/>
      <c r="AM276" s="48" t="n"/>
      <c r="AN276" s="48" t="n"/>
      <c r="AO276" s="48" t="n"/>
    </row>
    <row r="277">
      <c r="M277" s="25" t="n"/>
      <c r="Q277" s="25" t="n"/>
      <c r="U277" s="194" t="n"/>
      <c r="AA277" s="25" t="n"/>
      <c r="AB277" s="25" t="n"/>
      <c r="AC277" s="195" t="n"/>
      <c r="AD277" s="25" t="n"/>
      <c r="AE277" s="25" t="n"/>
      <c r="AG277" s="25" t="n"/>
      <c r="AH277" s="25" t="n"/>
      <c r="AI277" s="394" t="n"/>
      <c r="AM277" s="48" t="n"/>
      <c r="AN277" s="48" t="n"/>
      <c r="AO277" s="48" t="n"/>
    </row>
    <row r="278">
      <c r="M278" s="25" t="n"/>
      <c r="Q278" s="25" t="n"/>
      <c r="U278" s="194" t="n"/>
      <c r="AA278" s="25" t="n"/>
      <c r="AB278" s="25" t="n"/>
      <c r="AC278" s="195" t="n"/>
      <c r="AD278" s="25" t="n"/>
      <c r="AE278" s="25" t="n"/>
      <c r="AG278" s="25" t="n"/>
      <c r="AH278" s="25" t="n"/>
      <c r="AI278" s="394" t="n"/>
      <c r="AM278" s="48" t="n"/>
      <c r="AN278" s="48" t="n"/>
      <c r="AO278" s="48" t="n"/>
    </row>
    <row r="279">
      <c r="M279" s="25" t="n"/>
      <c r="Q279" s="25" t="n"/>
      <c r="U279" s="194" t="n"/>
      <c r="AA279" s="25" t="n"/>
      <c r="AB279" s="25" t="n"/>
      <c r="AC279" s="195" t="n"/>
      <c r="AD279" s="25" t="n"/>
      <c r="AE279" s="25" t="n"/>
      <c r="AG279" s="25" t="n"/>
      <c r="AH279" s="25" t="n"/>
      <c r="AI279" s="394" t="n"/>
      <c r="AM279" s="48" t="n"/>
      <c r="AN279" s="48" t="n"/>
      <c r="AO279" s="48" t="n"/>
    </row>
    <row r="280">
      <c r="M280" s="25" t="n"/>
      <c r="Q280" s="25" t="n"/>
      <c r="U280" s="194" t="n"/>
      <c r="AA280" s="25" t="n"/>
      <c r="AB280" s="25" t="n"/>
      <c r="AC280" s="195" t="n"/>
      <c r="AD280" s="25" t="n"/>
      <c r="AE280" s="25" t="n"/>
      <c r="AG280" s="25" t="n"/>
      <c r="AH280" s="25" t="n"/>
      <c r="AI280" s="394" t="n"/>
      <c r="AM280" s="48" t="n"/>
      <c r="AN280" s="48" t="n"/>
      <c r="AO280" s="48" t="n"/>
    </row>
    <row r="281">
      <c r="M281" s="25" t="n"/>
      <c r="Q281" s="25" t="n"/>
      <c r="U281" s="194" t="n"/>
      <c r="AA281" s="25" t="n"/>
      <c r="AB281" s="25" t="n"/>
      <c r="AC281" s="195" t="n"/>
      <c r="AD281" s="25" t="n"/>
      <c r="AE281" s="25" t="n"/>
      <c r="AG281" s="25" t="n"/>
      <c r="AH281" s="25" t="n"/>
      <c r="AI281" s="394" t="n"/>
      <c r="AM281" s="48" t="n"/>
      <c r="AN281" s="48" t="n"/>
      <c r="AO281" s="48" t="n"/>
    </row>
    <row r="282">
      <c r="M282" s="25" t="n"/>
      <c r="Q282" s="25" t="n"/>
      <c r="U282" s="194" t="n"/>
      <c r="AA282" s="25" t="n"/>
      <c r="AB282" s="25" t="n"/>
      <c r="AC282" s="195" t="n"/>
      <c r="AD282" s="25" t="n"/>
      <c r="AE282" s="25" t="n"/>
      <c r="AG282" s="25" t="n"/>
      <c r="AH282" s="25" t="n"/>
      <c r="AI282" s="394" t="n"/>
      <c r="AM282" s="48" t="n"/>
      <c r="AN282" s="48" t="n"/>
      <c r="AO282" s="48" t="n"/>
    </row>
    <row r="283">
      <c r="M283" s="25" t="n"/>
      <c r="Q283" s="25" t="n"/>
      <c r="U283" s="194" t="n"/>
      <c r="AA283" s="25" t="n"/>
      <c r="AB283" s="25" t="n"/>
      <c r="AC283" s="195" t="n"/>
      <c r="AD283" s="25" t="n"/>
      <c r="AE283" s="25" t="n"/>
      <c r="AG283" s="25" t="n"/>
      <c r="AH283" s="25" t="n"/>
      <c r="AI283" s="394" t="n"/>
      <c r="AM283" s="48" t="n"/>
      <c r="AN283" s="48" t="n"/>
      <c r="AO283" s="48" t="n"/>
    </row>
    <row r="284">
      <c r="M284" s="25" t="n"/>
      <c r="Q284" s="25" t="n"/>
      <c r="U284" s="194" t="n"/>
      <c r="AA284" s="25" t="n"/>
      <c r="AB284" s="25" t="n"/>
      <c r="AC284" s="195" t="n"/>
      <c r="AD284" s="25" t="n"/>
      <c r="AE284" s="25" t="n"/>
      <c r="AG284" s="25" t="n"/>
      <c r="AH284" s="25" t="n"/>
      <c r="AI284" s="394" t="n"/>
      <c r="AM284" s="48" t="n"/>
      <c r="AN284" s="48" t="n"/>
      <c r="AO284" s="48" t="n"/>
    </row>
    <row r="285">
      <c r="M285" s="25" t="n"/>
      <c r="Q285" s="25" t="n"/>
      <c r="U285" s="194" t="n"/>
      <c r="AA285" s="25" t="n"/>
      <c r="AB285" s="25" t="n"/>
      <c r="AC285" s="195" t="n"/>
      <c r="AD285" s="25" t="n"/>
      <c r="AE285" s="25" t="n"/>
      <c r="AG285" s="25" t="n"/>
      <c r="AH285" s="25" t="n"/>
      <c r="AI285" s="394" t="n"/>
      <c r="AM285" s="48" t="n"/>
      <c r="AN285" s="48" t="n"/>
      <c r="AO285" s="48" t="n"/>
    </row>
    <row r="286">
      <c r="M286" s="25" t="n"/>
      <c r="Q286" s="25" t="n"/>
      <c r="U286" s="194" t="n"/>
      <c r="AA286" s="25" t="n"/>
      <c r="AB286" s="25" t="n"/>
      <c r="AC286" s="195" t="n"/>
      <c r="AD286" s="25" t="n"/>
      <c r="AE286" s="25" t="n"/>
      <c r="AG286" s="25" t="n"/>
      <c r="AH286" s="25" t="n"/>
      <c r="AI286" s="394" t="n"/>
      <c r="AM286" s="48" t="n"/>
      <c r="AN286" s="48" t="n"/>
      <c r="AO286" s="48" t="n"/>
    </row>
    <row r="287">
      <c r="M287" s="25" t="n"/>
      <c r="Q287" s="25" t="n"/>
      <c r="U287" s="194" t="n"/>
      <c r="AA287" s="25" t="n"/>
      <c r="AB287" s="25" t="n"/>
      <c r="AC287" s="195" t="n"/>
      <c r="AD287" s="25" t="n"/>
      <c r="AE287" s="25" t="n"/>
      <c r="AG287" s="25" t="n"/>
      <c r="AH287" s="25" t="n"/>
      <c r="AI287" s="394" t="n"/>
      <c r="AM287" s="48" t="n"/>
      <c r="AN287" s="48" t="n"/>
      <c r="AO287" s="48" t="n"/>
    </row>
    <row r="288">
      <c r="M288" s="25" t="n"/>
      <c r="Q288" s="25" t="n"/>
      <c r="U288" s="194" t="n"/>
      <c r="AA288" s="25" t="n"/>
      <c r="AB288" s="25" t="n"/>
      <c r="AC288" s="195" t="n"/>
      <c r="AD288" s="25" t="n"/>
      <c r="AE288" s="25" t="n"/>
      <c r="AG288" s="25" t="n"/>
      <c r="AH288" s="25" t="n"/>
      <c r="AI288" s="394" t="n"/>
      <c r="AM288" s="48" t="n"/>
      <c r="AN288" s="48" t="n"/>
      <c r="AO288" s="48" t="n"/>
    </row>
    <row r="289">
      <c r="M289" s="25" t="n"/>
      <c r="Q289" s="25" t="n"/>
      <c r="U289" s="194" t="n"/>
      <c r="AA289" s="25" t="n"/>
      <c r="AB289" s="25" t="n"/>
      <c r="AC289" s="195" t="n"/>
      <c r="AD289" s="25" t="n"/>
      <c r="AE289" s="25" t="n"/>
      <c r="AG289" s="25" t="n"/>
      <c r="AH289" s="25" t="n"/>
      <c r="AI289" s="394" t="n"/>
      <c r="AM289" s="48" t="n"/>
      <c r="AN289" s="48" t="n"/>
      <c r="AO289" s="48" t="n"/>
    </row>
    <row r="290">
      <c r="M290" s="25" t="n"/>
      <c r="Q290" s="25" t="n"/>
      <c r="U290" s="194" t="n"/>
      <c r="AA290" s="25" t="n"/>
      <c r="AB290" s="25" t="n"/>
      <c r="AC290" s="195" t="n"/>
      <c r="AD290" s="25" t="n"/>
      <c r="AE290" s="25" t="n"/>
      <c r="AG290" s="25" t="n"/>
      <c r="AH290" s="25" t="n"/>
      <c r="AI290" s="394" t="n"/>
      <c r="AM290" s="48" t="n"/>
      <c r="AN290" s="48" t="n"/>
      <c r="AO290" s="48" t="n"/>
    </row>
    <row r="291">
      <c r="M291" s="25" t="n"/>
      <c r="Q291" s="25" t="n"/>
      <c r="U291" s="194" t="n"/>
      <c r="AA291" s="25" t="n"/>
      <c r="AB291" s="25" t="n"/>
      <c r="AC291" s="195" t="n"/>
      <c r="AD291" s="25" t="n"/>
      <c r="AE291" s="25" t="n"/>
      <c r="AG291" s="25" t="n"/>
      <c r="AH291" s="25" t="n"/>
      <c r="AI291" s="394" t="n"/>
      <c r="AM291" s="48" t="n"/>
      <c r="AN291" s="48" t="n"/>
      <c r="AO291" s="48" t="n"/>
    </row>
    <row r="292">
      <c r="M292" s="25" t="n"/>
      <c r="Q292" s="25" t="n"/>
      <c r="U292" s="194" t="n"/>
      <c r="AA292" s="25" t="n"/>
      <c r="AB292" s="25" t="n"/>
      <c r="AC292" s="195" t="n"/>
      <c r="AD292" s="25" t="n"/>
      <c r="AE292" s="25" t="n"/>
      <c r="AG292" s="25" t="n"/>
      <c r="AH292" s="25" t="n"/>
      <c r="AI292" s="394" t="n"/>
      <c r="AM292" s="48" t="n"/>
      <c r="AN292" s="48" t="n"/>
      <c r="AO292" s="48" t="n"/>
    </row>
    <row r="293">
      <c r="M293" s="25" t="n"/>
      <c r="Q293" s="25" t="n"/>
      <c r="U293" s="194" t="n"/>
      <c r="AA293" s="25" t="n"/>
      <c r="AB293" s="25" t="n"/>
      <c r="AC293" s="195" t="n"/>
      <c r="AD293" s="25" t="n"/>
      <c r="AE293" s="25" t="n"/>
      <c r="AG293" s="25" t="n"/>
      <c r="AH293" s="25" t="n"/>
      <c r="AI293" s="394" t="n"/>
      <c r="AM293" s="48" t="n"/>
      <c r="AN293" s="48" t="n"/>
      <c r="AO293" s="48" t="n"/>
    </row>
    <row r="294">
      <c r="M294" s="25" t="n"/>
      <c r="Q294" s="25" t="n"/>
      <c r="U294" s="194" t="n"/>
      <c r="AA294" s="25" t="n"/>
      <c r="AB294" s="25" t="n"/>
      <c r="AC294" s="195" t="n"/>
      <c r="AD294" s="25" t="n"/>
      <c r="AE294" s="25" t="n"/>
      <c r="AG294" s="25" t="n"/>
      <c r="AH294" s="25" t="n"/>
      <c r="AI294" s="394" t="n"/>
      <c r="AM294" s="48" t="n"/>
      <c r="AN294" s="48" t="n"/>
      <c r="AO294" s="48" t="n"/>
    </row>
    <row r="295">
      <c r="M295" s="25" t="n"/>
      <c r="Q295" s="25" t="n"/>
      <c r="U295" s="194" t="n"/>
      <c r="AA295" s="25" t="n"/>
      <c r="AB295" s="25" t="n"/>
      <c r="AC295" s="195" t="n"/>
      <c r="AD295" s="25" t="n"/>
      <c r="AE295" s="25" t="n"/>
      <c r="AG295" s="25" t="n"/>
      <c r="AH295" s="25" t="n"/>
      <c r="AI295" s="394" t="n"/>
      <c r="AM295" s="48" t="n"/>
      <c r="AN295" s="48" t="n"/>
      <c r="AO295" s="48" t="n"/>
    </row>
    <row r="296">
      <c r="M296" s="25" t="n"/>
      <c r="Q296" s="25" t="n"/>
      <c r="U296" s="194" t="n"/>
      <c r="AA296" s="25" t="n"/>
      <c r="AB296" s="25" t="n"/>
      <c r="AC296" s="195" t="n"/>
      <c r="AD296" s="25" t="n"/>
      <c r="AE296" s="25" t="n"/>
      <c r="AG296" s="25" t="n"/>
      <c r="AH296" s="25" t="n"/>
      <c r="AI296" s="394" t="n"/>
      <c r="AM296" s="48" t="n"/>
      <c r="AN296" s="48" t="n"/>
      <c r="AO296" s="48" t="n"/>
    </row>
    <row r="297">
      <c r="M297" s="25" t="n"/>
      <c r="Q297" s="25" t="n"/>
      <c r="U297" s="194" t="n"/>
      <c r="AA297" s="25" t="n"/>
      <c r="AB297" s="25" t="n"/>
      <c r="AC297" s="195" t="n"/>
      <c r="AD297" s="25" t="n"/>
      <c r="AE297" s="25" t="n"/>
      <c r="AG297" s="25" t="n"/>
      <c r="AH297" s="25" t="n"/>
      <c r="AI297" s="394" t="n"/>
      <c r="AM297" s="48" t="n"/>
      <c r="AN297" s="48" t="n"/>
      <c r="AO297" s="48" t="n"/>
    </row>
    <row r="298">
      <c r="M298" s="25" t="n"/>
      <c r="Q298" s="25" t="n"/>
      <c r="U298" s="194" t="n"/>
      <c r="AA298" s="25" t="n"/>
      <c r="AB298" s="25" t="n"/>
      <c r="AC298" s="195" t="n"/>
      <c r="AD298" s="25" t="n"/>
      <c r="AE298" s="25" t="n"/>
      <c r="AG298" s="25" t="n"/>
      <c r="AH298" s="25" t="n"/>
      <c r="AI298" s="394" t="n"/>
      <c r="AM298" s="48" t="n"/>
      <c r="AN298" s="48" t="n"/>
      <c r="AO298" s="48" t="n"/>
    </row>
    <row r="299">
      <c r="M299" s="25" t="n"/>
      <c r="Q299" s="25" t="n"/>
      <c r="U299" s="194" t="n"/>
      <c r="AA299" s="25" t="n"/>
      <c r="AB299" s="25" t="n"/>
      <c r="AC299" s="195" t="n"/>
      <c r="AD299" s="25" t="n"/>
      <c r="AE299" s="25" t="n"/>
      <c r="AG299" s="25" t="n"/>
      <c r="AH299" s="25" t="n"/>
      <c r="AI299" s="394" t="n"/>
      <c r="AM299" s="48" t="n"/>
      <c r="AN299" s="48" t="n"/>
      <c r="AO299" s="48" t="n"/>
    </row>
    <row r="300">
      <c r="M300" s="25" t="n"/>
      <c r="Q300" s="25" t="n"/>
      <c r="U300" s="194" t="n"/>
      <c r="AA300" s="25" t="n"/>
      <c r="AB300" s="25" t="n"/>
      <c r="AC300" s="195" t="n"/>
      <c r="AD300" s="25" t="n"/>
      <c r="AE300" s="25" t="n"/>
      <c r="AG300" s="25" t="n"/>
      <c r="AH300" s="25" t="n"/>
      <c r="AI300" s="394" t="n"/>
      <c r="AM300" s="48" t="n"/>
      <c r="AN300" s="48" t="n"/>
      <c r="AO300" s="48" t="n"/>
    </row>
    <row r="301">
      <c r="M301" s="25" t="n"/>
      <c r="Q301" s="25" t="n"/>
      <c r="U301" s="194" t="n"/>
      <c r="AA301" s="25" t="n"/>
      <c r="AB301" s="25" t="n"/>
      <c r="AC301" s="195" t="n"/>
      <c r="AD301" s="25" t="n"/>
      <c r="AE301" s="25" t="n"/>
      <c r="AG301" s="25" t="n"/>
      <c r="AH301" s="25" t="n"/>
      <c r="AI301" s="394" t="n"/>
      <c r="AM301" s="48" t="n"/>
      <c r="AN301" s="48" t="n"/>
      <c r="AO301" s="48" t="n"/>
    </row>
    <row r="302">
      <c r="M302" s="25" t="n"/>
      <c r="Q302" s="25" t="n"/>
      <c r="U302" s="194" t="n"/>
      <c r="AA302" s="25" t="n"/>
      <c r="AB302" s="25" t="n"/>
      <c r="AC302" s="195" t="n"/>
      <c r="AD302" s="25" t="n"/>
      <c r="AE302" s="25" t="n"/>
      <c r="AG302" s="25" t="n"/>
      <c r="AH302" s="25" t="n"/>
      <c r="AI302" s="394" t="n"/>
      <c r="AM302" s="48" t="n"/>
      <c r="AN302" s="48" t="n"/>
      <c r="AO302" s="48" t="n"/>
    </row>
    <row r="303">
      <c r="M303" s="25" t="n"/>
      <c r="Q303" s="25" t="n"/>
      <c r="U303" s="194" t="n"/>
      <c r="AA303" s="25" t="n"/>
      <c r="AB303" s="25" t="n"/>
      <c r="AC303" s="195" t="n"/>
      <c r="AD303" s="25" t="n"/>
      <c r="AE303" s="25" t="n"/>
      <c r="AG303" s="25" t="n"/>
      <c r="AH303" s="25" t="n"/>
      <c r="AI303" s="394" t="n"/>
      <c r="AM303" s="48" t="n"/>
      <c r="AN303" s="48" t="n"/>
      <c r="AO303" s="48" t="n"/>
    </row>
    <row r="304">
      <c r="M304" s="25" t="n"/>
      <c r="Q304" s="25" t="n"/>
      <c r="U304" s="194" t="n"/>
      <c r="AA304" s="25" t="n"/>
      <c r="AB304" s="25" t="n"/>
      <c r="AC304" s="195" t="n"/>
      <c r="AD304" s="25" t="n"/>
      <c r="AE304" s="25" t="n"/>
      <c r="AG304" s="25" t="n"/>
      <c r="AH304" s="25" t="n"/>
      <c r="AI304" s="394" t="n"/>
      <c r="AM304" s="48" t="n"/>
      <c r="AN304" s="48" t="n"/>
      <c r="AO304" s="48" t="n"/>
    </row>
    <row r="305">
      <c r="M305" s="25" t="n"/>
      <c r="Q305" s="25" t="n"/>
      <c r="U305" s="194" t="n"/>
      <c r="AA305" s="25" t="n"/>
      <c r="AB305" s="25" t="n"/>
      <c r="AC305" s="195" t="n"/>
      <c r="AD305" s="25" t="n"/>
      <c r="AE305" s="25" t="n"/>
      <c r="AG305" s="25" t="n"/>
      <c r="AH305" s="25" t="n"/>
      <c r="AI305" s="394" t="n"/>
      <c r="AM305" s="48" t="n"/>
      <c r="AN305" s="48" t="n"/>
      <c r="AO305" s="48" t="n"/>
    </row>
    <row r="306">
      <c r="M306" s="25" t="n"/>
      <c r="Q306" s="25" t="n"/>
      <c r="U306" s="194" t="n"/>
      <c r="AA306" s="25" t="n"/>
      <c r="AB306" s="25" t="n"/>
      <c r="AC306" s="195" t="n"/>
      <c r="AD306" s="25" t="n"/>
      <c r="AE306" s="25" t="n"/>
      <c r="AG306" s="25" t="n"/>
      <c r="AH306" s="25" t="n"/>
      <c r="AI306" s="394" t="n"/>
      <c r="AM306" s="48" t="n"/>
      <c r="AN306" s="48" t="n"/>
      <c r="AO306" s="48" t="n"/>
    </row>
    <row r="307">
      <c r="M307" s="25" t="n"/>
      <c r="Q307" s="25" t="n"/>
      <c r="U307" s="194" t="n"/>
      <c r="AA307" s="25" t="n"/>
      <c r="AB307" s="25" t="n"/>
      <c r="AC307" s="195" t="n"/>
      <c r="AD307" s="25" t="n"/>
      <c r="AE307" s="25" t="n"/>
      <c r="AG307" s="25" t="n"/>
      <c r="AH307" s="25" t="n"/>
      <c r="AI307" s="394" t="n"/>
      <c r="AM307" s="48" t="n"/>
      <c r="AN307" s="48" t="n"/>
      <c r="AO307" s="48" t="n"/>
    </row>
    <row r="308">
      <c r="M308" s="25" t="n"/>
      <c r="Q308" s="25" t="n"/>
      <c r="U308" s="194" t="n"/>
      <c r="AA308" s="25" t="n"/>
      <c r="AB308" s="25" t="n"/>
      <c r="AC308" s="195" t="n"/>
      <c r="AD308" s="25" t="n"/>
      <c r="AE308" s="25" t="n"/>
      <c r="AG308" s="25" t="n"/>
      <c r="AH308" s="25" t="n"/>
      <c r="AI308" s="394" t="n"/>
      <c r="AM308" s="48" t="n"/>
      <c r="AN308" s="48" t="n"/>
      <c r="AO308" s="48" t="n"/>
    </row>
    <row r="309">
      <c r="M309" s="25" t="n"/>
      <c r="Q309" s="25" t="n"/>
      <c r="U309" s="194" t="n"/>
      <c r="AA309" s="25" t="n"/>
      <c r="AB309" s="25" t="n"/>
      <c r="AC309" s="195" t="n"/>
      <c r="AD309" s="25" t="n"/>
      <c r="AE309" s="25" t="n"/>
      <c r="AG309" s="25" t="n"/>
      <c r="AH309" s="25" t="n"/>
      <c r="AI309" s="394" t="n"/>
      <c r="AM309" s="48" t="n"/>
      <c r="AN309" s="48" t="n"/>
      <c r="AO309" s="48" t="n"/>
    </row>
    <row r="310">
      <c r="M310" s="25" t="n"/>
      <c r="Q310" s="25" t="n"/>
      <c r="U310" s="194" t="n"/>
      <c r="AA310" s="25" t="n"/>
      <c r="AB310" s="25" t="n"/>
      <c r="AC310" s="195" t="n"/>
      <c r="AD310" s="25" t="n"/>
      <c r="AE310" s="25" t="n"/>
      <c r="AG310" s="25" t="n"/>
      <c r="AH310" s="25" t="n"/>
      <c r="AI310" s="394" t="n"/>
      <c r="AM310" s="48" t="n"/>
      <c r="AN310" s="48" t="n"/>
      <c r="AO310" s="48" t="n"/>
    </row>
    <row r="311">
      <c r="M311" s="25" t="n"/>
      <c r="Q311" s="25" t="n"/>
      <c r="U311" s="194" t="n"/>
      <c r="AA311" s="25" t="n"/>
      <c r="AB311" s="25" t="n"/>
      <c r="AC311" s="195" t="n"/>
      <c r="AD311" s="25" t="n"/>
      <c r="AE311" s="25" t="n"/>
      <c r="AG311" s="25" t="n"/>
      <c r="AH311" s="25" t="n"/>
      <c r="AI311" s="394" t="n"/>
      <c r="AM311" s="48" t="n"/>
      <c r="AN311" s="48" t="n"/>
      <c r="AO311" s="48" t="n"/>
    </row>
    <row r="312">
      <c r="M312" s="25" t="n"/>
      <c r="Q312" s="25" t="n"/>
      <c r="U312" s="194" t="n"/>
      <c r="AA312" s="25" t="n"/>
      <c r="AB312" s="25" t="n"/>
      <c r="AC312" s="195" t="n"/>
      <c r="AD312" s="25" t="n"/>
      <c r="AE312" s="25" t="n"/>
      <c r="AG312" s="25" t="n"/>
      <c r="AH312" s="25" t="n"/>
      <c r="AI312" s="394" t="n"/>
      <c r="AM312" s="48" t="n"/>
      <c r="AN312" s="48" t="n"/>
      <c r="AO312" s="48" t="n"/>
    </row>
    <row r="313">
      <c r="M313" s="25" t="n"/>
      <c r="Q313" s="25" t="n"/>
      <c r="U313" s="194" t="n"/>
      <c r="AA313" s="25" t="n"/>
      <c r="AB313" s="25" t="n"/>
      <c r="AC313" s="195" t="n"/>
      <c r="AD313" s="25" t="n"/>
      <c r="AE313" s="25" t="n"/>
      <c r="AG313" s="25" t="n"/>
      <c r="AH313" s="25" t="n"/>
      <c r="AI313" s="394" t="n"/>
      <c r="AM313" s="48" t="n"/>
      <c r="AN313" s="48" t="n"/>
      <c r="AO313" s="48" t="n"/>
    </row>
    <row r="314">
      <c r="M314" s="25" t="n"/>
      <c r="Q314" s="25" t="n"/>
      <c r="U314" s="194" t="n"/>
      <c r="AA314" s="25" t="n"/>
      <c r="AB314" s="25" t="n"/>
      <c r="AC314" s="195" t="n"/>
      <c r="AD314" s="25" t="n"/>
      <c r="AE314" s="25" t="n"/>
      <c r="AG314" s="25" t="n"/>
      <c r="AH314" s="25" t="n"/>
      <c r="AI314" s="394" t="n"/>
      <c r="AM314" s="48" t="n"/>
      <c r="AN314" s="48" t="n"/>
      <c r="AO314" s="48" t="n"/>
    </row>
    <row r="315">
      <c r="M315" s="25" t="n"/>
      <c r="Q315" s="25" t="n"/>
      <c r="U315" s="194" t="n"/>
      <c r="AA315" s="25" t="n"/>
      <c r="AB315" s="25" t="n"/>
      <c r="AC315" s="195" t="n"/>
      <c r="AD315" s="25" t="n"/>
      <c r="AE315" s="25" t="n"/>
      <c r="AG315" s="25" t="n"/>
      <c r="AH315" s="25" t="n"/>
      <c r="AI315" s="394" t="n"/>
      <c r="AM315" s="48" t="n"/>
      <c r="AN315" s="48" t="n"/>
      <c r="AO315" s="48" t="n"/>
    </row>
    <row r="316">
      <c r="M316" s="25" t="n"/>
      <c r="Q316" s="25" t="n"/>
      <c r="U316" s="194" t="n"/>
      <c r="AA316" s="25" t="n"/>
      <c r="AB316" s="25" t="n"/>
      <c r="AC316" s="195" t="n"/>
      <c r="AD316" s="25" t="n"/>
      <c r="AE316" s="25" t="n"/>
      <c r="AG316" s="25" t="n"/>
      <c r="AH316" s="25" t="n"/>
      <c r="AI316" s="394" t="n"/>
      <c r="AM316" s="48" t="n"/>
      <c r="AN316" s="48" t="n"/>
      <c r="AO316" s="48" t="n"/>
    </row>
    <row r="317">
      <c r="M317" s="25" t="n"/>
      <c r="Q317" s="25" t="n"/>
      <c r="U317" s="194" t="n"/>
      <c r="AA317" s="25" t="n"/>
      <c r="AB317" s="25" t="n"/>
      <c r="AC317" s="195" t="n"/>
      <c r="AD317" s="25" t="n"/>
      <c r="AE317" s="25" t="n"/>
      <c r="AG317" s="25" t="n"/>
      <c r="AH317" s="25" t="n"/>
      <c r="AI317" s="394" t="n"/>
      <c r="AM317" s="48" t="n"/>
      <c r="AN317" s="48" t="n"/>
      <c r="AO317" s="48" t="n"/>
    </row>
    <row r="318">
      <c r="M318" s="25" t="n"/>
      <c r="Q318" s="25" t="n"/>
      <c r="U318" s="194" t="n"/>
      <c r="AA318" s="25" t="n"/>
      <c r="AB318" s="25" t="n"/>
      <c r="AC318" s="195" t="n"/>
      <c r="AD318" s="25" t="n"/>
      <c r="AE318" s="25" t="n"/>
      <c r="AG318" s="25" t="n"/>
      <c r="AH318" s="25" t="n"/>
      <c r="AI318" s="394" t="n"/>
      <c r="AM318" s="48" t="n"/>
      <c r="AN318" s="48" t="n"/>
      <c r="AO318" s="48" t="n"/>
    </row>
    <row r="319">
      <c r="M319" s="25" t="n"/>
      <c r="Q319" s="25" t="n"/>
      <c r="U319" s="194" t="n"/>
      <c r="AA319" s="25" t="n"/>
      <c r="AB319" s="25" t="n"/>
      <c r="AC319" s="195" t="n"/>
      <c r="AD319" s="25" t="n"/>
      <c r="AE319" s="25" t="n"/>
      <c r="AG319" s="25" t="n"/>
      <c r="AH319" s="25" t="n"/>
      <c r="AI319" s="394" t="n"/>
      <c r="AM319" s="48" t="n"/>
      <c r="AN319" s="48" t="n"/>
      <c r="AO319" s="48" t="n"/>
    </row>
    <row r="320">
      <c r="M320" s="25" t="n"/>
      <c r="Q320" s="25" t="n"/>
      <c r="U320" s="194" t="n"/>
      <c r="AA320" s="25" t="n"/>
      <c r="AB320" s="25" t="n"/>
      <c r="AC320" s="195" t="n"/>
      <c r="AD320" s="25" t="n"/>
      <c r="AE320" s="25" t="n"/>
      <c r="AG320" s="25" t="n"/>
      <c r="AH320" s="25" t="n"/>
      <c r="AI320" s="394" t="n"/>
      <c r="AM320" s="48" t="n"/>
      <c r="AN320" s="48" t="n"/>
      <c r="AO320" s="48" t="n"/>
    </row>
    <row r="321">
      <c r="M321" s="25" t="n"/>
      <c r="Q321" s="25" t="n"/>
      <c r="U321" s="194" t="n"/>
      <c r="AA321" s="25" t="n"/>
      <c r="AB321" s="25" t="n"/>
      <c r="AC321" s="195" t="n"/>
      <c r="AD321" s="25" t="n"/>
      <c r="AE321" s="25" t="n"/>
      <c r="AG321" s="25" t="n"/>
      <c r="AH321" s="25" t="n"/>
      <c r="AI321" s="394" t="n"/>
      <c r="AM321" s="48" t="n"/>
      <c r="AN321" s="48" t="n"/>
      <c r="AO321" s="48" t="n"/>
    </row>
    <row r="322">
      <c r="M322" s="25" t="n"/>
      <c r="Q322" s="25" t="n"/>
      <c r="U322" s="194" t="n"/>
      <c r="AA322" s="25" t="n"/>
      <c r="AB322" s="25" t="n"/>
      <c r="AC322" s="195" t="n"/>
      <c r="AD322" s="25" t="n"/>
      <c r="AE322" s="25" t="n"/>
      <c r="AG322" s="25" t="n"/>
      <c r="AH322" s="25" t="n"/>
      <c r="AI322" s="394" t="n"/>
      <c r="AM322" s="48" t="n"/>
      <c r="AN322" s="48" t="n"/>
      <c r="AO322" s="48" t="n"/>
    </row>
    <row r="323">
      <c r="M323" s="25" t="n"/>
      <c r="Q323" s="25" t="n"/>
      <c r="U323" s="194" t="n"/>
      <c r="AA323" s="25" t="n"/>
      <c r="AB323" s="25" t="n"/>
      <c r="AC323" s="195" t="n"/>
      <c r="AD323" s="25" t="n"/>
      <c r="AE323" s="25" t="n"/>
      <c r="AG323" s="25" t="n"/>
      <c r="AH323" s="25" t="n"/>
      <c r="AI323" s="394" t="n"/>
      <c r="AM323" s="48" t="n"/>
      <c r="AN323" s="48" t="n"/>
      <c r="AO323" s="48" t="n"/>
    </row>
    <row r="324">
      <c r="M324" s="25" t="n"/>
      <c r="Q324" s="25" t="n"/>
      <c r="U324" s="194" t="n"/>
      <c r="AA324" s="25" t="n"/>
      <c r="AB324" s="25" t="n"/>
      <c r="AC324" s="195" t="n"/>
      <c r="AD324" s="25" t="n"/>
      <c r="AE324" s="25" t="n"/>
      <c r="AG324" s="25" t="n"/>
      <c r="AH324" s="25" t="n"/>
      <c r="AI324" s="394" t="n"/>
      <c r="AM324" s="48" t="n"/>
      <c r="AN324" s="48" t="n"/>
      <c r="AO324" s="48" t="n"/>
    </row>
    <row r="325">
      <c r="M325" s="25" t="n"/>
      <c r="Q325" s="25" t="n"/>
      <c r="U325" s="194" t="n"/>
      <c r="AA325" s="25" t="n"/>
      <c r="AB325" s="25" t="n"/>
      <c r="AC325" s="195" t="n"/>
      <c r="AD325" s="25" t="n"/>
      <c r="AE325" s="25" t="n"/>
      <c r="AG325" s="25" t="n"/>
      <c r="AH325" s="25" t="n"/>
      <c r="AI325" s="394" t="n"/>
      <c r="AM325" s="48" t="n"/>
      <c r="AN325" s="48" t="n"/>
      <c r="AO325" s="48" t="n"/>
    </row>
    <row r="326">
      <c r="M326" s="25" t="n"/>
      <c r="Q326" s="25" t="n"/>
      <c r="U326" s="194" t="n"/>
      <c r="AA326" s="25" t="n"/>
      <c r="AB326" s="25" t="n"/>
      <c r="AC326" s="195" t="n"/>
      <c r="AD326" s="25" t="n"/>
      <c r="AE326" s="25" t="n"/>
      <c r="AG326" s="25" t="n"/>
      <c r="AH326" s="25" t="n"/>
      <c r="AI326" s="394" t="n"/>
      <c r="AM326" s="48" t="n"/>
      <c r="AN326" s="48" t="n"/>
      <c r="AO326" s="48" t="n"/>
    </row>
    <row r="327">
      <c r="M327" s="25" t="n"/>
      <c r="Q327" s="25" t="n"/>
      <c r="U327" s="194" t="n"/>
      <c r="AA327" s="25" t="n"/>
      <c r="AB327" s="25" t="n"/>
      <c r="AC327" s="195" t="n"/>
      <c r="AD327" s="25" t="n"/>
      <c r="AE327" s="25" t="n"/>
      <c r="AG327" s="25" t="n"/>
      <c r="AH327" s="25" t="n"/>
      <c r="AI327" s="394" t="n"/>
      <c r="AM327" s="48" t="n"/>
      <c r="AN327" s="48" t="n"/>
      <c r="AO327" s="48" t="n"/>
    </row>
    <row r="328">
      <c r="M328" s="25" t="n"/>
      <c r="Q328" s="25" t="n"/>
      <c r="U328" s="194" t="n"/>
      <c r="AA328" s="25" t="n"/>
      <c r="AB328" s="25" t="n"/>
      <c r="AC328" s="195" t="n"/>
      <c r="AD328" s="25" t="n"/>
      <c r="AE328" s="25" t="n"/>
      <c r="AG328" s="25" t="n"/>
      <c r="AH328" s="25" t="n"/>
      <c r="AI328" s="394" t="n"/>
      <c r="AM328" s="48" t="n"/>
      <c r="AN328" s="48" t="n"/>
      <c r="AO328" s="48" t="n"/>
    </row>
    <row r="329">
      <c r="M329" s="25" t="n"/>
      <c r="Q329" s="25" t="n"/>
      <c r="U329" s="194" t="n"/>
      <c r="AA329" s="25" t="n"/>
      <c r="AB329" s="25" t="n"/>
      <c r="AC329" s="195" t="n"/>
      <c r="AD329" s="25" t="n"/>
      <c r="AE329" s="25" t="n"/>
      <c r="AG329" s="25" t="n"/>
      <c r="AH329" s="25" t="n"/>
      <c r="AI329" s="394" t="n"/>
      <c r="AM329" s="48" t="n"/>
      <c r="AN329" s="48" t="n"/>
      <c r="AO329" s="48" t="n"/>
    </row>
    <row r="330">
      <c r="M330" s="25" t="n"/>
      <c r="Q330" s="25" t="n"/>
      <c r="U330" s="194" t="n"/>
      <c r="AA330" s="25" t="n"/>
      <c r="AB330" s="25" t="n"/>
      <c r="AC330" s="195" t="n"/>
      <c r="AD330" s="25" t="n"/>
      <c r="AE330" s="25" t="n"/>
      <c r="AG330" s="25" t="n"/>
      <c r="AH330" s="25" t="n"/>
      <c r="AI330" s="394" t="n"/>
      <c r="AM330" s="48" t="n"/>
      <c r="AN330" s="48" t="n"/>
      <c r="AO330" s="48" t="n"/>
    </row>
    <row r="331">
      <c r="M331" s="25" t="n"/>
      <c r="Q331" s="25" t="n"/>
      <c r="U331" s="194" t="n"/>
      <c r="AA331" s="25" t="n"/>
      <c r="AB331" s="25" t="n"/>
      <c r="AC331" s="195" t="n"/>
      <c r="AD331" s="25" t="n"/>
      <c r="AE331" s="25" t="n"/>
      <c r="AG331" s="25" t="n"/>
      <c r="AH331" s="25" t="n"/>
      <c r="AI331" s="394" t="n"/>
      <c r="AM331" s="48" t="n"/>
      <c r="AN331" s="48" t="n"/>
      <c r="AO331" s="48" t="n"/>
    </row>
    <row r="332">
      <c r="M332" s="25" t="n"/>
      <c r="Q332" s="25" t="n"/>
      <c r="U332" s="194" t="n"/>
      <c r="AA332" s="25" t="n"/>
      <c r="AB332" s="25" t="n"/>
      <c r="AC332" s="195" t="n"/>
      <c r="AD332" s="25" t="n"/>
      <c r="AE332" s="25" t="n"/>
      <c r="AG332" s="25" t="n"/>
      <c r="AH332" s="25" t="n"/>
      <c r="AI332" s="394" t="n"/>
      <c r="AM332" s="48" t="n"/>
      <c r="AN332" s="48" t="n"/>
      <c r="AO332" s="48" t="n"/>
    </row>
    <row r="333">
      <c r="M333" s="25" t="n"/>
      <c r="Q333" s="25" t="n"/>
      <c r="U333" s="194" t="n"/>
      <c r="AA333" s="25" t="n"/>
      <c r="AB333" s="25" t="n"/>
      <c r="AC333" s="195" t="n"/>
      <c r="AD333" s="25" t="n"/>
      <c r="AE333" s="25" t="n"/>
      <c r="AG333" s="25" t="n"/>
      <c r="AH333" s="25" t="n"/>
      <c r="AI333" s="394" t="n"/>
      <c r="AM333" s="48" t="n"/>
      <c r="AN333" s="48" t="n"/>
      <c r="AO333" s="48" t="n"/>
    </row>
    <row r="334">
      <c r="M334" s="25" t="n"/>
      <c r="Q334" s="25" t="n"/>
      <c r="U334" s="194" t="n"/>
      <c r="AA334" s="25" t="n"/>
      <c r="AB334" s="25" t="n"/>
      <c r="AC334" s="195" t="n"/>
      <c r="AD334" s="25" t="n"/>
      <c r="AE334" s="25" t="n"/>
      <c r="AG334" s="25" t="n"/>
      <c r="AH334" s="25" t="n"/>
      <c r="AI334" s="394" t="n"/>
      <c r="AM334" s="48" t="n"/>
      <c r="AN334" s="48" t="n"/>
      <c r="AO334" s="48" t="n"/>
    </row>
    <row r="335">
      <c r="M335" s="25" t="n"/>
      <c r="Q335" s="25" t="n"/>
      <c r="U335" s="194" t="n"/>
      <c r="AA335" s="25" t="n"/>
      <c r="AB335" s="25" t="n"/>
      <c r="AC335" s="195" t="n"/>
      <c r="AD335" s="25" t="n"/>
      <c r="AE335" s="25" t="n"/>
      <c r="AG335" s="25" t="n"/>
      <c r="AH335" s="25" t="n"/>
      <c r="AI335" s="394" t="n"/>
      <c r="AM335" s="48" t="n"/>
      <c r="AN335" s="48" t="n"/>
      <c r="AO335" s="48" t="n"/>
    </row>
    <row r="336">
      <c r="M336" s="25" t="n"/>
      <c r="Q336" s="25" t="n"/>
      <c r="U336" s="194" t="n"/>
      <c r="AA336" s="25" t="n"/>
      <c r="AB336" s="25" t="n"/>
      <c r="AC336" s="195" t="n"/>
      <c r="AD336" s="25" t="n"/>
      <c r="AE336" s="25" t="n"/>
      <c r="AG336" s="25" t="n"/>
      <c r="AH336" s="25" t="n"/>
      <c r="AI336" s="394" t="n"/>
      <c r="AM336" s="48" t="n"/>
      <c r="AN336" s="48" t="n"/>
      <c r="AO336" s="48" t="n"/>
    </row>
    <row r="337">
      <c r="M337" s="25" t="n"/>
      <c r="Q337" s="25" t="n"/>
      <c r="U337" s="194" t="n"/>
      <c r="AA337" s="25" t="n"/>
      <c r="AB337" s="25" t="n"/>
      <c r="AC337" s="195" t="n"/>
      <c r="AD337" s="25" t="n"/>
      <c r="AE337" s="25" t="n"/>
      <c r="AG337" s="25" t="n"/>
      <c r="AH337" s="25" t="n"/>
      <c r="AI337" s="394" t="n"/>
      <c r="AM337" s="48" t="n"/>
      <c r="AN337" s="48" t="n"/>
      <c r="AO337" s="48" t="n"/>
    </row>
    <row r="338">
      <c r="M338" s="25" t="n"/>
      <c r="Q338" s="25" t="n"/>
      <c r="U338" s="194" t="n"/>
      <c r="AA338" s="25" t="n"/>
      <c r="AB338" s="25" t="n"/>
      <c r="AC338" s="195" t="n"/>
      <c r="AD338" s="25" t="n"/>
      <c r="AE338" s="25" t="n"/>
      <c r="AG338" s="25" t="n"/>
      <c r="AH338" s="25" t="n"/>
      <c r="AI338" s="394" t="n"/>
      <c r="AM338" s="48" t="n"/>
      <c r="AN338" s="48" t="n"/>
      <c r="AO338" s="48" t="n"/>
    </row>
    <row r="339">
      <c r="M339" s="25" t="n"/>
      <c r="Q339" s="25" t="n"/>
      <c r="U339" s="194" t="n"/>
      <c r="AA339" s="25" t="n"/>
      <c r="AB339" s="25" t="n"/>
      <c r="AC339" s="195" t="n"/>
      <c r="AD339" s="25" t="n"/>
      <c r="AE339" s="25" t="n"/>
      <c r="AG339" s="25" t="n"/>
      <c r="AH339" s="25" t="n"/>
      <c r="AI339" s="394" t="n"/>
      <c r="AM339" s="48" t="n"/>
      <c r="AN339" s="48" t="n"/>
      <c r="AO339" s="48" t="n"/>
    </row>
    <row r="340">
      <c r="M340" s="25" t="n"/>
      <c r="Q340" s="25" t="n"/>
      <c r="U340" s="194" t="n"/>
      <c r="AA340" s="25" t="n"/>
      <c r="AB340" s="25" t="n"/>
      <c r="AC340" s="195" t="n"/>
      <c r="AD340" s="25" t="n"/>
      <c r="AE340" s="25" t="n"/>
      <c r="AG340" s="25" t="n"/>
      <c r="AH340" s="25" t="n"/>
      <c r="AI340" s="394" t="n"/>
      <c r="AM340" s="48" t="n"/>
      <c r="AN340" s="48" t="n"/>
      <c r="AO340" s="48" t="n"/>
    </row>
    <row r="341">
      <c r="M341" s="25" t="n"/>
      <c r="Q341" s="25" t="n"/>
      <c r="U341" s="194" t="n"/>
      <c r="AA341" s="25" t="n"/>
      <c r="AB341" s="25" t="n"/>
      <c r="AC341" s="195" t="n"/>
      <c r="AD341" s="25" t="n"/>
      <c r="AE341" s="25" t="n"/>
      <c r="AG341" s="25" t="n"/>
      <c r="AH341" s="25" t="n"/>
      <c r="AI341" s="394" t="n"/>
      <c r="AM341" s="48" t="n"/>
      <c r="AN341" s="48" t="n"/>
      <c r="AO341" s="48" t="n"/>
    </row>
    <row r="342">
      <c r="M342" s="25" t="n"/>
      <c r="Q342" s="25" t="n"/>
      <c r="U342" s="194" t="n"/>
      <c r="AA342" s="25" t="n"/>
      <c r="AB342" s="25" t="n"/>
      <c r="AC342" s="195" t="n"/>
      <c r="AD342" s="25" t="n"/>
      <c r="AE342" s="25" t="n"/>
      <c r="AG342" s="25" t="n"/>
      <c r="AH342" s="25" t="n"/>
      <c r="AI342" s="394" t="n"/>
      <c r="AM342" s="48" t="n"/>
      <c r="AN342" s="48" t="n"/>
      <c r="AO342" s="48" t="n"/>
    </row>
    <row r="343">
      <c r="M343" s="25" t="n"/>
      <c r="Q343" s="25" t="n"/>
      <c r="U343" s="194" t="n"/>
      <c r="AA343" s="25" t="n"/>
      <c r="AB343" s="25" t="n"/>
      <c r="AC343" s="195" t="n"/>
      <c r="AD343" s="25" t="n"/>
      <c r="AE343" s="25" t="n"/>
      <c r="AG343" s="25" t="n"/>
      <c r="AH343" s="25" t="n"/>
      <c r="AI343" s="394" t="n"/>
      <c r="AM343" s="48" t="n"/>
      <c r="AN343" s="48" t="n"/>
      <c r="AO343" s="48" t="n"/>
    </row>
    <row r="344">
      <c r="M344" s="25" t="n"/>
      <c r="Q344" s="25" t="n"/>
      <c r="U344" s="194" t="n"/>
      <c r="AA344" s="25" t="n"/>
      <c r="AB344" s="25" t="n"/>
      <c r="AC344" s="195" t="n"/>
      <c r="AD344" s="25" t="n"/>
      <c r="AE344" s="25" t="n"/>
      <c r="AG344" s="25" t="n"/>
      <c r="AH344" s="25" t="n"/>
      <c r="AI344" s="394" t="n"/>
      <c r="AM344" s="48" t="n"/>
      <c r="AN344" s="48" t="n"/>
      <c r="AO344" s="48" t="n"/>
    </row>
    <row r="345">
      <c r="M345" s="25" t="n"/>
      <c r="Q345" s="25" t="n"/>
      <c r="U345" s="194" t="n"/>
      <c r="AA345" s="25" t="n"/>
      <c r="AB345" s="25" t="n"/>
      <c r="AC345" s="195" t="n"/>
      <c r="AD345" s="25" t="n"/>
      <c r="AE345" s="25" t="n"/>
      <c r="AG345" s="25" t="n"/>
      <c r="AH345" s="25" t="n"/>
      <c r="AI345" s="394" t="n"/>
      <c r="AM345" s="48" t="n"/>
      <c r="AN345" s="48" t="n"/>
      <c r="AO345" s="48" t="n"/>
    </row>
    <row r="346">
      <c r="M346" s="25" t="n"/>
      <c r="Q346" s="25" t="n"/>
      <c r="U346" s="194" t="n"/>
      <c r="AA346" s="25" t="n"/>
      <c r="AB346" s="25" t="n"/>
      <c r="AC346" s="195" t="n"/>
      <c r="AD346" s="25" t="n"/>
      <c r="AE346" s="25" t="n"/>
      <c r="AG346" s="25" t="n"/>
      <c r="AH346" s="25" t="n"/>
      <c r="AI346" s="394" t="n"/>
      <c r="AM346" s="48" t="n"/>
      <c r="AN346" s="48" t="n"/>
      <c r="AO346" s="48" t="n"/>
    </row>
    <row r="347">
      <c r="M347" s="25" t="n"/>
      <c r="Q347" s="25" t="n"/>
      <c r="U347" s="194" t="n"/>
      <c r="AA347" s="25" t="n"/>
      <c r="AB347" s="25" t="n"/>
      <c r="AC347" s="195" t="n"/>
      <c r="AD347" s="25" t="n"/>
      <c r="AE347" s="25" t="n"/>
      <c r="AG347" s="25" t="n"/>
      <c r="AH347" s="25" t="n"/>
      <c r="AI347" s="394" t="n"/>
      <c r="AM347" s="48" t="n"/>
      <c r="AN347" s="48" t="n"/>
      <c r="AO347" s="48" t="n"/>
    </row>
    <row r="348">
      <c r="M348" s="25" t="n"/>
      <c r="Q348" s="25" t="n"/>
      <c r="U348" s="194" t="n"/>
      <c r="AA348" s="25" t="n"/>
      <c r="AB348" s="25" t="n"/>
      <c r="AC348" s="195" t="n"/>
      <c r="AD348" s="25" t="n"/>
      <c r="AE348" s="25" t="n"/>
      <c r="AG348" s="25" t="n"/>
      <c r="AH348" s="25" t="n"/>
      <c r="AI348" s="394" t="n"/>
      <c r="AM348" s="48" t="n"/>
      <c r="AN348" s="48" t="n"/>
      <c r="AO348" s="48" t="n"/>
    </row>
    <row r="349">
      <c r="M349" s="25" t="n"/>
      <c r="Q349" s="25" t="n"/>
      <c r="U349" s="194" t="n"/>
      <c r="AA349" s="25" t="n"/>
      <c r="AB349" s="25" t="n"/>
      <c r="AC349" s="195" t="n"/>
      <c r="AD349" s="25" t="n"/>
      <c r="AE349" s="25" t="n"/>
      <c r="AG349" s="25" t="n"/>
      <c r="AH349" s="25" t="n"/>
      <c r="AI349" s="394" t="n"/>
      <c r="AM349" s="48" t="n"/>
      <c r="AN349" s="48" t="n"/>
      <c r="AO349" s="48" t="n"/>
    </row>
    <row r="350">
      <c r="M350" s="25" t="n"/>
      <c r="Q350" s="25" t="n"/>
      <c r="U350" s="194" t="n"/>
      <c r="AA350" s="25" t="n"/>
      <c r="AB350" s="25" t="n"/>
      <c r="AC350" s="195" t="n"/>
      <c r="AD350" s="25" t="n"/>
      <c r="AE350" s="25" t="n"/>
      <c r="AG350" s="25" t="n"/>
      <c r="AH350" s="25" t="n"/>
      <c r="AI350" s="394" t="n"/>
      <c r="AM350" s="48" t="n"/>
      <c r="AN350" s="48" t="n"/>
      <c r="AO350" s="48" t="n"/>
    </row>
    <row r="351">
      <c r="M351" s="25" t="n"/>
      <c r="Q351" s="25" t="n"/>
      <c r="U351" s="194" t="n"/>
      <c r="AA351" s="25" t="n"/>
      <c r="AB351" s="25" t="n"/>
      <c r="AC351" s="195" t="n"/>
      <c r="AD351" s="25" t="n"/>
      <c r="AE351" s="25" t="n"/>
      <c r="AG351" s="25" t="n"/>
      <c r="AH351" s="25" t="n"/>
      <c r="AI351" s="394" t="n"/>
      <c r="AM351" s="48" t="n"/>
      <c r="AN351" s="48" t="n"/>
      <c r="AO351" s="48" t="n"/>
    </row>
    <row r="352">
      <c r="M352" s="25" t="n"/>
      <c r="Q352" s="25" t="n"/>
      <c r="U352" s="194" t="n"/>
      <c r="AA352" s="25" t="n"/>
      <c r="AB352" s="25" t="n"/>
      <c r="AC352" s="195" t="n"/>
      <c r="AD352" s="25" t="n"/>
      <c r="AE352" s="25" t="n"/>
      <c r="AG352" s="25" t="n"/>
      <c r="AH352" s="25" t="n"/>
      <c r="AI352" s="394" t="n"/>
      <c r="AM352" s="48" t="n"/>
      <c r="AN352" s="48" t="n"/>
      <c r="AO352" s="48" t="n"/>
    </row>
    <row r="353">
      <c r="M353" s="25" t="n"/>
      <c r="Q353" s="25" t="n"/>
      <c r="U353" s="194" t="n"/>
      <c r="AA353" s="25" t="n"/>
      <c r="AB353" s="25" t="n"/>
      <c r="AC353" s="195" t="n"/>
      <c r="AD353" s="25" t="n"/>
      <c r="AE353" s="25" t="n"/>
      <c r="AG353" s="25" t="n"/>
      <c r="AH353" s="25" t="n"/>
      <c r="AI353" s="394" t="n"/>
      <c r="AM353" s="48" t="n"/>
      <c r="AN353" s="48" t="n"/>
      <c r="AO353" s="48" t="n"/>
    </row>
    <row r="354">
      <c r="M354" s="25" t="n"/>
      <c r="Q354" s="25" t="n"/>
      <c r="U354" s="194" t="n"/>
      <c r="AA354" s="25" t="n"/>
      <c r="AB354" s="25" t="n"/>
      <c r="AC354" s="195" t="n"/>
      <c r="AD354" s="25" t="n"/>
      <c r="AE354" s="25" t="n"/>
      <c r="AG354" s="25" t="n"/>
      <c r="AH354" s="25" t="n"/>
      <c r="AI354" s="394" t="n"/>
      <c r="AM354" s="48" t="n"/>
      <c r="AN354" s="48" t="n"/>
      <c r="AO354" s="48" t="n"/>
    </row>
    <row r="355">
      <c r="M355" s="25" t="n"/>
      <c r="Q355" s="25" t="n"/>
      <c r="U355" s="194" t="n"/>
      <c r="AA355" s="25" t="n"/>
      <c r="AB355" s="25" t="n"/>
      <c r="AC355" s="195" t="n"/>
      <c r="AD355" s="25" t="n"/>
      <c r="AE355" s="25" t="n"/>
      <c r="AG355" s="25" t="n"/>
      <c r="AH355" s="25" t="n"/>
      <c r="AI355" s="394" t="n"/>
      <c r="AM355" s="48" t="n"/>
      <c r="AN355" s="48" t="n"/>
      <c r="AO355" s="48" t="n"/>
    </row>
    <row r="356">
      <c r="M356" s="25" t="n"/>
      <c r="Q356" s="25" t="n"/>
      <c r="U356" s="194" t="n"/>
      <c r="AA356" s="25" t="n"/>
      <c r="AB356" s="25" t="n"/>
      <c r="AC356" s="195" t="n"/>
      <c r="AD356" s="25" t="n"/>
      <c r="AE356" s="25" t="n"/>
      <c r="AG356" s="25" t="n"/>
      <c r="AH356" s="25" t="n"/>
      <c r="AI356" s="394" t="n"/>
      <c r="AM356" s="48" t="n"/>
      <c r="AN356" s="48" t="n"/>
      <c r="AO356" s="48" t="n"/>
    </row>
    <row r="357">
      <c r="M357" s="25" t="n"/>
      <c r="Q357" s="25" t="n"/>
      <c r="U357" s="194" t="n"/>
      <c r="AA357" s="25" t="n"/>
      <c r="AB357" s="25" t="n"/>
      <c r="AC357" s="195" t="n"/>
      <c r="AD357" s="25" t="n"/>
      <c r="AE357" s="25" t="n"/>
      <c r="AG357" s="25" t="n"/>
      <c r="AH357" s="25" t="n"/>
      <c r="AI357" s="394" t="n"/>
      <c r="AM357" s="48" t="n"/>
      <c r="AN357" s="48" t="n"/>
      <c r="AO357" s="48" t="n"/>
    </row>
    <row r="358">
      <c r="M358" s="25" t="n"/>
      <c r="Q358" s="25" t="n"/>
      <c r="U358" s="194" t="n"/>
      <c r="AA358" s="25" t="n"/>
      <c r="AB358" s="25" t="n"/>
      <c r="AC358" s="195" t="n"/>
      <c r="AD358" s="25" t="n"/>
      <c r="AE358" s="25" t="n"/>
      <c r="AG358" s="25" t="n"/>
      <c r="AH358" s="25" t="n"/>
      <c r="AI358" s="394" t="n"/>
      <c r="AM358" s="48" t="n"/>
      <c r="AN358" s="48" t="n"/>
      <c r="AO358" s="48" t="n"/>
    </row>
    <row r="359">
      <c r="M359" s="25" t="n"/>
      <c r="Q359" s="25" t="n"/>
      <c r="U359" s="194" t="n"/>
      <c r="AA359" s="25" t="n"/>
      <c r="AB359" s="25" t="n"/>
      <c r="AC359" s="195" t="n"/>
      <c r="AD359" s="25" t="n"/>
      <c r="AE359" s="25" t="n"/>
      <c r="AG359" s="25" t="n"/>
      <c r="AH359" s="25" t="n"/>
      <c r="AI359" s="394" t="n"/>
      <c r="AM359" s="48" t="n"/>
      <c r="AN359" s="48" t="n"/>
      <c r="AO359" s="48" t="n"/>
    </row>
    <row r="360">
      <c r="M360" s="25" t="n"/>
      <c r="Q360" s="25" t="n"/>
      <c r="U360" s="194" t="n"/>
      <c r="AA360" s="25" t="n"/>
      <c r="AB360" s="25" t="n"/>
      <c r="AC360" s="195" t="n"/>
      <c r="AD360" s="25" t="n"/>
      <c r="AE360" s="25" t="n"/>
      <c r="AG360" s="25" t="n"/>
      <c r="AH360" s="25" t="n"/>
      <c r="AI360" s="394" t="n"/>
      <c r="AM360" s="48" t="n"/>
      <c r="AN360" s="48" t="n"/>
      <c r="AO360" s="48" t="n"/>
    </row>
    <row r="361">
      <c r="M361" s="25" t="n"/>
      <c r="Q361" s="25" t="n"/>
      <c r="U361" s="194" t="n"/>
      <c r="AA361" s="25" t="n"/>
      <c r="AB361" s="25" t="n"/>
      <c r="AC361" s="195" t="n"/>
      <c r="AD361" s="25" t="n"/>
      <c r="AE361" s="25" t="n"/>
      <c r="AG361" s="25" t="n"/>
      <c r="AH361" s="25" t="n"/>
      <c r="AI361" s="394" t="n"/>
      <c r="AM361" s="48" t="n"/>
      <c r="AN361" s="48" t="n"/>
      <c r="AO361" s="48" t="n"/>
    </row>
    <row r="362">
      <c r="M362" s="25" t="n"/>
      <c r="Q362" s="25" t="n"/>
      <c r="U362" s="194" t="n"/>
      <c r="AA362" s="25" t="n"/>
      <c r="AB362" s="25" t="n"/>
      <c r="AC362" s="195" t="n"/>
      <c r="AD362" s="25" t="n"/>
      <c r="AE362" s="25" t="n"/>
      <c r="AG362" s="25" t="n"/>
      <c r="AH362" s="25" t="n"/>
      <c r="AI362" s="394" t="n"/>
      <c r="AM362" s="48" t="n"/>
      <c r="AN362" s="48" t="n"/>
      <c r="AO362" s="48" t="n"/>
    </row>
    <row r="363">
      <c r="M363" s="25" t="n"/>
      <c r="Q363" s="25" t="n"/>
      <c r="U363" s="194" t="n"/>
      <c r="AA363" s="25" t="n"/>
      <c r="AB363" s="25" t="n"/>
      <c r="AC363" s="195" t="n"/>
      <c r="AD363" s="25" t="n"/>
      <c r="AE363" s="25" t="n"/>
      <c r="AG363" s="25" t="n"/>
      <c r="AH363" s="25" t="n"/>
      <c r="AI363" s="394" t="n"/>
      <c r="AM363" s="48" t="n"/>
      <c r="AN363" s="48" t="n"/>
      <c r="AO363" s="48" t="n"/>
    </row>
    <row r="364">
      <c r="M364" s="25" t="n"/>
      <c r="Q364" s="25" t="n"/>
      <c r="U364" s="194" t="n"/>
      <c r="AA364" s="25" t="n"/>
      <c r="AB364" s="25" t="n"/>
      <c r="AC364" s="195" t="n"/>
      <c r="AD364" s="25" t="n"/>
      <c r="AE364" s="25" t="n"/>
      <c r="AG364" s="25" t="n"/>
      <c r="AH364" s="25" t="n"/>
      <c r="AI364" s="394" t="n"/>
      <c r="AM364" s="48" t="n"/>
      <c r="AN364" s="48" t="n"/>
      <c r="AO364" s="48" t="n"/>
    </row>
    <row r="365">
      <c r="M365" s="25" t="n"/>
      <c r="Q365" s="25" t="n"/>
      <c r="U365" s="194" t="n"/>
      <c r="AA365" s="25" t="n"/>
      <c r="AB365" s="25" t="n"/>
      <c r="AC365" s="195" t="n"/>
      <c r="AD365" s="25" t="n"/>
      <c r="AE365" s="25" t="n"/>
      <c r="AG365" s="25" t="n"/>
      <c r="AH365" s="25" t="n"/>
      <c r="AI365" s="394" t="n"/>
      <c r="AM365" s="48" t="n"/>
      <c r="AN365" s="48" t="n"/>
      <c r="AO365" s="48" t="n"/>
    </row>
    <row r="366">
      <c r="M366" s="25" t="n"/>
      <c r="Q366" s="25" t="n"/>
      <c r="U366" s="194" t="n"/>
      <c r="AA366" s="25" t="n"/>
      <c r="AB366" s="25" t="n"/>
      <c r="AC366" s="195" t="n"/>
      <c r="AD366" s="25" t="n"/>
      <c r="AE366" s="25" t="n"/>
      <c r="AG366" s="25" t="n"/>
      <c r="AH366" s="25" t="n"/>
      <c r="AI366" s="394" t="n"/>
      <c r="AM366" s="48" t="n"/>
      <c r="AN366" s="48" t="n"/>
      <c r="AO366" s="48" t="n"/>
    </row>
    <row r="367">
      <c r="M367" s="25" t="n"/>
      <c r="Q367" s="25" t="n"/>
      <c r="U367" s="194" t="n"/>
      <c r="AA367" s="25" t="n"/>
      <c r="AB367" s="25" t="n"/>
      <c r="AC367" s="195" t="n"/>
      <c r="AD367" s="25" t="n"/>
      <c r="AE367" s="25" t="n"/>
      <c r="AG367" s="25" t="n"/>
      <c r="AH367" s="25" t="n"/>
      <c r="AI367" s="394" t="n"/>
      <c r="AM367" s="48" t="n"/>
      <c r="AN367" s="48" t="n"/>
      <c r="AO367" s="48" t="n"/>
    </row>
    <row r="368">
      <c r="M368" s="25" t="n"/>
      <c r="Q368" s="25" t="n"/>
      <c r="U368" s="194" t="n"/>
      <c r="AA368" s="25" t="n"/>
      <c r="AB368" s="25" t="n"/>
      <c r="AC368" s="195" t="n"/>
      <c r="AD368" s="25" t="n"/>
      <c r="AE368" s="25" t="n"/>
      <c r="AG368" s="25" t="n"/>
      <c r="AH368" s="25" t="n"/>
      <c r="AI368" s="394" t="n"/>
      <c r="AM368" s="48" t="n"/>
      <c r="AN368" s="48" t="n"/>
      <c r="AO368" s="48" t="n"/>
    </row>
    <row r="369">
      <c r="M369" s="25" t="n"/>
      <c r="Q369" s="25" t="n"/>
      <c r="U369" s="194" t="n"/>
      <c r="AA369" s="25" t="n"/>
      <c r="AB369" s="25" t="n"/>
      <c r="AC369" s="195" t="n"/>
      <c r="AD369" s="25" t="n"/>
      <c r="AE369" s="25" t="n"/>
      <c r="AG369" s="25" t="n"/>
      <c r="AH369" s="25" t="n"/>
      <c r="AI369" s="394" t="n"/>
      <c r="AM369" s="48" t="n"/>
      <c r="AN369" s="48" t="n"/>
      <c r="AO369" s="48" t="n"/>
    </row>
    <row r="370">
      <c r="M370" s="25" t="n"/>
      <c r="Q370" s="25" t="n"/>
      <c r="U370" s="194" t="n"/>
      <c r="AA370" s="25" t="n"/>
      <c r="AB370" s="25" t="n"/>
      <c r="AC370" s="195" t="n"/>
      <c r="AD370" s="25" t="n"/>
      <c r="AE370" s="25" t="n"/>
      <c r="AG370" s="25" t="n"/>
      <c r="AH370" s="25" t="n"/>
      <c r="AI370" s="394" t="n"/>
      <c r="AM370" s="48" t="n"/>
      <c r="AN370" s="48" t="n"/>
      <c r="AO370" s="48" t="n"/>
    </row>
    <row r="371">
      <c r="M371" s="25" t="n"/>
      <c r="Q371" s="25" t="n"/>
      <c r="U371" s="194" t="n"/>
      <c r="AA371" s="25" t="n"/>
      <c r="AB371" s="25" t="n"/>
      <c r="AC371" s="195" t="n"/>
      <c r="AD371" s="25" t="n"/>
      <c r="AE371" s="25" t="n"/>
      <c r="AG371" s="25" t="n"/>
      <c r="AH371" s="25" t="n"/>
      <c r="AI371" s="394" t="n"/>
      <c r="AM371" s="48" t="n"/>
      <c r="AN371" s="48" t="n"/>
      <c r="AO371" s="48" t="n"/>
    </row>
    <row r="372">
      <c r="M372" s="25" t="n"/>
      <c r="Q372" s="25" t="n"/>
      <c r="U372" s="194" t="n"/>
      <c r="AA372" s="25" t="n"/>
      <c r="AB372" s="25" t="n"/>
      <c r="AC372" s="195" t="n"/>
      <c r="AD372" s="25" t="n"/>
      <c r="AE372" s="25" t="n"/>
      <c r="AG372" s="25" t="n"/>
      <c r="AH372" s="25" t="n"/>
      <c r="AI372" s="394" t="n"/>
      <c r="AM372" s="48" t="n"/>
      <c r="AN372" s="48" t="n"/>
      <c r="AO372" s="48" t="n"/>
    </row>
    <row r="373">
      <c r="M373" s="25" t="n"/>
      <c r="Q373" s="25" t="n"/>
      <c r="U373" s="194" t="n"/>
      <c r="AA373" s="25" t="n"/>
      <c r="AB373" s="25" t="n"/>
      <c r="AC373" s="195" t="n"/>
      <c r="AD373" s="25" t="n"/>
      <c r="AE373" s="25" t="n"/>
      <c r="AG373" s="25" t="n"/>
      <c r="AH373" s="25" t="n"/>
      <c r="AI373" s="394" t="n"/>
      <c r="AM373" s="48" t="n"/>
      <c r="AN373" s="48" t="n"/>
      <c r="AO373" s="48" t="n"/>
    </row>
    <row r="374">
      <c r="M374" s="25" t="n"/>
      <c r="Q374" s="25" t="n"/>
      <c r="U374" s="194" t="n"/>
      <c r="AA374" s="25" t="n"/>
      <c r="AB374" s="25" t="n"/>
      <c r="AC374" s="195" t="n"/>
      <c r="AD374" s="25" t="n"/>
      <c r="AE374" s="25" t="n"/>
      <c r="AG374" s="25" t="n"/>
      <c r="AH374" s="25" t="n"/>
      <c r="AI374" s="394" t="n"/>
      <c r="AM374" s="48" t="n"/>
      <c r="AN374" s="48" t="n"/>
      <c r="AO374" s="48" t="n"/>
    </row>
    <row r="375">
      <c r="M375" s="25" t="n"/>
      <c r="Q375" s="25" t="n"/>
      <c r="U375" s="194" t="n"/>
      <c r="AA375" s="25" t="n"/>
      <c r="AB375" s="25" t="n"/>
      <c r="AC375" s="195" t="n"/>
      <c r="AD375" s="25" t="n"/>
      <c r="AE375" s="25" t="n"/>
      <c r="AG375" s="25" t="n"/>
      <c r="AH375" s="25" t="n"/>
      <c r="AI375" s="394" t="n"/>
      <c r="AM375" s="48" t="n"/>
      <c r="AN375" s="48" t="n"/>
      <c r="AO375" s="48" t="n"/>
    </row>
    <row r="376">
      <c r="M376" s="25" t="n"/>
      <c r="Q376" s="25" t="n"/>
      <c r="U376" s="194" t="n"/>
      <c r="AA376" s="25" t="n"/>
      <c r="AB376" s="25" t="n"/>
      <c r="AC376" s="195" t="n"/>
      <c r="AD376" s="25" t="n"/>
      <c r="AE376" s="25" t="n"/>
      <c r="AG376" s="25" t="n"/>
      <c r="AH376" s="25" t="n"/>
      <c r="AI376" s="394" t="n"/>
      <c r="AM376" s="48" t="n"/>
      <c r="AN376" s="48" t="n"/>
      <c r="AO376" s="48" t="n"/>
    </row>
    <row r="377">
      <c r="M377" s="25" t="n"/>
      <c r="Q377" s="25" t="n"/>
      <c r="U377" s="194" t="n"/>
      <c r="AA377" s="25" t="n"/>
      <c r="AB377" s="25" t="n"/>
      <c r="AC377" s="195" t="n"/>
      <c r="AD377" s="25" t="n"/>
      <c r="AE377" s="25" t="n"/>
      <c r="AG377" s="25" t="n"/>
      <c r="AH377" s="25" t="n"/>
      <c r="AI377" s="394" t="n"/>
      <c r="AM377" s="48" t="n"/>
      <c r="AN377" s="48" t="n"/>
      <c r="AO377" s="48" t="n"/>
    </row>
    <row r="378">
      <c r="M378" s="25" t="n"/>
      <c r="Q378" s="25" t="n"/>
      <c r="U378" s="194" t="n"/>
      <c r="AA378" s="25" t="n"/>
      <c r="AB378" s="25" t="n"/>
      <c r="AC378" s="195" t="n"/>
      <c r="AD378" s="25" t="n"/>
      <c r="AE378" s="25" t="n"/>
      <c r="AG378" s="25" t="n"/>
      <c r="AH378" s="25" t="n"/>
      <c r="AI378" s="394" t="n"/>
      <c r="AM378" s="48" t="n"/>
      <c r="AN378" s="48" t="n"/>
      <c r="AO378" s="48" t="n"/>
    </row>
    <row r="379">
      <c r="M379" s="25" t="n"/>
      <c r="Q379" s="25" t="n"/>
      <c r="U379" s="194" t="n"/>
      <c r="AA379" s="25" t="n"/>
      <c r="AB379" s="25" t="n"/>
      <c r="AC379" s="195" t="n"/>
      <c r="AD379" s="25" t="n"/>
      <c r="AE379" s="25" t="n"/>
      <c r="AG379" s="25" t="n"/>
      <c r="AH379" s="25" t="n"/>
      <c r="AI379" s="394" t="n"/>
      <c r="AM379" s="48" t="n"/>
      <c r="AN379" s="48" t="n"/>
      <c r="AO379" s="48" t="n"/>
    </row>
    <row r="380">
      <c r="M380" s="25" t="n"/>
      <c r="Q380" s="25" t="n"/>
      <c r="U380" s="194" t="n"/>
      <c r="AA380" s="25" t="n"/>
      <c r="AB380" s="25" t="n"/>
      <c r="AC380" s="195" t="n"/>
      <c r="AD380" s="25" t="n"/>
      <c r="AE380" s="25" t="n"/>
      <c r="AG380" s="25" t="n"/>
      <c r="AH380" s="25" t="n"/>
      <c r="AI380" s="394" t="n"/>
      <c r="AM380" s="48" t="n"/>
      <c r="AN380" s="48" t="n"/>
      <c r="AO380" s="48" t="n"/>
    </row>
    <row r="381">
      <c r="M381" s="25" t="n"/>
      <c r="Q381" s="25" t="n"/>
      <c r="U381" s="194" t="n"/>
      <c r="AA381" s="25" t="n"/>
      <c r="AB381" s="25" t="n"/>
      <c r="AC381" s="195" t="n"/>
      <c r="AD381" s="25" t="n"/>
      <c r="AE381" s="25" t="n"/>
      <c r="AG381" s="25" t="n"/>
      <c r="AH381" s="25" t="n"/>
      <c r="AI381" s="394" t="n"/>
      <c r="AM381" s="48" t="n"/>
      <c r="AN381" s="48" t="n"/>
      <c r="AO381" s="48" t="n"/>
    </row>
    <row r="382">
      <c r="M382" s="25" t="n"/>
      <c r="Q382" s="25" t="n"/>
      <c r="U382" s="194" t="n"/>
      <c r="AA382" s="25" t="n"/>
      <c r="AB382" s="25" t="n"/>
      <c r="AC382" s="195" t="n"/>
      <c r="AD382" s="25" t="n"/>
      <c r="AE382" s="25" t="n"/>
      <c r="AG382" s="25" t="n"/>
      <c r="AH382" s="25" t="n"/>
      <c r="AI382" s="394" t="n"/>
      <c r="AM382" s="48" t="n"/>
      <c r="AN382" s="48" t="n"/>
      <c r="AO382" s="48" t="n"/>
    </row>
    <row r="383">
      <c r="M383" s="25" t="n"/>
      <c r="Q383" s="25" t="n"/>
      <c r="U383" s="194" t="n"/>
      <c r="AA383" s="25" t="n"/>
      <c r="AB383" s="25" t="n"/>
      <c r="AC383" s="195" t="n"/>
      <c r="AD383" s="25" t="n"/>
      <c r="AE383" s="25" t="n"/>
      <c r="AG383" s="25" t="n"/>
      <c r="AH383" s="25" t="n"/>
      <c r="AI383" s="394" t="n"/>
      <c r="AM383" s="48" t="n"/>
      <c r="AN383" s="48" t="n"/>
      <c r="AO383" s="48" t="n"/>
    </row>
    <row r="384">
      <c r="M384" s="25" t="n"/>
      <c r="Q384" s="25" t="n"/>
      <c r="U384" s="194" t="n"/>
      <c r="AA384" s="25" t="n"/>
      <c r="AB384" s="25" t="n"/>
      <c r="AC384" s="195" t="n"/>
      <c r="AD384" s="25" t="n"/>
      <c r="AE384" s="25" t="n"/>
      <c r="AG384" s="25" t="n"/>
      <c r="AH384" s="25" t="n"/>
      <c r="AI384" s="394" t="n"/>
      <c r="AM384" s="48" t="n"/>
      <c r="AN384" s="48" t="n"/>
      <c r="AO384" s="48" t="n"/>
    </row>
    <row r="385">
      <c r="M385" s="25" t="n"/>
      <c r="Q385" s="25" t="n"/>
      <c r="U385" s="194" t="n"/>
      <c r="AA385" s="25" t="n"/>
      <c r="AB385" s="25" t="n"/>
      <c r="AC385" s="195" t="n"/>
      <c r="AD385" s="25" t="n"/>
      <c r="AE385" s="25" t="n"/>
      <c r="AG385" s="25" t="n"/>
      <c r="AH385" s="25" t="n"/>
      <c r="AI385" s="394" t="n"/>
      <c r="AM385" s="48" t="n"/>
      <c r="AN385" s="48" t="n"/>
      <c r="AO385" s="48" t="n"/>
    </row>
    <row r="386">
      <c r="M386" s="25" t="n"/>
      <c r="Q386" s="25" t="n"/>
      <c r="U386" s="194" t="n"/>
      <c r="AA386" s="25" t="n"/>
      <c r="AB386" s="25" t="n"/>
      <c r="AC386" s="195" t="n"/>
      <c r="AD386" s="25" t="n"/>
      <c r="AE386" s="25" t="n"/>
      <c r="AG386" s="25" t="n"/>
      <c r="AH386" s="25" t="n"/>
      <c r="AI386" s="394" t="n"/>
      <c r="AM386" s="48" t="n"/>
      <c r="AN386" s="48" t="n"/>
      <c r="AO386" s="48" t="n"/>
    </row>
    <row r="387">
      <c r="M387" s="25" t="n"/>
      <c r="Q387" s="25" t="n"/>
      <c r="U387" s="194" t="n"/>
      <c r="AA387" s="25" t="n"/>
      <c r="AB387" s="25" t="n"/>
      <c r="AC387" s="195" t="n"/>
      <c r="AD387" s="25" t="n"/>
      <c r="AE387" s="25" t="n"/>
      <c r="AG387" s="25" t="n"/>
      <c r="AH387" s="25" t="n"/>
      <c r="AI387" s="394" t="n"/>
      <c r="AM387" s="48" t="n"/>
      <c r="AN387" s="48" t="n"/>
      <c r="AO387" s="48" t="n"/>
    </row>
    <row r="388">
      <c r="M388" s="25" t="n"/>
      <c r="Q388" s="25" t="n"/>
      <c r="U388" s="194" t="n"/>
      <c r="AA388" s="25" t="n"/>
      <c r="AB388" s="25" t="n"/>
      <c r="AC388" s="195" t="n"/>
      <c r="AD388" s="25" t="n"/>
      <c r="AE388" s="25" t="n"/>
      <c r="AG388" s="25" t="n"/>
      <c r="AH388" s="25" t="n"/>
      <c r="AI388" s="394" t="n"/>
      <c r="AM388" s="48" t="n"/>
      <c r="AN388" s="48" t="n"/>
      <c r="AO388" s="48" t="n"/>
    </row>
    <row r="389">
      <c r="M389" s="25" t="n"/>
      <c r="Q389" s="25" t="n"/>
      <c r="U389" s="194" t="n"/>
      <c r="AA389" s="25" t="n"/>
      <c r="AB389" s="25" t="n"/>
      <c r="AC389" s="195" t="n"/>
      <c r="AD389" s="25" t="n"/>
      <c r="AE389" s="25" t="n"/>
      <c r="AG389" s="25" t="n"/>
      <c r="AH389" s="25" t="n"/>
      <c r="AI389" s="394" t="n"/>
      <c r="AM389" s="48" t="n"/>
      <c r="AN389" s="48" t="n"/>
      <c r="AO389" s="48" t="n"/>
    </row>
    <row r="390">
      <c r="M390" s="25" t="n"/>
      <c r="Q390" s="25" t="n"/>
      <c r="U390" s="194" t="n"/>
      <c r="AA390" s="25" t="n"/>
      <c r="AB390" s="25" t="n"/>
      <c r="AC390" s="195" t="n"/>
      <c r="AD390" s="25" t="n"/>
      <c r="AE390" s="25" t="n"/>
      <c r="AG390" s="25" t="n"/>
      <c r="AH390" s="25" t="n"/>
      <c r="AI390" s="394" t="n"/>
      <c r="AM390" s="48" t="n"/>
      <c r="AN390" s="48" t="n"/>
      <c r="AO390" s="48" t="n"/>
    </row>
    <row r="391">
      <c r="M391" s="25" t="n"/>
      <c r="Q391" s="25" t="n"/>
      <c r="U391" s="194" t="n"/>
      <c r="AA391" s="25" t="n"/>
      <c r="AB391" s="25" t="n"/>
      <c r="AC391" s="195" t="n"/>
      <c r="AD391" s="25" t="n"/>
      <c r="AE391" s="25" t="n"/>
      <c r="AG391" s="25" t="n"/>
      <c r="AH391" s="25" t="n"/>
      <c r="AI391" s="394" t="n"/>
      <c r="AM391" s="48" t="n"/>
      <c r="AN391" s="48" t="n"/>
      <c r="AO391" s="48" t="n"/>
    </row>
    <row r="392">
      <c r="M392" s="25" t="n"/>
      <c r="Q392" s="25" t="n"/>
      <c r="U392" s="194" t="n"/>
      <c r="AA392" s="25" t="n"/>
      <c r="AB392" s="25" t="n"/>
      <c r="AC392" s="195" t="n"/>
      <c r="AD392" s="25" t="n"/>
      <c r="AE392" s="25" t="n"/>
      <c r="AG392" s="25" t="n"/>
      <c r="AH392" s="25" t="n"/>
      <c r="AI392" s="394" t="n"/>
      <c r="AM392" s="48" t="n"/>
      <c r="AN392" s="48" t="n"/>
      <c r="AO392" s="48" t="n"/>
    </row>
    <row r="393">
      <c r="M393" s="25" t="n"/>
      <c r="Q393" s="25" t="n"/>
      <c r="U393" s="194" t="n"/>
      <c r="AA393" s="25" t="n"/>
      <c r="AB393" s="25" t="n"/>
      <c r="AC393" s="195" t="n"/>
      <c r="AD393" s="25" t="n"/>
      <c r="AE393" s="25" t="n"/>
      <c r="AG393" s="25" t="n"/>
      <c r="AH393" s="25" t="n"/>
      <c r="AI393" s="394" t="n"/>
      <c r="AM393" s="48" t="n"/>
      <c r="AN393" s="48" t="n"/>
      <c r="AO393" s="48" t="n"/>
    </row>
    <row r="394">
      <c r="M394" s="25" t="n"/>
      <c r="Q394" s="25" t="n"/>
      <c r="U394" s="194" t="n"/>
      <c r="AA394" s="25" t="n"/>
      <c r="AB394" s="25" t="n"/>
      <c r="AC394" s="195" t="n"/>
      <c r="AD394" s="25" t="n"/>
      <c r="AE394" s="25" t="n"/>
      <c r="AG394" s="25" t="n"/>
      <c r="AH394" s="25" t="n"/>
      <c r="AI394" s="394" t="n"/>
      <c r="AM394" s="48" t="n"/>
      <c r="AN394" s="48" t="n"/>
      <c r="AO394" s="48" t="n"/>
    </row>
    <row r="395">
      <c r="M395" s="25" t="n"/>
      <c r="Q395" s="25" t="n"/>
      <c r="U395" s="194" t="n"/>
      <c r="AA395" s="25" t="n"/>
      <c r="AB395" s="25" t="n"/>
      <c r="AC395" s="195" t="n"/>
      <c r="AD395" s="25" t="n"/>
      <c r="AE395" s="25" t="n"/>
      <c r="AG395" s="25" t="n"/>
      <c r="AH395" s="25" t="n"/>
      <c r="AI395" s="394" t="n"/>
      <c r="AM395" s="48" t="n"/>
      <c r="AN395" s="48" t="n"/>
      <c r="AO395" s="48" t="n"/>
    </row>
    <row r="396">
      <c r="M396" s="25" t="n"/>
      <c r="Q396" s="25" t="n"/>
      <c r="U396" s="194" t="n"/>
      <c r="AA396" s="25" t="n"/>
      <c r="AB396" s="25" t="n"/>
      <c r="AC396" s="195" t="n"/>
      <c r="AD396" s="25" t="n"/>
      <c r="AE396" s="25" t="n"/>
      <c r="AG396" s="25" t="n"/>
      <c r="AH396" s="25" t="n"/>
      <c r="AI396" s="394" t="n"/>
      <c r="AM396" s="48" t="n"/>
      <c r="AN396" s="48" t="n"/>
      <c r="AO396" s="48" t="n"/>
    </row>
    <row r="397">
      <c r="M397" s="25" t="n"/>
      <c r="Q397" s="25" t="n"/>
      <c r="U397" s="194" t="n"/>
      <c r="AA397" s="25" t="n"/>
      <c r="AB397" s="25" t="n"/>
      <c r="AC397" s="195" t="n"/>
      <c r="AD397" s="25" t="n"/>
      <c r="AE397" s="25" t="n"/>
      <c r="AG397" s="25" t="n"/>
      <c r="AH397" s="25" t="n"/>
      <c r="AI397" s="394" t="n"/>
      <c r="AM397" s="48" t="n"/>
      <c r="AN397" s="48" t="n"/>
      <c r="AO397" s="48" t="n"/>
    </row>
    <row r="398">
      <c r="M398" s="25" t="n"/>
      <c r="Q398" s="25" t="n"/>
      <c r="U398" s="194" t="n"/>
      <c r="AA398" s="25" t="n"/>
      <c r="AB398" s="25" t="n"/>
      <c r="AC398" s="195" t="n"/>
      <c r="AD398" s="25" t="n"/>
      <c r="AE398" s="25" t="n"/>
      <c r="AG398" s="25" t="n"/>
      <c r="AH398" s="25" t="n"/>
      <c r="AI398" s="394" t="n"/>
      <c r="AM398" s="48" t="n"/>
      <c r="AN398" s="48" t="n"/>
      <c r="AO398" s="48" t="n"/>
    </row>
    <row r="399">
      <c r="M399" s="25" t="n"/>
      <c r="Q399" s="25" t="n"/>
      <c r="U399" s="194" t="n"/>
      <c r="AA399" s="25" t="n"/>
      <c r="AB399" s="25" t="n"/>
      <c r="AC399" s="195" t="n"/>
      <c r="AD399" s="25" t="n"/>
      <c r="AE399" s="25" t="n"/>
      <c r="AG399" s="25" t="n"/>
      <c r="AH399" s="25" t="n"/>
      <c r="AI399" s="394" t="n"/>
      <c r="AM399" s="48" t="n"/>
      <c r="AN399" s="48" t="n"/>
      <c r="AO399" s="48" t="n"/>
    </row>
    <row r="400">
      <c r="M400" s="25" t="n"/>
      <c r="Q400" s="25" t="n"/>
      <c r="U400" s="194" t="n"/>
      <c r="AA400" s="25" t="n"/>
      <c r="AB400" s="25" t="n"/>
      <c r="AC400" s="195" t="n"/>
      <c r="AD400" s="25" t="n"/>
      <c r="AE400" s="25" t="n"/>
      <c r="AG400" s="25" t="n"/>
      <c r="AH400" s="25" t="n"/>
      <c r="AI400" s="394" t="n"/>
      <c r="AM400" s="48" t="n"/>
      <c r="AN400" s="48" t="n"/>
      <c r="AO400" s="48" t="n"/>
    </row>
    <row r="401">
      <c r="M401" s="25" t="n"/>
      <c r="Q401" s="25" t="n"/>
      <c r="U401" s="194" t="n"/>
      <c r="AA401" s="25" t="n"/>
      <c r="AB401" s="25" t="n"/>
      <c r="AC401" s="195" t="n"/>
      <c r="AD401" s="25" t="n"/>
      <c r="AE401" s="25" t="n"/>
      <c r="AG401" s="25" t="n"/>
      <c r="AH401" s="25" t="n"/>
      <c r="AI401" s="394" t="n"/>
      <c r="AM401" s="48" t="n"/>
      <c r="AN401" s="48" t="n"/>
      <c r="AO401" s="48" t="n"/>
    </row>
    <row r="402">
      <c r="M402" s="25" t="n"/>
      <c r="Q402" s="25" t="n"/>
      <c r="U402" s="194" t="n"/>
      <c r="AA402" s="25" t="n"/>
      <c r="AB402" s="25" t="n"/>
      <c r="AC402" s="195" t="n"/>
      <c r="AD402" s="25" t="n"/>
      <c r="AE402" s="25" t="n"/>
      <c r="AG402" s="25" t="n"/>
      <c r="AH402" s="25" t="n"/>
      <c r="AI402" s="394" t="n"/>
      <c r="AM402" s="48" t="n"/>
      <c r="AN402" s="48" t="n"/>
      <c r="AO402" s="48" t="n"/>
    </row>
    <row r="403">
      <c r="M403" s="25" t="n"/>
      <c r="Q403" s="25" t="n"/>
      <c r="U403" s="194" t="n"/>
      <c r="AA403" s="25" t="n"/>
      <c r="AB403" s="25" t="n"/>
      <c r="AC403" s="195" t="n"/>
      <c r="AD403" s="25" t="n"/>
      <c r="AE403" s="25" t="n"/>
      <c r="AG403" s="25" t="n"/>
      <c r="AH403" s="25" t="n"/>
      <c r="AI403" s="394" t="n"/>
      <c r="AM403" s="48" t="n"/>
      <c r="AN403" s="48" t="n"/>
      <c r="AO403" s="48" t="n"/>
    </row>
    <row r="404">
      <c r="M404" s="25" t="n"/>
      <c r="Q404" s="25" t="n"/>
      <c r="U404" s="194" t="n"/>
      <c r="AA404" s="25" t="n"/>
      <c r="AB404" s="25" t="n"/>
      <c r="AC404" s="195" t="n"/>
      <c r="AD404" s="25" t="n"/>
      <c r="AE404" s="25" t="n"/>
      <c r="AG404" s="25" t="n"/>
      <c r="AH404" s="25" t="n"/>
      <c r="AI404" s="394" t="n"/>
      <c r="AM404" s="48" t="n"/>
      <c r="AN404" s="48" t="n"/>
      <c r="AO404" s="48" t="n"/>
    </row>
    <row r="405">
      <c r="M405" s="25" t="n"/>
      <c r="Q405" s="25" t="n"/>
      <c r="U405" s="194" t="n"/>
      <c r="AA405" s="25" t="n"/>
      <c r="AB405" s="25" t="n"/>
      <c r="AC405" s="195" t="n"/>
      <c r="AD405" s="25" t="n"/>
      <c r="AE405" s="25" t="n"/>
      <c r="AG405" s="25" t="n"/>
      <c r="AH405" s="25" t="n"/>
      <c r="AI405" s="394" t="n"/>
      <c r="AM405" s="48" t="n"/>
      <c r="AN405" s="48" t="n"/>
      <c r="AO405" s="48" t="n"/>
    </row>
    <row r="406">
      <c r="M406" s="25" t="n"/>
      <c r="Q406" s="25" t="n"/>
      <c r="U406" s="194" t="n"/>
      <c r="AA406" s="25" t="n"/>
      <c r="AB406" s="25" t="n"/>
      <c r="AC406" s="195" t="n"/>
      <c r="AD406" s="25" t="n"/>
      <c r="AE406" s="25" t="n"/>
      <c r="AG406" s="25" t="n"/>
      <c r="AH406" s="25" t="n"/>
      <c r="AI406" s="394" t="n"/>
      <c r="AM406" s="48" t="n"/>
      <c r="AN406" s="48" t="n"/>
      <c r="AO406" s="48" t="n"/>
    </row>
    <row r="407">
      <c r="M407" s="25" t="n"/>
      <c r="Q407" s="25" t="n"/>
      <c r="U407" s="194" t="n"/>
      <c r="AA407" s="25" t="n"/>
      <c r="AB407" s="25" t="n"/>
      <c r="AC407" s="195" t="n"/>
      <c r="AD407" s="25" t="n"/>
      <c r="AE407" s="25" t="n"/>
      <c r="AG407" s="25" t="n"/>
      <c r="AH407" s="25" t="n"/>
      <c r="AI407" s="394" t="n"/>
      <c r="AM407" s="48" t="n"/>
      <c r="AN407" s="48" t="n"/>
      <c r="AO407" s="48" t="n"/>
    </row>
    <row r="408">
      <c r="M408" s="25" t="n"/>
      <c r="Q408" s="25" t="n"/>
      <c r="U408" s="194" t="n"/>
      <c r="AA408" s="25" t="n"/>
      <c r="AB408" s="25" t="n"/>
      <c r="AC408" s="195" t="n"/>
      <c r="AD408" s="25" t="n"/>
      <c r="AE408" s="25" t="n"/>
      <c r="AG408" s="25" t="n"/>
      <c r="AH408" s="25" t="n"/>
      <c r="AI408" s="394" t="n"/>
      <c r="AM408" s="48" t="n"/>
      <c r="AN408" s="48" t="n"/>
      <c r="AO408" s="48" t="n"/>
    </row>
    <row r="409">
      <c r="M409" s="25" t="n"/>
      <c r="Q409" s="25" t="n"/>
      <c r="U409" s="194" t="n"/>
      <c r="AA409" s="25" t="n"/>
      <c r="AB409" s="25" t="n"/>
      <c r="AC409" s="195" t="n"/>
      <c r="AD409" s="25" t="n"/>
      <c r="AE409" s="25" t="n"/>
      <c r="AG409" s="25" t="n"/>
      <c r="AH409" s="25" t="n"/>
      <c r="AI409" s="394" t="n"/>
      <c r="AM409" s="48" t="n"/>
      <c r="AN409" s="48" t="n"/>
      <c r="AO409" s="48" t="n"/>
    </row>
    <row r="410">
      <c r="M410" s="25" t="n"/>
      <c r="Q410" s="25" t="n"/>
      <c r="U410" s="194" t="n"/>
      <c r="AA410" s="25" t="n"/>
      <c r="AB410" s="25" t="n"/>
      <c r="AC410" s="195" t="n"/>
      <c r="AD410" s="25" t="n"/>
      <c r="AE410" s="25" t="n"/>
      <c r="AG410" s="25" t="n"/>
      <c r="AH410" s="25" t="n"/>
      <c r="AI410" s="394" t="n"/>
      <c r="AM410" s="48" t="n"/>
      <c r="AN410" s="48" t="n"/>
      <c r="AO410" s="48" t="n"/>
    </row>
    <row r="411">
      <c r="M411" s="25" t="n"/>
      <c r="Q411" s="25" t="n"/>
      <c r="U411" s="194" t="n"/>
      <c r="AA411" s="25" t="n"/>
      <c r="AB411" s="25" t="n"/>
      <c r="AC411" s="195" t="n"/>
      <c r="AD411" s="25" t="n"/>
      <c r="AE411" s="25" t="n"/>
      <c r="AG411" s="25" t="n"/>
      <c r="AH411" s="25" t="n"/>
      <c r="AI411" s="394" t="n"/>
      <c r="AM411" s="48" t="n"/>
      <c r="AN411" s="48" t="n"/>
      <c r="AO411" s="48" t="n"/>
    </row>
    <row r="412">
      <c r="M412" s="25" t="n"/>
      <c r="Q412" s="25" t="n"/>
      <c r="U412" s="194" t="n"/>
      <c r="AA412" s="25" t="n"/>
      <c r="AB412" s="25" t="n"/>
      <c r="AC412" s="195" t="n"/>
      <c r="AD412" s="25" t="n"/>
      <c r="AE412" s="25" t="n"/>
      <c r="AG412" s="25" t="n"/>
      <c r="AH412" s="25" t="n"/>
      <c r="AI412" s="394" t="n"/>
      <c r="AM412" s="48" t="n"/>
      <c r="AN412" s="48" t="n"/>
      <c r="AO412" s="48" t="n"/>
    </row>
    <row r="413">
      <c r="M413" s="25" t="n"/>
      <c r="Q413" s="25" t="n"/>
      <c r="U413" s="194" t="n"/>
      <c r="AA413" s="25" t="n"/>
      <c r="AB413" s="25" t="n"/>
      <c r="AC413" s="195" t="n"/>
      <c r="AD413" s="25" t="n"/>
      <c r="AE413" s="25" t="n"/>
      <c r="AG413" s="25" t="n"/>
      <c r="AH413" s="25" t="n"/>
      <c r="AI413" s="394" t="n"/>
      <c r="AM413" s="48" t="n"/>
      <c r="AN413" s="48" t="n"/>
      <c r="AO413" s="48" t="n"/>
    </row>
    <row r="414">
      <c r="M414" s="25" t="n"/>
      <c r="Q414" s="25" t="n"/>
      <c r="U414" s="194" t="n"/>
      <c r="AA414" s="25" t="n"/>
      <c r="AB414" s="25" t="n"/>
      <c r="AC414" s="195" t="n"/>
      <c r="AD414" s="25" t="n"/>
      <c r="AE414" s="25" t="n"/>
      <c r="AG414" s="25" t="n"/>
      <c r="AH414" s="25" t="n"/>
      <c r="AI414" s="394" t="n"/>
      <c r="AM414" s="48" t="n"/>
      <c r="AN414" s="48" t="n"/>
      <c r="AO414" s="48" t="n"/>
    </row>
    <row r="415">
      <c r="M415" s="25" t="n"/>
      <c r="Q415" s="25" t="n"/>
      <c r="U415" s="194" t="n"/>
      <c r="AA415" s="25" t="n"/>
      <c r="AB415" s="25" t="n"/>
      <c r="AC415" s="195" t="n"/>
      <c r="AD415" s="25" t="n"/>
      <c r="AE415" s="25" t="n"/>
      <c r="AG415" s="25" t="n"/>
      <c r="AH415" s="25" t="n"/>
      <c r="AI415" s="394" t="n"/>
      <c r="AM415" s="48" t="n"/>
      <c r="AN415" s="48" t="n"/>
      <c r="AO415" s="48" t="n"/>
    </row>
    <row r="416">
      <c r="M416" s="25" t="n"/>
      <c r="Q416" s="25" t="n"/>
      <c r="U416" s="194" t="n"/>
      <c r="AA416" s="25" t="n"/>
      <c r="AB416" s="25" t="n"/>
      <c r="AC416" s="195" t="n"/>
      <c r="AD416" s="25" t="n"/>
      <c r="AE416" s="25" t="n"/>
      <c r="AG416" s="25" t="n"/>
      <c r="AH416" s="25" t="n"/>
      <c r="AI416" s="394" t="n"/>
      <c r="AM416" s="48" t="n"/>
      <c r="AN416" s="48" t="n"/>
      <c r="AO416" s="48" t="n"/>
    </row>
    <row r="417">
      <c r="M417" s="25" t="n"/>
      <c r="Q417" s="25" t="n"/>
      <c r="U417" s="194" t="n"/>
      <c r="AA417" s="25" t="n"/>
      <c r="AB417" s="25" t="n"/>
      <c r="AC417" s="195" t="n"/>
      <c r="AD417" s="25" t="n"/>
      <c r="AE417" s="25" t="n"/>
      <c r="AG417" s="25" t="n"/>
      <c r="AH417" s="25" t="n"/>
      <c r="AI417" s="394" t="n"/>
      <c r="AM417" s="48" t="n"/>
      <c r="AN417" s="48" t="n"/>
      <c r="AO417" s="48" t="n"/>
    </row>
    <row r="418">
      <c r="M418" s="25" t="n"/>
      <c r="Q418" s="25" t="n"/>
      <c r="U418" s="194" t="n"/>
      <c r="AA418" s="25" t="n"/>
      <c r="AB418" s="25" t="n"/>
      <c r="AC418" s="195" t="n"/>
      <c r="AD418" s="25" t="n"/>
      <c r="AE418" s="25" t="n"/>
      <c r="AG418" s="25" t="n"/>
      <c r="AH418" s="25" t="n"/>
      <c r="AI418" s="394" t="n"/>
      <c r="AM418" s="48" t="n"/>
      <c r="AN418" s="48" t="n"/>
      <c r="AO418" s="48" t="n"/>
    </row>
    <row r="419">
      <c r="M419" s="25" t="n"/>
      <c r="Q419" s="25" t="n"/>
      <c r="U419" s="194" t="n"/>
      <c r="AA419" s="25" t="n"/>
      <c r="AB419" s="25" t="n"/>
      <c r="AC419" s="195" t="n"/>
      <c r="AD419" s="25" t="n"/>
      <c r="AE419" s="25" t="n"/>
      <c r="AG419" s="25" t="n"/>
      <c r="AH419" s="25" t="n"/>
      <c r="AI419" s="394" t="n"/>
      <c r="AM419" s="48" t="n"/>
      <c r="AN419" s="48" t="n"/>
      <c r="AO419" s="48" t="n"/>
    </row>
    <row r="420">
      <c r="M420" s="25" t="n"/>
      <c r="Q420" s="25" t="n"/>
      <c r="U420" s="194" t="n"/>
      <c r="AA420" s="25" t="n"/>
      <c r="AB420" s="25" t="n"/>
      <c r="AC420" s="195" t="n"/>
      <c r="AD420" s="25" t="n"/>
      <c r="AE420" s="25" t="n"/>
      <c r="AG420" s="25" t="n"/>
      <c r="AH420" s="25" t="n"/>
      <c r="AI420" s="394" t="n"/>
      <c r="AM420" s="48" t="n"/>
      <c r="AN420" s="48" t="n"/>
      <c r="AO420" s="48" t="n"/>
    </row>
    <row r="421">
      <c r="M421" s="25" t="n"/>
      <c r="Q421" s="25" t="n"/>
      <c r="U421" s="194" t="n"/>
      <c r="AA421" s="25" t="n"/>
      <c r="AB421" s="25" t="n"/>
      <c r="AC421" s="195" t="n"/>
      <c r="AD421" s="25" t="n"/>
      <c r="AE421" s="25" t="n"/>
      <c r="AG421" s="25" t="n"/>
      <c r="AH421" s="25" t="n"/>
      <c r="AI421" s="394" t="n"/>
      <c r="AM421" s="48" t="n"/>
      <c r="AN421" s="48" t="n"/>
      <c r="AO421" s="48" t="n"/>
    </row>
    <row r="422">
      <c r="M422" s="25" t="n"/>
      <c r="Q422" s="25" t="n"/>
      <c r="U422" s="194" t="n"/>
      <c r="AA422" s="25" t="n"/>
      <c r="AB422" s="25" t="n"/>
      <c r="AC422" s="195" t="n"/>
      <c r="AD422" s="25" t="n"/>
      <c r="AE422" s="25" t="n"/>
      <c r="AG422" s="25" t="n"/>
      <c r="AH422" s="25" t="n"/>
      <c r="AI422" s="394" t="n"/>
      <c r="AM422" s="48" t="n"/>
      <c r="AN422" s="48" t="n"/>
      <c r="AO422" s="48" t="n"/>
    </row>
    <row r="423">
      <c r="M423" s="25" t="n"/>
      <c r="Q423" s="25" t="n"/>
      <c r="U423" s="194" t="n"/>
      <c r="AA423" s="25" t="n"/>
      <c r="AB423" s="25" t="n"/>
      <c r="AC423" s="195" t="n"/>
      <c r="AD423" s="25" t="n"/>
      <c r="AE423" s="25" t="n"/>
      <c r="AG423" s="25" t="n"/>
      <c r="AH423" s="25" t="n"/>
      <c r="AI423" s="394" t="n"/>
      <c r="AM423" s="48" t="n"/>
      <c r="AN423" s="48" t="n"/>
      <c r="AO423" s="48" t="n"/>
    </row>
    <row r="424">
      <c r="M424" s="25" t="n"/>
      <c r="Q424" s="25" t="n"/>
      <c r="U424" s="194" t="n"/>
      <c r="AA424" s="25" t="n"/>
      <c r="AB424" s="25" t="n"/>
      <c r="AC424" s="195" t="n"/>
      <c r="AD424" s="25" t="n"/>
      <c r="AE424" s="25" t="n"/>
      <c r="AG424" s="25" t="n"/>
      <c r="AH424" s="25" t="n"/>
      <c r="AI424" s="394" t="n"/>
      <c r="AM424" s="48" t="n"/>
      <c r="AN424" s="48" t="n"/>
      <c r="AO424" s="48" t="n"/>
    </row>
    <row r="425">
      <c r="M425" s="25" t="n"/>
      <c r="Q425" s="25" t="n"/>
      <c r="U425" s="194" t="n"/>
      <c r="AA425" s="25" t="n"/>
      <c r="AB425" s="25" t="n"/>
      <c r="AC425" s="195" t="n"/>
      <c r="AD425" s="25" t="n"/>
      <c r="AE425" s="25" t="n"/>
      <c r="AG425" s="25" t="n"/>
      <c r="AH425" s="25" t="n"/>
      <c r="AI425" s="394" t="n"/>
      <c r="AM425" s="48" t="n"/>
      <c r="AN425" s="48" t="n"/>
      <c r="AO425" s="48" t="n"/>
    </row>
    <row r="426">
      <c r="M426" s="25" t="n"/>
      <c r="Q426" s="25" t="n"/>
      <c r="U426" s="194" t="n"/>
      <c r="AA426" s="25" t="n"/>
      <c r="AB426" s="25" t="n"/>
      <c r="AC426" s="195" t="n"/>
      <c r="AD426" s="25" t="n"/>
      <c r="AE426" s="25" t="n"/>
      <c r="AG426" s="25" t="n"/>
      <c r="AH426" s="25" t="n"/>
      <c r="AI426" s="394" t="n"/>
      <c r="AM426" s="48" t="n"/>
      <c r="AN426" s="48" t="n"/>
      <c r="AO426" s="48" t="n"/>
    </row>
    <row r="427">
      <c r="M427" s="25" t="n"/>
      <c r="Q427" s="25" t="n"/>
      <c r="U427" s="194" t="n"/>
      <c r="AA427" s="25" t="n"/>
      <c r="AB427" s="25" t="n"/>
      <c r="AC427" s="195" t="n"/>
      <c r="AD427" s="25" t="n"/>
      <c r="AE427" s="25" t="n"/>
      <c r="AG427" s="25" t="n"/>
      <c r="AH427" s="25" t="n"/>
      <c r="AI427" s="394" t="n"/>
      <c r="AM427" s="48" t="n"/>
      <c r="AN427" s="48" t="n"/>
      <c r="AO427" s="48" t="n"/>
    </row>
    <row r="428">
      <c r="M428" s="25" t="n"/>
      <c r="Q428" s="25" t="n"/>
      <c r="U428" s="194" t="n"/>
      <c r="AA428" s="25" t="n"/>
      <c r="AB428" s="25" t="n"/>
      <c r="AC428" s="195" t="n"/>
      <c r="AD428" s="25" t="n"/>
      <c r="AE428" s="25" t="n"/>
      <c r="AG428" s="25" t="n"/>
      <c r="AH428" s="25" t="n"/>
      <c r="AI428" s="394" t="n"/>
      <c r="AM428" s="48" t="n"/>
      <c r="AN428" s="48" t="n"/>
      <c r="AO428" s="48" t="n"/>
    </row>
    <row r="429">
      <c r="M429" s="25" t="n"/>
      <c r="Q429" s="25" t="n"/>
      <c r="U429" s="194" t="n"/>
      <c r="AA429" s="25" t="n"/>
      <c r="AB429" s="25" t="n"/>
      <c r="AC429" s="195" t="n"/>
      <c r="AD429" s="25" t="n"/>
      <c r="AE429" s="25" t="n"/>
      <c r="AG429" s="25" t="n"/>
      <c r="AH429" s="25" t="n"/>
      <c r="AI429" s="394" t="n"/>
      <c r="AM429" s="48" t="n"/>
      <c r="AN429" s="48" t="n"/>
      <c r="AO429" s="48" t="n"/>
    </row>
    <row r="430">
      <c r="M430" s="25" t="n"/>
      <c r="Q430" s="25" t="n"/>
      <c r="U430" s="194" t="n"/>
      <c r="AA430" s="25" t="n"/>
      <c r="AB430" s="25" t="n"/>
      <c r="AC430" s="195" t="n"/>
      <c r="AD430" s="25" t="n"/>
      <c r="AE430" s="25" t="n"/>
      <c r="AG430" s="25" t="n"/>
      <c r="AH430" s="25" t="n"/>
      <c r="AI430" s="394" t="n"/>
      <c r="AM430" s="48" t="n"/>
      <c r="AN430" s="48" t="n"/>
      <c r="AO430" s="48" t="n"/>
    </row>
    <row r="431">
      <c r="M431" s="25" t="n"/>
      <c r="Q431" s="25" t="n"/>
      <c r="U431" s="194" t="n"/>
      <c r="AA431" s="25" t="n"/>
      <c r="AB431" s="25" t="n"/>
      <c r="AC431" s="195" t="n"/>
      <c r="AD431" s="25" t="n"/>
      <c r="AE431" s="25" t="n"/>
      <c r="AG431" s="25" t="n"/>
      <c r="AH431" s="25" t="n"/>
      <c r="AI431" s="394" t="n"/>
      <c r="AM431" s="48" t="n"/>
      <c r="AN431" s="48" t="n"/>
      <c r="AO431" s="48" t="n"/>
    </row>
    <row r="432">
      <c r="M432" s="25" t="n"/>
      <c r="Q432" s="25" t="n"/>
      <c r="U432" s="194" t="n"/>
      <c r="AA432" s="25" t="n"/>
      <c r="AB432" s="25" t="n"/>
      <c r="AC432" s="195" t="n"/>
      <c r="AD432" s="25" t="n"/>
      <c r="AE432" s="25" t="n"/>
      <c r="AG432" s="25" t="n"/>
      <c r="AH432" s="25" t="n"/>
      <c r="AI432" s="394" t="n"/>
      <c r="AM432" s="48" t="n"/>
      <c r="AN432" s="48" t="n"/>
      <c r="AO432" s="48" t="n"/>
    </row>
    <row r="433">
      <c r="M433" s="25" t="n"/>
      <c r="Q433" s="25" t="n"/>
      <c r="U433" s="194" t="n"/>
      <c r="AA433" s="25" t="n"/>
      <c r="AB433" s="25" t="n"/>
      <c r="AC433" s="195" t="n"/>
      <c r="AD433" s="25" t="n"/>
      <c r="AE433" s="25" t="n"/>
      <c r="AG433" s="25" t="n"/>
      <c r="AH433" s="25" t="n"/>
      <c r="AI433" s="394" t="n"/>
      <c r="AM433" s="48" t="n"/>
      <c r="AN433" s="48" t="n"/>
      <c r="AO433" s="48" t="n"/>
    </row>
    <row r="434">
      <c r="M434" s="25" t="n"/>
      <c r="Q434" s="25" t="n"/>
      <c r="U434" s="194" t="n"/>
      <c r="AA434" s="25" t="n"/>
      <c r="AB434" s="25" t="n"/>
      <c r="AC434" s="195" t="n"/>
      <c r="AD434" s="25" t="n"/>
      <c r="AE434" s="25" t="n"/>
      <c r="AG434" s="25" t="n"/>
      <c r="AH434" s="25" t="n"/>
      <c r="AI434" s="394" t="n"/>
      <c r="AM434" s="48" t="n"/>
      <c r="AN434" s="48" t="n"/>
      <c r="AO434" s="48" t="n"/>
    </row>
    <row r="435">
      <c r="M435" s="25" t="n"/>
      <c r="Q435" s="25" t="n"/>
      <c r="U435" s="194" t="n"/>
      <c r="AA435" s="25" t="n"/>
      <c r="AB435" s="25" t="n"/>
      <c r="AC435" s="195" t="n"/>
      <c r="AD435" s="25" t="n"/>
      <c r="AE435" s="25" t="n"/>
      <c r="AG435" s="25" t="n"/>
      <c r="AH435" s="25" t="n"/>
      <c r="AI435" s="394" t="n"/>
      <c r="AM435" s="48" t="n"/>
      <c r="AN435" s="48" t="n"/>
      <c r="AO435" s="48" t="n"/>
    </row>
    <row r="436">
      <c r="M436" s="25" t="n"/>
      <c r="Q436" s="25" t="n"/>
      <c r="U436" s="194" t="n"/>
      <c r="AA436" s="25" t="n"/>
      <c r="AB436" s="25" t="n"/>
      <c r="AC436" s="195" t="n"/>
      <c r="AD436" s="25" t="n"/>
      <c r="AE436" s="25" t="n"/>
      <c r="AG436" s="25" t="n"/>
      <c r="AH436" s="25" t="n"/>
      <c r="AI436" s="394" t="n"/>
      <c r="AM436" s="48" t="n"/>
      <c r="AN436" s="48" t="n"/>
      <c r="AO436" s="48" t="n"/>
    </row>
    <row r="437">
      <c r="M437" s="25" t="n"/>
      <c r="Q437" s="25" t="n"/>
      <c r="U437" s="194" t="n"/>
      <c r="AA437" s="25" t="n"/>
      <c r="AB437" s="25" t="n"/>
      <c r="AC437" s="195" t="n"/>
      <c r="AD437" s="25" t="n"/>
      <c r="AE437" s="25" t="n"/>
      <c r="AG437" s="25" t="n"/>
      <c r="AH437" s="25" t="n"/>
      <c r="AI437" s="394" t="n"/>
      <c r="AM437" s="48" t="n"/>
      <c r="AN437" s="48" t="n"/>
      <c r="AO437" s="48" t="n"/>
    </row>
    <row r="438">
      <c r="M438" s="25" t="n"/>
      <c r="Q438" s="25" t="n"/>
      <c r="U438" s="194" t="n"/>
      <c r="AA438" s="25" t="n"/>
      <c r="AB438" s="25" t="n"/>
      <c r="AC438" s="195" t="n"/>
      <c r="AD438" s="25" t="n"/>
      <c r="AE438" s="25" t="n"/>
      <c r="AG438" s="25" t="n"/>
      <c r="AH438" s="25" t="n"/>
      <c r="AI438" s="394" t="n"/>
      <c r="AM438" s="48" t="n"/>
      <c r="AN438" s="48" t="n"/>
      <c r="AO438" s="48" t="n"/>
    </row>
    <row r="439">
      <c r="M439" s="25" t="n"/>
      <c r="Q439" s="25" t="n"/>
      <c r="U439" s="194" t="n"/>
      <c r="AA439" s="25" t="n"/>
      <c r="AB439" s="25" t="n"/>
      <c r="AC439" s="195" t="n"/>
      <c r="AD439" s="25" t="n"/>
      <c r="AE439" s="25" t="n"/>
      <c r="AG439" s="25" t="n"/>
      <c r="AH439" s="25" t="n"/>
      <c r="AI439" s="394" t="n"/>
      <c r="AM439" s="48" t="n"/>
      <c r="AN439" s="48" t="n"/>
      <c r="AO439" s="48" t="n"/>
    </row>
    <row r="440">
      <c r="M440" s="25" t="n"/>
      <c r="Q440" s="25" t="n"/>
      <c r="U440" s="194" t="n"/>
      <c r="AA440" s="25" t="n"/>
      <c r="AB440" s="25" t="n"/>
      <c r="AC440" s="195" t="n"/>
      <c r="AD440" s="25" t="n"/>
      <c r="AE440" s="25" t="n"/>
      <c r="AG440" s="25" t="n"/>
      <c r="AH440" s="25" t="n"/>
      <c r="AI440" s="394" t="n"/>
      <c r="AM440" s="48" t="n"/>
      <c r="AN440" s="48" t="n"/>
      <c r="AO440" s="48" t="n"/>
    </row>
    <row r="441">
      <c r="M441" s="25" t="n"/>
      <c r="Q441" s="25" t="n"/>
      <c r="U441" s="194" t="n"/>
      <c r="AA441" s="25" t="n"/>
      <c r="AB441" s="25" t="n"/>
      <c r="AC441" s="195" t="n"/>
      <c r="AD441" s="25" t="n"/>
      <c r="AE441" s="25" t="n"/>
      <c r="AG441" s="25" t="n"/>
      <c r="AH441" s="25" t="n"/>
      <c r="AI441" s="394" t="n"/>
      <c r="AM441" s="48" t="n"/>
      <c r="AN441" s="48" t="n"/>
      <c r="AO441" s="48" t="n"/>
    </row>
    <row r="442">
      <c r="M442" s="25" t="n"/>
      <c r="Q442" s="25" t="n"/>
      <c r="U442" s="194" t="n"/>
      <c r="AA442" s="25" t="n"/>
      <c r="AB442" s="25" t="n"/>
      <c r="AC442" s="195" t="n"/>
      <c r="AD442" s="25" t="n"/>
      <c r="AE442" s="25" t="n"/>
      <c r="AG442" s="25" t="n"/>
      <c r="AH442" s="25" t="n"/>
      <c r="AI442" s="394" t="n"/>
      <c r="AM442" s="48" t="n"/>
      <c r="AN442" s="48" t="n"/>
      <c r="AO442" s="48" t="n"/>
    </row>
    <row r="443">
      <c r="M443" s="25" t="n"/>
      <c r="Q443" s="25" t="n"/>
      <c r="U443" s="194" t="n"/>
      <c r="AA443" s="25" t="n"/>
      <c r="AB443" s="25" t="n"/>
      <c r="AC443" s="195" t="n"/>
      <c r="AD443" s="25" t="n"/>
      <c r="AE443" s="25" t="n"/>
      <c r="AG443" s="25" t="n"/>
      <c r="AH443" s="25" t="n"/>
      <c r="AI443" s="394" t="n"/>
      <c r="AM443" s="48" t="n"/>
      <c r="AN443" s="48" t="n"/>
      <c r="AO443" s="48" t="n"/>
    </row>
    <row r="444">
      <c r="M444" s="25" t="n"/>
      <c r="Q444" s="25" t="n"/>
      <c r="U444" s="194" t="n"/>
      <c r="AA444" s="25" t="n"/>
      <c r="AB444" s="25" t="n"/>
      <c r="AC444" s="195" t="n"/>
      <c r="AD444" s="25" t="n"/>
      <c r="AE444" s="25" t="n"/>
      <c r="AG444" s="25" t="n"/>
      <c r="AH444" s="25" t="n"/>
      <c r="AI444" s="394" t="n"/>
      <c r="AM444" s="48" t="n"/>
      <c r="AN444" s="48" t="n"/>
      <c r="AO444" s="48" t="n"/>
    </row>
    <row r="445">
      <c r="M445" s="25" t="n"/>
      <c r="Q445" s="25" t="n"/>
      <c r="U445" s="194" t="n"/>
      <c r="AA445" s="25" t="n"/>
      <c r="AB445" s="25" t="n"/>
      <c r="AC445" s="195" t="n"/>
      <c r="AD445" s="25" t="n"/>
      <c r="AE445" s="25" t="n"/>
      <c r="AG445" s="25" t="n"/>
      <c r="AH445" s="25" t="n"/>
      <c r="AI445" s="394" t="n"/>
      <c r="AM445" s="48" t="n"/>
      <c r="AN445" s="48" t="n"/>
      <c r="AO445" s="48" t="n"/>
    </row>
    <row r="446">
      <c r="M446" s="25" t="n"/>
      <c r="Q446" s="25" t="n"/>
      <c r="U446" s="194" t="n"/>
      <c r="AA446" s="25" t="n"/>
      <c r="AB446" s="25" t="n"/>
      <c r="AC446" s="195" t="n"/>
      <c r="AD446" s="25" t="n"/>
      <c r="AE446" s="25" t="n"/>
      <c r="AG446" s="25" t="n"/>
      <c r="AH446" s="25" t="n"/>
      <c r="AI446" s="394" t="n"/>
      <c r="AM446" s="48" t="n"/>
      <c r="AN446" s="48" t="n"/>
      <c r="AO446" s="48" t="n"/>
    </row>
    <row r="447">
      <c r="M447" s="25" t="n"/>
      <c r="Q447" s="25" t="n"/>
      <c r="U447" s="194" t="n"/>
      <c r="AA447" s="25" t="n"/>
      <c r="AB447" s="25" t="n"/>
      <c r="AC447" s="195" t="n"/>
      <c r="AD447" s="25" t="n"/>
      <c r="AE447" s="25" t="n"/>
      <c r="AG447" s="25" t="n"/>
      <c r="AH447" s="25" t="n"/>
      <c r="AI447" s="394" t="n"/>
      <c r="AM447" s="48" t="n"/>
      <c r="AN447" s="48" t="n"/>
      <c r="AO447" s="48" t="n"/>
    </row>
    <row r="448">
      <c r="M448" s="25" t="n"/>
      <c r="Q448" s="25" t="n"/>
      <c r="U448" s="194" t="n"/>
      <c r="AA448" s="25" t="n"/>
      <c r="AB448" s="25" t="n"/>
      <c r="AC448" s="195" t="n"/>
      <c r="AD448" s="25" t="n"/>
      <c r="AE448" s="25" t="n"/>
      <c r="AG448" s="25" t="n"/>
      <c r="AH448" s="25" t="n"/>
      <c r="AI448" s="394" t="n"/>
      <c r="AM448" s="48" t="n"/>
      <c r="AN448" s="48" t="n"/>
      <c r="AO448" s="48" t="n"/>
    </row>
    <row r="449">
      <c r="M449" s="25" t="n"/>
      <c r="Q449" s="25" t="n"/>
      <c r="U449" s="194" t="n"/>
      <c r="AA449" s="25" t="n"/>
      <c r="AB449" s="25" t="n"/>
      <c r="AC449" s="195" t="n"/>
      <c r="AD449" s="25" t="n"/>
      <c r="AE449" s="25" t="n"/>
      <c r="AG449" s="25" t="n"/>
      <c r="AH449" s="25" t="n"/>
      <c r="AI449" s="394" t="n"/>
      <c r="AM449" s="48" t="n"/>
      <c r="AN449" s="48" t="n"/>
      <c r="AO449" s="48" t="n"/>
    </row>
    <row r="450">
      <c r="M450" s="25" t="n"/>
      <c r="Q450" s="25" t="n"/>
      <c r="U450" s="194" t="n"/>
      <c r="AA450" s="25" t="n"/>
      <c r="AB450" s="25" t="n"/>
      <c r="AC450" s="195" t="n"/>
      <c r="AD450" s="25" t="n"/>
      <c r="AE450" s="25" t="n"/>
      <c r="AG450" s="25" t="n"/>
      <c r="AH450" s="25" t="n"/>
      <c r="AI450" s="394" t="n"/>
      <c r="AM450" s="48" t="n"/>
      <c r="AN450" s="48" t="n"/>
      <c r="AO450" s="48" t="n"/>
    </row>
    <row r="451">
      <c r="M451" s="25" t="n"/>
      <c r="Q451" s="25" t="n"/>
      <c r="U451" s="194" t="n"/>
      <c r="AA451" s="25" t="n"/>
      <c r="AB451" s="25" t="n"/>
      <c r="AC451" s="195" t="n"/>
      <c r="AD451" s="25" t="n"/>
      <c r="AE451" s="25" t="n"/>
      <c r="AG451" s="25" t="n"/>
      <c r="AH451" s="25" t="n"/>
      <c r="AI451" s="394" t="n"/>
      <c r="AM451" s="48" t="n"/>
      <c r="AN451" s="48" t="n"/>
      <c r="AO451" s="48" t="n"/>
    </row>
    <row r="452">
      <c r="M452" s="25" t="n"/>
      <c r="Q452" s="25" t="n"/>
      <c r="U452" s="194" t="n"/>
      <c r="AA452" s="25" t="n"/>
      <c r="AB452" s="25" t="n"/>
      <c r="AC452" s="195" t="n"/>
      <c r="AD452" s="25" t="n"/>
      <c r="AE452" s="25" t="n"/>
      <c r="AG452" s="25" t="n"/>
      <c r="AH452" s="25" t="n"/>
      <c r="AI452" s="394" t="n"/>
      <c r="AM452" s="48" t="n"/>
      <c r="AN452" s="48" t="n"/>
      <c r="AO452" s="48" t="n"/>
    </row>
    <row r="453">
      <c r="M453" s="25" t="n"/>
      <c r="Q453" s="25" t="n"/>
      <c r="U453" s="194" t="n"/>
      <c r="AA453" s="25" t="n"/>
      <c r="AB453" s="25" t="n"/>
      <c r="AC453" s="195" t="n"/>
      <c r="AD453" s="25" t="n"/>
      <c r="AE453" s="25" t="n"/>
      <c r="AG453" s="25" t="n"/>
      <c r="AH453" s="25" t="n"/>
      <c r="AI453" s="394" t="n"/>
      <c r="AM453" s="48" t="n"/>
      <c r="AN453" s="48" t="n"/>
      <c r="AO453" s="48" t="n"/>
    </row>
    <row r="454">
      <c r="M454" s="25" t="n"/>
      <c r="Q454" s="25" t="n"/>
      <c r="U454" s="194" t="n"/>
      <c r="AA454" s="25" t="n"/>
      <c r="AB454" s="25" t="n"/>
      <c r="AC454" s="195" t="n"/>
      <c r="AD454" s="25" t="n"/>
      <c r="AE454" s="25" t="n"/>
      <c r="AG454" s="25" t="n"/>
      <c r="AH454" s="25" t="n"/>
      <c r="AI454" s="394" t="n"/>
      <c r="AM454" s="48" t="n"/>
      <c r="AN454" s="48" t="n"/>
      <c r="AO454" s="48" t="n"/>
    </row>
    <row r="455">
      <c r="M455" s="25" t="n"/>
      <c r="Q455" s="25" t="n"/>
      <c r="U455" s="194" t="n"/>
      <c r="AA455" s="25" t="n"/>
      <c r="AB455" s="25" t="n"/>
      <c r="AC455" s="195" t="n"/>
      <c r="AD455" s="25" t="n"/>
      <c r="AE455" s="25" t="n"/>
      <c r="AG455" s="25" t="n"/>
      <c r="AH455" s="25" t="n"/>
      <c r="AI455" s="394" t="n"/>
      <c r="AM455" s="48" t="n"/>
      <c r="AN455" s="48" t="n"/>
      <c r="AO455" s="48" t="n"/>
    </row>
    <row r="456">
      <c r="M456" s="25" t="n"/>
      <c r="Q456" s="25" t="n"/>
      <c r="U456" s="194" t="n"/>
      <c r="AA456" s="25" t="n"/>
      <c r="AB456" s="25" t="n"/>
      <c r="AC456" s="195" t="n"/>
      <c r="AD456" s="25" t="n"/>
      <c r="AE456" s="25" t="n"/>
      <c r="AG456" s="25" t="n"/>
      <c r="AH456" s="25" t="n"/>
      <c r="AI456" s="394" t="n"/>
      <c r="AM456" s="48" t="n"/>
      <c r="AN456" s="48" t="n"/>
      <c r="AO456" s="48" t="n"/>
    </row>
    <row r="457">
      <c r="M457" s="25" t="n"/>
      <c r="Q457" s="25" t="n"/>
      <c r="U457" s="194" t="n"/>
      <c r="AA457" s="25" t="n"/>
      <c r="AB457" s="25" t="n"/>
      <c r="AC457" s="195" t="n"/>
      <c r="AD457" s="25" t="n"/>
      <c r="AE457" s="25" t="n"/>
      <c r="AG457" s="25" t="n"/>
      <c r="AH457" s="25" t="n"/>
      <c r="AI457" s="394" t="n"/>
      <c r="AM457" s="48" t="n"/>
      <c r="AN457" s="48" t="n"/>
      <c r="AO457" s="48" t="n"/>
    </row>
    <row r="458">
      <c r="M458" s="25" t="n"/>
      <c r="Q458" s="25" t="n"/>
      <c r="U458" s="194" t="n"/>
      <c r="AA458" s="25" t="n"/>
      <c r="AB458" s="25" t="n"/>
      <c r="AC458" s="195" t="n"/>
      <c r="AD458" s="25" t="n"/>
      <c r="AE458" s="25" t="n"/>
      <c r="AG458" s="25" t="n"/>
      <c r="AH458" s="25" t="n"/>
      <c r="AI458" s="394" t="n"/>
      <c r="AM458" s="48" t="n"/>
      <c r="AN458" s="48" t="n"/>
      <c r="AO458" s="48" t="n"/>
    </row>
    <row r="459">
      <c r="M459" s="25" t="n"/>
      <c r="Q459" s="25" t="n"/>
      <c r="U459" s="194" t="n"/>
      <c r="AA459" s="25" t="n"/>
      <c r="AB459" s="25" t="n"/>
      <c r="AC459" s="195" t="n"/>
      <c r="AD459" s="25" t="n"/>
      <c r="AE459" s="25" t="n"/>
      <c r="AG459" s="25" t="n"/>
      <c r="AH459" s="25" t="n"/>
      <c r="AI459" s="394" t="n"/>
      <c r="AM459" s="48" t="n"/>
      <c r="AN459" s="48" t="n"/>
      <c r="AO459" s="48" t="n"/>
    </row>
    <row r="460">
      <c r="M460" s="25" t="n"/>
      <c r="Q460" s="25" t="n"/>
      <c r="U460" s="194" t="n"/>
      <c r="AA460" s="25" t="n"/>
      <c r="AB460" s="25" t="n"/>
      <c r="AC460" s="195" t="n"/>
      <c r="AD460" s="25" t="n"/>
      <c r="AE460" s="25" t="n"/>
      <c r="AG460" s="25" t="n"/>
      <c r="AH460" s="25" t="n"/>
      <c r="AI460" s="394" t="n"/>
      <c r="AM460" s="48" t="n"/>
      <c r="AN460" s="48" t="n"/>
      <c r="AO460" s="48" t="n"/>
    </row>
    <row r="461">
      <c r="M461" s="25" t="n"/>
      <c r="Q461" s="25" t="n"/>
      <c r="U461" s="194" t="n"/>
      <c r="AA461" s="25" t="n"/>
      <c r="AB461" s="25" t="n"/>
      <c r="AC461" s="195" t="n"/>
      <c r="AD461" s="25" t="n"/>
      <c r="AE461" s="25" t="n"/>
      <c r="AG461" s="25" t="n"/>
      <c r="AH461" s="25" t="n"/>
      <c r="AI461" s="394" t="n"/>
      <c r="AM461" s="48" t="n"/>
      <c r="AN461" s="48" t="n"/>
      <c r="AO461" s="48" t="n"/>
    </row>
    <row r="462">
      <c r="M462" s="25" t="n"/>
      <c r="Q462" s="25" t="n"/>
      <c r="U462" s="194" t="n"/>
      <c r="AA462" s="25" t="n"/>
      <c r="AB462" s="25" t="n"/>
      <c r="AC462" s="195" t="n"/>
      <c r="AD462" s="25" t="n"/>
      <c r="AE462" s="25" t="n"/>
      <c r="AG462" s="25" t="n"/>
      <c r="AH462" s="25" t="n"/>
      <c r="AI462" s="394" t="n"/>
      <c r="AM462" s="48" t="n"/>
      <c r="AN462" s="48" t="n"/>
      <c r="AO462" s="48" t="n"/>
    </row>
    <row r="463">
      <c r="M463" s="25" t="n"/>
      <c r="Q463" s="25" t="n"/>
      <c r="U463" s="194" t="n"/>
      <c r="AA463" s="25" t="n"/>
      <c r="AB463" s="25" t="n"/>
      <c r="AC463" s="195" t="n"/>
      <c r="AD463" s="25" t="n"/>
      <c r="AE463" s="25" t="n"/>
      <c r="AG463" s="25" t="n"/>
      <c r="AH463" s="25" t="n"/>
      <c r="AI463" s="394" t="n"/>
      <c r="AM463" s="48" t="n"/>
      <c r="AN463" s="48" t="n"/>
      <c r="AO463" s="48" t="n"/>
    </row>
    <row r="464">
      <c r="M464" s="25" t="n"/>
      <c r="Q464" s="25" t="n"/>
      <c r="U464" s="194" t="n"/>
      <c r="AA464" s="25" t="n"/>
      <c r="AB464" s="25" t="n"/>
      <c r="AC464" s="195" t="n"/>
      <c r="AD464" s="25" t="n"/>
      <c r="AE464" s="25" t="n"/>
      <c r="AG464" s="25" t="n"/>
      <c r="AH464" s="25" t="n"/>
      <c r="AI464" s="394" t="n"/>
      <c r="AM464" s="48" t="n"/>
      <c r="AN464" s="48" t="n"/>
      <c r="AO464" s="48" t="n"/>
    </row>
    <row r="465">
      <c r="M465" s="25" t="n"/>
      <c r="Q465" s="25" t="n"/>
      <c r="U465" s="194" t="n"/>
      <c r="AA465" s="25" t="n"/>
      <c r="AB465" s="25" t="n"/>
      <c r="AC465" s="195" t="n"/>
      <c r="AD465" s="25" t="n"/>
      <c r="AE465" s="25" t="n"/>
      <c r="AG465" s="25" t="n"/>
      <c r="AH465" s="25" t="n"/>
      <c r="AI465" s="394" t="n"/>
      <c r="AM465" s="48" t="n"/>
      <c r="AN465" s="48" t="n"/>
      <c r="AO465" s="48" t="n"/>
    </row>
    <row r="466">
      <c r="M466" s="25" t="n"/>
      <c r="Q466" s="25" t="n"/>
      <c r="U466" s="194" t="n"/>
      <c r="AA466" s="25" t="n"/>
      <c r="AB466" s="25" t="n"/>
      <c r="AC466" s="195" t="n"/>
      <c r="AD466" s="25" t="n"/>
      <c r="AE466" s="25" t="n"/>
      <c r="AG466" s="25" t="n"/>
      <c r="AH466" s="25" t="n"/>
      <c r="AI466" s="394" t="n"/>
      <c r="AM466" s="48" t="n"/>
      <c r="AN466" s="48" t="n"/>
      <c r="AO466" s="48" t="n"/>
    </row>
    <row r="467">
      <c r="M467" s="25" t="n"/>
      <c r="Q467" s="25" t="n"/>
      <c r="U467" s="194" t="n"/>
      <c r="AA467" s="25" t="n"/>
      <c r="AB467" s="25" t="n"/>
      <c r="AC467" s="195" t="n"/>
      <c r="AD467" s="25" t="n"/>
      <c r="AE467" s="25" t="n"/>
      <c r="AG467" s="25" t="n"/>
      <c r="AH467" s="25" t="n"/>
      <c r="AI467" s="394" t="n"/>
      <c r="AM467" s="48" t="n"/>
      <c r="AN467" s="48" t="n"/>
      <c r="AO467" s="48" t="n"/>
    </row>
    <row r="468">
      <c r="M468" s="25" t="n"/>
      <c r="Q468" s="25" t="n"/>
      <c r="U468" s="194" t="n"/>
      <c r="AA468" s="25" t="n"/>
      <c r="AB468" s="25" t="n"/>
      <c r="AC468" s="195" t="n"/>
      <c r="AD468" s="25" t="n"/>
      <c r="AE468" s="25" t="n"/>
      <c r="AG468" s="25" t="n"/>
      <c r="AH468" s="25" t="n"/>
      <c r="AI468" s="394" t="n"/>
      <c r="AM468" s="48" t="n"/>
      <c r="AN468" s="48" t="n"/>
      <c r="AO468" s="48" t="n"/>
    </row>
    <row r="469">
      <c r="M469" s="25" t="n"/>
      <c r="Q469" s="25" t="n"/>
      <c r="U469" s="194" t="n"/>
      <c r="AA469" s="25" t="n"/>
      <c r="AB469" s="25" t="n"/>
      <c r="AC469" s="195" t="n"/>
      <c r="AD469" s="25" t="n"/>
      <c r="AE469" s="25" t="n"/>
      <c r="AG469" s="25" t="n"/>
      <c r="AH469" s="25" t="n"/>
      <c r="AI469" s="394" t="n"/>
      <c r="AM469" s="48" t="n"/>
      <c r="AN469" s="48" t="n"/>
      <c r="AO469" s="48" t="n"/>
    </row>
    <row r="470">
      <c r="M470" s="25" t="n"/>
      <c r="Q470" s="25" t="n"/>
      <c r="U470" s="194" t="n"/>
      <c r="AA470" s="25" t="n"/>
      <c r="AB470" s="25" t="n"/>
      <c r="AC470" s="195" t="n"/>
      <c r="AD470" s="25" t="n"/>
      <c r="AE470" s="25" t="n"/>
      <c r="AG470" s="25" t="n"/>
      <c r="AH470" s="25" t="n"/>
      <c r="AI470" s="394" t="n"/>
      <c r="AM470" s="48" t="n"/>
      <c r="AN470" s="48" t="n"/>
      <c r="AO470" s="48" t="n"/>
    </row>
    <row r="471">
      <c r="M471" s="25" t="n"/>
      <c r="Q471" s="25" t="n"/>
      <c r="U471" s="194" t="n"/>
      <c r="AA471" s="25" t="n"/>
      <c r="AB471" s="25" t="n"/>
      <c r="AC471" s="195" t="n"/>
      <c r="AD471" s="25" t="n"/>
      <c r="AE471" s="25" t="n"/>
      <c r="AG471" s="25" t="n"/>
      <c r="AH471" s="25" t="n"/>
      <c r="AI471" s="394" t="n"/>
      <c r="AM471" s="48" t="n"/>
      <c r="AN471" s="48" t="n"/>
      <c r="AO471" s="48" t="n"/>
    </row>
    <row r="472">
      <c r="M472" s="25" t="n"/>
      <c r="Q472" s="25" t="n"/>
      <c r="U472" s="194" t="n"/>
      <c r="AA472" s="25" t="n"/>
      <c r="AB472" s="25" t="n"/>
      <c r="AC472" s="195" t="n"/>
      <c r="AD472" s="25" t="n"/>
      <c r="AE472" s="25" t="n"/>
      <c r="AG472" s="25" t="n"/>
      <c r="AH472" s="25" t="n"/>
      <c r="AI472" s="394" t="n"/>
      <c r="AM472" s="48" t="n"/>
      <c r="AN472" s="48" t="n"/>
      <c r="AO472" s="48" t="n"/>
    </row>
    <row r="473">
      <c r="M473" s="25" t="n"/>
      <c r="Q473" s="25" t="n"/>
      <c r="U473" s="194" t="n"/>
      <c r="AA473" s="25" t="n"/>
      <c r="AB473" s="25" t="n"/>
      <c r="AC473" s="195" t="n"/>
      <c r="AD473" s="25" t="n"/>
      <c r="AE473" s="25" t="n"/>
      <c r="AG473" s="25" t="n"/>
      <c r="AH473" s="25" t="n"/>
      <c r="AI473" s="394" t="n"/>
      <c r="AM473" s="48" t="n"/>
      <c r="AN473" s="48" t="n"/>
      <c r="AO473" s="48" t="n"/>
    </row>
    <row r="474">
      <c r="M474" s="25" t="n"/>
      <c r="Q474" s="25" t="n"/>
      <c r="U474" s="194" t="n"/>
      <c r="AA474" s="25" t="n"/>
      <c r="AB474" s="25" t="n"/>
      <c r="AC474" s="195" t="n"/>
      <c r="AD474" s="25" t="n"/>
      <c r="AE474" s="25" t="n"/>
      <c r="AG474" s="25" t="n"/>
      <c r="AH474" s="25" t="n"/>
      <c r="AI474" s="394" t="n"/>
      <c r="AM474" s="48" t="n"/>
      <c r="AN474" s="48" t="n"/>
      <c r="AO474" s="48" t="n"/>
    </row>
    <row r="475">
      <c r="M475" s="25" t="n"/>
      <c r="Q475" s="25" t="n"/>
      <c r="U475" s="194" t="n"/>
      <c r="AA475" s="25" t="n"/>
      <c r="AB475" s="25" t="n"/>
      <c r="AC475" s="195" t="n"/>
      <c r="AD475" s="25" t="n"/>
      <c r="AE475" s="25" t="n"/>
      <c r="AG475" s="25" t="n"/>
      <c r="AH475" s="25" t="n"/>
      <c r="AI475" s="394" t="n"/>
      <c r="AM475" s="48" t="n"/>
      <c r="AN475" s="48" t="n"/>
      <c r="AO475" s="48" t="n"/>
    </row>
    <row r="476">
      <c r="M476" s="25" t="n"/>
      <c r="Q476" s="25" t="n"/>
      <c r="U476" s="194" t="n"/>
      <c r="AA476" s="25" t="n"/>
      <c r="AB476" s="25" t="n"/>
      <c r="AC476" s="195" t="n"/>
      <c r="AD476" s="25" t="n"/>
      <c r="AE476" s="25" t="n"/>
      <c r="AG476" s="25" t="n"/>
      <c r="AH476" s="25" t="n"/>
      <c r="AI476" s="394" t="n"/>
      <c r="AM476" s="48" t="n"/>
      <c r="AN476" s="48" t="n"/>
      <c r="AO476" s="48" t="n"/>
    </row>
    <row r="477">
      <c r="M477" s="25" t="n"/>
      <c r="Q477" s="25" t="n"/>
      <c r="U477" s="194" t="n"/>
      <c r="AA477" s="25" t="n"/>
      <c r="AB477" s="25" t="n"/>
      <c r="AC477" s="195" t="n"/>
      <c r="AD477" s="25" t="n"/>
      <c r="AE477" s="25" t="n"/>
      <c r="AG477" s="25" t="n"/>
      <c r="AH477" s="25" t="n"/>
      <c r="AI477" s="394" t="n"/>
      <c r="AM477" s="48" t="n"/>
      <c r="AN477" s="48" t="n"/>
      <c r="AO477" s="48" t="n"/>
    </row>
    <row r="478">
      <c r="M478" s="25" t="n"/>
      <c r="Q478" s="25" t="n"/>
      <c r="U478" s="194" t="n"/>
      <c r="AA478" s="25" t="n"/>
      <c r="AB478" s="25" t="n"/>
      <c r="AC478" s="195" t="n"/>
      <c r="AD478" s="25" t="n"/>
      <c r="AE478" s="25" t="n"/>
      <c r="AG478" s="25" t="n"/>
      <c r="AH478" s="25" t="n"/>
      <c r="AI478" s="394" t="n"/>
      <c r="AM478" s="48" t="n"/>
      <c r="AN478" s="48" t="n"/>
      <c r="AO478" s="48" t="n"/>
    </row>
    <row r="479">
      <c r="M479" s="25" t="n"/>
      <c r="Q479" s="25" t="n"/>
      <c r="U479" s="194" t="n"/>
      <c r="AA479" s="25" t="n"/>
      <c r="AB479" s="25" t="n"/>
      <c r="AC479" s="195" t="n"/>
      <c r="AD479" s="25" t="n"/>
      <c r="AE479" s="25" t="n"/>
      <c r="AG479" s="25" t="n"/>
      <c r="AH479" s="25" t="n"/>
      <c r="AI479" s="394" t="n"/>
      <c r="AM479" s="48" t="n"/>
      <c r="AN479" s="48" t="n"/>
      <c r="AO479" s="48" t="n"/>
    </row>
    <row r="480">
      <c r="M480" s="25" t="n"/>
      <c r="Q480" s="25" t="n"/>
      <c r="U480" s="194" t="n"/>
      <c r="AA480" s="25" t="n"/>
      <c r="AB480" s="25" t="n"/>
      <c r="AC480" s="195" t="n"/>
      <c r="AD480" s="25" t="n"/>
      <c r="AE480" s="25" t="n"/>
      <c r="AG480" s="25" t="n"/>
      <c r="AH480" s="25" t="n"/>
      <c r="AI480" s="394" t="n"/>
      <c r="AM480" s="48" t="n"/>
      <c r="AN480" s="48" t="n"/>
      <c r="AO480" s="48" t="n"/>
    </row>
    <row r="481">
      <c r="M481" s="25" t="n"/>
      <c r="Q481" s="25" t="n"/>
      <c r="U481" s="194" t="n"/>
      <c r="AA481" s="25" t="n"/>
      <c r="AB481" s="25" t="n"/>
      <c r="AC481" s="195" t="n"/>
      <c r="AD481" s="25" t="n"/>
      <c r="AE481" s="25" t="n"/>
      <c r="AG481" s="25" t="n"/>
      <c r="AH481" s="25" t="n"/>
      <c r="AI481" s="394" t="n"/>
      <c r="AM481" s="48" t="n"/>
      <c r="AN481" s="48" t="n"/>
      <c r="AO481" s="48" t="n"/>
    </row>
    <row r="482">
      <c r="M482" s="25" t="n"/>
      <c r="Q482" s="25" t="n"/>
      <c r="U482" s="194" t="n"/>
      <c r="AA482" s="25" t="n"/>
      <c r="AB482" s="25" t="n"/>
      <c r="AC482" s="195" t="n"/>
      <c r="AD482" s="25" t="n"/>
      <c r="AE482" s="25" t="n"/>
      <c r="AG482" s="25" t="n"/>
      <c r="AH482" s="25" t="n"/>
      <c r="AI482" s="394" t="n"/>
      <c r="AM482" s="48" t="n"/>
      <c r="AN482" s="48" t="n"/>
      <c r="AO482" s="48" t="n"/>
    </row>
    <row r="483">
      <c r="M483" s="25" t="n"/>
      <c r="Q483" s="25" t="n"/>
      <c r="U483" s="194" t="n"/>
      <c r="AA483" s="25" t="n"/>
      <c r="AB483" s="25" t="n"/>
      <c r="AC483" s="195" t="n"/>
      <c r="AD483" s="25" t="n"/>
      <c r="AE483" s="25" t="n"/>
      <c r="AG483" s="25" t="n"/>
      <c r="AH483" s="25" t="n"/>
      <c r="AI483" s="394" t="n"/>
      <c r="AM483" s="48" t="n"/>
      <c r="AN483" s="48" t="n"/>
      <c r="AO483" s="48" t="n"/>
    </row>
    <row r="484">
      <c r="M484" s="25" t="n"/>
      <c r="Q484" s="25" t="n"/>
      <c r="U484" s="194" t="n"/>
      <c r="AA484" s="25" t="n"/>
      <c r="AB484" s="25" t="n"/>
      <c r="AC484" s="195" t="n"/>
      <c r="AD484" s="25" t="n"/>
      <c r="AE484" s="25" t="n"/>
      <c r="AG484" s="25" t="n"/>
      <c r="AH484" s="25" t="n"/>
      <c r="AI484" s="394" t="n"/>
      <c r="AM484" s="48" t="n"/>
      <c r="AN484" s="48" t="n"/>
      <c r="AO484" s="48" t="n"/>
    </row>
    <row r="485">
      <c r="M485" s="25" t="n"/>
      <c r="Q485" s="25" t="n"/>
      <c r="U485" s="194" t="n"/>
      <c r="AA485" s="25" t="n"/>
      <c r="AB485" s="25" t="n"/>
      <c r="AC485" s="195" t="n"/>
      <c r="AD485" s="25" t="n"/>
      <c r="AE485" s="25" t="n"/>
      <c r="AG485" s="25" t="n"/>
      <c r="AH485" s="25" t="n"/>
      <c r="AI485" s="394" t="n"/>
      <c r="AM485" s="48" t="n"/>
      <c r="AN485" s="48" t="n"/>
      <c r="AO485" s="48" t="n"/>
    </row>
    <row r="486">
      <c r="M486" s="25" t="n"/>
      <c r="Q486" s="25" t="n"/>
      <c r="U486" s="194" t="n"/>
      <c r="AA486" s="25" t="n"/>
      <c r="AB486" s="25" t="n"/>
      <c r="AC486" s="195" t="n"/>
      <c r="AD486" s="25" t="n"/>
      <c r="AE486" s="25" t="n"/>
      <c r="AG486" s="25" t="n"/>
      <c r="AH486" s="25" t="n"/>
      <c r="AI486" s="394" t="n"/>
      <c r="AM486" s="48" t="n"/>
      <c r="AN486" s="48" t="n"/>
      <c r="AO486" s="48" t="n"/>
    </row>
    <row r="487">
      <c r="M487" s="25" t="n"/>
      <c r="Q487" s="25" t="n"/>
      <c r="U487" s="194" t="n"/>
      <c r="AA487" s="25" t="n"/>
      <c r="AB487" s="25" t="n"/>
      <c r="AC487" s="195" t="n"/>
      <c r="AD487" s="25" t="n"/>
      <c r="AE487" s="25" t="n"/>
      <c r="AG487" s="25" t="n"/>
      <c r="AH487" s="25" t="n"/>
      <c r="AI487" s="394" t="n"/>
      <c r="AM487" s="48" t="n"/>
      <c r="AN487" s="48" t="n"/>
      <c r="AO487" s="48" t="n"/>
    </row>
    <row r="488">
      <c r="M488" s="25" t="n"/>
      <c r="Q488" s="25" t="n"/>
      <c r="U488" s="194" t="n"/>
      <c r="AA488" s="25" t="n"/>
      <c r="AB488" s="25" t="n"/>
      <c r="AC488" s="195" t="n"/>
      <c r="AD488" s="25" t="n"/>
      <c r="AE488" s="25" t="n"/>
      <c r="AG488" s="25" t="n"/>
      <c r="AH488" s="25" t="n"/>
      <c r="AI488" s="394" t="n"/>
      <c r="AM488" s="48" t="n"/>
      <c r="AN488" s="48" t="n"/>
      <c r="AO488" s="48" t="n"/>
    </row>
    <row r="489">
      <c r="M489" s="25" t="n"/>
      <c r="Q489" s="25" t="n"/>
      <c r="U489" s="194" t="n"/>
      <c r="AA489" s="25" t="n"/>
      <c r="AB489" s="25" t="n"/>
      <c r="AC489" s="195" t="n"/>
      <c r="AD489" s="25" t="n"/>
      <c r="AE489" s="25" t="n"/>
      <c r="AG489" s="25" t="n"/>
      <c r="AH489" s="25" t="n"/>
      <c r="AI489" s="394" t="n"/>
      <c r="AM489" s="48" t="n"/>
      <c r="AN489" s="48" t="n"/>
      <c r="AO489" s="48" t="n"/>
    </row>
    <row r="490">
      <c r="M490" s="25" t="n"/>
      <c r="Q490" s="25" t="n"/>
      <c r="U490" s="194" t="n"/>
      <c r="AA490" s="25" t="n"/>
      <c r="AB490" s="25" t="n"/>
      <c r="AC490" s="195" t="n"/>
      <c r="AD490" s="25" t="n"/>
      <c r="AE490" s="25" t="n"/>
      <c r="AG490" s="25" t="n"/>
      <c r="AH490" s="25" t="n"/>
      <c r="AI490" s="394" t="n"/>
      <c r="AM490" s="48" t="n"/>
      <c r="AN490" s="48" t="n"/>
      <c r="AO490" s="48" t="n"/>
    </row>
    <row r="491">
      <c r="M491" s="25" t="n"/>
      <c r="Q491" s="25" t="n"/>
      <c r="U491" s="194" t="n"/>
      <c r="AA491" s="25" t="n"/>
      <c r="AB491" s="25" t="n"/>
      <c r="AC491" s="195" t="n"/>
      <c r="AD491" s="25" t="n"/>
      <c r="AE491" s="25" t="n"/>
      <c r="AG491" s="25" t="n"/>
      <c r="AH491" s="25" t="n"/>
      <c r="AI491" s="394" t="n"/>
      <c r="AM491" s="48" t="n"/>
      <c r="AN491" s="48" t="n"/>
      <c r="AO491" s="48" t="n"/>
    </row>
    <row r="492">
      <c r="M492" s="25" t="n"/>
      <c r="Q492" s="25" t="n"/>
      <c r="U492" s="194" t="n"/>
      <c r="AA492" s="25" t="n"/>
      <c r="AB492" s="25" t="n"/>
      <c r="AC492" s="195" t="n"/>
      <c r="AD492" s="25" t="n"/>
      <c r="AE492" s="25" t="n"/>
      <c r="AG492" s="25" t="n"/>
      <c r="AH492" s="25" t="n"/>
      <c r="AI492" s="394" t="n"/>
      <c r="AM492" s="48" t="n"/>
      <c r="AN492" s="48" t="n"/>
      <c r="AO492" s="48" t="n"/>
    </row>
    <row r="493">
      <c r="M493" s="25" t="n"/>
      <c r="Q493" s="25" t="n"/>
      <c r="U493" s="194" t="n"/>
      <c r="AA493" s="25" t="n"/>
      <c r="AB493" s="25" t="n"/>
      <c r="AC493" s="195" t="n"/>
      <c r="AD493" s="25" t="n"/>
      <c r="AE493" s="25" t="n"/>
      <c r="AG493" s="25" t="n"/>
      <c r="AH493" s="25" t="n"/>
      <c r="AI493" s="394" t="n"/>
      <c r="AM493" s="48" t="n"/>
      <c r="AN493" s="48" t="n"/>
      <c r="AO493" s="48" t="n"/>
    </row>
    <row r="494">
      <c r="M494" s="25" t="n"/>
      <c r="Q494" s="25" t="n"/>
      <c r="U494" s="194" t="n"/>
      <c r="AA494" s="25" t="n"/>
      <c r="AB494" s="25" t="n"/>
      <c r="AC494" s="195" t="n"/>
      <c r="AD494" s="25" t="n"/>
      <c r="AE494" s="25" t="n"/>
      <c r="AG494" s="25" t="n"/>
      <c r="AH494" s="25" t="n"/>
      <c r="AI494" s="394" t="n"/>
      <c r="AM494" s="48" t="n"/>
      <c r="AN494" s="48" t="n"/>
      <c r="AO494" s="48" t="n"/>
    </row>
    <row r="495">
      <c r="M495" s="25" t="n"/>
      <c r="Q495" s="25" t="n"/>
      <c r="U495" s="194" t="n"/>
      <c r="AA495" s="25" t="n"/>
      <c r="AB495" s="25" t="n"/>
      <c r="AC495" s="195" t="n"/>
      <c r="AD495" s="25" t="n"/>
      <c r="AE495" s="25" t="n"/>
      <c r="AG495" s="25" t="n"/>
      <c r="AH495" s="25" t="n"/>
      <c r="AI495" s="394" t="n"/>
      <c r="AM495" s="48" t="n"/>
      <c r="AN495" s="48" t="n"/>
      <c r="AO495" s="48" t="n"/>
    </row>
    <row r="496">
      <c r="M496" s="25" t="n"/>
      <c r="Q496" s="25" t="n"/>
      <c r="U496" s="194" t="n"/>
      <c r="AA496" s="25" t="n"/>
      <c r="AB496" s="25" t="n"/>
      <c r="AC496" s="195" t="n"/>
      <c r="AD496" s="25" t="n"/>
      <c r="AE496" s="25" t="n"/>
      <c r="AG496" s="25" t="n"/>
      <c r="AH496" s="25" t="n"/>
      <c r="AI496" s="394" t="n"/>
      <c r="AM496" s="48" t="n"/>
      <c r="AN496" s="48" t="n"/>
      <c r="AO496" s="48" t="n"/>
    </row>
    <row r="497">
      <c r="M497" s="25" t="n"/>
      <c r="Q497" s="25" t="n"/>
      <c r="U497" s="194" t="n"/>
      <c r="AA497" s="25" t="n"/>
      <c r="AB497" s="25" t="n"/>
      <c r="AC497" s="195" t="n"/>
      <c r="AD497" s="25" t="n"/>
      <c r="AE497" s="25" t="n"/>
      <c r="AG497" s="25" t="n"/>
      <c r="AH497" s="25" t="n"/>
      <c r="AI497" s="394" t="n"/>
      <c r="AM497" s="48" t="n"/>
      <c r="AN497" s="48" t="n"/>
      <c r="AO497" s="48" t="n"/>
    </row>
    <row r="498">
      <c r="M498" s="25" t="n"/>
      <c r="Q498" s="25" t="n"/>
      <c r="U498" s="194" t="n"/>
      <c r="AA498" s="25" t="n"/>
      <c r="AB498" s="25" t="n"/>
      <c r="AC498" s="195" t="n"/>
      <c r="AD498" s="25" t="n"/>
      <c r="AE498" s="25" t="n"/>
      <c r="AG498" s="25" t="n"/>
      <c r="AH498" s="25" t="n"/>
      <c r="AI498" s="394" t="n"/>
      <c r="AM498" s="48" t="n"/>
      <c r="AN498" s="48" t="n"/>
      <c r="AO498" s="48" t="n"/>
    </row>
    <row r="499">
      <c r="M499" s="25" t="n"/>
      <c r="Q499" s="25" t="n"/>
      <c r="U499" s="194" t="n"/>
      <c r="AA499" s="25" t="n"/>
      <c r="AB499" s="25" t="n"/>
      <c r="AC499" s="195" t="n"/>
      <c r="AD499" s="25" t="n"/>
      <c r="AE499" s="25" t="n"/>
      <c r="AG499" s="25" t="n"/>
      <c r="AH499" s="25" t="n"/>
      <c r="AI499" s="394" t="n"/>
      <c r="AM499" s="48" t="n"/>
      <c r="AN499" s="48" t="n"/>
      <c r="AO499" s="48" t="n"/>
    </row>
    <row r="500">
      <c r="M500" s="25" t="n"/>
      <c r="Q500" s="25" t="n"/>
      <c r="U500" s="194" t="n"/>
      <c r="AA500" s="25" t="n"/>
      <c r="AB500" s="25" t="n"/>
      <c r="AC500" s="195" t="n"/>
      <c r="AD500" s="25" t="n"/>
      <c r="AE500" s="25" t="n"/>
      <c r="AG500" s="25" t="n"/>
      <c r="AH500" s="25" t="n"/>
      <c r="AI500" s="394" t="n"/>
      <c r="AM500" s="48" t="n"/>
      <c r="AN500" s="48" t="n"/>
      <c r="AO500" s="48" t="n"/>
    </row>
    <row r="501">
      <c r="M501" s="25" t="n"/>
      <c r="Q501" s="25" t="n"/>
      <c r="U501" s="194" t="n"/>
      <c r="AA501" s="25" t="n"/>
      <c r="AB501" s="25" t="n"/>
      <c r="AC501" s="195" t="n"/>
      <c r="AD501" s="25" t="n"/>
      <c r="AE501" s="25" t="n"/>
      <c r="AG501" s="25" t="n"/>
      <c r="AH501" s="25" t="n"/>
      <c r="AI501" s="394" t="n"/>
      <c r="AM501" s="48" t="n"/>
      <c r="AN501" s="48" t="n"/>
      <c r="AO501" s="48" t="n"/>
    </row>
    <row r="502">
      <c r="M502" s="25" t="n"/>
      <c r="Q502" s="25" t="n"/>
      <c r="U502" s="194" t="n"/>
      <c r="AA502" s="25" t="n"/>
      <c r="AB502" s="25" t="n"/>
      <c r="AC502" s="195" t="n"/>
      <c r="AD502" s="25" t="n"/>
      <c r="AE502" s="25" t="n"/>
      <c r="AG502" s="25" t="n"/>
      <c r="AH502" s="25" t="n"/>
      <c r="AI502" s="394" t="n"/>
      <c r="AM502" s="48" t="n"/>
      <c r="AN502" s="48" t="n"/>
      <c r="AO502" s="48" t="n"/>
    </row>
    <row r="503">
      <c r="M503" s="25" t="n"/>
      <c r="Q503" s="25" t="n"/>
      <c r="U503" s="194" t="n"/>
      <c r="AA503" s="25" t="n"/>
      <c r="AB503" s="25" t="n"/>
      <c r="AC503" s="195" t="n"/>
      <c r="AD503" s="25" t="n"/>
      <c r="AE503" s="25" t="n"/>
      <c r="AG503" s="25" t="n"/>
      <c r="AH503" s="25" t="n"/>
      <c r="AI503" s="394" t="n"/>
      <c r="AM503" s="48" t="n"/>
      <c r="AN503" s="48" t="n"/>
      <c r="AO503" s="48" t="n"/>
    </row>
    <row r="504">
      <c r="M504" s="25" t="n"/>
      <c r="Q504" s="25" t="n"/>
      <c r="U504" s="194" t="n"/>
      <c r="AA504" s="25" t="n"/>
      <c r="AB504" s="25" t="n"/>
      <c r="AC504" s="195" t="n"/>
      <c r="AD504" s="25" t="n"/>
      <c r="AE504" s="25" t="n"/>
      <c r="AG504" s="25" t="n"/>
      <c r="AH504" s="25" t="n"/>
      <c r="AI504" s="394" t="n"/>
      <c r="AM504" s="48" t="n"/>
      <c r="AN504" s="48" t="n"/>
      <c r="AO504" s="48" t="n"/>
    </row>
    <row r="505">
      <c r="M505" s="25" t="n"/>
      <c r="Q505" s="25" t="n"/>
      <c r="U505" s="194" t="n"/>
      <c r="AA505" s="25" t="n"/>
      <c r="AB505" s="25" t="n"/>
      <c r="AC505" s="195" t="n"/>
      <c r="AD505" s="25" t="n"/>
      <c r="AE505" s="25" t="n"/>
      <c r="AG505" s="25" t="n"/>
      <c r="AH505" s="25" t="n"/>
      <c r="AI505" s="394" t="n"/>
      <c r="AM505" s="48" t="n"/>
      <c r="AN505" s="48" t="n"/>
      <c r="AO505" s="48" t="n"/>
    </row>
    <row r="506">
      <c r="M506" s="25" t="n"/>
      <c r="Q506" s="25" t="n"/>
      <c r="U506" s="194" t="n"/>
      <c r="AA506" s="25" t="n"/>
      <c r="AB506" s="25" t="n"/>
      <c r="AC506" s="195" t="n"/>
      <c r="AD506" s="25" t="n"/>
      <c r="AE506" s="25" t="n"/>
      <c r="AG506" s="25" t="n"/>
      <c r="AH506" s="25" t="n"/>
      <c r="AI506" s="394" t="n"/>
      <c r="AM506" s="48" t="n"/>
      <c r="AN506" s="48" t="n"/>
      <c r="AO506" s="48" t="n"/>
    </row>
    <row r="507">
      <c r="M507" s="25" t="n"/>
      <c r="Q507" s="25" t="n"/>
      <c r="U507" s="194" t="n"/>
      <c r="AA507" s="25" t="n"/>
      <c r="AB507" s="25" t="n"/>
      <c r="AC507" s="195" t="n"/>
      <c r="AD507" s="25" t="n"/>
      <c r="AE507" s="25" t="n"/>
      <c r="AG507" s="25" t="n"/>
      <c r="AH507" s="25" t="n"/>
      <c r="AI507" s="394" t="n"/>
      <c r="AM507" s="48" t="n"/>
      <c r="AN507" s="48" t="n"/>
      <c r="AO507" s="48" t="n"/>
    </row>
    <row r="508">
      <c r="M508" s="25" t="n"/>
      <c r="Q508" s="25" t="n"/>
      <c r="U508" s="194" t="n"/>
      <c r="AA508" s="25" t="n"/>
      <c r="AB508" s="25" t="n"/>
      <c r="AC508" s="195" t="n"/>
      <c r="AD508" s="25" t="n"/>
      <c r="AE508" s="25" t="n"/>
      <c r="AG508" s="25" t="n"/>
      <c r="AH508" s="25" t="n"/>
      <c r="AI508" s="394" t="n"/>
      <c r="AM508" s="48" t="n"/>
      <c r="AN508" s="48" t="n"/>
      <c r="AO508" s="48" t="n"/>
    </row>
    <row r="509">
      <c r="M509" s="25" t="n"/>
      <c r="Q509" s="25" t="n"/>
      <c r="U509" s="194" t="n"/>
      <c r="AA509" s="25" t="n"/>
      <c r="AB509" s="25" t="n"/>
      <c r="AC509" s="195" t="n"/>
      <c r="AD509" s="25" t="n"/>
      <c r="AE509" s="25" t="n"/>
      <c r="AG509" s="25" t="n"/>
      <c r="AH509" s="25" t="n"/>
      <c r="AI509" s="394" t="n"/>
      <c r="AM509" s="48" t="n"/>
      <c r="AN509" s="48" t="n"/>
      <c r="AO509" s="48" t="n"/>
    </row>
    <row r="510">
      <c r="M510" s="25" t="n"/>
      <c r="Q510" s="25" t="n"/>
      <c r="U510" s="194" t="n"/>
      <c r="AA510" s="25" t="n"/>
      <c r="AB510" s="25" t="n"/>
      <c r="AC510" s="195" t="n"/>
      <c r="AD510" s="25" t="n"/>
      <c r="AE510" s="25" t="n"/>
      <c r="AG510" s="25" t="n"/>
      <c r="AH510" s="25" t="n"/>
      <c r="AI510" s="394" t="n"/>
      <c r="AM510" s="48" t="n"/>
      <c r="AN510" s="48" t="n"/>
      <c r="AO510" s="48" t="n"/>
    </row>
    <row r="511">
      <c r="M511" s="25" t="n"/>
      <c r="Q511" s="25" t="n"/>
      <c r="U511" s="194" t="n"/>
      <c r="AA511" s="25" t="n"/>
      <c r="AB511" s="25" t="n"/>
      <c r="AC511" s="195" t="n"/>
      <c r="AD511" s="25" t="n"/>
      <c r="AE511" s="25" t="n"/>
      <c r="AG511" s="25" t="n"/>
      <c r="AH511" s="25" t="n"/>
      <c r="AI511" s="394" t="n"/>
      <c r="AM511" s="48" t="n"/>
      <c r="AN511" s="48" t="n"/>
      <c r="AO511" s="48" t="n"/>
    </row>
    <row r="512">
      <c r="M512" s="25" t="n"/>
      <c r="Q512" s="25" t="n"/>
      <c r="U512" s="194" t="n"/>
      <c r="AA512" s="25" t="n"/>
      <c r="AB512" s="25" t="n"/>
      <c r="AC512" s="195" t="n"/>
      <c r="AD512" s="25" t="n"/>
      <c r="AE512" s="25" t="n"/>
      <c r="AG512" s="25" t="n"/>
      <c r="AH512" s="25" t="n"/>
      <c r="AI512" s="394" t="n"/>
      <c r="AM512" s="48" t="n"/>
      <c r="AN512" s="48" t="n"/>
      <c r="AO512" s="48" t="n"/>
    </row>
    <row r="513">
      <c r="M513" s="25" t="n"/>
      <c r="Q513" s="25" t="n"/>
      <c r="U513" s="194" t="n"/>
      <c r="AA513" s="25" t="n"/>
      <c r="AB513" s="25" t="n"/>
      <c r="AC513" s="195" t="n"/>
      <c r="AD513" s="25" t="n"/>
      <c r="AE513" s="25" t="n"/>
      <c r="AG513" s="25" t="n"/>
      <c r="AH513" s="25" t="n"/>
      <c r="AI513" s="394" t="n"/>
      <c r="AM513" s="48" t="n"/>
      <c r="AN513" s="48" t="n"/>
      <c r="AO513" s="48" t="n"/>
    </row>
    <row r="514">
      <c r="M514" s="25" t="n"/>
      <c r="Q514" s="25" t="n"/>
      <c r="U514" s="194" t="n"/>
      <c r="AA514" s="25" t="n"/>
      <c r="AB514" s="25" t="n"/>
      <c r="AC514" s="195" t="n"/>
      <c r="AD514" s="25" t="n"/>
      <c r="AE514" s="25" t="n"/>
      <c r="AG514" s="25" t="n"/>
      <c r="AH514" s="25" t="n"/>
      <c r="AI514" s="394" t="n"/>
      <c r="AM514" s="48" t="n"/>
      <c r="AN514" s="48" t="n"/>
      <c r="AO514" s="48" t="n"/>
    </row>
    <row r="515">
      <c r="M515" s="25" t="n"/>
      <c r="Q515" s="25" t="n"/>
      <c r="U515" s="194" t="n"/>
      <c r="AA515" s="25" t="n"/>
      <c r="AB515" s="25" t="n"/>
      <c r="AC515" s="195" t="n"/>
      <c r="AD515" s="25" t="n"/>
      <c r="AE515" s="25" t="n"/>
      <c r="AG515" s="25" t="n"/>
      <c r="AH515" s="25" t="n"/>
      <c r="AI515" s="394" t="n"/>
      <c r="AM515" s="48" t="n"/>
      <c r="AN515" s="48" t="n"/>
      <c r="AO515" s="48" t="n"/>
    </row>
    <row r="516">
      <c r="M516" s="25" t="n"/>
      <c r="Q516" s="25" t="n"/>
      <c r="U516" s="194" t="n"/>
      <c r="AA516" s="25" t="n"/>
      <c r="AB516" s="25" t="n"/>
      <c r="AC516" s="195" t="n"/>
      <c r="AD516" s="25" t="n"/>
      <c r="AE516" s="25" t="n"/>
      <c r="AG516" s="25" t="n"/>
      <c r="AH516" s="25" t="n"/>
      <c r="AI516" s="394" t="n"/>
      <c r="AM516" s="48" t="n"/>
      <c r="AN516" s="48" t="n"/>
      <c r="AO516" s="48" t="n"/>
    </row>
    <row r="517">
      <c r="M517" s="25" t="n"/>
      <c r="Q517" s="25" t="n"/>
      <c r="U517" s="194" t="n"/>
      <c r="AA517" s="25" t="n"/>
      <c r="AB517" s="25" t="n"/>
      <c r="AC517" s="195" t="n"/>
      <c r="AD517" s="25" t="n"/>
      <c r="AE517" s="25" t="n"/>
      <c r="AG517" s="25" t="n"/>
      <c r="AH517" s="25" t="n"/>
      <c r="AI517" s="394" t="n"/>
      <c r="AM517" s="48" t="n"/>
      <c r="AN517" s="48" t="n"/>
      <c r="AO517" s="48" t="n"/>
    </row>
    <row r="518">
      <c r="M518" s="25" t="n"/>
      <c r="Q518" s="25" t="n"/>
      <c r="U518" s="194" t="n"/>
      <c r="AA518" s="25" t="n"/>
      <c r="AB518" s="25" t="n"/>
      <c r="AC518" s="195" t="n"/>
      <c r="AD518" s="25" t="n"/>
      <c r="AE518" s="25" t="n"/>
      <c r="AG518" s="25" t="n"/>
      <c r="AH518" s="25" t="n"/>
      <c r="AI518" s="394" t="n"/>
      <c r="AM518" s="48" t="n"/>
      <c r="AN518" s="48" t="n"/>
      <c r="AO518" s="48" t="n"/>
    </row>
    <row r="519">
      <c r="M519" s="25" t="n"/>
      <c r="Q519" s="25" t="n"/>
      <c r="U519" s="194" t="n"/>
      <c r="AA519" s="25" t="n"/>
      <c r="AB519" s="25" t="n"/>
      <c r="AC519" s="195" t="n"/>
      <c r="AD519" s="25" t="n"/>
      <c r="AE519" s="25" t="n"/>
      <c r="AG519" s="25" t="n"/>
      <c r="AH519" s="25" t="n"/>
      <c r="AI519" s="394" t="n"/>
      <c r="AM519" s="48" t="n"/>
      <c r="AN519" s="48" t="n"/>
      <c r="AO519" s="48" t="n"/>
    </row>
    <row r="520">
      <c r="M520" s="25" t="n"/>
      <c r="Q520" s="25" t="n"/>
      <c r="U520" s="194" t="n"/>
      <c r="AA520" s="25" t="n"/>
      <c r="AB520" s="25" t="n"/>
      <c r="AC520" s="195" t="n"/>
      <c r="AD520" s="25" t="n"/>
      <c r="AE520" s="25" t="n"/>
      <c r="AG520" s="25" t="n"/>
      <c r="AH520" s="25" t="n"/>
      <c r="AI520" s="394" t="n"/>
      <c r="AM520" s="48" t="n"/>
      <c r="AN520" s="48" t="n"/>
      <c r="AO520" s="48" t="n"/>
    </row>
    <row r="521">
      <c r="M521" s="25" t="n"/>
      <c r="Q521" s="25" t="n"/>
      <c r="U521" s="194" t="n"/>
      <c r="AA521" s="25" t="n"/>
      <c r="AB521" s="25" t="n"/>
      <c r="AC521" s="195" t="n"/>
      <c r="AD521" s="25" t="n"/>
      <c r="AE521" s="25" t="n"/>
      <c r="AG521" s="25" t="n"/>
      <c r="AH521" s="25" t="n"/>
      <c r="AI521" s="394" t="n"/>
      <c r="AM521" s="48" t="n"/>
      <c r="AN521" s="48" t="n"/>
      <c r="AO521" s="48" t="n"/>
    </row>
    <row r="522">
      <c r="M522" s="25" t="n"/>
      <c r="Q522" s="25" t="n"/>
      <c r="U522" s="194" t="n"/>
      <c r="AA522" s="25" t="n"/>
      <c r="AB522" s="25" t="n"/>
      <c r="AC522" s="195" t="n"/>
      <c r="AD522" s="25" t="n"/>
      <c r="AE522" s="25" t="n"/>
      <c r="AG522" s="25" t="n"/>
      <c r="AH522" s="25" t="n"/>
      <c r="AI522" s="394" t="n"/>
      <c r="AM522" s="48" t="n"/>
      <c r="AN522" s="48" t="n"/>
      <c r="AO522" s="48" t="n"/>
    </row>
    <row r="523">
      <c r="M523" s="25" t="n"/>
      <c r="Q523" s="25" t="n"/>
      <c r="U523" s="194" t="n"/>
      <c r="AA523" s="25" t="n"/>
      <c r="AB523" s="25" t="n"/>
      <c r="AC523" s="195" t="n"/>
      <c r="AD523" s="25" t="n"/>
      <c r="AE523" s="25" t="n"/>
      <c r="AG523" s="25" t="n"/>
      <c r="AH523" s="25" t="n"/>
      <c r="AI523" s="394" t="n"/>
      <c r="AM523" s="48" t="n"/>
      <c r="AN523" s="48" t="n"/>
      <c r="AO523" s="48" t="n"/>
    </row>
    <row r="524">
      <c r="M524" s="25" t="n"/>
      <c r="Q524" s="25" t="n"/>
      <c r="U524" s="194" t="n"/>
      <c r="AA524" s="25" t="n"/>
      <c r="AB524" s="25" t="n"/>
      <c r="AC524" s="195" t="n"/>
      <c r="AD524" s="25" t="n"/>
      <c r="AE524" s="25" t="n"/>
      <c r="AG524" s="25" t="n"/>
      <c r="AH524" s="25" t="n"/>
      <c r="AI524" s="394" t="n"/>
      <c r="AM524" s="48" t="n"/>
      <c r="AN524" s="48" t="n"/>
      <c r="AO524" s="48" t="n"/>
    </row>
    <row r="525">
      <c r="M525" s="25" t="n"/>
      <c r="Q525" s="25" t="n"/>
      <c r="U525" s="194" t="n"/>
      <c r="AA525" s="25" t="n"/>
      <c r="AB525" s="25" t="n"/>
      <c r="AC525" s="195" t="n"/>
      <c r="AD525" s="25" t="n"/>
      <c r="AE525" s="25" t="n"/>
      <c r="AG525" s="25" t="n"/>
      <c r="AH525" s="25" t="n"/>
      <c r="AI525" s="394" t="n"/>
      <c r="AM525" s="48" t="n"/>
      <c r="AN525" s="48" t="n"/>
      <c r="AO525" s="48" t="n"/>
    </row>
    <row r="526">
      <c r="M526" s="25" t="n"/>
      <c r="Q526" s="25" t="n"/>
      <c r="U526" s="194" t="n"/>
      <c r="AA526" s="25" t="n"/>
      <c r="AB526" s="25" t="n"/>
      <c r="AC526" s="195" t="n"/>
      <c r="AD526" s="25" t="n"/>
      <c r="AE526" s="25" t="n"/>
      <c r="AG526" s="25" t="n"/>
      <c r="AH526" s="25" t="n"/>
      <c r="AI526" s="394" t="n"/>
      <c r="AM526" s="48" t="n"/>
      <c r="AN526" s="48" t="n"/>
      <c r="AO526" s="48" t="n"/>
    </row>
    <row r="527">
      <c r="M527" s="25" t="n"/>
      <c r="Q527" s="25" t="n"/>
      <c r="U527" s="194" t="n"/>
      <c r="AA527" s="25" t="n"/>
      <c r="AB527" s="25" t="n"/>
      <c r="AC527" s="195" t="n"/>
      <c r="AD527" s="25" t="n"/>
      <c r="AE527" s="25" t="n"/>
      <c r="AG527" s="25" t="n"/>
      <c r="AH527" s="25" t="n"/>
      <c r="AI527" s="394" t="n"/>
      <c r="AM527" s="48" t="n"/>
      <c r="AN527" s="48" t="n"/>
      <c r="AO527" s="48" t="n"/>
    </row>
    <row r="528">
      <c r="M528" s="25" t="n"/>
      <c r="Q528" s="25" t="n"/>
      <c r="U528" s="194" t="n"/>
      <c r="AA528" s="25" t="n"/>
      <c r="AB528" s="25" t="n"/>
      <c r="AC528" s="195" t="n"/>
      <c r="AD528" s="25" t="n"/>
      <c r="AE528" s="25" t="n"/>
      <c r="AG528" s="25" t="n"/>
      <c r="AH528" s="25" t="n"/>
      <c r="AI528" s="394" t="n"/>
      <c r="AM528" s="48" t="n"/>
      <c r="AN528" s="48" t="n"/>
      <c r="AO528" s="48" t="n"/>
    </row>
    <row r="529">
      <c r="M529" s="25" t="n"/>
      <c r="Q529" s="25" t="n"/>
      <c r="U529" s="194" t="n"/>
      <c r="AA529" s="25" t="n"/>
      <c r="AB529" s="25" t="n"/>
      <c r="AC529" s="195" t="n"/>
      <c r="AD529" s="25" t="n"/>
      <c r="AE529" s="25" t="n"/>
      <c r="AG529" s="25" t="n"/>
      <c r="AH529" s="25" t="n"/>
      <c r="AI529" s="394" t="n"/>
      <c r="AM529" s="48" t="n"/>
      <c r="AN529" s="48" t="n"/>
      <c r="AO529" s="48" t="n"/>
    </row>
    <row r="530">
      <c r="M530" s="25" t="n"/>
      <c r="Q530" s="25" t="n"/>
      <c r="U530" s="194" t="n"/>
      <c r="AA530" s="25" t="n"/>
      <c r="AB530" s="25" t="n"/>
      <c r="AC530" s="195" t="n"/>
      <c r="AD530" s="25" t="n"/>
      <c r="AE530" s="25" t="n"/>
      <c r="AG530" s="25" t="n"/>
      <c r="AH530" s="25" t="n"/>
      <c r="AI530" s="394" t="n"/>
      <c r="AM530" s="48" t="n"/>
      <c r="AN530" s="48" t="n"/>
      <c r="AO530" s="48" t="n"/>
    </row>
    <row r="531">
      <c r="M531" s="25" t="n"/>
      <c r="Q531" s="25" t="n"/>
      <c r="U531" s="194" t="n"/>
      <c r="AA531" s="25" t="n"/>
      <c r="AB531" s="25" t="n"/>
      <c r="AC531" s="195" t="n"/>
      <c r="AD531" s="25" t="n"/>
      <c r="AE531" s="25" t="n"/>
      <c r="AG531" s="25" t="n"/>
      <c r="AH531" s="25" t="n"/>
      <c r="AI531" s="394" t="n"/>
      <c r="AM531" s="48" t="n"/>
      <c r="AN531" s="48" t="n"/>
      <c r="AO531" s="48" t="n"/>
    </row>
    <row r="532">
      <c r="M532" s="25" t="n"/>
      <c r="Q532" s="25" t="n"/>
      <c r="U532" s="194" t="n"/>
      <c r="AA532" s="25" t="n"/>
      <c r="AB532" s="25" t="n"/>
      <c r="AC532" s="195" t="n"/>
      <c r="AD532" s="25" t="n"/>
      <c r="AE532" s="25" t="n"/>
      <c r="AG532" s="25" t="n"/>
      <c r="AH532" s="25" t="n"/>
      <c r="AI532" s="394" t="n"/>
      <c r="AM532" s="48" t="n"/>
      <c r="AN532" s="48" t="n"/>
      <c r="AO532" s="48" t="n"/>
    </row>
    <row r="533">
      <c r="M533" s="25" t="n"/>
      <c r="Q533" s="25" t="n"/>
      <c r="U533" s="194" t="n"/>
      <c r="AA533" s="25" t="n"/>
      <c r="AB533" s="25" t="n"/>
      <c r="AC533" s="195" t="n"/>
      <c r="AD533" s="25" t="n"/>
      <c r="AE533" s="25" t="n"/>
      <c r="AG533" s="25" t="n"/>
      <c r="AH533" s="25" t="n"/>
      <c r="AI533" s="394" t="n"/>
      <c r="AM533" s="48" t="n"/>
      <c r="AN533" s="48" t="n"/>
      <c r="AO533" s="48" t="n"/>
    </row>
    <row r="534">
      <c r="M534" s="25" t="n"/>
      <c r="Q534" s="25" t="n"/>
      <c r="U534" s="194" t="n"/>
      <c r="AA534" s="25" t="n"/>
      <c r="AB534" s="25" t="n"/>
      <c r="AC534" s="195" t="n"/>
      <c r="AD534" s="25" t="n"/>
      <c r="AE534" s="25" t="n"/>
      <c r="AG534" s="25" t="n"/>
      <c r="AH534" s="25" t="n"/>
      <c r="AI534" s="394" t="n"/>
      <c r="AM534" s="48" t="n"/>
      <c r="AN534" s="48" t="n"/>
      <c r="AO534" s="48" t="n"/>
    </row>
    <row r="535">
      <c r="M535" s="25" t="n"/>
      <c r="Q535" s="25" t="n"/>
      <c r="U535" s="194" t="n"/>
      <c r="AA535" s="25" t="n"/>
      <c r="AB535" s="25" t="n"/>
      <c r="AC535" s="195" t="n"/>
      <c r="AD535" s="25" t="n"/>
      <c r="AE535" s="25" t="n"/>
      <c r="AG535" s="25" t="n"/>
      <c r="AH535" s="25" t="n"/>
      <c r="AI535" s="394" t="n"/>
      <c r="AM535" s="48" t="n"/>
      <c r="AN535" s="48" t="n"/>
      <c r="AO535" s="48" t="n"/>
    </row>
    <row r="536">
      <c r="M536" s="25" t="n"/>
      <c r="Q536" s="25" t="n"/>
      <c r="U536" s="194" t="n"/>
      <c r="AA536" s="25" t="n"/>
      <c r="AB536" s="25" t="n"/>
      <c r="AC536" s="195" t="n"/>
      <c r="AD536" s="25" t="n"/>
      <c r="AE536" s="25" t="n"/>
      <c r="AG536" s="25" t="n"/>
      <c r="AH536" s="25" t="n"/>
      <c r="AI536" s="394" t="n"/>
      <c r="AM536" s="48" t="n"/>
      <c r="AN536" s="48" t="n"/>
      <c r="AO536" s="48" t="n"/>
    </row>
    <row r="537">
      <c r="M537" s="25" t="n"/>
      <c r="Q537" s="25" t="n"/>
      <c r="U537" s="194" t="n"/>
      <c r="AA537" s="25" t="n"/>
      <c r="AB537" s="25" t="n"/>
      <c r="AC537" s="195" t="n"/>
      <c r="AD537" s="25" t="n"/>
      <c r="AE537" s="25" t="n"/>
      <c r="AG537" s="25" t="n"/>
      <c r="AH537" s="25" t="n"/>
      <c r="AI537" s="394" t="n"/>
      <c r="AM537" s="48" t="n"/>
      <c r="AN537" s="48" t="n"/>
      <c r="AO537" s="48" t="n"/>
    </row>
    <row r="538">
      <c r="M538" s="25" t="n"/>
      <c r="Q538" s="25" t="n"/>
      <c r="U538" s="194" t="n"/>
      <c r="AA538" s="25" t="n"/>
      <c r="AB538" s="25" t="n"/>
      <c r="AC538" s="195" t="n"/>
      <c r="AD538" s="25" t="n"/>
      <c r="AE538" s="25" t="n"/>
      <c r="AG538" s="25" t="n"/>
      <c r="AH538" s="25" t="n"/>
      <c r="AI538" s="394" t="n"/>
      <c r="AM538" s="48" t="n"/>
      <c r="AN538" s="48" t="n"/>
      <c r="AO538" s="48" t="n"/>
    </row>
    <row r="539">
      <c r="M539" s="25" t="n"/>
      <c r="Q539" s="25" t="n"/>
      <c r="U539" s="194" t="n"/>
      <c r="AA539" s="25" t="n"/>
      <c r="AB539" s="25" t="n"/>
      <c r="AC539" s="195" t="n"/>
      <c r="AD539" s="25" t="n"/>
      <c r="AE539" s="25" t="n"/>
      <c r="AG539" s="25" t="n"/>
      <c r="AH539" s="25" t="n"/>
      <c r="AI539" s="394" t="n"/>
      <c r="AM539" s="48" t="n"/>
      <c r="AN539" s="48" t="n"/>
      <c r="AO539" s="48" t="n"/>
    </row>
    <row r="540">
      <c r="M540" s="25" t="n"/>
      <c r="Q540" s="25" t="n"/>
      <c r="U540" s="194" t="n"/>
      <c r="AA540" s="25" t="n"/>
      <c r="AB540" s="25" t="n"/>
      <c r="AC540" s="195" t="n"/>
      <c r="AD540" s="25" t="n"/>
      <c r="AE540" s="25" t="n"/>
      <c r="AG540" s="25" t="n"/>
      <c r="AH540" s="25" t="n"/>
      <c r="AI540" s="394" t="n"/>
      <c r="AM540" s="48" t="n"/>
      <c r="AN540" s="48" t="n"/>
      <c r="AO540" s="48" t="n"/>
    </row>
    <row r="541">
      <c r="M541" s="25" t="n"/>
      <c r="Q541" s="25" t="n"/>
      <c r="U541" s="194" t="n"/>
      <c r="AA541" s="25" t="n"/>
      <c r="AB541" s="25" t="n"/>
      <c r="AC541" s="195" t="n"/>
      <c r="AD541" s="25" t="n"/>
      <c r="AE541" s="25" t="n"/>
      <c r="AG541" s="25" t="n"/>
      <c r="AH541" s="25" t="n"/>
      <c r="AI541" s="394" t="n"/>
      <c r="AM541" s="48" t="n"/>
      <c r="AN541" s="48" t="n"/>
      <c r="AO541" s="48" t="n"/>
    </row>
    <row r="542">
      <c r="M542" s="25" t="n"/>
      <c r="Q542" s="25" t="n"/>
      <c r="U542" s="194" t="n"/>
      <c r="AA542" s="25" t="n"/>
      <c r="AB542" s="25" t="n"/>
      <c r="AC542" s="195" t="n"/>
      <c r="AD542" s="25" t="n"/>
      <c r="AE542" s="25" t="n"/>
      <c r="AG542" s="25" t="n"/>
      <c r="AH542" s="25" t="n"/>
      <c r="AI542" s="394" t="n"/>
      <c r="AM542" s="48" t="n"/>
      <c r="AN542" s="48" t="n"/>
      <c r="AO542" s="48" t="n"/>
    </row>
    <row r="543">
      <c r="M543" s="25" t="n"/>
      <c r="Q543" s="25" t="n"/>
      <c r="U543" s="194" t="n"/>
      <c r="AA543" s="25" t="n"/>
      <c r="AB543" s="25" t="n"/>
      <c r="AC543" s="195" t="n"/>
      <c r="AD543" s="25" t="n"/>
      <c r="AE543" s="25" t="n"/>
      <c r="AG543" s="25" t="n"/>
      <c r="AH543" s="25" t="n"/>
      <c r="AI543" s="394" t="n"/>
      <c r="AM543" s="48" t="n"/>
      <c r="AN543" s="48" t="n"/>
      <c r="AO543" s="48" t="n"/>
    </row>
    <row r="544">
      <c r="M544" s="25" t="n"/>
      <c r="Q544" s="25" t="n"/>
      <c r="U544" s="194" t="n"/>
      <c r="AA544" s="25" t="n"/>
      <c r="AB544" s="25" t="n"/>
      <c r="AC544" s="195" t="n"/>
      <c r="AD544" s="25" t="n"/>
      <c r="AE544" s="25" t="n"/>
      <c r="AG544" s="25" t="n"/>
      <c r="AH544" s="25" t="n"/>
      <c r="AI544" s="394" t="n"/>
      <c r="AM544" s="48" t="n"/>
      <c r="AN544" s="48" t="n"/>
      <c r="AO544" s="48" t="n"/>
    </row>
    <row r="545">
      <c r="M545" s="25" t="n"/>
      <c r="Q545" s="25" t="n"/>
      <c r="U545" s="194" t="n"/>
      <c r="AA545" s="25" t="n"/>
      <c r="AB545" s="25" t="n"/>
      <c r="AC545" s="195" t="n"/>
      <c r="AD545" s="25" t="n"/>
      <c r="AE545" s="25" t="n"/>
      <c r="AG545" s="25" t="n"/>
      <c r="AH545" s="25" t="n"/>
      <c r="AI545" s="394" t="n"/>
      <c r="AM545" s="48" t="n"/>
      <c r="AN545" s="48" t="n"/>
      <c r="AO545" s="48" t="n"/>
    </row>
    <row r="546">
      <c r="M546" s="25" t="n"/>
      <c r="Q546" s="25" t="n"/>
      <c r="U546" s="194" t="n"/>
      <c r="AA546" s="25" t="n"/>
      <c r="AB546" s="25" t="n"/>
      <c r="AC546" s="195" t="n"/>
      <c r="AD546" s="25" t="n"/>
      <c r="AE546" s="25" t="n"/>
      <c r="AG546" s="25" t="n"/>
      <c r="AH546" s="25" t="n"/>
      <c r="AI546" s="394" t="n"/>
      <c r="AM546" s="48" t="n"/>
      <c r="AN546" s="48" t="n"/>
      <c r="AO546" s="48" t="n"/>
    </row>
    <row r="547">
      <c r="M547" s="25" t="n"/>
      <c r="Q547" s="25" t="n"/>
      <c r="U547" s="194" t="n"/>
      <c r="AA547" s="25" t="n"/>
      <c r="AB547" s="25" t="n"/>
      <c r="AC547" s="195" t="n"/>
      <c r="AD547" s="25" t="n"/>
      <c r="AE547" s="25" t="n"/>
      <c r="AG547" s="25" t="n"/>
      <c r="AH547" s="25" t="n"/>
      <c r="AI547" s="394" t="n"/>
      <c r="AM547" s="48" t="n"/>
      <c r="AN547" s="48" t="n"/>
      <c r="AO547" s="48" t="n"/>
    </row>
    <row r="548">
      <c r="M548" s="25" t="n"/>
      <c r="Q548" s="25" t="n"/>
      <c r="U548" s="194" t="n"/>
      <c r="AA548" s="25" t="n"/>
      <c r="AB548" s="25" t="n"/>
      <c r="AC548" s="195" t="n"/>
      <c r="AD548" s="25" t="n"/>
      <c r="AE548" s="25" t="n"/>
      <c r="AG548" s="25" t="n"/>
      <c r="AH548" s="25" t="n"/>
      <c r="AI548" s="394" t="n"/>
      <c r="AM548" s="48" t="n"/>
      <c r="AN548" s="48" t="n"/>
      <c r="AO548" s="48" t="n"/>
    </row>
    <row r="549">
      <c r="M549" s="25" t="n"/>
      <c r="Q549" s="25" t="n"/>
      <c r="U549" s="194" t="n"/>
      <c r="AA549" s="25" t="n"/>
      <c r="AB549" s="25" t="n"/>
      <c r="AC549" s="195" t="n"/>
      <c r="AD549" s="25" t="n"/>
      <c r="AE549" s="25" t="n"/>
      <c r="AG549" s="25" t="n"/>
      <c r="AH549" s="25" t="n"/>
      <c r="AI549" s="394" t="n"/>
      <c r="AM549" s="48" t="n"/>
      <c r="AN549" s="48" t="n"/>
      <c r="AO549" s="48" t="n"/>
    </row>
    <row r="550">
      <c r="M550" s="25" t="n"/>
      <c r="Q550" s="25" t="n"/>
      <c r="U550" s="194" t="n"/>
      <c r="AA550" s="25" t="n"/>
      <c r="AB550" s="25" t="n"/>
      <c r="AC550" s="195" t="n"/>
      <c r="AD550" s="25" t="n"/>
      <c r="AE550" s="25" t="n"/>
      <c r="AG550" s="25" t="n"/>
      <c r="AH550" s="25" t="n"/>
      <c r="AI550" s="394" t="n"/>
      <c r="AM550" s="48" t="n"/>
      <c r="AN550" s="48" t="n"/>
      <c r="AO550" s="48" t="n"/>
    </row>
    <row r="551">
      <c r="M551" s="25" t="n"/>
      <c r="Q551" s="25" t="n"/>
      <c r="U551" s="194" t="n"/>
      <c r="AA551" s="25" t="n"/>
      <c r="AB551" s="25" t="n"/>
      <c r="AC551" s="195" t="n"/>
      <c r="AD551" s="25" t="n"/>
      <c r="AE551" s="25" t="n"/>
      <c r="AG551" s="25" t="n"/>
      <c r="AH551" s="25" t="n"/>
      <c r="AI551" s="394" t="n"/>
      <c r="AM551" s="48" t="n"/>
      <c r="AN551" s="48" t="n"/>
      <c r="AO551" s="48" t="n"/>
    </row>
    <row r="552">
      <c r="M552" s="25" t="n"/>
      <c r="Q552" s="25" t="n"/>
      <c r="U552" s="194" t="n"/>
      <c r="AA552" s="25" t="n"/>
      <c r="AB552" s="25" t="n"/>
      <c r="AC552" s="195" t="n"/>
      <c r="AD552" s="25" t="n"/>
      <c r="AE552" s="25" t="n"/>
      <c r="AG552" s="25" t="n"/>
      <c r="AH552" s="25" t="n"/>
      <c r="AI552" s="394" t="n"/>
      <c r="AM552" s="48" t="n"/>
      <c r="AN552" s="48" t="n"/>
      <c r="AO552" s="48" t="n"/>
    </row>
    <row r="553">
      <c r="M553" s="25" t="n"/>
      <c r="Q553" s="25" t="n"/>
      <c r="U553" s="194" t="n"/>
      <c r="AA553" s="25" t="n"/>
      <c r="AB553" s="25" t="n"/>
      <c r="AC553" s="195" t="n"/>
      <c r="AD553" s="25" t="n"/>
      <c r="AE553" s="25" t="n"/>
      <c r="AG553" s="25" t="n"/>
      <c r="AH553" s="25" t="n"/>
      <c r="AI553" s="394" t="n"/>
      <c r="AM553" s="48" t="n"/>
      <c r="AN553" s="48" t="n"/>
      <c r="AO553" s="48" t="n"/>
    </row>
    <row r="554">
      <c r="M554" s="25" t="n"/>
      <c r="Q554" s="25" t="n"/>
      <c r="U554" s="194" t="n"/>
      <c r="AA554" s="25" t="n"/>
      <c r="AB554" s="25" t="n"/>
      <c r="AC554" s="195" t="n"/>
      <c r="AD554" s="25" t="n"/>
      <c r="AE554" s="25" t="n"/>
      <c r="AG554" s="25" t="n"/>
      <c r="AH554" s="25" t="n"/>
      <c r="AI554" s="394" t="n"/>
      <c r="AM554" s="48" t="n"/>
      <c r="AN554" s="48" t="n"/>
      <c r="AO554" s="48" t="n"/>
    </row>
    <row r="555">
      <c r="M555" s="25" t="n"/>
      <c r="Q555" s="25" t="n"/>
      <c r="U555" s="194" t="n"/>
      <c r="AA555" s="25" t="n"/>
      <c r="AB555" s="25" t="n"/>
      <c r="AC555" s="195" t="n"/>
      <c r="AD555" s="25" t="n"/>
      <c r="AE555" s="25" t="n"/>
      <c r="AG555" s="25" t="n"/>
      <c r="AH555" s="25" t="n"/>
      <c r="AI555" s="394" t="n"/>
      <c r="AM555" s="48" t="n"/>
      <c r="AN555" s="48" t="n"/>
      <c r="AO555" s="48" t="n"/>
    </row>
    <row r="556">
      <c r="M556" s="25" t="n"/>
      <c r="Q556" s="25" t="n"/>
      <c r="U556" s="194" t="n"/>
      <c r="AA556" s="25" t="n"/>
      <c r="AB556" s="25" t="n"/>
      <c r="AC556" s="195" t="n"/>
      <c r="AD556" s="25" t="n"/>
      <c r="AE556" s="25" t="n"/>
      <c r="AG556" s="25" t="n"/>
      <c r="AH556" s="25" t="n"/>
      <c r="AI556" s="394" t="n"/>
      <c r="AM556" s="48" t="n"/>
      <c r="AN556" s="48" t="n"/>
      <c r="AO556" s="48" t="n"/>
    </row>
    <row r="557">
      <c r="M557" s="25" t="n"/>
      <c r="Q557" s="25" t="n"/>
      <c r="U557" s="194" t="n"/>
      <c r="AA557" s="25" t="n"/>
      <c r="AB557" s="25" t="n"/>
      <c r="AC557" s="195" t="n"/>
      <c r="AD557" s="25" t="n"/>
      <c r="AE557" s="25" t="n"/>
      <c r="AG557" s="25" t="n"/>
      <c r="AH557" s="25" t="n"/>
      <c r="AI557" s="394" t="n"/>
      <c r="AM557" s="48" t="n"/>
      <c r="AN557" s="48" t="n"/>
      <c r="AO557" s="48" t="n"/>
    </row>
    <row r="558">
      <c r="M558" s="25" t="n"/>
      <c r="Q558" s="25" t="n"/>
      <c r="U558" s="194" t="n"/>
      <c r="AA558" s="25" t="n"/>
      <c r="AB558" s="25" t="n"/>
      <c r="AC558" s="195" t="n"/>
      <c r="AD558" s="25" t="n"/>
      <c r="AE558" s="25" t="n"/>
      <c r="AG558" s="25" t="n"/>
      <c r="AH558" s="25" t="n"/>
      <c r="AI558" s="394" t="n"/>
      <c r="AM558" s="48" t="n"/>
      <c r="AN558" s="48" t="n"/>
      <c r="AO558" s="48" t="n"/>
    </row>
    <row r="559">
      <c r="M559" s="25" t="n"/>
      <c r="Q559" s="25" t="n"/>
      <c r="U559" s="194" t="n"/>
      <c r="AA559" s="25" t="n"/>
      <c r="AB559" s="25" t="n"/>
      <c r="AC559" s="195" t="n"/>
      <c r="AD559" s="25" t="n"/>
      <c r="AE559" s="25" t="n"/>
      <c r="AG559" s="25" t="n"/>
      <c r="AH559" s="25" t="n"/>
      <c r="AI559" s="394" t="n"/>
      <c r="AM559" s="48" t="n"/>
      <c r="AN559" s="48" t="n"/>
      <c r="AO559" s="48" t="n"/>
    </row>
    <row r="560">
      <c r="M560" s="25" t="n"/>
      <c r="Q560" s="25" t="n"/>
      <c r="U560" s="194" t="n"/>
      <c r="AA560" s="25" t="n"/>
      <c r="AB560" s="25" t="n"/>
      <c r="AC560" s="195" t="n"/>
      <c r="AD560" s="25" t="n"/>
      <c r="AE560" s="25" t="n"/>
      <c r="AG560" s="25" t="n"/>
      <c r="AH560" s="25" t="n"/>
      <c r="AI560" s="394" t="n"/>
      <c r="AM560" s="48" t="n"/>
      <c r="AN560" s="48" t="n"/>
      <c r="AO560" s="48" t="n"/>
    </row>
    <row r="561">
      <c r="M561" s="25" t="n"/>
      <c r="Q561" s="25" t="n"/>
      <c r="U561" s="194" t="n"/>
      <c r="AA561" s="25" t="n"/>
      <c r="AB561" s="25" t="n"/>
      <c r="AC561" s="195" t="n"/>
      <c r="AD561" s="25" t="n"/>
      <c r="AE561" s="25" t="n"/>
      <c r="AG561" s="25" t="n"/>
      <c r="AH561" s="25" t="n"/>
      <c r="AI561" s="394" t="n"/>
      <c r="AM561" s="48" t="n"/>
      <c r="AN561" s="48" t="n"/>
      <c r="AO561" s="48" t="n"/>
    </row>
    <row r="562">
      <c r="M562" s="25" t="n"/>
      <c r="Q562" s="25" t="n"/>
      <c r="U562" s="194" t="n"/>
      <c r="AA562" s="25" t="n"/>
      <c r="AB562" s="25" t="n"/>
      <c r="AC562" s="195" t="n"/>
      <c r="AD562" s="25" t="n"/>
      <c r="AE562" s="25" t="n"/>
      <c r="AG562" s="25" t="n"/>
      <c r="AH562" s="25" t="n"/>
      <c r="AI562" s="394" t="n"/>
      <c r="AM562" s="48" t="n"/>
      <c r="AN562" s="48" t="n"/>
      <c r="AO562" s="48" t="n"/>
    </row>
    <row r="563">
      <c r="M563" s="25" t="n"/>
      <c r="Q563" s="25" t="n"/>
      <c r="U563" s="194" t="n"/>
      <c r="AA563" s="25" t="n"/>
      <c r="AB563" s="25" t="n"/>
      <c r="AC563" s="195" t="n"/>
      <c r="AD563" s="25" t="n"/>
      <c r="AE563" s="25" t="n"/>
      <c r="AG563" s="25" t="n"/>
      <c r="AH563" s="25" t="n"/>
      <c r="AI563" s="394" t="n"/>
      <c r="AM563" s="48" t="n"/>
      <c r="AN563" s="48" t="n"/>
      <c r="AO563" s="48" t="n"/>
    </row>
    <row r="564">
      <c r="M564" s="25" t="n"/>
      <c r="Q564" s="25" t="n"/>
      <c r="U564" s="194" t="n"/>
      <c r="AA564" s="25" t="n"/>
      <c r="AB564" s="25" t="n"/>
      <c r="AC564" s="195" t="n"/>
      <c r="AD564" s="25" t="n"/>
      <c r="AE564" s="25" t="n"/>
      <c r="AG564" s="25" t="n"/>
      <c r="AH564" s="25" t="n"/>
      <c r="AI564" s="394" t="n"/>
      <c r="AM564" s="48" t="n"/>
      <c r="AN564" s="48" t="n"/>
      <c r="AO564" s="48" t="n"/>
    </row>
    <row r="565">
      <c r="M565" s="25" t="n"/>
      <c r="Q565" s="25" t="n"/>
      <c r="U565" s="194" t="n"/>
      <c r="AA565" s="25" t="n"/>
      <c r="AB565" s="25" t="n"/>
      <c r="AC565" s="195" t="n"/>
      <c r="AD565" s="25" t="n"/>
      <c r="AE565" s="25" t="n"/>
      <c r="AG565" s="25" t="n"/>
      <c r="AH565" s="25" t="n"/>
      <c r="AI565" s="394" t="n"/>
      <c r="AM565" s="48" t="n"/>
      <c r="AN565" s="48" t="n"/>
      <c r="AO565" s="48" t="n"/>
    </row>
    <row r="566">
      <c r="M566" s="25" t="n"/>
      <c r="Q566" s="25" t="n"/>
      <c r="U566" s="194" t="n"/>
      <c r="AA566" s="25" t="n"/>
      <c r="AB566" s="25" t="n"/>
      <c r="AC566" s="195" t="n"/>
      <c r="AD566" s="25" t="n"/>
      <c r="AE566" s="25" t="n"/>
      <c r="AG566" s="25" t="n"/>
      <c r="AH566" s="25" t="n"/>
      <c r="AI566" s="394" t="n"/>
      <c r="AM566" s="48" t="n"/>
      <c r="AN566" s="48" t="n"/>
      <c r="AO566" s="48" t="n"/>
    </row>
    <row r="567">
      <c r="M567" s="25" t="n"/>
      <c r="Q567" s="25" t="n"/>
      <c r="U567" s="194" t="n"/>
      <c r="AA567" s="25" t="n"/>
      <c r="AB567" s="25" t="n"/>
      <c r="AC567" s="195" t="n"/>
      <c r="AD567" s="25" t="n"/>
      <c r="AE567" s="25" t="n"/>
      <c r="AG567" s="25" t="n"/>
      <c r="AH567" s="25" t="n"/>
      <c r="AI567" s="394" t="n"/>
      <c r="AM567" s="48" t="n"/>
      <c r="AN567" s="48" t="n"/>
      <c r="AO567" s="48" t="n"/>
    </row>
    <row r="568">
      <c r="M568" s="25" t="n"/>
      <c r="Q568" s="25" t="n"/>
      <c r="U568" s="194" t="n"/>
      <c r="AA568" s="25" t="n"/>
      <c r="AB568" s="25" t="n"/>
      <c r="AC568" s="195" t="n"/>
      <c r="AD568" s="25" t="n"/>
      <c r="AE568" s="25" t="n"/>
      <c r="AG568" s="25" t="n"/>
      <c r="AH568" s="25" t="n"/>
      <c r="AI568" s="394" t="n"/>
      <c r="AM568" s="48" t="n"/>
      <c r="AN568" s="48" t="n"/>
      <c r="AO568" s="48" t="n"/>
    </row>
    <row r="569">
      <c r="M569" s="25" t="n"/>
      <c r="Q569" s="25" t="n"/>
      <c r="U569" s="194" t="n"/>
      <c r="AA569" s="25" t="n"/>
      <c r="AB569" s="25" t="n"/>
      <c r="AC569" s="195" t="n"/>
      <c r="AD569" s="25" t="n"/>
      <c r="AE569" s="25" t="n"/>
      <c r="AG569" s="25" t="n"/>
      <c r="AH569" s="25" t="n"/>
      <c r="AI569" s="394" t="n"/>
      <c r="AM569" s="48" t="n"/>
      <c r="AN569" s="48" t="n"/>
      <c r="AO569" s="48" t="n"/>
    </row>
    <row r="570">
      <c r="M570" s="25" t="n"/>
      <c r="Q570" s="25" t="n"/>
      <c r="U570" s="194" t="n"/>
      <c r="AA570" s="25" t="n"/>
      <c r="AB570" s="25" t="n"/>
      <c r="AC570" s="195" t="n"/>
      <c r="AD570" s="25" t="n"/>
      <c r="AE570" s="25" t="n"/>
      <c r="AG570" s="25" t="n"/>
      <c r="AH570" s="25" t="n"/>
      <c r="AI570" s="394" t="n"/>
      <c r="AM570" s="48" t="n"/>
      <c r="AN570" s="48" t="n"/>
      <c r="AO570" s="48" t="n"/>
    </row>
    <row r="571">
      <c r="M571" s="25" t="n"/>
      <c r="Q571" s="25" t="n"/>
      <c r="U571" s="194" t="n"/>
      <c r="AA571" s="25" t="n"/>
      <c r="AB571" s="25" t="n"/>
      <c r="AC571" s="195" t="n"/>
      <c r="AD571" s="25" t="n"/>
      <c r="AE571" s="25" t="n"/>
      <c r="AG571" s="25" t="n"/>
      <c r="AH571" s="25" t="n"/>
      <c r="AI571" s="394" t="n"/>
      <c r="AM571" s="48" t="n"/>
      <c r="AN571" s="48" t="n"/>
      <c r="AO571" s="48" t="n"/>
    </row>
    <row r="572">
      <c r="M572" s="25" t="n"/>
      <c r="Q572" s="25" t="n"/>
      <c r="U572" s="194" t="n"/>
      <c r="AA572" s="25" t="n"/>
      <c r="AB572" s="25" t="n"/>
      <c r="AC572" s="195" t="n"/>
      <c r="AD572" s="25" t="n"/>
      <c r="AE572" s="25" t="n"/>
      <c r="AG572" s="25" t="n"/>
      <c r="AH572" s="25" t="n"/>
      <c r="AI572" s="394" t="n"/>
      <c r="AM572" s="48" t="n"/>
      <c r="AN572" s="48" t="n"/>
      <c r="AO572" s="48" t="n"/>
    </row>
    <row r="573">
      <c r="M573" s="25" t="n"/>
      <c r="Q573" s="25" t="n"/>
      <c r="U573" s="194" t="n"/>
      <c r="AA573" s="25" t="n"/>
      <c r="AB573" s="25" t="n"/>
      <c r="AC573" s="195" t="n"/>
      <c r="AD573" s="25" t="n"/>
      <c r="AE573" s="25" t="n"/>
      <c r="AG573" s="25" t="n"/>
      <c r="AH573" s="25" t="n"/>
      <c r="AI573" s="394" t="n"/>
      <c r="AM573" s="48" t="n"/>
      <c r="AN573" s="48" t="n"/>
      <c r="AO573" s="48" t="n"/>
    </row>
    <row r="574">
      <c r="M574" s="25" t="n"/>
      <c r="Q574" s="25" t="n"/>
      <c r="U574" s="194" t="n"/>
      <c r="AA574" s="25" t="n"/>
      <c r="AB574" s="25" t="n"/>
      <c r="AC574" s="195" t="n"/>
      <c r="AD574" s="25" t="n"/>
      <c r="AE574" s="25" t="n"/>
      <c r="AG574" s="25" t="n"/>
      <c r="AH574" s="25" t="n"/>
      <c r="AI574" s="394" t="n"/>
      <c r="AM574" s="48" t="n"/>
      <c r="AN574" s="48" t="n"/>
      <c r="AO574" s="48" t="n"/>
    </row>
    <row r="575">
      <c r="M575" s="25" t="n"/>
      <c r="Q575" s="25" t="n"/>
      <c r="U575" s="194" t="n"/>
      <c r="AA575" s="25" t="n"/>
      <c r="AB575" s="25" t="n"/>
      <c r="AC575" s="195" t="n"/>
      <c r="AD575" s="25" t="n"/>
      <c r="AE575" s="25" t="n"/>
      <c r="AG575" s="25" t="n"/>
      <c r="AH575" s="25" t="n"/>
      <c r="AI575" s="394" t="n"/>
      <c r="AM575" s="48" t="n"/>
      <c r="AN575" s="48" t="n"/>
      <c r="AO575" s="48" t="n"/>
    </row>
    <row r="576">
      <c r="M576" s="25" t="n"/>
      <c r="Q576" s="25" t="n"/>
      <c r="U576" s="194" t="n"/>
      <c r="AA576" s="25" t="n"/>
      <c r="AB576" s="25" t="n"/>
      <c r="AC576" s="195" t="n"/>
      <c r="AD576" s="25" t="n"/>
      <c r="AE576" s="25" t="n"/>
      <c r="AG576" s="25" t="n"/>
      <c r="AH576" s="25" t="n"/>
      <c r="AI576" s="394" t="n"/>
      <c r="AM576" s="48" t="n"/>
      <c r="AN576" s="48" t="n"/>
      <c r="AO576" s="48" t="n"/>
    </row>
    <row r="577">
      <c r="M577" s="25" t="n"/>
      <c r="Q577" s="25" t="n"/>
      <c r="U577" s="194" t="n"/>
      <c r="AA577" s="25" t="n"/>
      <c r="AB577" s="25" t="n"/>
      <c r="AC577" s="195" t="n"/>
      <c r="AD577" s="25" t="n"/>
      <c r="AE577" s="25" t="n"/>
      <c r="AG577" s="25" t="n"/>
      <c r="AH577" s="25" t="n"/>
      <c r="AI577" s="394" t="n"/>
      <c r="AM577" s="48" t="n"/>
      <c r="AN577" s="48" t="n"/>
      <c r="AO577" s="48" t="n"/>
    </row>
    <row r="578">
      <c r="M578" s="25" t="n"/>
      <c r="Q578" s="25" t="n"/>
      <c r="U578" s="194" t="n"/>
      <c r="AA578" s="25" t="n"/>
      <c r="AB578" s="25" t="n"/>
      <c r="AC578" s="195" t="n"/>
      <c r="AD578" s="25" t="n"/>
      <c r="AE578" s="25" t="n"/>
      <c r="AG578" s="25" t="n"/>
      <c r="AH578" s="25" t="n"/>
      <c r="AI578" s="394" t="n"/>
      <c r="AM578" s="48" t="n"/>
      <c r="AN578" s="48" t="n"/>
      <c r="AO578" s="48" t="n"/>
    </row>
    <row r="579">
      <c r="M579" s="25" t="n"/>
      <c r="Q579" s="25" t="n"/>
      <c r="U579" s="194" t="n"/>
      <c r="AA579" s="25" t="n"/>
      <c r="AB579" s="25" t="n"/>
      <c r="AC579" s="195" t="n"/>
      <c r="AD579" s="25" t="n"/>
      <c r="AE579" s="25" t="n"/>
      <c r="AG579" s="25" t="n"/>
      <c r="AH579" s="25" t="n"/>
      <c r="AI579" s="394" t="n"/>
      <c r="AM579" s="48" t="n"/>
      <c r="AN579" s="48" t="n"/>
      <c r="AO579" s="48" t="n"/>
    </row>
    <row r="580">
      <c r="M580" s="25" t="n"/>
      <c r="Q580" s="25" t="n"/>
      <c r="U580" s="194" t="n"/>
      <c r="AA580" s="25" t="n"/>
      <c r="AB580" s="25" t="n"/>
      <c r="AC580" s="195" t="n"/>
      <c r="AD580" s="25" t="n"/>
      <c r="AE580" s="25" t="n"/>
      <c r="AG580" s="25" t="n"/>
      <c r="AH580" s="25" t="n"/>
      <c r="AI580" s="394" t="n"/>
      <c r="AM580" s="48" t="n"/>
      <c r="AN580" s="48" t="n"/>
      <c r="AO580" s="48" t="n"/>
    </row>
    <row r="581">
      <c r="M581" s="25" t="n"/>
      <c r="Q581" s="25" t="n"/>
      <c r="U581" s="194" t="n"/>
      <c r="AA581" s="25" t="n"/>
      <c r="AB581" s="25" t="n"/>
      <c r="AC581" s="195" t="n"/>
      <c r="AD581" s="25" t="n"/>
      <c r="AE581" s="25" t="n"/>
      <c r="AG581" s="25" t="n"/>
      <c r="AH581" s="25" t="n"/>
      <c r="AI581" s="394" t="n"/>
      <c r="AM581" s="48" t="n"/>
      <c r="AN581" s="48" t="n"/>
      <c r="AO581" s="48" t="n"/>
    </row>
    <row r="582">
      <c r="M582" s="25" t="n"/>
      <c r="Q582" s="25" t="n"/>
      <c r="U582" s="194" t="n"/>
      <c r="AA582" s="25" t="n"/>
      <c r="AB582" s="25" t="n"/>
      <c r="AC582" s="195" t="n"/>
      <c r="AD582" s="25" t="n"/>
      <c r="AE582" s="25" t="n"/>
      <c r="AG582" s="25" t="n"/>
      <c r="AH582" s="25" t="n"/>
      <c r="AI582" s="394" t="n"/>
      <c r="AM582" s="48" t="n"/>
      <c r="AN582" s="48" t="n"/>
      <c r="AO582" s="48" t="n"/>
    </row>
    <row r="583">
      <c r="M583" s="25" t="n"/>
      <c r="Q583" s="25" t="n"/>
      <c r="U583" s="194" t="n"/>
      <c r="AA583" s="25" t="n"/>
      <c r="AB583" s="25" t="n"/>
      <c r="AC583" s="195" t="n"/>
      <c r="AD583" s="25" t="n"/>
      <c r="AE583" s="25" t="n"/>
      <c r="AG583" s="25" t="n"/>
      <c r="AH583" s="25" t="n"/>
      <c r="AI583" s="394" t="n"/>
      <c r="AM583" s="48" t="n"/>
      <c r="AN583" s="48" t="n"/>
      <c r="AO583" s="48" t="n"/>
    </row>
    <row r="584">
      <c r="M584" s="25" t="n"/>
      <c r="Q584" s="25" t="n"/>
      <c r="U584" s="194" t="n"/>
      <c r="AA584" s="25" t="n"/>
      <c r="AB584" s="25" t="n"/>
      <c r="AC584" s="195" t="n"/>
      <c r="AD584" s="25" t="n"/>
      <c r="AE584" s="25" t="n"/>
      <c r="AG584" s="25" t="n"/>
      <c r="AH584" s="25" t="n"/>
      <c r="AI584" s="394" t="n"/>
      <c r="AM584" s="48" t="n"/>
      <c r="AN584" s="48" t="n"/>
      <c r="AO584" s="48" t="n"/>
    </row>
    <row r="585">
      <c r="M585" s="25" t="n"/>
      <c r="Q585" s="25" t="n"/>
      <c r="U585" s="194" t="n"/>
      <c r="AA585" s="25" t="n"/>
      <c r="AB585" s="25" t="n"/>
      <c r="AC585" s="195" t="n"/>
      <c r="AD585" s="25" t="n"/>
      <c r="AE585" s="25" t="n"/>
      <c r="AG585" s="25" t="n"/>
      <c r="AH585" s="25" t="n"/>
      <c r="AI585" s="394" t="n"/>
      <c r="AM585" s="48" t="n"/>
      <c r="AN585" s="48" t="n"/>
      <c r="AO585" s="48" t="n"/>
    </row>
    <row r="586">
      <c r="M586" s="25" t="n"/>
      <c r="Q586" s="25" t="n"/>
      <c r="U586" s="194" t="n"/>
      <c r="AA586" s="25" t="n"/>
      <c r="AB586" s="25" t="n"/>
      <c r="AC586" s="195" t="n"/>
      <c r="AD586" s="25" t="n"/>
      <c r="AE586" s="25" t="n"/>
      <c r="AG586" s="25" t="n"/>
      <c r="AH586" s="25" t="n"/>
      <c r="AI586" s="394" t="n"/>
      <c r="AM586" s="48" t="n"/>
      <c r="AN586" s="48" t="n"/>
      <c r="AO586" s="48" t="n"/>
    </row>
    <row r="587">
      <c r="M587" s="25" t="n"/>
      <c r="Q587" s="25" t="n"/>
      <c r="U587" s="194" t="n"/>
      <c r="AA587" s="25" t="n"/>
      <c r="AB587" s="25" t="n"/>
      <c r="AC587" s="195" t="n"/>
      <c r="AD587" s="25" t="n"/>
      <c r="AE587" s="25" t="n"/>
      <c r="AG587" s="25" t="n"/>
      <c r="AH587" s="25" t="n"/>
      <c r="AI587" s="394" t="n"/>
      <c r="AM587" s="48" t="n"/>
      <c r="AN587" s="48" t="n"/>
      <c r="AO587" s="48" t="n"/>
    </row>
    <row r="588">
      <c r="M588" s="25" t="n"/>
      <c r="Q588" s="25" t="n"/>
      <c r="U588" s="194" t="n"/>
      <c r="AA588" s="25" t="n"/>
      <c r="AB588" s="25" t="n"/>
      <c r="AC588" s="195" t="n"/>
      <c r="AD588" s="25" t="n"/>
      <c r="AE588" s="25" t="n"/>
      <c r="AG588" s="25" t="n"/>
      <c r="AH588" s="25" t="n"/>
      <c r="AI588" s="394" t="n"/>
      <c r="AM588" s="48" t="n"/>
      <c r="AN588" s="48" t="n"/>
      <c r="AO588" s="48" t="n"/>
    </row>
    <row r="589">
      <c r="M589" s="25" t="n"/>
      <c r="Q589" s="25" t="n"/>
      <c r="U589" s="194" t="n"/>
      <c r="AA589" s="25" t="n"/>
      <c r="AB589" s="25" t="n"/>
      <c r="AC589" s="195" t="n"/>
      <c r="AD589" s="25" t="n"/>
      <c r="AE589" s="25" t="n"/>
      <c r="AG589" s="25" t="n"/>
      <c r="AH589" s="25" t="n"/>
      <c r="AI589" s="394" t="n"/>
      <c r="AM589" s="48" t="n"/>
      <c r="AN589" s="48" t="n"/>
      <c r="AO589" s="48" t="n"/>
    </row>
    <row r="590">
      <c r="M590" s="25" t="n"/>
      <c r="Q590" s="25" t="n"/>
      <c r="U590" s="194" t="n"/>
      <c r="AA590" s="25" t="n"/>
      <c r="AB590" s="25" t="n"/>
      <c r="AC590" s="195" t="n"/>
      <c r="AD590" s="25" t="n"/>
      <c r="AE590" s="25" t="n"/>
      <c r="AG590" s="25" t="n"/>
      <c r="AH590" s="25" t="n"/>
      <c r="AI590" s="394" t="n"/>
      <c r="AM590" s="48" t="n"/>
      <c r="AN590" s="48" t="n"/>
      <c r="AO590" s="48" t="n"/>
    </row>
    <row r="591">
      <c r="M591" s="25" t="n"/>
      <c r="Q591" s="25" t="n"/>
      <c r="U591" s="194" t="n"/>
      <c r="AA591" s="25" t="n"/>
      <c r="AB591" s="25" t="n"/>
      <c r="AC591" s="195" t="n"/>
      <c r="AD591" s="25" t="n"/>
      <c r="AE591" s="25" t="n"/>
      <c r="AG591" s="25" t="n"/>
      <c r="AH591" s="25" t="n"/>
      <c r="AI591" s="394" t="n"/>
      <c r="AM591" s="48" t="n"/>
      <c r="AN591" s="48" t="n"/>
      <c r="AO591" s="48" t="n"/>
    </row>
    <row r="592">
      <c r="M592" s="25" t="n"/>
      <c r="Q592" s="25" t="n"/>
      <c r="U592" s="194" t="n"/>
      <c r="AA592" s="25" t="n"/>
      <c r="AB592" s="25" t="n"/>
      <c r="AC592" s="195" t="n"/>
      <c r="AD592" s="25" t="n"/>
      <c r="AE592" s="25" t="n"/>
      <c r="AG592" s="25" t="n"/>
      <c r="AH592" s="25" t="n"/>
      <c r="AI592" s="394" t="n"/>
      <c r="AM592" s="48" t="n"/>
      <c r="AN592" s="48" t="n"/>
      <c r="AO592" s="48" t="n"/>
    </row>
    <row r="593">
      <c r="M593" s="25" t="n"/>
      <c r="Q593" s="25" t="n"/>
      <c r="U593" s="194" t="n"/>
      <c r="AA593" s="25" t="n"/>
      <c r="AB593" s="25" t="n"/>
      <c r="AC593" s="195" t="n"/>
      <c r="AD593" s="25" t="n"/>
      <c r="AE593" s="25" t="n"/>
      <c r="AG593" s="25" t="n"/>
      <c r="AH593" s="25" t="n"/>
      <c r="AI593" s="394" t="n"/>
      <c r="AM593" s="48" t="n"/>
      <c r="AN593" s="48" t="n"/>
      <c r="AO593" s="48" t="n"/>
    </row>
    <row r="594">
      <c r="M594" s="25" t="n"/>
      <c r="Q594" s="25" t="n"/>
      <c r="U594" s="194" t="n"/>
      <c r="AA594" s="25" t="n"/>
      <c r="AB594" s="25" t="n"/>
      <c r="AC594" s="195" t="n"/>
      <c r="AD594" s="25" t="n"/>
      <c r="AE594" s="25" t="n"/>
      <c r="AG594" s="25" t="n"/>
      <c r="AH594" s="25" t="n"/>
      <c r="AI594" s="394" t="n"/>
      <c r="AM594" s="48" t="n"/>
      <c r="AN594" s="48" t="n"/>
      <c r="AO594" s="48" t="n"/>
    </row>
    <row r="595">
      <c r="M595" s="25" t="n"/>
      <c r="Q595" s="25" t="n"/>
      <c r="U595" s="194" t="n"/>
      <c r="AA595" s="25" t="n"/>
      <c r="AB595" s="25" t="n"/>
      <c r="AC595" s="195" t="n"/>
      <c r="AD595" s="25" t="n"/>
      <c r="AE595" s="25" t="n"/>
      <c r="AG595" s="25" t="n"/>
      <c r="AH595" s="25" t="n"/>
      <c r="AI595" s="394" t="n"/>
      <c r="AM595" s="48" t="n"/>
      <c r="AN595" s="48" t="n"/>
      <c r="AO595" s="48" t="n"/>
    </row>
    <row r="596">
      <c r="M596" s="25" t="n"/>
      <c r="Q596" s="25" t="n"/>
      <c r="U596" s="194" t="n"/>
      <c r="AA596" s="25" t="n"/>
      <c r="AB596" s="25" t="n"/>
      <c r="AC596" s="195" t="n"/>
      <c r="AD596" s="25" t="n"/>
      <c r="AE596" s="25" t="n"/>
      <c r="AG596" s="25" t="n"/>
      <c r="AH596" s="25" t="n"/>
      <c r="AI596" s="394" t="n"/>
      <c r="AM596" s="48" t="n"/>
      <c r="AN596" s="48" t="n"/>
      <c r="AO596" s="48" t="n"/>
    </row>
    <row r="597">
      <c r="M597" s="25" t="n"/>
      <c r="Q597" s="25" t="n"/>
      <c r="U597" s="194" t="n"/>
      <c r="AA597" s="25" t="n"/>
      <c r="AB597" s="25" t="n"/>
      <c r="AC597" s="195" t="n"/>
      <c r="AD597" s="25" t="n"/>
      <c r="AE597" s="25" t="n"/>
      <c r="AG597" s="25" t="n"/>
      <c r="AH597" s="25" t="n"/>
      <c r="AI597" s="394" t="n"/>
      <c r="AM597" s="48" t="n"/>
      <c r="AN597" s="48" t="n"/>
      <c r="AO597" s="48" t="n"/>
    </row>
    <row r="598">
      <c r="M598" s="25" t="n"/>
      <c r="Q598" s="25" t="n"/>
      <c r="U598" s="194" t="n"/>
      <c r="AA598" s="25" t="n"/>
      <c r="AB598" s="25" t="n"/>
      <c r="AC598" s="195" t="n"/>
      <c r="AD598" s="25" t="n"/>
      <c r="AE598" s="25" t="n"/>
      <c r="AG598" s="25" t="n"/>
      <c r="AH598" s="25" t="n"/>
      <c r="AI598" s="394" t="n"/>
      <c r="AM598" s="48" t="n"/>
      <c r="AN598" s="48" t="n"/>
      <c r="AO598" s="48" t="n"/>
    </row>
    <row r="599">
      <c r="M599" s="25" t="n"/>
      <c r="Q599" s="25" t="n"/>
      <c r="U599" s="194" t="n"/>
      <c r="AA599" s="25" t="n"/>
      <c r="AB599" s="25" t="n"/>
      <c r="AC599" s="195" t="n"/>
      <c r="AD599" s="25" t="n"/>
      <c r="AE599" s="25" t="n"/>
      <c r="AG599" s="25" t="n"/>
      <c r="AH599" s="25" t="n"/>
      <c r="AI599" s="394" t="n"/>
      <c r="AM599" s="48" t="n"/>
      <c r="AN599" s="48" t="n"/>
      <c r="AO599" s="48" t="n"/>
    </row>
    <row r="600">
      <c r="M600" s="25" t="n"/>
      <c r="Q600" s="25" t="n"/>
      <c r="U600" s="194" t="n"/>
      <c r="AA600" s="25" t="n"/>
      <c r="AB600" s="25" t="n"/>
      <c r="AC600" s="195" t="n"/>
      <c r="AD600" s="25" t="n"/>
      <c r="AE600" s="25" t="n"/>
      <c r="AG600" s="25" t="n"/>
      <c r="AH600" s="25" t="n"/>
      <c r="AI600" s="394" t="n"/>
      <c r="AM600" s="48" t="n"/>
      <c r="AN600" s="48" t="n"/>
      <c r="AO600" s="48" t="n"/>
    </row>
    <row r="601">
      <c r="M601" s="25" t="n"/>
      <c r="Q601" s="25" t="n"/>
      <c r="U601" s="194" t="n"/>
      <c r="AA601" s="25" t="n"/>
      <c r="AB601" s="25" t="n"/>
      <c r="AC601" s="195" t="n"/>
      <c r="AD601" s="25" t="n"/>
      <c r="AE601" s="25" t="n"/>
      <c r="AG601" s="25" t="n"/>
      <c r="AH601" s="25" t="n"/>
      <c r="AI601" s="394" t="n"/>
      <c r="AM601" s="48" t="n"/>
      <c r="AN601" s="48" t="n"/>
      <c r="AO601" s="48" t="n"/>
    </row>
    <row r="602">
      <c r="M602" s="25" t="n"/>
      <c r="Q602" s="25" t="n"/>
      <c r="U602" s="194" t="n"/>
      <c r="AA602" s="25" t="n"/>
      <c r="AB602" s="25" t="n"/>
      <c r="AC602" s="195" t="n"/>
      <c r="AD602" s="25" t="n"/>
      <c r="AE602" s="25" t="n"/>
      <c r="AG602" s="25" t="n"/>
      <c r="AH602" s="25" t="n"/>
      <c r="AI602" s="394" t="n"/>
      <c r="AM602" s="48" t="n"/>
      <c r="AN602" s="48" t="n"/>
      <c r="AO602" s="48" t="n"/>
    </row>
    <row r="603">
      <c r="M603" s="25" t="n"/>
      <c r="Q603" s="25" t="n"/>
      <c r="U603" s="194" t="n"/>
      <c r="AA603" s="25" t="n"/>
      <c r="AB603" s="25" t="n"/>
      <c r="AC603" s="195" t="n"/>
      <c r="AD603" s="25" t="n"/>
      <c r="AE603" s="25" t="n"/>
      <c r="AG603" s="25" t="n"/>
      <c r="AH603" s="25" t="n"/>
      <c r="AI603" s="394" t="n"/>
      <c r="AM603" s="48" t="n"/>
      <c r="AN603" s="48" t="n"/>
      <c r="AO603" s="48" t="n"/>
    </row>
    <row r="604">
      <c r="M604" s="25" t="n"/>
      <c r="Q604" s="25" t="n"/>
      <c r="U604" s="194" t="n"/>
      <c r="AA604" s="25" t="n"/>
      <c r="AB604" s="25" t="n"/>
      <c r="AC604" s="195" t="n"/>
      <c r="AD604" s="25" t="n"/>
      <c r="AE604" s="25" t="n"/>
      <c r="AG604" s="25" t="n"/>
      <c r="AH604" s="25" t="n"/>
      <c r="AI604" s="394" t="n"/>
      <c r="AM604" s="48" t="n"/>
      <c r="AN604" s="48" t="n"/>
      <c r="AO604" s="48" t="n"/>
    </row>
    <row r="605">
      <c r="M605" s="25" t="n"/>
      <c r="Q605" s="25" t="n"/>
      <c r="U605" s="194" t="n"/>
      <c r="AA605" s="25" t="n"/>
      <c r="AB605" s="25" t="n"/>
      <c r="AC605" s="195" t="n"/>
      <c r="AD605" s="25" t="n"/>
      <c r="AE605" s="25" t="n"/>
      <c r="AG605" s="25" t="n"/>
      <c r="AH605" s="25" t="n"/>
      <c r="AI605" s="394" t="n"/>
      <c r="AM605" s="48" t="n"/>
      <c r="AN605" s="48" t="n"/>
      <c r="AO605" s="48" t="n"/>
    </row>
    <row r="606">
      <c r="M606" s="25" t="n"/>
      <c r="Q606" s="25" t="n"/>
      <c r="U606" s="194" t="n"/>
      <c r="AA606" s="25" t="n"/>
      <c r="AB606" s="25" t="n"/>
      <c r="AC606" s="195" t="n"/>
      <c r="AD606" s="25" t="n"/>
      <c r="AE606" s="25" t="n"/>
      <c r="AG606" s="25" t="n"/>
      <c r="AH606" s="25" t="n"/>
      <c r="AI606" s="394" t="n"/>
      <c r="AM606" s="48" t="n"/>
      <c r="AN606" s="48" t="n"/>
      <c r="AO606" s="48" t="n"/>
    </row>
    <row r="607">
      <c r="M607" s="25" t="n"/>
      <c r="Q607" s="25" t="n"/>
      <c r="U607" s="194" t="n"/>
      <c r="AA607" s="25" t="n"/>
      <c r="AB607" s="25" t="n"/>
      <c r="AC607" s="195" t="n"/>
      <c r="AD607" s="25" t="n"/>
      <c r="AE607" s="25" t="n"/>
      <c r="AG607" s="25" t="n"/>
      <c r="AH607" s="25" t="n"/>
      <c r="AI607" s="394" t="n"/>
      <c r="AM607" s="48" t="n"/>
      <c r="AN607" s="48" t="n"/>
      <c r="AO607" s="48" t="n"/>
    </row>
    <row r="608">
      <c r="M608" s="25" t="n"/>
      <c r="Q608" s="25" t="n"/>
      <c r="U608" s="194" t="n"/>
      <c r="AA608" s="25" t="n"/>
      <c r="AB608" s="25" t="n"/>
      <c r="AC608" s="195" t="n"/>
      <c r="AD608" s="25" t="n"/>
      <c r="AE608" s="25" t="n"/>
      <c r="AG608" s="25" t="n"/>
      <c r="AH608" s="25" t="n"/>
      <c r="AI608" s="394" t="n"/>
      <c r="AM608" s="48" t="n"/>
      <c r="AN608" s="48" t="n"/>
      <c r="AO608" s="48" t="n"/>
    </row>
    <row r="609">
      <c r="M609" s="25" t="n"/>
      <c r="Q609" s="25" t="n"/>
      <c r="U609" s="194" t="n"/>
      <c r="AA609" s="25" t="n"/>
      <c r="AB609" s="25" t="n"/>
      <c r="AC609" s="195" t="n"/>
      <c r="AD609" s="25" t="n"/>
      <c r="AE609" s="25" t="n"/>
      <c r="AG609" s="25" t="n"/>
      <c r="AH609" s="25" t="n"/>
      <c r="AI609" s="394" t="n"/>
      <c r="AM609" s="48" t="n"/>
      <c r="AN609" s="48" t="n"/>
      <c r="AO609" s="48" t="n"/>
    </row>
    <row r="610">
      <c r="M610" s="25" t="n"/>
      <c r="Q610" s="25" t="n"/>
      <c r="U610" s="194" t="n"/>
      <c r="AA610" s="25" t="n"/>
      <c r="AB610" s="25" t="n"/>
      <c r="AC610" s="195" t="n"/>
      <c r="AD610" s="25" t="n"/>
      <c r="AE610" s="25" t="n"/>
      <c r="AG610" s="25" t="n"/>
      <c r="AH610" s="25" t="n"/>
      <c r="AI610" s="394" t="n"/>
      <c r="AM610" s="48" t="n"/>
      <c r="AN610" s="48" t="n"/>
      <c r="AO610" s="48" t="n"/>
    </row>
    <row r="611">
      <c r="M611" s="25" t="n"/>
      <c r="Q611" s="25" t="n"/>
      <c r="U611" s="194" t="n"/>
      <c r="AA611" s="25" t="n"/>
      <c r="AB611" s="25" t="n"/>
      <c r="AC611" s="195" t="n"/>
      <c r="AD611" s="25" t="n"/>
      <c r="AE611" s="25" t="n"/>
      <c r="AG611" s="25" t="n"/>
      <c r="AH611" s="25" t="n"/>
      <c r="AI611" s="394" t="n"/>
      <c r="AM611" s="48" t="n"/>
      <c r="AN611" s="48" t="n"/>
      <c r="AO611" s="48" t="n"/>
    </row>
    <row r="612">
      <c r="M612" s="25" t="n"/>
      <c r="Q612" s="25" t="n"/>
      <c r="U612" s="194" t="n"/>
      <c r="AA612" s="25" t="n"/>
      <c r="AB612" s="25" t="n"/>
      <c r="AC612" s="195" t="n"/>
      <c r="AD612" s="25" t="n"/>
      <c r="AE612" s="25" t="n"/>
      <c r="AG612" s="25" t="n"/>
      <c r="AH612" s="25" t="n"/>
      <c r="AI612" s="394" t="n"/>
      <c r="AM612" s="48" t="n"/>
      <c r="AN612" s="48" t="n"/>
      <c r="AO612" s="48" t="n"/>
    </row>
    <row r="613">
      <c r="M613" s="25" t="n"/>
      <c r="Q613" s="25" t="n"/>
      <c r="U613" s="194" t="n"/>
      <c r="AA613" s="25" t="n"/>
      <c r="AB613" s="25" t="n"/>
      <c r="AC613" s="195" t="n"/>
      <c r="AD613" s="25" t="n"/>
      <c r="AE613" s="25" t="n"/>
      <c r="AG613" s="25" t="n"/>
      <c r="AH613" s="25" t="n"/>
      <c r="AI613" s="394" t="n"/>
      <c r="AM613" s="48" t="n"/>
      <c r="AN613" s="48" t="n"/>
      <c r="AO613" s="48" t="n"/>
    </row>
    <row r="614">
      <c r="M614" s="25" t="n"/>
      <c r="Q614" s="25" t="n"/>
      <c r="U614" s="194" t="n"/>
      <c r="AA614" s="25" t="n"/>
      <c r="AB614" s="25" t="n"/>
      <c r="AC614" s="195" t="n"/>
      <c r="AD614" s="25" t="n"/>
      <c r="AE614" s="25" t="n"/>
      <c r="AG614" s="25" t="n"/>
      <c r="AH614" s="25" t="n"/>
      <c r="AI614" s="394" t="n"/>
      <c r="AM614" s="48" t="n"/>
      <c r="AN614" s="48" t="n"/>
      <c r="AO614" s="48" t="n"/>
    </row>
    <row r="615">
      <c r="M615" s="25" t="n"/>
      <c r="Q615" s="25" t="n"/>
      <c r="U615" s="194" t="n"/>
      <c r="AA615" s="25" t="n"/>
      <c r="AB615" s="25" t="n"/>
      <c r="AC615" s="195" t="n"/>
      <c r="AD615" s="25" t="n"/>
      <c r="AE615" s="25" t="n"/>
      <c r="AG615" s="25" t="n"/>
      <c r="AH615" s="25" t="n"/>
      <c r="AI615" s="394" t="n"/>
      <c r="AM615" s="48" t="n"/>
      <c r="AN615" s="48" t="n"/>
      <c r="AO615" s="48" t="n"/>
    </row>
    <row r="616">
      <c r="M616" s="25" t="n"/>
      <c r="Q616" s="25" t="n"/>
      <c r="U616" s="194" t="n"/>
      <c r="AA616" s="25" t="n"/>
      <c r="AB616" s="25" t="n"/>
      <c r="AC616" s="195" t="n"/>
      <c r="AD616" s="25" t="n"/>
      <c r="AE616" s="25" t="n"/>
      <c r="AG616" s="25" t="n"/>
      <c r="AH616" s="25" t="n"/>
      <c r="AI616" s="394" t="n"/>
      <c r="AM616" s="48" t="n"/>
      <c r="AN616" s="48" t="n"/>
      <c r="AO616" s="48" t="n"/>
    </row>
    <row r="617">
      <c r="M617" s="25" t="n"/>
      <c r="Q617" s="25" t="n"/>
      <c r="U617" s="194" t="n"/>
      <c r="AA617" s="25" t="n"/>
      <c r="AB617" s="25" t="n"/>
      <c r="AC617" s="195" t="n"/>
      <c r="AD617" s="25" t="n"/>
      <c r="AE617" s="25" t="n"/>
      <c r="AG617" s="25" t="n"/>
      <c r="AH617" s="25" t="n"/>
      <c r="AI617" s="394" t="n"/>
      <c r="AM617" s="48" t="n"/>
      <c r="AN617" s="48" t="n"/>
      <c r="AO617" s="48" t="n"/>
    </row>
    <row r="618">
      <c r="M618" s="25" t="n"/>
      <c r="Q618" s="25" t="n"/>
      <c r="U618" s="194" t="n"/>
      <c r="AA618" s="25" t="n"/>
      <c r="AB618" s="25" t="n"/>
      <c r="AC618" s="195" t="n"/>
      <c r="AD618" s="25" t="n"/>
      <c r="AE618" s="25" t="n"/>
      <c r="AG618" s="25" t="n"/>
      <c r="AH618" s="25" t="n"/>
      <c r="AI618" s="394" t="n"/>
      <c r="AM618" s="48" t="n"/>
      <c r="AN618" s="48" t="n"/>
      <c r="AO618" s="48" t="n"/>
    </row>
    <row r="619">
      <c r="M619" s="25" t="n"/>
      <c r="Q619" s="25" t="n"/>
      <c r="U619" s="194" t="n"/>
      <c r="AA619" s="25" t="n"/>
      <c r="AB619" s="25" t="n"/>
      <c r="AC619" s="195" t="n"/>
      <c r="AD619" s="25" t="n"/>
      <c r="AE619" s="25" t="n"/>
      <c r="AG619" s="25" t="n"/>
      <c r="AH619" s="25" t="n"/>
      <c r="AI619" s="394" t="n"/>
      <c r="AM619" s="48" t="n"/>
      <c r="AN619" s="48" t="n"/>
      <c r="AO619" s="48" t="n"/>
    </row>
    <row r="620">
      <c r="M620" s="25" t="n"/>
      <c r="Q620" s="25" t="n"/>
      <c r="U620" s="194" t="n"/>
      <c r="AA620" s="25" t="n"/>
      <c r="AB620" s="25" t="n"/>
      <c r="AC620" s="195" t="n"/>
      <c r="AD620" s="25" t="n"/>
      <c r="AE620" s="25" t="n"/>
      <c r="AG620" s="25" t="n"/>
      <c r="AH620" s="25" t="n"/>
      <c r="AI620" s="394" t="n"/>
      <c r="AM620" s="48" t="n"/>
      <c r="AN620" s="48" t="n"/>
      <c r="AO620" s="48" t="n"/>
    </row>
    <row r="621">
      <c r="M621" s="25" t="n"/>
      <c r="Q621" s="25" t="n"/>
      <c r="U621" s="194" t="n"/>
      <c r="AA621" s="25" t="n"/>
      <c r="AB621" s="25" t="n"/>
      <c r="AC621" s="195" t="n"/>
      <c r="AD621" s="25" t="n"/>
      <c r="AE621" s="25" t="n"/>
      <c r="AG621" s="25" t="n"/>
      <c r="AH621" s="25" t="n"/>
      <c r="AI621" s="394" t="n"/>
      <c r="AM621" s="48" t="n"/>
      <c r="AN621" s="48" t="n"/>
      <c r="AO621" s="48" t="n"/>
    </row>
    <row r="622">
      <c r="M622" s="25" t="n"/>
      <c r="Q622" s="25" t="n"/>
      <c r="U622" s="194" t="n"/>
      <c r="AA622" s="25" t="n"/>
      <c r="AB622" s="25" t="n"/>
      <c r="AC622" s="195" t="n"/>
      <c r="AD622" s="25" t="n"/>
      <c r="AE622" s="25" t="n"/>
      <c r="AG622" s="25" t="n"/>
      <c r="AH622" s="25" t="n"/>
      <c r="AI622" s="394" t="n"/>
      <c r="AM622" s="48" t="n"/>
      <c r="AN622" s="48" t="n"/>
      <c r="AO622" s="48" t="n"/>
    </row>
    <row r="623">
      <c r="M623" s="25" t="n"/>
      <c r="Q623" s="25" t="n"/>
      <c r="U623" s="194" t="n"/>
      <c r="AA623" s="25" t="n"/>
      <c r="AB623" s="25" t="n"/>
      <c r="AC623" s="195" t="n"/>
      <c r="AD623" s="25" t="n"/>
      <c r="AE623" s="25" t="n"/>
      <c r="AG623" s="25" t="n"/>
      <c r="AH623" s="25" t="n"/>
      <c r="AI623" s="394" t="n"/>
      <c r="AM623" s="48" t="n"/>
      <c r="AN623" s="48" t="n"/>
      <c r="AO623" s="48" t="n"/>
    </row>
    <row r="624">
      <c r="M624" s="25" t="n"/>
      <c r="Q624" s="25" t="n"/>
      <c r="U624" s="194" t="n"/>
      <c r="AA624" s="25" t="n"/>
      <c r="AB624" s="25" t="n"/>
      <c r="AC624" s="195" t="n"/>
      <c r="AD624" s="25" t="n"/>
      <c r="AE624" s="25" t="n"/>
      <c r="AG624" s="25" t="n"/>
      <c r="AH624" s="25" t="n"/>
      <c r="AI624" s="394" t="n"/>
      <c r="AM624" s="48" t="n"/>
      <c r="AN624" s="48" t="n"/>
      <c r="AO624" s="48" t="n"/>
    </row>
    <row r="625">
      <c r="M625" s="25" t="n"/>
      <c r="Q625" s="25" t="n"/>
      <c r="U625" s="194" t="n"/>
      <c r="AA625" s="25" t="n"/>
      <c r="AB625" s="25" t="n"/>
      <c r="AC625" s="195" t="n"/>
      <c r="AD625" s="25" t="n"/>
      <c r="AE625" s="25" t="n"/>
      <c r="AG625" s="25" t="n"/>
      <c r="AH625" s="25" t="n"/>
      <c r="AI625" s="394" t="n"/>
      <c r="AM625" s="48" t="n"/>
      <c r="AN625" s="48" t="n"/>
      <c r="AO625" s="48" t="n"/>
    </row>
    <row r="626">
      <c r="M626" s="25" t="n"/>
      <c r="Q626" s="25" t="n"/>
      <c r="U626" s="194" t="n"/>
      <c r="AA626" s="25" t="n"/>
      <c r="AB626" s="25" t="n"/>
      <c r="AC626" s="195" t="n"/>
      <c r="AD626" s="25" t="n"/>
      <c r="AE626" s="25" t="n"/>
      <c r="AG626" s="25" t="n"/>
      <c r="AH626" s="25" t="n"/>
      <c r="AI626" s="394" t="n"/>
      <c r="AM626" s="48" t="n"/>
      <c r="AN626" s="48" t="n"/>
      <c r="AO626" s="48" t="n"/>
    </row>
    <row r="627">
      <c r="M627" s="25" t="n"/>
      <c r="Q627" s="25" t="n"/>
      <c r="U627" s="194" t="n"/>
      <c r="AA627" s="25" t="n"/>
      <c r="AB627" s="25" t="n"/>
      <c r="AC627" s="195" t="n"/>
      <c r="AD627" s="25" t="n"/>
      <c r="AE627" s="25" t="n"/>
      <c r="AG627" s="25" t="n"/>
      <c r="AH627" s="25" t="n"/>
      <c r="AI627" s="394" t="n"/>
      <c r="AM627" s="48" t="n"/>
      <c r="AN627" s="48" t="n"/>
      <c r="AO627" s="48" t="n"/>
    </row>
    <row r="628">
      <c r="M628" s="25" t="n"/>
      <c r="Q628" s="25" t="n"/>
      <c r="U628" s="194" t="n"/>
      <c r="AA628" s="25" t="n"/>
      <c r="AB628" s="25" t="n"/>
      <c r="AC628" s="195" t="n"/>
      <c r="AD628" s="25" t="n"/>
      <c r="AE628" s="25" t="n"/>
      <c r="AG628" s="25" t="n"/>
      <c r="AH628" s="25" t="n"/>
      <c r="AI628" s="394" t="n"/>
      <c r="AM628" s="48" t="n"/>
      <c r="AN628" s="48" t="n"/>
      <c r="AO628" s="48" t="n"/>
    </row>
    <row r="629">
      <c r="M629" s="25" t="n"/>
      <c r="Q629" s="25" t="n"/>
      <c r="U629" s="194" t="n"/>
      <c r="AA629" s="25" t="n"/>
      <c r="AB629" s="25" t="n"/>
      <c r="AC629" s="195" t="n"/>
      <c r="AD629" s="25" t="n"/>
      <c r="AE629" s="25" t="n"/>
      <c r="AG629" s="25" t="n"/>
      <c r="AH629" s="25" t="n"/>
      <c r="AI629" s="394" t="n"/>
      <c r="AM629" s="48" t="n"/>
      <c r="AN629" s="48" t="n"/>
      <c r="AO629" s="48" t="n"/>
    </row>
    <row r="630">
      <c r="M630" s="25" t="n"/>
      <c r="Q630" s="25" t="n"/>
      <c r="U630" s="194" t="n"/>
      <c r="AA630" s="25" t="n"/>
      <c r="AB630" s="25" t="n"/>
      <c r="AC630" s="195" t="n"/>
      <c r="AD630" s="25" t="n"/>
      <c r="AE630" s="25" t="n"/>
      <c r="AG630" s="25" t="n"/>
      <c r="AH630" s="25" t="n"/>
      <c r="AI630" s="394" t="n"/>
      <c r="AM630" s="48" t="n"/>
      <c r="AN630" s="48" t="n"/>
      <c r="AO630" s="48" t="n"/>
    </row>
    <row r="631">
      <c r="M631" s="25" t="n"/>
      <c r="Q631" s="25" t="n"/>
      <c r="U631" s="194" t="n"/>
      <c r="AA631" s="25" t="n"/>
      <c r="AB631" s="25" t="n"/>
      <c r="AC631" s="195" t="n"/>
      <c r="AD631" s="25" t="n"/>
      <c r="AE631" s="25" t="n"/>
      <c r="AG631" s="25" t="n"/>
      <c r="AH631" s="25" t="n"/>
      <c r="AI631" s="394" t="n"/>
      <c r="AM631" s="48" t="n"/>
      <c r="AN631" s="48" t="n"/>
      <c r="AO631" s="48" t="n"/>
    </row>
    <row r="632">
      <c r="M632" s="25" t="n"/>
      <c r="Q632" s="25" t="n"/>
      <c r="U632" s="194" t="n"/>
      <c r="AA632" s="25" t="n"/>
      <c r="AB632" s="25" t="n"/>
      <c r="AC632" s="195" t="n"/>
      <c r="AD632" s="25" t="n"/>
      <c r="AE632" s="25" t="n"/>
      <c r="AG632" s="25" t="n"/>
      <c r="AH632" s="25" t="n"/>
      <c r="AI632" s="394" t="n"/>
      <c r="AM632" s="48" t="n"/>
      <c r="AN632" s="48" t="n"/>
      <c r="AO632" s="48" t="n"/>
    </row>
    <row r="633">
      <c r="M633" s="25" t="n"/>
      <c r="Q633" s="25" t="n"/>
      <c r="U633" s="194" t="n"/>
      <c r="AA633" s="25" t="n"/>
      <c r="AB633" s="25" t="n"/>
      <c r="AC633" s="195" t="n"/>
      <c r="AD633" s="25" t="n"/>
      <c r="AE633" s="25" t="n"/>
      <c r="AG633" s="25" t="n"/>
      <c r="AH633" s="25" t="n"/>
      <c r="AI633" s="394" t="n"/>
      <c r="AM633" s="48" t="n"/>
      <c r="AN633" s="48" t="n"/>
      <c r="AO633" s="48" t="n"/>
    </row>
    <row r="634">
      <c r="M634" s="25" t="n"/>
      <c r="Q634" s="25" t="n"/>
      <c r="U634" s="194" t="n"/>
      <c r="AA634" s="25" t="n"/>
      <c r="AB634" s="25" t="n"/>
      <c r="AC634" s="195" t="n"/>
      <c r="AD634" s="25" t="n"/>
      <c r="AE634" s="25" t="n"/>
      <c r="AG634" s="25" t="n"/>
      <c r="AH634" s="25" t="n"/>
      <c r="AI634" s="394" t="n"/>
      <c r="AM634" s="48" t="n"/>
      <c r="AN634" s="48" t="n"/>
      <c r="AO634" s="48" t="n"/>
    </row>
    <row r="635">
      <c r="M635" s="25" t="n"/>
      <c r="Q635" s="25" t="n"/>
      <c r="U635" s="194" t="n"/>
      <c r="AA635" s="25" t="n"/>
      <c r="AB635" s="25" t="n"/>
      <c r="AC635" s="195" t="n"/>
      <c r="AD635" s="25" t="n"/>
      <c r="AE635" s="25" t="n"/>
      <c r="AG635" s="25" t="n"/>
      <c r="AH635" s="25" t="n"/>
      <c r="AI635" s="394" t="n"/>
      <c r="AM635" s="48" t="n"/>
      <c r="AN635" s="48" t="n"/>
      <c r="AO635" s="48" t="n"/>
    </row>
    <row r="636">
      <c r="M636" s="25" t="n"/>
      <c r="Q636" s="25" t="n"/>
      <c r="U636" s="194" t="n"/>
      <c r="AA636" s="25" t="n"/>
      <c r="AB636" s="25" t="n"/>
      <c r="AC636" s="195" t="n"/>
      <c r="AD636" s="25" t="n"/>
      <c r="AE636" s="25" t="n"/>
      <c r="AG636" s="25" t="n"/>
      <c r="AH636" s="25" t="n"/>
      <c r="AI636" s="394" t="n"/>
      <c r="AM636" s="48" t="n"/>
      <c r="AN636" s="48" t="n"/>
      <c r="AO636" s="48" t="n"/>
    </row>
    <row r="637">
      <c r="M637" s="25" t="n"/>
      <c r="Q637" s="25" t="n"/>
      <c r="U637" s="194" t="n"/>
      <c r="AA637" s="25" t="n"/>
      <c r="AB637" s="25" t="n"/>
      <c r="AC637" s="195" t="n"/>
      <c r="AD637" s="25" t="n"/>
      <c r="AE637" s="25" t="n"/>
      <c r="AG637" s="25" t="n"/>
      <c r="AH637" s="25" t="n"/>
      <c r="AI637" s="394" t="n"/>
      <c r="AM637" s="48" t="n"/>
      <c r="AN637" s="48" t="n"/>
      <c r="AO637" s="48" t="n"/>
    </row>
    <row r="638">
      <c r="M638" s="25" t="n"/>
      <c r="Q638" s="25" t="n"/>
      <c r="U638" s="194" t="n"/>
      <c r="AA638" s="25" t="n"/>
      <c r="AB638" s="25" t="n"/>
      <c r="AC638" s="195" t="n"/>
      <c r="AD638" s="25" t="n"/>
      <c r="AE638" s="25" t="n"/>
      <c r="AG638" s="25" t="n"/>
      <c r="AH638" s="25" t="n"/>
      <c r="AI638" s="394" t="n"/>
      <c r="AM638" s="48" t="n"/>
      <c r="AN638" s="48" t="n"/>
      <c r="AO638" s="48" t="n"/>
    </row>
    <row r="639">
      <c r="M639" s="25" t="n"/>
      <c r="Q639" s="25" t="n"/>
      <c r="U639" s="194" t="n"/>
      <c r="AA639" s="25" t="n"/>
      <c r="AB639" s="25" t="n"/>
      <c r="AC639" s="195" t="n"/>
      <c r="AD639" s="25" t="n"/>
      <c r="AE639" s="25" t="n"/>
      <c r="AG639" s="25" t="n"/>
      <c r="AH639" s="25" t="n"/>
      <c r="AI639" s="394" t="n"/>
      <c r="AM639" s="48" t="n"/>
      <c r="AN639" s="48" t="n"/>
      <c r="AO639" s="48" t="n"/>
    </row>
    <row r="640">
      <c r="M640" s="25" t="n"/>
      <c r="Q640" s="25" t="n"/>
      <c r="U640" s="194" t="n"/>
      <c r="AA640" s="25" t="n"/>
      <c r="AB640" s="25" t="n"/>
      <c r="AC640" s="195" t="n"/>
      <c r="AD640" s="25" t="n"/>
      <c r="AE640" s="25" t="n"/>
      <c r="AG640" s="25" t="n"/>
      <c r="AH640" s="25" t="n"/>
      <c r="AI640" s="394" t="n"/>
      <c r="AM640" s="48" t="n"/>
      <c r="AN640" s="48" t="n"/>
      <c r="AO640" s="48" t="n"/>
    </row>
    <row r="641">
      <c r="M641" s="25" t="n"/>
      <c r="Q641" s="25" t="n"/>
      <c r="U641" s="194" t="n"/>
      <c r="AA641" s="25" t="n"/>
      <c r="AB641" s="25" t="n"/>
      <c r="AC641" s="195" t="n"/>
      <c r="AD641" s="25" t="n"/>
      <c r="AE641" s="25" t="n"/>
      <c r="AG641" s="25" t="n"/>
      <c r="AH641" s="25" t="n"/>
      <c r="AI641" s="394" t="n"/>
      <c r="AM641" s="48" t="n"/>
      <c r="AN641" s="48" t="n"/>
      <c r="AO641" s="48" t="n"/>
    </row>
    <row r="642">
      <c r="M642" s="25" t="n"/>
      <c r="Q642" s="25" t="n"/>
      <c r="U642" s="194" t="n"/>
      <c r="AA642" s="25" t="n"/>
      <c r="AB642" s="25" t="n"/>
      <c r="AC642" s="195" t="n"/>
      <c r="AD642" s="25" t="n"/>
      <c r="AE642" s="25" t="n"/>
      <c r="AG642" s="25" t="n"/>
      <c r="AH642" s="25" t="n"/>
      <c r="AI642" s="394" t="n"/>
      <c r="AM642" s="48" t="n"/>
      <c r="AN642" s="48" t="n"/>
      <c r="AO642" s="48" t="n"/>
    </row>
    <row r="643">
      <c r="M643" s="25" t="n"/>
      <c r="Q643" s="25" t="n"/>
      <c r="U643" s="194" t="n"/>
      <c r="AA643" s="25" t="n"/>
      <c r="AB643" s="25" t="n"/>
      <c r="AC643" s="195" t="n"/>
      <c r="AD643" s="25" t="n"/>
      <c r="AE643" s="25" t="n"/>
      <c r="AG643" s="25" t="n"/>
      <c r="AH643" s="25" t="n"/>
      <c r="AI643" s="394" t="n"/>
      <c r="AM643" s="48" t="n"/>
      <c r="AN643" s="48" t="n"/>
      <c r="AO643" s="48" t="n"/>
    </row>
    <row r="644">
      <c r="M644" s="25" t="n"/>
      <c r="Q644" s="25" t="n"/>
      <c r="U644" s="194" t="n"/>
      <c r="AA644" s="25" t="n"/>
      <c r="AB644" s="25" t="n"/>
      <c r="AC644" s="195" t="n"/>
      <c r="AD644" s="25" t="n"/>
      <c r="AE644" s="25" t="n"/>
      <c r="AG644" s="25" t="n"/>
      <c r="AH644" s="25" t="n"/>
      <c r="AI644" s="394" t="n"/>
      <c r="AM644" s="48" t="n"/>
      <c r="AN644" s="48" t="n"/>
      <c r="AO644" s="48" t="n"/>
    </row>
    <row r="645">
      <c r="M645" s="25" t="n"/>
      <c r="Q645" s="25" t="n"/>
      <c r="U645" s="194" t="n"/>
      <c r="AA645" s="25" t="n"/>
      <c r="AB645" s="25" t="n"/>
      <c r="AC645" s="195" t="n"/>
      <c r="AD645" s="25" t="n"/>
      <c r="AE645" s="25" t="n"/>
      <c r="AG645" s="25" t="n"/>
      <c r="AH645" s="25" t="n"/>
      <c r="AI645" s="394" t="n"/>
      <c r="AM645" s="48" t="n"/>
      <c r="AN645" s="48" t="n"/>
      <c r="AO645" s="48" t="n"/>
    </row>
    <row r="646">
      <c r="M646" s="25" t="n"/>
      <c r="Q646" s="25" t="n"/>
      <c r="U646" s="194" t="n"/>
      <c r="AA646" s="25" t="n"/>
      <c r="AB646" s="25" t="n"/>
      <c r="AC646" s="195" t="n"/>
      <c r="AD646" s="25" t="n"/>
      <c r="AE646" s="25" t="n"/>
      <c r="AG646" s="25" t="n"/>
      <c r="AH646" s="25" t="n"/>
      <c r="AI646" s="394" t="n"/>
      <c r="AM646" s="48" t="n"/>
      <c r="AN646" s="48" t="n"/>
      <c r="AO646" s="48" t="n"/>
    </row>
    <row r="647">
      <c r="M647" s="25" t="n"/>
      <c r="Q647" s="25" t="n"/>
      <c r="U647" s="194" t="n"/>
      <c r="AA647" s="25" t="n"/>
      <c r="AB647" s="25" t="n"/>
      <c r="AC647" s="195" t="n"/>
      <c r="AD647" s="25" t="n"/>
      <c r="AE647" s="25" t="n"/>
      <c r="AG647" s="25" t="n"/>
      <c r="AH647" s="25" t="n"/>
      <c r="AI647" s="394" t="n"/>
      <c r="AM647" s="48" t="n"/>
      <c r="AN647" s="48" t="n"/>
      <c r="AO647" s="48" t="n"/>
    </row>
    <row r="648">
      <c r="M648" s="25" t="n"/>
      <c r="Q648" s="25" t="n"/>
      <c r="U648" s="194" t="n"/>
      <c r="AA648" s="25" t="n"/>
      <c r="AB648" s="25" t="n"/>
      <c r="AC648" s="195" t="n"/>
      <c r="AD648" s="25" t="n"/>
      <c r="AE648" s="25" t="n"/>
      <c r="AG648" s="25" t="n"/>
      <c r="AH648" s="25" t="n"/>
      <c r="AI648" s="394" t="n"/>
      <c r="AM648" s="48" t="n"/>
      <c r="AN648" s="48" t="n"/>
      <c r="AO648" s="48" t="n"/>
    </row>
    <row r="649">
      <c r="M649" s="25" t="n"/>
      <c r="Q649" s="25" t="n"/>
      <c r="U649" s="194" t="n"/>
      <c r="AA649" s="25" t="n"/>
      <c r="AB649" s="25" t="n"/>
      <c r="AC649" s="195" t="n"/>
      <c r="AD649" s="25" t="n"/>
      <c r="AE649" s="25" t="n"/>
      <c r="AG649" s="25" t="n"/>
      <c r="AH649" s="25" t="n"/>
      <c r="AI649" s="394" t="n"/>
      <c r="AM649" s="48" t="n"/>
      <c r="AN649" s="48" t="n"/>
      <c r="AO649" s="48" t="n"/>
    </row>
    <row r="650">
      <c r="M650" s="25" t="n"/>
      <c r="Q650" s="25" t="n"/>
      <c r="U650" s="194" t="n"/>
      <c r="AA650" s="25" t="n"/>
      <c r="AB650" s="25" t="n"/>
      <c r="AC650" s="195" t="n"/>
      <c r="AD650" s="25" t="n"/>
      <c r="AE650" s="25" t="n"/>
      <c r="AG650" s="25" t="n"/>
      <c r="AH650" s="25" t="n"/>
      <c r="AI650" s="394" t="n"/>
      <c r="AM650" s="48" t="n"/>
      <c r="AN650" s="48" t="n"/>
      <c r="AO650" s="48" t="n"/>
    </row>
    <row r="651">
      <c r="M651" s="25" t="n"/>
      <c r="Q651" s="25" t="n"/>
      <c r="U651" s="194" t="n"/>
      <c r="AA651" s="25" t="n"/>
      <c r="AB651" s="25" t="n"/>
      <c r="AC651" s="195" t="n"/>
      <c r="AD651" s="25" t="n"/>
      <c r="AE651" s="25" t="n"/>
      <c r="AG651" s="25" t="n"/>
      <c r="AH651" s="25" t="n"/>
      <c r="AI651" s="394" t="n"/>
      <c r="AM651" s="48" t="n"/>
      <c r="AN651" s="48" t="n"/>
      <c r="AO651" s="48" t="n"/>
    </row>
    <row r="652">
      <c r="M652" s="25" t="n"/>
      <c r="Q652" s="25" t="n"/>
      <c r="U652" s="194" t="n"/>
      <c r="AA652" s="25" t="n"/>
      <c r="AB652" s="25" t="n"/>
      <c r="AC652" s="195" t="n"/>
      <c r="AD652" s="25" t="n"/>
      <c r="AE652" s="25" t="n"/>
      <c r="AG652" s="25" t="n"/>
      <c r="AH652" s="25" t="n"/>
      <c r="AI652" s="394" t="n"/>
      <c r="AM652" s="48" t="n"/>
      <c r="AN652" s="48" t="n"/>
      <c r="AO652" s="48" t="n"/>
    </row>
    <row r="653">
      <c r="M653" s="25" t="n"/>
      <c r="Q653" s="25" t="n"/>
      <c r="U653" s="194" t="n"/>
      <c r="AA653" s="25" t="n"/>
      <c r="AB653" s="25" t="n"/>
      <c r="AC653" s="195" t="n"/>
      <c r="AD653" s="25" t="n"/>
      <c r="AE653" s="25" t="n"/>
      <c r="AG653" s="25" t="n"/>
      <c r="AH653" s="25" t="n"/>
      <c r="AI653" s="394" t="n"/>
      <c r="AM653" s="48" t="n"/>
      <c r="AN653" s="48" t="n"/>
      <c r="AO653" s="48" t="n"/>
    </row>
    <row r="654">
      <c r="M654" s="25" t="n"/>
      <c r="Q654" s="25" t="n"/>
      <c r="U654" s="194" t="n"/>
      <c r="AA654" s="25" t="n"/>
      <c r="AB654" s="25" t="n"/>
      <c r="AC654" s="195" t="n"/>
      <c r="AD654" s="25" t="n"/>
      <c r="AE654" s="25" t="n"/>
      <c r="AG654" s="25" t="n"/>
      <c r="AH654" s="25" t="n"/>
      <c r="AI654" s="394" t="n"/>
      <c r="AM654" s="48" t="n"/>
      <c r="AN654" s="48" t="n"/>
      <c r="AO654" s="48" t="n"/>
    </row>
    <row r="655">
      <c r="M655" s="25" t="n"/>
      <c r="Q655" s="25" t="n"/>
      <c r="U655" s="194" t="n"/>
      <c r="AA655" s="25" t="n"/>
      <c r="AB655" s="25" t="n"/>
      <c r="AC655" s="195" t="n"/>
      <c r="AD655" s="25" t="n"/>
      <c r="AE655" s="25" t="n"/>
      <c r="AG655" s="25" t="n"/>
      <c r="AH655" s="25" t="n"/>
      <c r="AI655" s="394" t="n"/>
      <c r="AM655" s="48" t="n"/>
      <c r="AN655" s="48" t="n"/>
      <c r="AO655" s="48" t="n"/>
    </row>
    <row r="656">
      <c r="M656" s="25" t="n"/>
      <c r="Q656" s="25" t="n"/>
      <c r="U656" s="194" t="n"/>
      <c r="AA656" s="25" t="n"/>
      <c r="AB656" s="25" t="n"/>
      <c r="AC656" s="195" t="n"/>
      <c r="AD656" s="25" t="n"/>
      <c r="AE656" s="25" t="n"/>
      <c r="AG656" s="25" t="n"/>
      <c r="AH656" s="25" t="n"/>
      <c r="AI656" s="394" t="n"/>
      <c r="AM656" s="48" t="n"/>
      <c r="AN656" s="48" t="n"/>
      <c r="AO656" s="48" t="n"/>
    </row>
    <row r="657">
      <c r="M657" s="25" t="n"/>
      <c r="Q657" s="25" t="n"/>
      <c r="U657" s="194" t="n"/>
      <c r="AA657" s="25" t="n"/>
      <c r="AB657" s="25" t="n"/>
      <c r="AC657" s="195" t="n"/>
      <c r="AD657" s="25" t="n"/>
      <c r="AE657" s="25" t="n"/>
      <c r="AG657" s="25" t="n"/>
      <c r="AH657" s="25" t="n"/>
      <c r="AI657" s="394" t="n"/>
      <c r="AM657" s="48" t="n"/>
      <c r="AN657" s="48" t="n"/>
      <c r="AO657" s="48" t="n"/>
    </row>
    <row r="658">
      <c r="M658" s="25" t="n"/>
      <c r="Q658" s="25" t="n"/>
      <c r="U658" s="194" t="n"/>
      <c r="AA658" s="25" t="n"/>
      <c r="AB658" s="25" t="n"/>
      <c r="AC658" s="195" t="n"/>
      <c r="AD658" s="25" t="n"/>
      <c r="AE658" s="25" t="n"/>
      <c r="AG658" s="25" t="n"/>
      <c r="AH658" s="25" t="n"/>
      <c r="AI658" s="394" t="n"/>
      <c r="AM658" s="48" t="n"/>
      <c r="AN658" s="48" t="n"/>
      <c r="AO658" s="48" t="n"/>
    </row>
    <row r="659">
      <c r="M659" s="25" t="n"/>
      <c r="Q659" s="25" t="n"/>
      <c r="U659" s="194" t="n"/>
      <c r="AA659" s="25" t="n"/>
      <c r="AB659" s="25" t="n"/>
      <c r="AC659" s="195" t="n"/>
      <c r="AD659" s="25" t="n"/>
      <c r="AE659" s="25" t="n"/>
      <c r="AG659" s="25" t="n"/>
      <c r="AH659" s="25" t="n"/>
      <c r="AI659" s="394" t="n"/>
      <c r="AM659" s="48" t="n"/>
      <c r="AN659" s="48" t="n"/>
      <c r="AO659" s="48" t="n"/>
    </row>
    <row r="660">
      <c r="M660" s="25" t="n"/>
      <c r="Q660" s="25" t="n"/>
      <c r="U660" s="194" t="n"/>
      <c r="AA660" s="25" t="n"/>
      <c r="AB660" s="25" t="n"/>
      <c r="AC660" s="195" t="n"/>
      <c r="AD660" s="25" t="n"/>
      <c r="AE660" s="25" t="n"/>
      <c r="AG660" s="25" t="n"/>
      <c r="AH660" s="25" t="n"/>
      <c r="AI660" s="394" t="n"/>
      <c r="AM660" s="48" t="n"/>
      <c r="AN660" s="48" t="n"/>
      <c r="AO660" s="48" t="n"/>
    </row>
    <row r="661">
      <c r="M661" s="25" t="n"/>
      <c r="Q661" s="25" t="n"/>
      <c r="U661" s="194" t="n"/>
      <c r="AA661" s="25" t="n"/>
      <c r="AB661" s="25" t="n"/>
      <c r="AC661" s="195" t="n"/>
      <c r="AD661" s="25" t="n"/>
      <c r="AE661" s="25" t="n"/>
      <c r="AG661" s="25" t="n"/>
      <c r="AH661" s="25" t="n"/>
      <c r="AI661" s="394" t="n"/>
      <c r="AM661" s="48" t="n"/>
      <c r="AN661" s="48" t="n"/>
      <c r="AO661" s="48" t="n"/>
    </row>
    <row r="662">
      <c r="M662" s="25" t="n"/>
      <c r="Q662" s="25" t="n"/>
      <c r="U662" s="194" t="n"/>
      <c r="AA662" s="25" t="n"/>
      <c r="AB662" s="25" t="n"/>
      <c r="AC662" s="195" t="n"/>
      <c r="AD662" s="25" t="n"/>
      <c r="AE662" s="25" t="n"/>
      <c r="AG662" s="25" t="n"/>
      <c r="AH662" s="25" t="n"/>
      <c r="AI662" s="394" t="n"/>
      <c r="AM662" s="48" t="n"/>
      <c r="AN662" s="48" t="n"/>
      <c r="AO662" s="48" t="n"/>
    </row>
    <row r="663">
      <c r="M663" s="25" t="n"/>
      <c r="Q663" s="25" t="n"/>
      <c r="U663" s="194" t="n"/>
      <c r="AA663" s="25" t="n"/>
      <c r="AB663" s="25" t="n"/>
      <c r="AC663" s="195" t="n"/>
      <c r="AD663" s="25" t="n"/>
      <c r="AE663" s="25" t="n"/>
      <c r="AG663" s="25" t="n"/>
      <c r="AH663" s="25" t="n"/>
      <c r="AI663" s="394" t="n"/>
      <c r="AM663" s="48" t="n"/>
      <c r="AN663" s="48" t="n"/>
      <c r="AO663" s="48" t="n"/>
    </row>
    <row r="664">
      <c r="M664" s="25" t="n"/>
      <c r="Q664" s="25" t="n"/>
      <c r="U664" s="194" t="n"/>
      <c r="AA664" s="25" t="n"/>
      <c r="AB664" s="25" t="n"/>
      <c r="AC664" s="195" t="n"/>
      <c r="AD664" s="25" t="n"/>
      <c r="AE664" s="25" t="n"/>
      <c r="AG664" s="25" t="n"/>
      <c r="AH664" s="25" t="n"/>
      <c r="AI664" s="394" t="n"/>
      <c r="AM664" s="48" t="n"/>
      <c r="AN664" s="48" t="n"/>
      <c r="AO664" s="48" t="n"/>
    </row>
    <row r="665">
      <c r="M665" s="25" t="n"/>
      <c r="Q665" s="25" t="n"/>
      <c r="U665" s="194" t="n"/>
      <c r="AA665" s="25" t="n"/>
      <c r="AB665" s="25" t="n"/>
      <c r="AC665" s="195" t="n"/>
      <c r="AD665" s="25" t="n"/>
      <c r="AE665" s="25" t="n"/>
      <c r="AG665" s="25" t="n"/>
      <c r="AH665" s="25" t="n"/>
      <c r="AI665" s="394" t="n"/>
      <c r="AM665" s="48" t="n"/>
      <c r="AN665" s="48" t="n"/>
      <c r="AO665" s="48" t="n"/>
    </row>
    <row r="666">
      <c r="M666" s="25" t="n"/>
      <c r="Q666" s="25" t="n"/>
      <c r="U666" s="194" t="n"/>
      <c r="AA666" s="25" t="n"/>
      <c r="AB666" s="25" t="n"/>
      <c r="AC666" s="195" t="n"/>
      <c r="AD666" s="25" t="n"/>
      <c r="AE666" s="25" t="n"/>
      <c r="AG666" s="25" t="n"/>
      <c r="AH666" s="25" t="n"/>
      <c r="AI666" s="394" t="n"/>
      <c r="AM666" s="48" t="n"/>
      <c r="AN666" s="48" t="n"/>
      <c r="AO666" s="48" t="n"/>
    </row>
    <row r="667">
      <c r="M667" s="25" t="n"/>
      <c r="Q667" s="25" t="n"/>
      <c r="U667" s="194" t="n"/>
      <c r="AA667" s="25" t="n"/>
      <c r="AB667" s="25" t="n"/>
      <c r="AC667" s="195" t="n"/>
      <c r="AD667" s="25" t="n"/>
      <c r="AE667" s="25" t="n"/>
      <c r="AG667" s="25" t="n"/>
      <c r="AH667" s="25" t="n"/>
      <c r="AI667" s="394" t="n"/>
      <c r="AM667" s="48" t="n"/>
      <c r="AN667" s="48" t="n"/>
      <c r="AO667" s="48" t="n"/>
    </row>
    <row r="668">
      <c r="M668" s="25" t="n"/>
      <c r="Q668" s="25" t="n"/>
      <c r="U668" s="194" t="n"/>
      <c r="AA668" s="25" t="n"/>
      <c r="AB668" s="25" t="n"/>
      <c r="AC668" s="195" t="n"/>
      <c r="AD668" s="25" t="n"/>
      <c r="AE668" s="25" t="n"/>
      <c r="AG668" s="25" t="n"/>
      <c r="AH668" s="25" t="n"/>
      <c r="AI668" s="394" t="n"/>
      <c r="AM668" s="48" t="n"/>
      <c r="AN668" s="48" t="n"/>
      <c r="AO668" s="48" t="n"/>
    </row>
    <row r="669">
      <c r="M669" s="25" t="n"/>
      <c r="Q669" s="25" t="n"/>
      <c r="U669" s="194" t="n"/>
      <c r="AA669" s="25" t="n"/>
      <c r="AB669" s="25" t="n"/>
      <c r="AC669" s="195" t="n"/>
      <c r="AD669" s="25" t="n"/>
      <c r="AE669" s="25" t="n"/>
      <c r="AG669" s="25" t="n"/>
      <c r="AH669" s="25" t="n"/>
      <c r="AI669" s="394" t="n"/>
      <c r="AM669" s="48" t="n"/>
      <c r="AN669" s="48" t="n"/>
      <c r="AO669" s="48" t="n"/>
    </row>
    <row r="670">
      <c r="M670" s="25" t="n"/>
      <c r="Q670" s="25" t="n"/>
      <c r="U670" s="194" t="n"/>
      <c r="AA670" s="25" t="n"/>
      <c r="AB670" s="25" t="n"/>
      <c r="AC670" s="195" t="n"/>
      <c r="AD670" s="25" t="n"/>
      <c r="AE670" s="25" t="n"/>
      <c r="AG670" s="25" t="n"/>
      <c r="AH670" s="25" t="n"/>
      <c r="AI670" s="394" t="n"/>
      <c r="AM670" s="48" t="n"/>
      <c r="AN670" s="48" t="n"/>
      <c r="AO670" s="48" t="n"/>
    </row>
    <row r="671">
      <c r="M671" s="25" t="n"/>
      <c r="Q671" s="25" t="n"/>
      <c r="U671" s="194" t="n"/>
      <c r="AA671" s="25" t="n"/>
      <c r="AB671" s="25" t="n"/>
      <c r="AC671" s="195" t="n"/>
      <c r="AD671" s="25" t="n"/>
      <c r="AE671" s="25" t="n"/>
      <c r="AG671" s="25" t="n"/>
      <c r="AH671" s="25" t="n"/>
      <c r="AI671" s="394" t="n"/>
      <c r="AM671" s="48" t="n"/>
      <c r="AN671" s="48" t="n"/>
      <c r="AO671" s="48" t="n"/>
    </row>
    <row r="672">
      <c r="M672" s="25" t="n"/>
      <c r="Q672" s="25" t="n"/>
      <c r="U672" s="194" t="n"/>
      <c r="AA672" s="25" t="n"/>
      <c r="AB672" s="25" t="n"/>
      <c r="AC672" s="195" t="n"/>
      <c r="AD672" s="25" t="n"/>
      <c r="AE672" s="25" t="n"/>
      <c r="AG672" s="25" t="n"/>
      <c r="AH672" s="25" t="n"/>
      <c r="AI672" s="394" t="n"/>
      <c r="AM672" s="48" t="n"/>
      <c r="AN672" s="48" t="n"/>
      <c r="AO672" s="48" t="n"/>
    </row>
    <row r="673">
      <c r="M673" s="25" t="n"/>
      <c r="Q673" s="25" t="n"/>
      <c r="U673" s="194" t="n"/>
      <c r="AA673" s="25" t="n"/>
      <c r="AB673" s="25" t="n"/>
      <c r="AC673" s="195" t="n"/>
      <c r="AD673" s="25" t="n"/>
      <c r="AE673" s="25" t="n"/>
      <c r="AG673" s="25" t="n"/>
      <c r="AH673" s="25" t="n"/>
      <c r="AI673" s="394" t="n"/>
      <c r="AM673" s="48" t="n"/>
      <c r="AN673" s="48" t="n"/>
      <c r="AO673" s="48" t="n"/>
    </row>
    <row r="674">
      <c r="M674" s="25" t="n"/>
      <c r="Q674" s="25" t="n"/>
      <c r="U674" s="194" t="n"/>
      <c r="AA674" s="25" t="n"/>
      <c r="AB674" s="25" t="n"/>
      <c r="AC674" s="195" t="n"/>
      <c r="AD674" s="25" t="n"/>
      <c r="AE674" s="25" t="n"/>
      <c r="AG674" s="25" t="n"/>
      <c r="AH674" s="25" t="n"/>
      <c r="AI674" s="394" t="n"/>
      <c r="AM674" s="48" t="n"/>
      <c r="AN674" s="48" t="n"/>
      <c r="AO674" s="48" t="n"/>
    </row>
    <row r="675">
      <c r="M675" s="25" t="n"/>
      <c r="Q675" s="25" t="n"/>
      <c r="U675" s="194" t="n"/>
      <c r="AA675" s="25" t="n"/>
      <c r="AB675" s="25" t="n"/>
      <c r="AC675" s="195" t="n"/>
      <c r="AD675" s="25" t="n"/>
      <c r="AE675" s="25" t="n"/>
      <c r="AG675" s="25" t="n"/>
      <c r="AH675" s="25" t="n"/>
      <c r="AI675" s="394" t="n"/>
      <c r="AM675" s="48" t="n"/>
      <c r="AN675" s="48" t="n"/>
      <c r="AO675" s="48" t="n"/>
    </row>
    <row r="676">
      <c r="M676" s="25" t="n"/>
      <c r="Q676" s="25" t="n"/>
      <c r="U676" s="194" t="n"/>
      <c r="AA676" s="25" t="n"/>
      <c r="AB676" s="25" t="n"/>
      <c r="AC676" s="195" t="n"/>
      <c r="AD676" s="25" t="n"/>
      <c r="AE676" s="25" t="n"/>
      <c r="AG676" s="25" t="n"/>
      <c r="AH676" s="25" t="n"/>
      <c r="AI676" s="394" t="n"/>
      <c r="AM676" s="48" t="n"/>
      <c r="AN676" s="48" t="n"/>
      <c r="AO676" s="48" t="n"/>
    </row>
    <row r="677">
      <c r="M677" s="25" t="n"/>
      <c r="Q677" s="25" t="n"/>
      <c r="U677" s="194" t="n"/>
      <c r="AA677" s="25" t="n"/>
      <c r="AB677" s="25" t="n"/>
      <c r="AC677" s="195" t="n"/>
      <c r="AD677" s="25" t="n"/>
      <c r="AE677" s="25" t="n"/>
      <c r="AG677" s="25" t="n"/>
      <c r="AH677" s="25" t="n"/>
      <c r="AI677" s="394" t="n"/>
      <c r="AM677" s="48" t="n"/>
      <c r="AN677" s="48" t="n"/>
      <c r="AO677" s="48" t="n"/>
    </row>
    <row r="678">
      <c r="M678" s="25" t="n"/>
      <c r="Q678" s="25" t="n"/>
      <c r="U678" s="194" t="n"/>
      <c r="AA678" s="25" t="n"/>
      <c r="AB678" s="25" t="n"/>
      <c r="AC678" s="195" t="n"/>
      <c r="AD678" s="25" t="n"/>
      <c r="AE678" s="25" t="n"/>
      <c r="AG678" s="25" t="n"/>
      <c r="AH678" s="25" t="n"/>
      <c r="AI678" s="394" t="n"/>
      <c r="AM678" s="48" t="n"/>
      <c r="AN678" s="48" t="n"/>
      <c r="AO678" s="48" t="n"/>
    </row>
    <row r="679">
      <c r="M679" s="25" t="n"/>
      <c r="Q679" s="25" t="n"/>
      <c r="U679" s="194" t="n"/>
      <c r="AA679" s="25" t="n"/>
      <c r="AB679" s="25" t="n"/>
      <c r="AC679" s="195" t="n"/>
      <c r="AD679" s="25" t="n"/>
      <c r="AE679" s="25" t="n"/>
      <c r="AG679" s="25" t="n"/>
      <c r="AH679" s="25" t="n"/>
      <c r="AI679" s="394" t="n"/>
      <c r="AM679" s="48" t="n"/>
      <c r="AN679" s="48" t="n"/>
      <c r="AO679" s="48" t="n"/>
    </row>
    <row r="680">
      <c r="M680" s="25" t="n"/>
      <c r="Q680" s="25" t="n"/>
      <c r="U680" s="194" t="n"/>
      <c r="AA680" s="25" t="n"/>
      <c r="AB680" s="25" t="n"/>
      <c r="AC680" s="195" t="n"/>
      <c r="AD680" s="25" t="n"/>
      <c r="AE680" s="25" t="n"/>
      <c r="AG680" s="25" t="n"/>
      <c r="AH680" s="25" t="n"/>
      <c r="AI680" s="394" t="n"/>
      <c r="AM680" s="48" t="n"/>
      <c r="AN680" s="48" t="n"/>
      <c r="AO680" s="48" t="n"/>
    </row>
    <row r="681">
      <c r="M681" s="25" t="n"/>
      <c r="Q681" s="25" t="n"/>
      <c r="U681" s="194" t="n"/>
      <c r="AA681" s="25" t="n"/>
      <c r="AB681" s="25" t="n"/>
      <c r="AC681" s="195" t="n"/>
      <c r="AD681" s="25" t="n"/>
      <c r="AE681" s="25" t="n"/>
      <c r="AG681" s="25" t="n"/>
      <c r="AH681" s="25" t="n"/>
      <c r="AI681" s="394" t="n"/>
      <c r="AM681" s="48" t="n"/>
      <c r="AN681" s="48" t="n"/>
      <c r="AO681" s="48" t="n"/>
    </row>
    <row r="682">
      <c r="M682" s="25" t="n"/>
      <c r="Q682" s="25" t="n"/>
      <c r="U682" s="194" t="n"/>
      <c r="AA682" s="25" t="n"/>
      <c r="AB682" s="25" t="n"/>
      <c r="AC682" s="195" t="n"/>
      <c r="AD682" s="25" t="n"/>
      <c r="AE682" s="25" t="n"/>
      <c r="AG682" s="25" t="n"/>
      <c r="AH682" s="25" t="n"/>
      <c r="AI682" s="394" t="n"/>
      <c r="AM682" s="48" t="n"/>
      <c r="AN682" s="48" t="n"/>
      <c r="AO682" s="48" t="n"/>
    </row>
    <row r="683">
      <c r="M683" s="25" t="n"/>
      <c r="Q683" s="25" t="n"/>
      <c r="U683" s="194" t="n"/>
      <c r="AA683" s="25" t="n"/>
      <c r="AB683" s="25" t="n"/>
      <c r="AC683" s="195" t="n"/>
      <c r="AD683" s="25" t="n"/>
      <c r="AE683" s="25" t="n"/>
      <c r="AG683" s="25" t="n"/>
      <c r="AH683" s="25" t="n"/>
      <c r="AI683" s="394" t="n"/>
      <c r="AM683" s="48" t="n"/>
      <c r="AN683" s="48" t="n"/>
      <c r="AO683" s="48" t="n"/>
    </row>
    <row r="684">
      <c r="M684" s="25" t="n"/>
      <c r="Q684" s="25" t="n"/>
      <c r="U684" s="194" t="n"/>
      <c r="AA684" s="25" t="n"/>
      <c r="AB684" s="25" t="n"/>
      <c r="AC684" s="195" t="n"/>
      <c r="AD684" s="25" t="n"/>
      <c r="AE684" s="25" t="n"/>
      <c r="AG684" s="25" t="n"/>
      <c r="AH684" s="25" t="n"/>
      <c r="AI684" s="394" t="n"/>
      <c r="AM684" s="48" t="n"/>
      <c r="AN684" s="48" t="n"/>
      <c r="AO684" s="48" t="n"/>
    </row>
    <row r="685">
      <c r="M685" s="25" t="n"/>
      <c r="Q685" s="25" t="n"/>
      <c r="U685" s="194" t="n"/>
      <c r="AA685" s="25" t="n"/>
      <c r="AB685" s="25" t="n"/>
      <c r="AC685" s="195" t="n"/>
      <c r="AD685" s="25" t="n"/>
      <c r="AE685" s="25" t="n"/>
      <c r="AG685" s="25" t="n"/>
      <c r="AH685" s="25" t="n"/>
      <c r="AI685" s="394" t="n"/>
      <c r="AM685" s="48" t="n"/>
      <c r="AN685" s="48" t="n"/>
      <c r="AO685" s="48" t="n"/>
    </row>
    <row r="686">
      <c r="M686" s="25" t="n"/>
      <c r="Q686" s="25" t="n"/>
      <c r="U686" s="194" t="n"/>
      <c r="AA686" s="25" t="n"/>
      <c r="AB686" s="25" t="n"/>
      <c r="AC686" s="195" t="n"/>
      <c r="AD686" s="25" t="n"/>
      <c r="AE686" s="25" t="n"/>
      <c r="AG686" s="25" t="n"/>
      <c r="AH686" s="25" t="n"/>
      <c r="AI686" s="394" t="n"/>
      <c r="AM686" s="48" t="n"/>
      <c r="AN686" s="48" t="n"/>
      <c r="AO686" s="48" t="n"/>
    </row>
    <row r="687">
      <c r="M687" s="25" t="n"/>
      <c r="Q687" s="25" t="n"/>
      <c r="U687" s="194" t="n"/>
      <c r="AA687" s="25" t="n"/>
      <c r="AB687" s="25" t="n"/>
      <c r="AC687" s="195" t="n"/>
      <c r="AD687" s="25" t="n"/>
      <c r="AE687" s="25" t="n"/>
      <c r="AG687" s="25" t="n"/>
      <c r="AH687" s="25" t="n"/>
      <c r="AI687" s="394" t="n"/>
      <c r="AM687" s="48" t="n"/>
      <c r="AN687" s="48" t="n"/>
      <c r="AO687" s="48" t="n"/>
    </row>
    <row r="688">
      <c r="M688" s="25" t="n"/>
      <c r="Q688" s="25" t="n"/>
      <c r="U688" s="194" t="n"/>
      <c r="AA688" s="25" t="n"/>
      <c r="AB688" s="25" t="n"/>
      <c r="AC688" s="195" t="n"/>
      <c r="AD688" s="25" t="n"/>
      <c r="AE688" s="25" t="n"/>
      <c r="AG688" s="25" t="n"/>
      <c r="AH688" s="25" t="n"/>
      <c r="AI688" s="394" t="n"/>
      <c r="AM688" s="48" t="n"/>
      <c r="AN688" s="48" t="n"/>
      <c r="AO688" s="48" t="n"/>
    </row>
    <row r="689">
      <c r="M689" s="25" t="n"/>
      <c r="Q689" s="25" t="n"/>
      <c r="U689" s="194" t="n"/>
      <c r="AA689" s="25" t="n"/>
      <c r="AB689" s="25" t="n"/>
      <c r="AC689" s="195" t="n"/>
      <c r="AD689" s="25" t="n"/>
      <c r="AE689" s="25" t="n"/>
      <c r="AG689" s="25" t="n"/>
      <c r="AH689" s="25" t="n"/>
      <c r="AI689" s="394" t="n"/>
      <c r="AM689" s="48" t="n"/>
      <c r="AN689" s="48" t="n"/>
      <c r="AO689" s="48" t="n"/>
    </row>
    <row r="690">
      <c r="M690" s="25" t="n"/>
      <c r="Q690" s="25" t="n"/>
      <c r="U690" s="194" t="n"/>
      <c r="AA690" s="25" t="n"/>
      <c r="AB690" s="25" t="n"/>
      <c r="AC690" s="195" t="n"/>
      <c r="AD690" s="25" t="n"/>
      <c r="AE690" s="25" t="n"/>
      <c r="AG690" s="25" t="n"/>
      <c r="AH690" s="25" t="n"/>
      <c r="AI690" s="394" t="n"/>
      <c r="AM690" s="48" t="n"/>
      <c r="AN690" s="48" t="n"/>
      <c r="AO690" s="48" t="n"/>
    </row>
    <row r="691">
      <c r="M691" s="25" t="n"/>
      <c r="Q691" s="25" t="n"/>
      <c r="U691" s="194" t="n"/>
      <c r="AA691" s="25" t="n"/>
      <c r="AB691" s="25" t="n"/>
      <c r="AC691" s="195" t="n"/>
      <c r="AD691" s="25" t="n"/>
      <c r="AE691" s="25" t="n"/>
      <c r="AG691" s="25" t="n"/>
      <c r="AH691" s="25" t="n"/>
      <c r="AI691" s="394" t="n"/>
      <c r="AM691" s="48" t="n"/>
      <c r="AN691" s="48" t="n"/>
      <c r="AO691" s="48" t="n"/>
    </row>
    <row r="692">
      <c r="M692" s="25" t="n"/>
      <c r="Q692" s="25" t="n"/>
      <c r="U692" s="194" t="n"/>
      <c r="AA692" s="25" t="n"/>
      <c r="AB692" s="25" t="n"/>
      <c r="AC692" s="195" t="n"/>
      <c r="AD692" s="25" t="n"/>
      <c r="AE692" s="25" t="n"/>
      <c r="AG692" s="25" t="n"/>
      <c r="AH692" s="25" t="n"/>
      <c r="AI692" s="394" t="n"/>
      <c r="AM692" s="48" t="n"/>
      <c r="AN692" s="48" t="n"/>
      <c r="AO692" s="48" t="n"/>
    </row>
    <row r="693">
      <c r="M693" s="25" t="n"/>
      <c r="Q693" s="25" t="n"/>
      <c r="U693" s="194" t="n"/>
      <c r="AA693" s="25" t="n"/>
      <c r="AB693" s="25" t="n"/>
      <c r="AC693" s="195" t="n"/>
      <c r="AD693" s="25" t="n"/>
      <c r="AE693" s="25" t="n"/>
      <c r="AG693" s="25" t="n"/>
      <c r="AH693" s="25" t="n"/>
      <c r="AI693" s="394" t="n"/>
      <c r="AM693" s="48" t="n"/>
      <c r="AN693" s="48" t="n"/>
      <c r="AO693" s="48" t="n"/>
    </row>
    <row r="694">
      <c r="M694" s="25" t="n"/>
      <c r="Q694" s="25" t="n"/>
      <c r="U694" s="194" t="n"/>
      <c r="AA694" s="25" t="n"/>
      <c r="AB694" s="25" t="n"/>
      <c r="AC694" s="195" t="n"/>
      <c r="AD694" s="25" t="n"/>
      <c r="AE694" s="25" t="n"/>
      <c r="AG694" s="25" t="n"/>
      <c r="AH694" s="25" t="n"/>
      <c r="AI694" s="394" t="n"/>
      <c r="AM694" s="48" t="n"/>
      <c r="AN694" s="48" t="n"/>
      <c r="AO694" s="48" t="n"/>
    </row>
    <row r="695">
      <c r="M695" s="25" t="n"/>
      <c r="Q695" s="25" t="n"/>
      <c r="U695" s="194" t="n"/>
      <c r="AA695" s="25" t="n"/>
      <c r="AB695" s="25" t="n"/>
      <c r="AC695" s="195" t="n"/>
      <c r="AD695" s="25" t="n"/>
      <c r="AE695" s="25" t="n"/>
      <c r="AG695" s="25" t="n"/>
      <c r="AH695" s="25" t="n"/>
      <c r="AI695" s="394" t="n"/>
      <c r="AM695" s="48" t="n"/>
      <c r="AN695" s="48" t="n"/>
      <c r="AO695" s="48" t="n"/>
    </row>
    <row r="696">
      <c r="M696" s="25" t="n"/>
      <c r="Q696" s="25" t="n"/>
      <c r="U696" s="194" t="n"/>
      <c r="AA696" s="25" t="n"/>
      <c r="AB696" s="25" t="n"/>
      <c r="AC696" s="195" t="n"/>
      <c r="AD696" s="25" t="n"/>
      <c r="AE696" s="25" t="n"/>
      <c r="AG696" s="25" t="n"/>
      <c r="AH696" s="25" t="n"/>
      <c r="AI696" s="394" t="n"/>
      <c r="AM696" s="48" t="n"/>
      <c r="AN696" s="48" t="n"/>
      <c r="AO696" s="48" t="n"/>
    </row>
    <row r="697">
      <c r="M697" s="25" t="n"/>
      <c r="Q697" s="25" t="n"/>
      <c r="U697" s="194" t="n"/>
      <c r="AA697" s="25" t="n"/>
      <c r="AB697" s="25" t="n"/>
      <c r="AC697" s="195" t="n"/>
      <c r="AD697" s="25" t="n"/>
      <c r="AE697" s="25" t="n"/>
      <c r="AG697" s="25" t="n"/>
      <c r="AH697" s="25" t="n"/>
      <c r="AI697" s="394" t="n"/>
      <c r="AM697" s="48" t="n"/>
      <c r="AN697" s="48" t="n"/>
      <c r="AO697" s="48" t="n"/>
    </row>
    <row r="698">
      <c r="M698" s="25" t="n"/>
      <c r="Q698" s="25" t="n"/>
      <c r="U698" s="194" t="n"/>
      <c r="AA698" s="25" t="n"/>
      <c r="AB698" s="25" t="n"/>
      <c r="AC698" s="195" t="n"/>
      <c r="AD698" s="25" t="n"/>
      <c r="AE698" s="25" t="n"/>
      <c r="AG698" s="25" t="n"/>
      <c r="AH698" s="25" t="n"/>
      <c r="AI698" s="394" t="n"/>
      <c r="AM698" s="48" t="n"/>
      <c r="AN698" s="48" t="n"/>
      <c r="AO698" s="48" t="n"/>
    </row>
    <row r="699">
      <c r="M699" s="25" t="n"/>
      <c r="Q699" s="25" t="n"/>
      <c r="U699" s="194" t="n"/>
      <c r="AA699" s="25" t="n"/>
      <c r="AB699" s="25" t="n"/>
      <c r="AC699" s="195" t="n"/>
      <c r="AD699" s="25" t="n"/>
      <c r="AE699" s="25" t="n"/>
      <c r="AG699" s="25" t="n"/>
      <c r="AH699" s="25" t="n"/>
      <c r="AI699" s="394" t="n"/>
      <c r="AM699" s="48" t="n"/>
      <c r="AN699" s="48" t="n"/>
      <c r="AO699" s="48" t="n"/>
    </row>
    <row r="700">
      <c r="M700" s="25" t="n"/>
      <c r="Q700" s="25" t="n"/>
      <c r="U700" s="194" t="n"/>
      <c r="AA700" s="25" t="n"/>
      <c r="AB700" s="25" t="n"/>
      <c r="AC700" s="195" t="n"/>
      <c r="AD700" s="25" t="n"/>
      <c r="AE700" s="25" t="n"/>
      <c r="AG700" s="25" t="n"/>
      <c r="AH700" s="25" t="n"/>
      <c r="AI700" s="394" t="n"/>
      <c r="AM700" s="48" t="n"/>
      <c r="AN700" s="48" t="n"/>
      <c r="AO700" s="48" t="n"/>
    </row>
    <row r="701">
      <c r="M701" s="25" t="n"/>
      <c r="Q701" s="25" t="n"/>
      <c r="U701" s="194" t="n"/>
      <c r="AA701" s="25" t="n"/>
      <c r="AB701" s="25" t="n"/>
      <c r="AC701" s="195" t="n"/>
      <c r="AD701" s="25" t="n"/>
      <c r="AE701" s="25" t="n"/>
      <c r="AG701" s="25" t="n"/>
      <c r="AH701" s="25" t="n"/>
      <c r="AI701" s="394" t="n"/>
      <c r="AM701" s="48" t="n"/>
      <c r="AN701" s="48" t="n"/>
      <c r="AO701" s="48" t="n"/>
    </row>
    <row r="702">
      <c r="M702" s="25" t="n"/>
      <c r="Q702" s="25" t="n"/>
      <c r="U702" s="194" t="n"/>
      <c r="AA702" s="25" t="n"/>
      <c r="AB702" s="25" t="n"/>
      <c r="AC702" s="195" t="n"/>
      <c r="AD702" s="25" t="n"/>
      <c r="AE702" s="25" t="n"/>
      <c r="AG702" s="25" t="n"/>
      <c r="AH702" s="25" t="n"/>
      <c r="AI702" s="394" t="n"/>
      <c r="AM702" s="48" t="n"/>
      <c r="AN702" s="48" t="n"/>
      <c r="AO702" s="48" t="n"/>
    </row>
    <row r="703">
      <c r="M703" s="25" t="n"/>
      <c r="Q703" s="25" t="n"/>
      <c r="U703" s="194" t="n"/>
      <c r="AA703" s="25" t="n"/>
      <c r="AB703" s="25" t="n"/>
      <c r="AC703" s="195" t="n"/>
      <c r="AD703" s="25" t="n"/>
      <c r="AE703" s="25" t="n"/>
      <c r="AG703" s="25" t="n"/>
      <c r="AH703" s="25" t="n"/>
      <c r="AI703" s="394" t="n"/>
      <c r="AM703" s="48" t="n"/>
      <c r="AN703" s="48" t="n"/>
      <c r="AO703" s="48" t="n"/>
    </row>
    <row r="704">
      <c r="M704" s="25" t="n"/>
      <c r="Q704" s="25" t="n"/>
      <c r="U704" s="194" t="n"/>
      <c r="AA704" s="25" t="n"/>
      <c r="AB704" s="25" t="n"/>
      <c r="AC704" s="195" t="n"/>
      <c r="AD704" s="25" t="n"/>
      <c r="AE704" s="25" t="n"/>
      <c r="AG704" s="25" t="n"/>
      <c r="AH704" s="25" t="n"/>
      <c r="AI704" s="394" t="n"/>
      <c r="AM704" s="48" t="n"/>
      <c r="AN704" s="48" t="n"/>
      <c r="AO704" s="48" t="n"/>
    </row>
    <row r="705">
      <c r="M705" s="25" t="n"/>
      <c r="Q705" s="25" t="n"/>
      <c r="U705" s="194" t="n"/>
      <c r="AA705" s="25" t="n"/>
      <c r="AB705" s="25" t="n"/>
      <c r="AC705" s="195" t="n"/>
      <c r="AD705" s="25" t="n"/>
      <c r="AE705" s="25" t="n"/>
      <c r="AG705" s="25" t="n"/>
      <c r="AH705" s="25" t="n"/>
      <c r="AI705" s="394" t="n"/>
      <c r="AM705" s="48" t="n"/>
      <c r="AN705" s="48" t="n"/>
      <c r="AO705" s="48" t="n"/>
    </row>
    <row r="706">
      <c r="M706" s="25" t="n"/>
      <c r="Q706" s="25" t="n"/>
      <c r="U706" s="194" t="n"/>
      <c r="AA706" s="25" t="n"/>
      <c r="AB706" s="25" t="n"/>
      <c r="AC706" s="195" t="n"/>
      <c r="AD706" s="25" t="n"/>
      <c r="AE706" s="25" t="n"/>
      <c r="AG706" s="25" t="n"/>
      <c r="AH706" s="25" t="n"/>
      <c r="AI706" s="394" t="n"/>
      <c r="AM706" s="48" t="n"/>
      <c r="AN706" s="48" t="n"/>
      <c r="AO706" s="48" t="n"/>
    </row>
    <row r="707">
      <c r="M707" s="25" t="n"/>
      <c r="Q707" s="25" t="n"/>
      <c r="U707" s="194" t="n"/>
      <c r="AA707" s="25" t="n"/>
      <c r="AB707" s="25" t="n"/>
      <c r="AC707" s="195" t="n"/>
      <c r="AD707" s="25" t="n"/>
      <c r="AE707" s="25" t="n"/>
      <c r="AG707" s="25" t="n"/>
      <c r="AH707" s="25" t="n"/>
      <c r="AI707" s="394" t="n"/>
      <c r="AM707" s="48" t="n"/>
      <c r="AN707" s="48" t="n"/>
      <c r="AO707" s="48" t="n"/>
    </row>
    <row r="708">
      <c r="M708" s="25" t="n"/>
      <c r="Q708" s="25" t="n"/>
      <c r="U708" s="194" t="n"/>
      <c r="AA708" s="25" t="n"/>
      <c r="AB708" s="25" t="n"/>
      <c r="AC708" s="195" t="n"/>
      <c r="AD708" s="25" t="n"/>
      <c r="AE708" s="25" t="n"/>
      <c r="AG708" s="25" t="n"/>
      <c r="AH708" s="25" t="n"/>
      <c r="AI708" s="394" t="n"/>
      <c r="AM708" s="48" t="n"/>
      <c r="AN708" s="48" t="n"/>
      <c r="AO708" s="48" t="n"/>
    </row>
    <row r="709">
      <c r="M709" s="25" t="n"/>
      <c r="Q709" s="25" t="n"/>
      <c r="U709" s="194" t="n"/>
      <c r="AA709" s="25" t="n"/>
      <c r="AB709" s="25" t="n"/>
      <c r="AC709" s="195" t="n"/>
      <c r="AD709" s="25" t="n"/>
      <c r="AE709" s="25" t="n"/>
      <c r="AG709" s="25" t="n"/>
      <c r="AH709" s="25" t="n"/>
      <c r="AI709" s="394" t="n"/>
      <c r="AM709" s="48" t="n"/>
      <c r="AN709" s="48" t="n"/>
      <c r="AO709" s="48" t="n"/>
    </row>
    <row r="710">
      <c r="M710" s="25" t="n"/>
      <c r="Q710" s="25" t="n"/>
      <c r="U710" s="194" t="n"/>
      <c r="AA710" s="25" t="n"/>
      <c r="AB710" s="25" t="n"/>
      <c r="AC710" s="195" t="n"/>
      <c r="AD710" s="25" t="n"/>
      <c r="AE710" s="25" t="n"/>
      <c r="AG710" s="25" t="n"/>
      <c r="AH710" s="25" t="n"/>
      <c r="AI710" s="394" t="n"/>
      <c r="AM710" s="48" t="n"/>
      <c r="AN710" s="48" t="n"/>
      <c r="AO710" s="48" t="n"/>
    </row>
    <row r="711">
      <c r="M711" s="25" t="n"/>
      <c r="Q711" s="25" t="n"/>
      <c r="U711" s="194" t="n"/>
      <c r="AA711" s="25" t="n"/>
      <c r="AB711" s="25" t="n"/>
      <c r="AC711" s="195" t="n"/>
      <c r="AD711" s="25" t="n"/>
      <c r="AE711" s="25" t="n"/>
      <c r="AG711" s="25" t="n"/>
      <c r="AH711" s="25" t="n"/>
      <c r="AI711" s="394" t="n"/>
      <c r="AM711" s="48" t="n"/>
      <c r="AN711" s="48" t="n"/>
      <c r="AO711" s="48" t="n"/>
    </row>
    <row r="712">
      <c r="M712" s="25" t="n"/>
      <c r="Q712" s="25" t="n"/>
      <c r="U712" s="194" t="n"/>
      <c r="AA712" s="25" t="n"/>
      <c r="AB712" s="25" t="n"/>
      <c r="AC712" s="195" t="n"/>
      <c r="AD712" s="25" t="n"/>
      <c r="AE712" s="25" t="n"/>
      <c r="AG712" s="25" t="n"/>
      <c r="AH712" s="25" t="n"/>
      <c r="AI712" s="394" t="n"/>
      <c r="AM712" s="48" t="n"/>
      <c r="AN712" s="48" t="n"/>
      <c r="AO712" s="48" t="n"/>
    </row>
    <row r="713">
      <c r="M713" s="25" t="n"/>
      <c r="Q713" s="25" t="n"/>
      <c r="U713" s="194" t="n"/>
      <c r="AA713" s="25" t="n"/>
      <c r="AB713" s="25" t="n"/>
      <c r="AC713" s="195" t="n"/>
      <c r="AD713" s="25" t="n"/>
      <c r="AE713" s="25" t="n"/>
      <c r="AG713" s="25" t="n"/>
      <c r="AH713" s="25" t="n"/>
      <c r="AI713" s="394" t="n"/>
      <c r="AM713" s="48" t="n"/>
      <c r="AN713" s="48" t="n"/>
      <c r="AO713" s="48" t="n"/>
    </row>
    <row r="714">
      <c r="M714" s="25" t="n"/>
      <c r="Q714" s="25" t="n"/>
      <c r="U714" s="194" t="n"/>
      <c r="AA714" s="25" t="n"/>
      <c r="AB714" s="25" t="n"/>
      <c r="AC714" s="195" t="n"/>
      <c r="AD714" s="25" t="n"/>
      <c r="AE714" s="25" t="n"/>
      <c r="AG714" s="25" t="n"/>
      <c r="AH714" s="25" t="n"/>
      <c r="AI714" s="394" t="n"/>
      <c r="AM714" s="48" t="n"/>
      <c r="AN714" s="48" t="n"/>
      <c r="AO714" s="48" t="n"/>
    </row>
    <row r="715">
      <c r="M715" s="25" t="n"/>
      <c r="Q715" s="25" t="n"/>
      <c r="U715" s="194" t="n"/>
      <c r="AA715" s="25" t="n"/>
      <c r="AB715" s="25" t="n"/>
      <c r="AC715" s="195" t="n"/>
      <c r="AD715" s="25" t="n"/>
      <c r="AE715" s="25" t="n"/>
      <c r="AG715" s="25" t="n"/>
      <c r="AH715" s="25" t="n"/>
      <c r="AI715" s="394" t="n"/>
      <c r="AM715" s="48" t="n"/>
      <c r="AN715" s="48" t="n"/>
      <c r="AO715" s="48" t="n"/>
    </row>
    <row r="716">
      <c r="M716" s="25" t="n"/>
      <c r="Q716" s="25" t="n"/>
      <c r="U716" s="194" t="n"/>
      <c r="AA716" s="25" t="n"/>
      <c r="AB716" s="25" t="n"/>
      <c r="AC716" s="195" t="n"/>
      <c r="AD716" s="25" t="n"/>
      <c r="AE716" s="25" t="n"/>
      <c r="AG716" s="25" t="n"/>
      <c r="AH716" s="25" t="n"/>
      <c r="AI716" s="394" t="n"/>
      <c r="AM716" s="48" t="n"/>
      <c r="AN716" s="48" t="n"/>
      <c r="AO716" s="48" t="n"/>
    </row>
    <row r="717">
      <c r="M717" s="25" t="n"/>
      <c r="Q717" s="25" t="n"/>
      <c r="U717" s="194" t="n"/>
      <c r="AA717" s="25" t="n"/>
      <c r="AB717" s="25" t="n"/>
      <c r="AC717" s="195" t="n"/>
      <c r="AD717" s="25" t="n"/>
      <c r="AE717" s="25" t="n"/>
      <c r="AG717" s="25" t="n"/>
      <c r="AH717" s="25" t="n"/>
      <c r="AI717" s="394" t="n"/>
      <c r="AM717" s="48" t="n"/>
      <c r="AN717" s="48" t="n"/>
      <c r="AO717" s="48" t="n"/>
    </row>
    <row r="718">
      <c r="M718" s="25" t="n"/>
      <c r="Q718" s="25" t="n"/>
      <c r="U718" s="194" t="n"/>
      <c r="AA718" s="25" t="n"/>
      <c r="AB718" s="25" t="n"/>
      <c r="AC718" s="195" t="n"/>
      <c r="AD718" s="25" t="n"/>
      <c r="AE718" s="25" t="n"/>
      <c r="AG718" s="25" t="n"/>
      <c r="AH718" s="25" t="n"/>
      <c r="AI718" s="394" t="n"/>
      <c r="AM718" s="48" t="n"/>
      <c r="AN718" s="48" t="n"/>
      <c r="AO718" s="48" t="n"/>
    </row>
    <row r="719">
      <c r="M719" s="25" t="n"/>
      <c r="Q719" s="25" t="n"/>
      <c r="U719" s="194" t="n"/>
      <c r="AA719" s="25" t="n"/>
      <c r="AB719" s="25" t="n"/>
      <c r="AC719" s="195" t="n"/>
      <c r="AD719" s="25" t="n"/>
      <c r="AE719" s="25" t="n"/>
      <c r="AG719" s="25" t="n"/>
      <c r="AH719" s="25" t="n"/>
      <c r="AI719" s="394" t="n"/>
      <c r="AM719" s="48" t="n"/>
      <c r="AN719" s="48" t="n"/>
      <c r="AO719" s="48" t="n"/>
    </row>
    <row r="720">
      <c r="M720" s="25" t="n"/>
      <c r="Q720" s="25" t="n"/>
      <c r="U720" s="194" t="n"/>
      <c r="AA720" s="25" t="n"/>
      <c r="AB720" s="25" t="n"/>
      <c r="AC720" s="195" t="n"/>
      <c r="AD720" s="25" t="n"/>
      <c r="AE720" s="25" t="n"/>
      <c r="AG720" s="25" t="n"/>
      <c r="AH720" s="25" t="n"/>
      <c r="AI720" s="394" t="n"/>
      <c r="AM720" s="48" t="n"/>
      <c r="AN720" s="48" t="n"/>
      <c r="AO720" s="48" t="n"/>
    </row>
    <row r="721">
      <c r="M721" s="25" t="n"/>
      <c r="Q721" s="25" t="n"/>
      <c r="U721" s="194" t="n"/>
      <c r="AA721" s="25" t="n"/>
      <c r="AB721" s="25" t="n"/>
      <c r="AC721" s="195" t="n"/>
      <c r="AD721" s="25" t="n"/>
      <c r="AE721" s="25" t="n"/>
      <c r="AG721" s="25" t="n"/>
      <c r="AH721" s="25" t="n"/>
      <c r="AI721" s="394" t="n"/>
      <c r="AM721" s="48" t="n"/>
      <c r="AN721" s="48" t="n"/>
      <c r="AO721" s="48" t="n"/>
    </row>
    <row r="722">
      <c r="M722" s="25" t="n"/>
      <c r="Q722" s="25" t="n"/>
      <c r="U722" s="194" t="n"/>
      <c r="AA722" s="25" t="n"/>
      <c r="AB722" s="25" t="n"/>
      <c r="AC722" s="195" t="n"/>
      <c r="AD722" s="25" t="n"/>
      <c r="AE722" s="25" t="n"/>
      <c r="AG722" s="25" t="n"/>
      <c r="AH722" s="25" t="n"/>
      <c r="AI722" s="394" t="n"/>
      <c r="AM722" s="48" t="n"/>
      <c r="AN722" s="48" t="n"/>
      <c r="AO722" s="48" t="n"/>
    </row>
    <row r="723">
      <c r="M723" s="25" t="n"/>
      <c r="Q723" s="25" t="n"/>
      <c r="U723" s="194" t="n"/>
      <c r="AA723" s="25" t="n"/>
      <c r="AB723" s="25" t="n"/>
      <c r="AC723" s="195" t="n"/>
      <c r="AD723" s="25" t="n"/>
      <c r="AE723" s="25" t="n"/>
      <c r="AG723" s="25" t="n"/>
      <c r="AH723" s="25" t="n"/>
      <c r="AI723" s="394" t="n"/>
      <c r="AM723" s="48" t="n"/>
      <c r="AN723" s="48" t="n"/>
      <c r="AO723" s="48" t="n"/>
    </row>
    <row r="724">
      <c r="M724" s="25" t="n"/>
      <c r="Q724" s="25" t="n"/>
      <c r="U724" s="194" t="n"/>
      <c r="AA724" s="25" t="n"/>
      <c r="AB724" s="25" t="n"/>
      <c r="AC724" s="195" t="n"/>
      <c r="AD724" s="25" t="n"/>
      <c r="AE724" s="25" t="n"/>
      <c r="AG724" s="25" t="n"/>
      <c r="AH724" s="25" t="n"/>
      <c r="AI724" s="394" t="n"/>
      <c r="AM724" s="48" t="n"/>
      <c r="AN724" s="48" t="n"/>
      <c r="AO724" s="48" t="n"/>
    </row>
    <row r="725">
      <c r="M725" s="25" t="n"/>
      <c r="Q725" s="25" t="n"/>
      <c r="U725" s="194" t="n"/>
      <c r="AA725" s="25" t="n"/>
      <c r="AB725" s="25" t="n"/>
      <c r="AC725" s="195" t="n"/>
      <c r="AD725" s="25" t="n"/>
      <c r="AE725" s="25" t="n"/>
      <c r="AG725" s="25" t="n"/>
      <c r="AH725" s="25" t="n"/>
      <c r="AI725" s="394" t="n"/>
      <c r="AM725" s="48" t="n"/>
      <c r="AN725" s="48" t="n"/>
      <c r="AO725" s="48" t="n"/>
    </row>
    <row r="726">
      <c r="M726" s="25" t="n"/>
      <c r="Q726" s="25" t="n"/>
      <c r="U726" s="194" t="n"/>
      <c r="AA726" s="25" t="n"/>
      <c r="AB726" s="25" t="n"/>
      <c r="AC726" s="195" t="n"/>
      <c r="AD726" s="25" t="n"/>
      <c r="AE726" s="25" t="n"/>
      <c r="AG726" s="25" t="n"/>
      <c r="AH726" s="25" t="n"/>
      <c r="AI726" s="394" t="n"/>
      <c r="AM726" s="48" t="n"/>
      <c r="AN726" s="48" t="n"/>
      <c r="AO726" s="48" t="n"/>
    </row>
    <row r="727">
      <c r="M727" s="25" t="n"/>
      <c r="Q727" s="25" t="n"/>
      <c r="U727" s="194" t="n"/>
      <c r="AA727" s="25" t="n"/>
      <c r="AB727" s="25" t="n"/>
      <c r="AC727" s="195" t="n"/>
      <c r="AD727" s="25" t="n"/>
      <c r="AE727" s="25" t="n"/>
      <c r="AG727" s="25" t="n"/>
      <c r="AH727" s="25" t="n"/>
      <c r="AI727" s="394" t="n"/>
      <c r="AM727" s="48" t="n"/>
      <c r="AN727" s="48" t="n"/>
      <c r="AO727" s="48" t="n"/>
    </row>
    <row r="728">
      <c r="M728" s="25" t="n"/>
      <c r="Q728" s="25" t="n"/>
      <c r="U728" s="194" t="n"/>
      <c r="AA728" s="25" t="n"/>
      <c r="AB728" s="25" t="n"/>
      <c r="AC728" s="195" t="n"/>
      <c r="AD728" s="25" t="n"/>
      <c r="AE728" s="25" t="n"/>
      <c r="AG728" s="25" t="n"/>
      <c r="AH728" s="25" t="n"/>
      <c r="AI728" s="394" t="n"/>
      <c r="AM728" s="48" t="n"/>
      <c r="AN728" s="48" t="n"/>
      <c r="AO728" s="48" t="n"/>
    </row>
    <row r="729">
      <c r="M729" s="25" t="n"/>
      <c r="Q729" s="25" t="n"/>
      <c r="U729" s="194" t="n"/>
      <c r="AA729" s="25" t="n"/>
      <c r="AB729" s="25" t="n"/>
      <c r="AC729" s="195" t="n"/>
      <c r="AD729" s="25" t="n"/>
      <c r="AE729" s="25" t="n"/>
      <c r="AG729" s="25" t="n"/>
      <c r="AH729" s="25" t="n"/>
      <c r="AI729" s="394" t="n"/>
      <c r="AM729" s="48" t="n"/>
      <c r="AN729" s="48" t="n"/>
      <c r="AO729" s="48" t="n"/>
    </row>
    <row r="730">
      <c r="M730" s="25" t="n"/>
      <c r="Q730" s="25" t="n"/>
      <c r="U730" s="194" t="n"/>
      <c r="AA730" s="25" t="n"/>
      <c r="AB730" s="25" t="n"/>
      <c r="AC730" s="195" t="n"/>
      <c r="AD730" s="25" t="n"/>
      <c r="AE730" s="25" t="n"/>
      <c r="AG730" s="25" t="n"/>
      <c r="AH730" s="25" t="n"/>
      <c r="AI730" s="394" t="n"/>
      <c r="AM730" s="48" t="n"/>
      <c r="AN730" s="48" t="n"/>
      <c r="AO730" s="48" t="n"/>
    </row>
    <row r="731">
      <c r="M731" s="25" t="n"/>
      <c r="Q731" s="25" t="n"/>
      <c r="U731" s="194" t="n"/>
      <c r="AA731" s="25" t="n"/>
      <c r="AB731" s="25" t="n"/>
      <c r="AC731" s="195" t="n"/>
      <c r="AD731" s="25" t="n"/>
      <c r="AE731" s="25" t="n"/>
      <c r="AG731" s="25" t="n"/>
      <c r="AH731" s="25" t="n"/>
      <c r="AI731" s="394" t="n"/>
      <c r="AM731" s="48" t="n"/>
      <c r="AN731" s="48" t="n"/>
      <c r="AO731" s="48" t="n"/>
    </row>
    <row r="732">
      <c r="M732" s="25" t="n"/>
      <c r="Q732" s="25" t="n"/>
      <c r="U732" s="194" t="n"/>
      <c r="AA732" s="25" t="n"/>
      <c r="AB732" s="25" t="n"/>
      <c r="AC732" s="195" t="n"/>
      <c r="AD732" s="25" t="n"/>
      <c r="AE732" s="25" t="n"/>
      <c r="AG732" s="25" t="n"/>
      <c r="AH732" s="25" t="n"/>
      <c r="AI732" s="394" t="n"/>
      <c r="AM732" s="48" t="n"/>
      <c r="AN732" s="48" t="n"/>
      <c r="AO732" s="48" t="n"/>
    </row>
    <row r="733">
      <c r="M733" s="25" t="n"/>
      <c r="Q733" s="25" t="n"/>
      <c r="U733" s="194" t="n"/>
      <c r="AA733" s="25" t="n"/>
      <c r="AB733" s="25" t="n"/>
      <c r="AC733" s="195" t="n"/>
      <c r="AD733" s="25" t="n"/>
      <c r="AE733" s="25" t="n"/>
      <c r="AG733" s="25" t="n"/>
      <c r="AH733" s="25" t="n"/>
      <c r="AI733" s="394" t="n"/>
      <c r="AM733" s="48" t="n"/>
      <c r="AN733" s="48" t="n"/>
      <c r="AO733" s="48" t="n"/>
    </row>
    <row r="734">
      <c r="M734" s="25" t="n"/>
      <c r="Q734" s="25" t="n"/>
      <c r="U734" s="194" t="n"/>
      <c r="AA734" s="25" t="n"/>
      <c r="AB734" s="25" t="n"/>
      <c r="AC734" s="195" t="n"/>
      <c r="AD734" s="25" t="n"/>
      <c r="AE734" s="25" t="n"/>
      <c r="AG734" s="25" t="n"/>
      <c r="AH734" s="25" t="n"/>
      <c r="AI734" s="394" t="n"/>
      <c r="AM734" s="48" t="n"/>
      <c r="AN734" s="48" t="n"/>
      <c r="AO734" s="48" t="n"/>
    </row>
    <row r="735">
      <c r="M735" s="25" t="n"/>
      <c r="Q735" s="25" t="n"/>
      <c r="U735" s="194" t="n"/>
      <c r="AA735" s="25" t="n"/>
      <c r="AB735" s="25" t="n"/>
      <c r="AC735" s="195" t="n"/>
      <c r="AD735" s="25" t="n"/>
      <c r="AE735" s="25" t="n"/>
      <c r="AG735" s="25" t="n"/>
      <c r="AH735" s="25" t="n"/>
      <c r="AI735" s="394" t="n"/>
      <c r="AM735" s="48" t="n"/>
      <c r="AN735" s="48" t="n"/>
      <c r="AO735" s="48" t="n"/>
    </row>
    <row r="736">
      <c r="M736" s="25" t="n"/>
      <c r="Q736" s="25" t="n"/>
      <c r="U736" s="194" t="n"/>
      <c r="AA736" s="25" t="n"/>
      <c r="AB736" s="25" t="n"/>
      <c r="AC736" s="195" t="n"/>
      <c r="AD736" s="25" t="n"/>
      <c r="AE736" s="25" t="n"/>
      <c r="AG736" s="25" t="n"/>
      <c r="AH736" s="25" t="n"/>
      <c r="AI736" s="394" t="n"/>
      <c r="AM736" s="48" t="n"/>
      <c r="AN736" s="48" t="n"/>
      <c r="AO736" s="48" t="n"/>
    </row>
    <row r="737">
      <c r="M737" s="25" t="n"/>
      <c r="Q737" s="25" t="n"/>
      <c r="U737" s="194" t="n"/>
      <c r="AA737" s="25" t="n"/>
      <c r="AB737" s="25" t="n"/>
      <c r="AC737" s="195" t="n"/>
      <c r="AD737" s="25" t="n"/>
      <c r="AE737" s="25" t="n"/>
      <c r="AG737" s="25" t="n"/>
      <c r="AH737" s="25" t="n"/>
      <c r="AI737" s="394" t="n"/>
      <c r="AM737" s="48" t="n"/>
      <c r="AN737" s="48" t="n"/>
      <c r="AO737" s="48" t="n"/>
    </row>
    <row r="738">
      <c r="M738" s="25" t="n"/>
      <c r="Q738" s="25" t="n"/>
      <c r="U738" s="194" t="n"/>
      <c r="AA738" s="25" t="n"/>
      <c r="AB738" s="25" t="n"/>
      <c r="AC738" s="195" t="n"/>
      <c r="AD738" s="25" t="n"/>
      <c r="AE738" s="25" t="n"/>
      <c r="AG738" s="25" t="n"/>
      <c r="AH738" s="25" t="n"/>
      <c r="AI738" s="394" t="n"/>
      <c r="AM738" s="48" t="n"/>
      <c r="AN738" s="48" t="n"/>
      <c r="AO738" s="48" t="n"/>
    </row>
    <row r="739">
      <c r="M739" s="25" t="n"/>
      <c r="Q739" s="25" t="n"/>
      <c r="U739" s="194" t="n"/>
      <c r="AA739" s="25" t="n"/>
      <c r="AB739" s="25" t="n"/>
      <c r="AC739" s="195" t="n"/>
      <c r="AD739" s="25" t="n"/>
      <c r="AE739" s="25" t="n"/>
      <c r="AG739" s="25" t="n"/>
      <c r="AH739" s="25" t="n"/>
      <c r="AI739" s="394" t="n"/>
      <c r="AM739" s="48" t="n"/>
      <c r="AN739" s="48" t="n"/>
      <c r="AO739" s="48" t="n"/>
    </row>
    <row r="740">
      <c r="M740" s="25" t="n"/>
      <c r="Q740" s="25" t="n"/>
      <c r="U740" s="194" t="n"/>
      <c r="AA740" s="25" t="n"/>
      <c r="AB740" s="25" t="n"/>
      <c r="AC740" s="195" t="n"/>
      <c r="AD740" s="25" t="n"/>
      <c r="AE740" s="25" t="n"/>
      <c r="AG740" s="25" t="n"/>
      <c r="AH740" s="25" t="n"/>
      <c r="AI740" s="394" t="n"/>
      <c r="AM740" s="48" t="n"/>
      <c r="AN740" s="48" t="n"/>
      <c r="AO740" s="48" t="n"/>
    </row>
    <row r="741">
      <c r="M741" s="25" t="n"/>
      <c r="Q741" s="25" t="n"/>
      <c r="U741" s="194" t="n"/>
      <c r="AA741" s="25" t="n"/>
      <c r="AB741" s="25" t="n"/>
      <c r="AC741" s="195" t="n"/>
      <c r="AD741" s="25" t="n"/>
      <c r="AE741" s="25" t="n"/>
      <c r="AG741" s="25" t="n"/>
      <c r="AH741" s="25" t="n"/>
      <c r="AI741" s="394" t="n"/>
      <c r="AM741" s="48" t="n"/>
      <c r="AN741" s="48" t="n"/>
      <c r="AO741" s="48" t="n"/>
    </row>
    <row r="742">
      <c r="M742" s="25" t="n"/>
      <c r="Q742" s="25" t="n"/>
      <c r="U742" s="194" t="n"/>
      <c r="AA742" s="25" t="n"/>
      <c r="AB742" s="25" t="n"/>
      <c r="AC742" s="195" t="n"/>
      <c r="AD742" s="25" t="n"/>
      <c r="AE742" s="25" t="n"/>
      <c r="AG742" s="25" t="n"/>
      <c r="AH742" s="25" t="n"/>
      <c r="AI742" s="394" t="n"/>
      <c r="AM742" s="48" t="n"/>
      <c r="AN742" s="48" t="n"/>
      <c r="AO742" s="48" t="n"/>
    </row>
    <row r="743">
      <c r="M743" s="25" t="n"/>
      <c r="Q743" s="25" t="n"/>
      <c r="U743" s="194" t="n"/>
      <c r="AA743" s="25" t="n"/>
      <c r="AB743" s="25" t="n"/>
      <c r="AC743" s="195" t="n"/>
      <c r="AD743" s="25" t="n"/>
      <c r="AE743" s="25" t="n"/>
      <c r="AG743" s="25" t="n"/>
      <c r="AH743" s="25" t="n"/>
      <c r="AI743" s="394" t="n"/>
      <c r="AM743" s="48" t="n"/>
      <c r="AN743" s="48" t="n"/>
      <c r="AO743" s="48" t="n"/>
    </row>
    <row r="744">
      <c r="M744" s="25" t="n"/>
      <c r="Q744" s="25" t="n"/>
      <c r="U744" s="194" t="n"/>
      <c r="AA744" s="25" t="n"/>
      <c r="AB744" s="25" t="n"/>
      <c r="AC744" s="195" t="n"/>
      <c r="AD744" s="25" t="n"/>
      <c r="AE744" s="25" t="n"/>
      <c r="AG744" s="25" t="n"/>
      <c r="AH744" s="25" t="n"/>
      <c r="AI744" s="394" t="n"/>
      <c r="AM744" s="48" t="n"/>
      <c r="AN744" s="48" t="n"/>
      <c r="AO744" s="48" t="n"/>
    </row>
    <row r="745">
      <c r="M745" s="25" t="n"/>
      <c r="Q745" s="25" t="n"/>
      <c r="U745" s="194" t="n"/>
      <c r="AA745" s="25" t="n"/>
      <c r="AB745" s="25" t="n"/>
      <c r="AC745" s="195" t="n"/>
      <c r="AD745" s="25" t="n"/>
      <c r="AE745" s="25" t="n"/>
      <c r="AG745" s="25" t="n"/>
      <c r="AH745" s="25" t="n"/>
      <c r="AI745" s="394" t="n"/>
      <c r="AM745" s="48" t="n"/>
      <c r="AN745" s="48" t="n"/>
      <c r="AO745" s="48" t="n"/>
    </row>
    <row r="746">
      <c r="M746" s="25" t="n"/>
      <c r="Q746" s="25" t="n"/>
      <c r="U746" s="194" t="n"/>
      <c r="AA746" s="25" t="n"/>
      <c r="AB746" s="25" t="n"/>
      <c r="AC746" s="195" t="n"/>
      <c r="AD746" s="25" t="n"/>
      <c r="AE746" s="25" t="n"/>
      <c r="AG746" s="25" t="n"/>
      <c r="AH746" s="25" t="n"/>
      <c r="AI746" s="394" t="n"/>
      <c r="AM746" s="48" t="n"/>
      <c r="AN746" s="48" t="n"/>
      <c r="AO746" s="48" t="n"/>
    </row>
    <row r="747">
      <c r="M747" s="25" t="n"/>
      <c r="Q747" s="25" t="n"/>
      <c r="U747" s="194" t="n"/>
      <c r="AA747" s="25" t="n"/>
      <c r="AB747" s="25" t="n"/>
      <c r="AC747" s="195" t="n"/>
      <c r="AD747" s="25" t="n"/>
      <c r="AE747" s="25" t="n"/>
      <c r="AG747" s="25" t="n"/>
      <c r="AH747" s="25" t="n"/>
      <c r="AI747" s="394" t="n"/>
      <c r="AM747" s="48" t="n"/>
      <c r="AN747" s="48" t="n"/>
      <c r="AO747" s="48" t="n"/>
    </row>
    <row r="748">
      <c r="M748" s="25" t="n"/>
      <c r="Q748" s="25" t="n"/>
      <c r="U748" s="194" t="n"/>
      <c r="AA748" s="25" t="n"/>
      <c r="AB748" s="25" t="n"/>
      <c r="AC748" s="195" t="n"/>
      <c r="AD748" s="25" t="n"/>
      <c r="AE748" s="25" t="n"/>
      <c r="AG748" s="25" t="n"/>
      <c r="AH748" s="25" t="n"/>
      <c r="AI748" s="394" t="n"/>
      <c r="AM748" s="48" t="n"/>
      <c r="AN748" s="48" t="n"/>
      <c r="AO748" s="48" t="n"/>
    </row>
    <row r="749">
      <c r="M749" s="25" t="n"/>
      <c r="Q749" s="25" t="n"/>
      <c r="U749" s="194" t="n"/>
      <c r="AA749" s="25" t="n"/>
      <c r="AB749" s="25" t="n"/>
      <c r="AC749" s="195" t="n"/>
      <c r="AD749" s="25" t="n"/>
      <c r="AE749" s="25" t="n"/>
      <c r="AG749" s="25" t="n"/>
      <c r="AH749" s="25" t="n"/>
      <c r="AI749" s="394" t="n"/>
      <c r="AM749" s="48" t="n"/>
      <c r="AN749" s="48" t="n"/>
      <c r="AO749" s="48" t="n"/>
    </row>
    <row r="750">
      <c r="M750" s="25" t="n"/>
      <c r="Q750" s="25" t="n"/>
      <c r="U750" s="194" t="n"/>
      <c r="AA750" s="25" t="n"/>
      <c r="AB750" s="25" t="n"/>
      <c r="AC750" s="195" t="n"/>
      <c r="AD750" s="25" t="n"/>
      <c r="AE750" s="25" t="n"/>
      <c r="AG750" s="25" t="n"/>
      <c r="AH750" s="25" t="n"/>
      <c r="AI750" s="394" t="n"/>
      <c r="AM750" s="48" t="n"/>
      <c r="AN750" s="48" t="n"/>
      <c r="AO750" s="48" t="n"/>
    </row>
    <row r="751">
      <c r="M751" s="25" t="n"/>
      <c r="Q751" s="25" t="n"/>
      <c r="U751" s="194" t="n"/>
      <c r="AA751" s="25" t="n"/>
      <c r="AB751" s="25" t="n"/>
      <c r="AC751" s="195" t="n"/>
      <c r="AD751" s="25" t="n"/>
      <c r="AE751" s="25" t="n"/>
      <c r="AG751" s="25" t="n"/>
      <c r="AH751" s="25" t="n"/>
      <c r="AI751" s="394" t="n"/>
      <c r="AM751" s="48" t="n"/>
      <c r="AN751" s="48" t="n"/>
      <c r="AO751" s="48" t="n"/>
    </row>
    <row r="752">
      <c r="M752" s="25" t="n"/>
      <c r="Q752" s="25" t="n"/>
      <c r="U752" s="194" t="n"/>
      <c r="AA752" s="25" t="n"/>
      <c r="AB752" s="25" t="n"/>
      <c r="AC752" s="195" t="n"/>
      <c r="AD752" s="25" t="n"/>
      <c r="AE752" s="25" t="n"/>
      <c r="AG752" s="25" t="n"/>
      <c r="AH752" s="25" t="n"/>
      <c r="AI752" s="394" t="n"/>
      <c r="AM752" s="48" t="n"/>
      <c r="AN752" s="48" t="n"/>
      <c r="AO752" s="48" t="n"/>
    </row>
    <row r="753">
      <c r="M753" s="25" t="n"/>
      <c r="Q753" s="25" t="n"/>
      <c r="U753" s="194" t="n"/>
      <c r="AA753" s="25" t="n"/>
      <c r="AB753" s="25" t="n"/>
      <c r="AC753" s="195" t="n"/>
      <c r="AD753" s="25" t="n"/>
      <c r="AE753" s="25" t="n"/>
      <c r="AG753" s="25" t="n"/>
      <c r="AH753" s="25" t="n"/>
      <c r="AI753" s="394" t="n"/>
      <c r="AM753" s="48" t="n"/>
      <c r="AN753" s="48" t="n"/>
      <c r="AO753" s="48" t="n"/>
    </row>
    <row r="754">
      <c r="M754" s="25" t="n"/>
      <c r="Q754" s="25" t="n"/>
      <c r="U754" s="194" t="n"/>
      <c r="AA754" s="25" t="n"/>
      <c r="AB754" s="25" t="n"/>
      <c r="AC754" s="195" t="n"/>
      <c r="AD754" s="25" t="n"/>
      <c r="AE754" s="25" t="n"/>
      <c r="AG754" s="25" t="n"/>
      <c r="AH754" s="25" t="n"/>
      <c r="AI754" s="394" t="n"/>
      <c r="AM754" s="48" t="n"/>
      <c r="AN754" s="48" t="n"/>
      <c r="AO754" s="48" t="n"/>
    </row>
    <row r="755">
      <c r="M755" s="25" t="n"/>
      <c r="Q755" s="25" t="n"/>
      <c r="U755" s="194" t="n"/>
      <c r="AA755" s="25" t="n"/>
      <c r="AB755" s="25" t="n"/>
      <c r="AC755" s="195" t="n"/>
      <c r="AD755" s="25" t="n"/>
      <c r="AE755" s="25" t="n"/>
      <c r="AG755" s="25" t="n"/>
      <c r="AH755" s="25" t="n"/>
      <c r="AI755" s="394" t="n"/>
      <c r="AM755" s="48" t="n"/>
      <c r="AN755" s="48" t="n"/>
      <c r="AO755" s="48" t="n"/>
    </row>
    <row r="756">
      <c r="M756" s="25" t="n"/>
      <c r="Q756" s="25" t="n"/>
      <c r="U756" s="194" t="n"/>
      <c r="AA756" s="25" t="n"/>
      <c r="AB756" s="25" t="n"/>
      <c r="AC756" s="195" t="n"/>
      <c r="AD756" s="25" t="n"/>
      <c r="AE756" s="25" t="n"/>
      <c r="AG756" s="25" t="n"/>
      <c r="AH756" s="25" t="n"/>
      <c r="AI756" s="394" t="n"/>
      <c r="AM756" s="48" t="n"/>
      <c r="AN756" s="48" t="n"/>
      <c r="AO756" s="48" t="n"/>
    </row>
    <row r="757">
      <c r="M757" s="25" t="n"/>
      <c r="Q757" s="25" t="n"/>
      <c r="U757" s="194" t="n"/>
      <c r="AA757" s="25" t="n"/>
      <c r="AB757" s="25" t="n"/>
      <c r="AC757" s="195" t="n"/>
      <c r="AD757" s="25" t="n"/>
      <c r="AE757" s="25" t="n"/>
      <c r="AG757" s="25" t="n"/>
      <c r="AH757" s="25" t="n"/>
      <c r="AI757" s="394" t="n"/>
      <c r="AM757" s="48" t="n"/>
      <c r="AN757" s="48" t="n"/>
      <c r="AO757" s="48" t="n"/>
    </row>
    <row r="758">
      <c r="M758" s="25" t="n"/>
      <c r="Q758" s="25" t="n"/>
      <c r="U758" s="194" t="n"/>
      <c r="AA758" s="25" t="n"/>
      <c r="AB758" s="25" t="n"/>
      <c r="AC758" s="195" t="n"/>
      <c r="AD758" s="25" t="n"/>
      <c r="AE758" s="25" t="n"/>
      <c r="AG758" s="25" t="n"/>
      <c r="AH758" s="25" t="n"/>
      <c r="AI758" s="394" t="n"/>
      <c r="AM758" s="48" t="n"/>
      <c r="AN758" s="48" t="n"/>
      <c r="AO758" s="48" t="n"/>
    </row>
    <row r="759">
      <c r="M759" s="25" t="n"/>
      <c r="Q759" s="25" t="n"/>
      <c r="U759" s="194" t="n"/>
      <c r="AA759" s="25" t="n"/>
      <c r="AB759" s="25" t="n"/>
      <c r="AC759" s="195" t="n"/>
      <c r="AD759" s="25" t="n"/>
      <c r="AE759" s="25" t="n"/>
      <c r="AG759" s="25" t="n"/>
      <c r="AH759" s="25" t="n"/>
      <c r="AI759" s="394" t="n"/>
      <c r="AM759" s="48" t="n"/>
      <c r="AN759" s="48" t="n"/>
      <c r="AO759" s="48" t="n"/>
    </row>
    <row r="760">
      <c r="M760" s="25" t="n"/>
      <c r="Q760" s="25" t="n"/>
      <c r="U760" s="194" t="n"/>
      <c r="AA760" s="25" t="n"/>
      <c r="AB760" s="25" t="n"/>
      <c r="AC760" s="195" t="n"/>
      <c r="AD760" s="25" t="n"/>
      <c r="AE760" s="25" t="n"/>
      <c r="AG760" s="25" t="n"/>
      <c r="AH760" s="25" t="n"/>
      <c r="AI760" s="394" t="n"/>
      <c r="AM760" s="48" t="n"/>
      <c r="AN760" s="48" t="n"/>
      <c r="AO760" s="48" t="n"/>
    </row>
    <row r="761">
      <c r="M761" s="25" t="n"/>
      <c r="Q761" s="25" t="n"/>
      <c r="U761" s="194" t="n"/>
      <c r="AA761" s="25" t="n"/>
      <c r="AB761" s="25" t="n"/>
      <c r="AC761" s="195" t="n"/>
      <c r="AD761" s="25" t="n"/>
      <c r="AE761" s="25" t="n"/>
      <c r="AG761" s="25" t="n"/>
      <c r="AH761" s="25" t="n"/>
      <c r="AI761" s="394" t="n"/>
      <c r="AM761" s="48" t="n"/>
      <c r="AN761" s="48" t="n"/>
      <c r="AO761" s="48" t="n"/>
    </row>
    <row r="762">
      <c r="M762" s="25" t="n"/>
      <c r="Q762" s="25" t="n"/>
      <c r="U762" s="194" t="n"/>
      <c r="AA762" s="25" t="n"/>
      <c r="AB762" s="25" t="n"/>
      <c r="AC762" s="195" t="n"/>
      <c r="AD762" s="25" t="n"/>
      <c r="AE762" s="25" t="n"/>
      <c r="AG762" s="25" t="n"/>
      <c r="AH762" s="25" t="n"/>
      <c r="AI762" s="394" t="n"/>
      <c r="AM762" s="48" t="n"/>
      <c r="AN762" s="48" t="n"/>
      <c r="AO762" s="48" t="n"/>
    </row>
    <row r="763">
      <c r="M763" s="25" t="n"/>
      <c r="Q763" s="25" t="n"/>
      <c r="U763" s="194" t="n"/>
      <c r="AA763" s="25" t="n"/>
      <c r="AB763" s="25" t="n"/>
      <c r="AC763" s="195" t="n"/>
      <c r="AD763" s="25" t="n"/>
      <c r="AE763" s="25" t="n"/>
      <c r="AG763" s="25" t="n"/>
      <c r="AH763" s="25" t="n"/>
      <c r="AI763" s="394" t="n"/>
      <c r="AM763" s="48" t="n"/>
      <c r="AN763" s="48" t="n"/>
      <c r="AO763" s="48" t="n"/>
    </row>
    <row r="764">
      <c r="M764" s="25" t="n"/>
      <c r="Q764" s="25" t="n"/>
      <c r="U764" s="194" t="n"/>
      <c r="AA764" s="25" t="n"/>
      <c r="AB764" s="25" t="n"/>
      <c r="AC764" s="195" t="n"/>
      <c r="AD764" s="25" t="n"/>
      <c r="AE764" s="25" t="n"/>
      <c r="AG764" s="25" t="n"/>
      <c r="AH764" s="25" t="n"/>
      <c r="AI764" s="394" t="n"/>
      <c r="AM764" s="48" t="n"/>
      <c r="AN764" s="48" t="n"/>
      <c r="AO764" s="48" t="n"/>
    </row>
    <row r="765">
      <c r="M765" s="25" t="n"/>
      <c r="Q765" s="25" t="n"/>
      <c r="U765" s="194" t="n"/>
      <c r="AA765" s="25" t="n"/>
      <c r="AB765" s="25" t="n"/>
      <c r="AC765" s="195" t="n"/>
      <c r="AD765" s="25" t="n"/>
      <c r="AE765" s="25" t="n"/>
      <c r="AG765" s="25" t="n"/>
      <c r="AH765" s="25" t="n"/>
      <c r="AI765" s="394" t="n"/>
      <c r="AM765" s="48" t="n"/>
      <c r="AN765" s="48" t="n"/>
      <c r="AO765" s="48" t="n"/>
    </row>
    <row r="766">
      <c r="M766" s="25" t="n"/>
      <c r="Q766" s="25" t="n"/>
      <c r="U766" s="194" t="n"/>
      <c r="AA766" s="25" t="n"/>
      <c r="AB766" s="25" t="n"/>
      <c r="AC766" s="195" t="n"/>
      <c r="AD766" s="25" t="n"/>
      <c r="AE766" s="25" t="n"/>
      <c r="AG766" s="25" t="n"/>
      <c r="AH766" s="25" t="n"/>
      <c r="AI766" s="394" t="n"/>
      <c r="AM766" s="48" t="n"/>
      <c r="AN766" s="48" t="n"/>
      <c r="AO766" s="48" t="n"/>
    </row>
    <row r="767">
      <c r="M767" s="25" t="n"/>
      <c r="Q767" s="25" t="n"/>
      <c r="U767" s="194" t="n"/>
      <c r="AA767" s="25" t="n"/>
      <c r="AB767" s="25" t="n"/>
      <c r="AC767" s="195" t="n"/>
      <c r="AD767" s="25" t="n"/>
      <c r="AE767" s="25" t="n"/>
      <c r="AG767" s="25" t="n"/>
      <c r="AH767" s="25" t="n"/>
      <c r="AI767" s="394" t="n"/>
      <c r="AM767" s="48" t="n"/>
      <c r="AN767" s="48" t="n"/>
      <c r="AO767" s="48" t="n"/>
    </row>
    <row r="768">
      <c r="M768" s="25" t="n"/>
      <c r="Q768" s="25" t="n"/>
      <c r="U768" s="194" t="n"/>
      <c r="AA768" s="25" t="n"/>
      <c r="AB768" s="25" t="n"/>
      <c r="AC768" s="195" t="n"/>
      <c r="AD768" s="25" t="n"/>
      <c r="AE768" s="25" t="n"/>
      <c r="AG768" s="25" t="n"/>
      <c r="AH768" s="25" t="n"/>
      <c r="AI768" s="394" t="n"/>
      <c r="AM768" s="48" t="n"/>
      <c r="AN768" s="48" t="n"/>
      <c r="AO768" s="48" t="n"/>
    </row>
    <row r="769">
      <c r="M769" s="25" t="n"/>
      <c r="Q769" s="25" t="n"/>
      <c r="U769" s="194" t="n"/>
      <c r="AA769" s="25" t="n"/>
      <c r="AB769" s="25" t="n"/>
      <c r="AC769" s="195" t="n"/>
      <c r="AD769" s="25" t="n"/>
      <c r="AE769" s="25" t="n"/>
      <c r="AG769" s="25" t="n"/>
      <c r="AH769" s="25" t="n"/>
      <c r="AI769" s="394" t="n"/>
      <c r="AM769" s="48" t="n"/>
      <c r="AN769" s="48" t="n"/>
      <c r="AO769" s="48" t="n"/>
    </row>
    <row r="770">
      <c r="M770" s="25" t="n"/>
      <c r="Q770" s="25" t="n"/>
      <c r="U770" s="194" t="n"/>
      <c r="AA770" s="25" t="n"/>
      <c r="AB770" s="25" t="n"/>
      <c r="AC770" s="195" t="n"/>
      <c r="AD770" s="25" t="n"/>
      <c r="AE770" s="25" t="n"/>
      <c r="AG770" s="25" t="n"/>
      <c r="AH770" s="25" t="n"/>
      <c r="AI770" s="394" t="n"/>
      <c r="AM770" s="48" t="n"/>
      <c r="AN770" s="48" t="n"/>
      <c r="AO770" s="48" t="n"/>
    </row>
    <row r="771">
      <c r="M771" s="25" t="n"/>
      <c r="Q771" s="25" t="n"/>
      <c r="U771" s="194" t="n"/>
      <c r="AA771" s="25" t="n"/>
      <c r="AB771" s="25" t="n"/>
      <c r="AC771" s="195" t="n"/>
      <c r="AD771" s="25" t="n"/>
      <c r="AE771" s="25" t="n"/>
      <c r="AG771" s="25" t="n"/>
      <c r="AH771" s="25" t="n"/>
      <c r="AI771" s="394" t="n"/>
      <c r="AM771" s="48" t="n"/>
      <c r="AN771" s="48" t="n"/>
      <c r="AO771" s="48" t="n"/>
    </row>
    <row r="772">
      <c r="M772" s="25" t="n"/>
      <c r="Q772" s="25" t="n"/>
      <c r="U772" s="194" t="n"/>
      <c r="AA772" s="25" t="n"/>
      <c r="AB772" s="25" t="n"/>
      <c r="AC772" s="195" t="n"/>
      <c r="AD772" s="25" t="n"/>
      <c r="AE772" s="25" t="n"/>
      <c r="AG772" s="25" t="n"/>
      <c r="AH772" s="25" t="n"/>
      <c r="AI772" s="394" t="n"/>
      <c r="AM772" s="48" t="n"/>
      <c r="AN772" s="48" t="n"/>
      <c r="AO772" s="48" t="n"/>
    </row>
    <row r="773">
      <c r="M773" s="25" t="n"/>
      <c r="Q773" s="25" t="n"/>
      <c r="U773" s="194" t="n"/>
      <c r="AA773" s="25" t="n"/>
      <c r="AB773" s="25" t="n"/>
      <c r="AC773" s="195" t="n"/>
      <c r="AD773" s="25" t="n"/>
      <c r="AE773" s="25" t="n"/>
      <c r="AG773" s="25" t="n"/>
      <c r="AH773" s="25" t="n"/>
      <c r="AI773" s="394" t="n"/>
      <c r="AM773" s="48" t="n"/>
      <c r="AN773" s="48" t="n"/>
      <c r="AO773" s="48" t="n"/>
    </row>
    <row r="774">
      <c r="M774" s="25" t="n"/>
      <c r="Q774" s="25" t="n"/>
      <c r="U774" s="194" t="n"/>
      <c r="AA774" s="25" t="n"/>
      <c r="AB774" s="25" t="n"/>
      <c r="AC774" s="195" t="n"/>
      <c r="AD774" s="25" t="n"/>
      <c r="AE774" s="25" t="n"/>
      <c r="AG774" s="25" t="n"/>
      <c r="AH774" s="25" t="n"/>
      <c r="AI774" s="394" t="n"/>
      <c r="AM774" s="48" t="n"/>
      <c r="AN774" s="48" t="n"/>
      <c r="AO774" s="48" t="n"/>
    </row>
    <row r="775">
      <c r="M775" s="25" t="n"/>
      <c r="Q775" s="25" t="n"/>
      <c r="U775" s="194" t="n"/>
      <c r="AA775" s="25" t="n"/>
      <c r="AB775" s="25" t="n"/>
      <c r="AC775" s="195" t="n"/>
      <c r="AD775" s="25" t="n"/>
      <c r="AE775" s="25" t="n"/>
      <c r="AG775" s="25" t="n"/>
      <c r="AH775" s="25" t="n"/>
      <c r="AI775" s="394" t="n"/>
      <c r="AM775" s="48" t="n"/>
      <c r="AN775" s="48" t="n"/>
      <c r="AO775" s="48" t="n"/>
    </row>
    <row r="776">
      <c r="M776" s="25" t="n"/>
      <c r="Q776" s="25" t="n"/>
      <c r="U776" s="194" t="n"/>
      <c r="AA776" s="25" t="n"/>
      <c r="AB776" s="25" t="n"/>
      <c r="AC776" s="195" t="n"/>
      <c r="AD776" s="25" t="n"/>
      <c r="AE776" s="25" t="n"/>
      <c r="AG776" s="25" t="n"/>
      <c r="AH776" s="25" t="n"/>
      <c r="AI776" s="394" t="n"/>
      <c r="AM776" s="48" t="n"/>
      <c r="AN776" s="48" t="n"/>
      <c r="AO776" s="48" t="n"/>
    </row>
    <row r="777">
      <c r="M777" s="25" t="n"/>
      <c r="Q777" s="25" t="n"/>
      <c r="U777" s="194" t="n"/>
      <c r="AA777" s="25" t="n"/>
      <c r="AB777" s="25" t="n"/>
      <c r="AC777" s="195" t="n"/>
      <c r="AD777" s="25" t="n"/>
      <c r="AE777" s="25" t="n"/>
      <c r="AG777" s="25" t="n"/>
      <c r="AH777" s="25" t="n"/>
      <c r="AI777" s="394" t="n"/>
      <c r="AM777" s="48" t="n"/>
      <c r="AN777" s="48" t="n"/>
      <c r="AO777" s="48" t="n"/>
    </row>
    <row r="778">
      <c r="M778" s="25" t="n"/>
      <c r="Q778" s="25" t="n"/>
      <c r="U778" s="194" t="n"/>
      <c r="AA778" s="25" t="n"/>
      <c r="AB778" s="25" t="n"/>
      <c r="AC778" s="195" t="n"/>
      <c r="AD778" s="25" t="n"/>
      <c r="AE778" s="25" t="n"/>
      <c r="AG778" s="25" t="n"/>
      <c r="AH778" s="25" t="n"/>
      <c r="AI778" s="394" t="n"/>
      <c r="AM778" s="48" t="n"/>
      <c r="AN778" s="48" t="n"/>
      <c r="AO778" s="48" t="n"/>
    </row>
    <row r="779">
      <c r="M779" s="25" t="n"/>
      <c r="Q779" s="25" t="n"/>
      <c r="U779" s="194" t="n"/>
      <c r="AA779" s="25" t="n"/>
      <c r="AB779" s="25" t="n"/>
      <c r="AC779" s="195" t="n"/>
      <c r="AD779" s="25" t="n"/>
      <c r="AE779" s="25" t="n"/>
      <c r="AG779" s="25" t="n"/>
      <c r="AH779" s="25" t="n"/>
      <c r="AI779" s="394" t="n"/>
      <c r="AM779" s="48" t="n"/>
      <c r="AN779" s="48" t="n"/>
      <c r="AO779" s="48" t="n"/>
    </row>
    <row r="780">
      <c r="M780" s="25" t="n"/>
      <c r="Q780" s="25" t="n"/>
      <c r="U780" s="194" t="n"/>
      <c r="AA780" s="25" t="n"/>
      <c r="AB780" s="25" t="n"/>
      <c r="AC780" s="195" t="n"/>
      <c r="AD780" s="25" t="n"/>
      <c r="AE780" s="25" t="n"/>
      <c r="AG780" s="25" t="n"/>
      <c r="AH780" s="25" t="n"/>
      <c r="AI780" s="394" t="n"/>
      <c r="AM780" s="48" t="n"/>
      <c r="AN780" s="48" t="n"/>
      <c r="AO780" s="48" t="n"/>
    </row>
    <row r="781">
      <c r="M781" s="25" t="n"/>
      <c r="Q781" s="25" t="n"/>
      <c r="U781" s="194" t="n"/>
      <c r="AA781" s="25" t="n"/>
      <c r="AB781" s="25" t="n"/>
      <c r="AC781" s="195" t="n"/>
      <c r="AD781" s="25" t="n"/>
      <c r="AE781" s="25" t="n"/>
      <c r="AG781" s="25" t="n"/>
      <c r="AH781" s="25" t="n"/>
      <c r="AI781" s="394" t="n"/>
      <c r="AM781" s="48" t="n"/>
      <c r="AN781" s="48" t="n"/>
      <c r="AO781" s="48" t="n"/>
    </row>
    <row r="782">
      <c r="M782" s="25" t="n"/>
      <c r="Q782" s="25" t="n"/>
      <c r="U782" s="194" t="n"/>
      <c r="AA782" s="25" t="n"/>
      <c r="AB782" s="25" t="n"/>
      <c r="AC782" s="195" t="n"/>
      <c r="AD782" s="25" t="n"/>
      <c r="AE782" s="25" t="n"/>
      <c r="AG782" s="25" t="n"/>
      <c r="AH782" s="25" t="n"/>
      <c r="AI782" s="394" t="n"/>
      <c r="AM782" s="48" t="n"/>
      <c r="AN782" s="48" t="n"/>
      <c r="AO782" s="48" t="n"/>
    </row>
    <row r="783">
      <c r="M783" s="25" t="n"/>
      <c r="Q783" s="25" t="n"/>
      <c r="U783" s="194" t="n"/>
      <c r="AA783" s="25" t="n"/>
      <c r="AB783" s="25" t="n"/>
      <c r="AC783" s="195" t="n"/>
      <c r="AD783" s="25" t="n"/>
      <c r="AE783" s="25" t="n"/>
      <c r="AG783" s="25" t="n"/>
      <c r="AH783" s="25" t="n"/>
      <c r="AI783" s="394" t="n"/>
      <c r="AM783" s="48" t="n"/>
      <c r="AN783" s="48" t="n"/>
      <c r="AO783" s="48" t="n"/>
    </row>
    <row r="784">
      <c r="M784" s="25" t="n"/>
      <c r="Q784" s="25" t="n"/>
      <c r="U784" s="194" t="n"/>
      <c r="AA784" s="25" t="n"/>
      <c r="AB784" s="25" t="n"/>
      <c r="AC784" s="195" t="n"/>
      <c r="AD784" s="25" t="n"/>
      <c r="AE784" s="25" t="n"/>
      <c r="AG784" s="25" t="n"/>
      <c r="AH784" s="25" t="n"/>
      <c r="AI784" s="394" t="n"/>
      <c r="AM784" s="48" t="n"/>
      <c r="AN784" s="48" t="n"/>
      <c r="AO784" s="48" t="n"/>
    </row>
    <row r="785">
      <c r="M785" s="25" t="n"/>
      <c r="Q785" s="25" t="n"/>
      <c r="U785" s="194" t="n"/>
      <c r="AA785" s="25" t="n"/>
      <c r="AB785" s="25" t="n"/>
      <c r="AC785" s="195" t="n"/>
      <c r="AD785" s="25" t="n"/>
      <c r="AE785" s="25" t="n"/>
      <c r="AG785" s="25" t="n"/>
      <c r="AH785" s="25" t="n"/>
      <c r="AI785" s="394" t="n"/>
      <c r="AM785" s="48" t="n"/>
      <c r="AN785" s="48" t="n"/>
      <c r="AO785" s="48" t="n"/>
    </row>
    <row r="786">
      <c r="M786" s="25" t="n"/>
      <c r="Q786" s="25" t="n"/>
      <c r="U786" s="194" t="n"/>
      <c r="AA786" s="25" t="n"/>
      <c r="AB786" s="25" t="n"/>
      <c r="AC786" s="195" t="n"/>
      <c r="AD786" s="25" t="n"/>
      <c r="AE786" s="25" t="n"/>
      <c r="AG786" s="25" t="n"/>
      <c r="AH786" s="25" t="n"/>
      <c r="AI786" s="394" t="n"/>
      <c r="AM786" s="48" t="n"/>
      <c r="AN786" s="48" t="n"/>
      <c r="AO786" s="48" t="n"/>
    </row>
    <row r="787">
      <c r="M787" s="25" t="n"/>
      <c r="Q787" s="25" t="n"/>
      <c r="U787" s="194" t="n"/>
      <c r="AA787" s="25" t="n"/>
      <c r="AB787" s="25" t="n"/>
      <c r="AC787" s="195" t="n"/>
      <c r="AD787" s="25" t="n"/>
      <c r="AE787" s="25" t="n"/>
      <c r="AG787" s="25" t="n"/>
      <c r="AH787" s="25" t="n"/>
      <c r="AI787" s="394" t="n"/>
      <c r="AM787" s="48" t="n"/>
      <c r="AN787" s="48" t="n"/>
      <c r="AO787" s="48" t="n"/>
    </row>
    <row r="788">
      <c r="M788" s="25" t="n"/>
      <c r="Q788" s="25" t="n"/>
      <c r="U788" s="194" t="n"/>
      <c r="AA788" s="25" t="n"/>
      <c r="AB788" s="25" t="n"/>
      <c r="AC788" s="195" t="n"/>
      <c r="AD788" s="25" t="n"/>
      <c r="AE788" s="25" t="n"/>
      <c r="AG788" s="25" t="n"/>
      <c r="AH788" s="25" t="n"/>
      <c r="AI788" s="394" t="n"/>
      <c r="AM788" s="48" t="n"/>
      <c r="AN788" s="48" t="n"/>
      <c r="AO788" s="48" t="n"/>
    </row>
    <row r="789">
      <c r="M789" s="25" t="n"/>
      <c r="Q789" s="25" t="n"/>
      <c r="U789" s="194" t="n"/>
      <c r="AA789" s="25" t="n"/>
      <c r="AB789" s="25" t="n"/>
      <c r="AC789" s="195" t="n"/>
      <c r="AD789" s="25" t="n"/>
      <c r="AE789" s="25" t="n"/>
      <c r="AG789" s="25" t="n"/>
      <c r="AH789" s="25" t="n"/>
      <c r="AI789" s="394" t="n"/>
      <c r="AM789" s="48" t="n"/>
      <c r="AN789" s="48" t="n"/>
      <c r="AO789" s="48" t="n"/>
    </row>
    <row r="790">
      <c r="M790" s="25" t="n"/>
      <c r="Q790" s="25" t="n"/>
      <c r="U790" s="194" t="n"/>
      <c r="AA790" s="25" t="n"/>
      <c r="AB790" s="25" t="n"/>
      <c r="AC790" s="195" t="n"/>
      <c r="AD790" s="25" t="n"/>
      <c r="AE790" s="25" t="n"/>
      <c r="AG790" s="25" t="n"/>
      <c r="AH790" s="25" t="n"/>
      <c r="AI790" s="394" t="n"/>
      <c r="AM790" s="48" t="n"/>
      <c r="AN790" s="48" t="n"/>
      <c r="AO790" s="48" t="n"/>
    </row>
    <row r="791">
      <c r="M791" s="25" t="n"/>
      <c r="Q791" s="25" t="n"/>
      <c r="U791" s="194" t="n"/>
      <c r="AA791" s="25" t="n"/>
      <c r="AB791" s="25" t="n"/>
      <c r="AC791" s="195" t="n"/>
      <c r="AD791" s="25" t="n"/>
      <c r="AE791" s="25" t="n"/>
      <c r="AG791" s="25" t="n"/>
      <c r="AH791" s="25" t="n"/>
      <c r="AI791" s="394" t="n"/>
      <c r="AM791" s="48" t="n"/>
      <c r="AN791" s="48" t="n"/>
      <c r="AO791" s="48" t="n"/>
    </row>
    <row r="792">
      <c r="M792" s="25" t="n"/>
      <c r="Q792" s="25" t="n"/>
      <c r="U792" s="194" t="n"/>
      <c r="AA792" s="25" t="n"/>
      <c r="AB792" s="25" t="n"/>
      <c r="AC792" s="195" t="n"/>
      <c r="AD792" s="25" t="n"/>
      <c r="AE792" s="25" t="n"/>
      <c r="AG792" s="25" t="n"/>
      <c r="AH792" s="25" t="n"/>
      <c r="AI792" s="394" t="n"/>
      <c r="AM792" s="48" t="n"/>
      <c r="AN792" s="48" t="n"/>
      <c r="AO792" s="48" t="n"/>
    </row>
    <row r="793">
      <c r="M793" s="25" t="n"/>
      <c r="Q793" s="25" t="n"/>
      <c r="U793" s="194" t="n"/>
      <c r="AA793" s="25" t="n"/>
      <c r="AB793" s="25" t="n"/>
      <c r="AC793" s="195" t="n"/>
      <c r="AD793" s="25" t="n"/>
      <c r="AE793" s="25" t="n"/>
      <c r="AG793" s="25" t="n"/>
      <c r="AH793" s="25" t="n"/>
      <c r="AI793" s="394" t="n"/>
      <c r="AM793" s="48" t="n"/>
      <c r="AN793" s="48" t="n"/>
      <c r="AO793" s="48" t="n"/>
    </row>
    <row r="794">
      <c r="M794" s="25" t="n"/>
      <c r="Q794" s="25" t="n"/>
      <c r="U794" s="194" t="n"/>
      <c r="AA794" s="25" t="n"/>
      <c r="AB794" s="25" t="n"/>
      <c r="AC794" s="195" t="n"/>
      <c r="AD794" s="25" t="n"/>
      <c r="AE794" s="25" t="n"/>
      <c r="AG794" s="25" t="n"/>
      <c r="AH794" s="25" t="n"/>
      <c r="AI794" s="394" t="n"/>
      <c r="AM794" s="48" t="n"/>
      <c r="AN794" s="48" t="n"/>
      <c r="AO794" s="48" t="n"/>
    </row>
    <row r="795">
      <c r="M795" s="25" t="n"/>
      <c r="Q795" s="25" t="n"/>
      <c r="U795" s="194" t="n"/>
      <c r="AA795" s="25" t="n"/>
      <c r="AB795" s="25" t="n"/>
      <c r="AC795" s="195" t="n"/>
      <c r="AD795" s="25" t="n"/>
      <c r="AE795" s="25" t="n"/>
      <c r="AG795" s="25" t="n"/>
      <c r="AH795" s="25" t="n"/>
      <c r="AI795" s="394" t="n"/>
      <c r="AM795" s="48" t="n"/>
      <c r="AN795" s="48" t="n"/>
      <c r="AO795" s="48" t="n"/>
    </row>
    <row r="796">
      <c r="M796" s="25" t="n"/>
      <c r="Q796" s="25" t="n"/>
      <c r="U796" s="194" t="n"/>
      <c r="AA796" s="25" t="n"/>
      <c r="AB796" s="25" t="n"/>
      <c r="AC796" s="195" t="n"/>
      <c r="AD796" s="25" t="n"/>
      <c r="AE796" s="25" t="n"/>
      <c r="AG796" s="25" t="n"/>
      <c r="AH796" s="25" t="n"/>
      <c r="AI796" s="394" t="n"/>
      <c r="AM796" s="48" t="n"/>
      <c r="AN796" s="48" t="n"/>
      <c r="AO796" s="48" t="n"/>
    </row>
    <row r="797">
      <c r="M797" s="25" t="n"/>
      <c r="Q797" s="25" t="n"/>
      <c r="U797" s="194" t="n"/>
      <c r="AA797" s="25" t="n"/>
      <c r="AB797" s="25" t="n"/>
      <c r="AC797" s="195" t="n"/>
      <c r="AD797" s="25" t="n"/>
      <c r="AE797" s="25" t="n"/>
      <c r="AG797" s="25" t="n"/>
      <c r="AH797" s="25" t="n"/>
      <c r="AI797" s="394" t="n"/>
      <c r="AM797" s="48" t="n"/>
      <c r="AN797" s="48" t="n"/>
      <c r="AO797" s="48" t="n"/>
    </row>
    <row r="798">
      <c r="M798" s="25" t="n"/>
      <c r="Q798" s="25" t="n"/>
      <c r="U798" s="194" t="n"/>
      <c r="AA798" s="25" t="n"/>
      <c r="AB798" s="25" t="n"/>
      <c r="AC798" s="195" t="n"/>
      <c r="AD798" s="25" t="n"/>
      <c r="AE798" s="25" t="n"/>
      <c r="AG798" s="25" t="n"/>
      <c r="AH798" s="25" t="n"/>
      <c r="AI798" s="394" t="n"/>
      <c r="AM798" s="48" t="n"/>
      <c r="AN798" s="48" t="n"/>
      <c r="AO798" s="48" t="n"/>
    </row>
    <row r="799">
      <c r="M799" s="25" t="n"/>
      <c r="Q799" s="25" t="n"/>
      <c r="U799" s="194" t="n"/>
      <c r="AA799" s="25" t="n"/>
      <c r="AB799" s="25" t="n"/>
      <c r="AC799" s="195" t="n"/>
      <c r="AD799" s="25" t="n"/>
      <c r="AE799" s="25" t="n"/>
      <c r="AG799" s="25" t="n"/>
      <c r="AH799" s="25" t="n"/>
      <c r="AI799" s="394" t="n"/>
      <c r="AM799" s="48" t="n"/>
      <c r="AN799" s="48" t="n"/>
      <c r="AO799" s="48" t="n"/>
    </row>
    <row r="800">
      <c r="M800" s="25" t="n"/>
      <c r="Q800" s="25" t="n"/>
      <c r="U800" s="194" t="n"/>
      <c r="AA800" s="25" t="n"/>
      <c r="AB800" s="25" t="n"/>
      <c r="AC800" s="195" t="n"/>
      <c r="AD800" s="25" t="n"/>
      <c r="AE800" s="25" t="n"/>
      <c r="AG800" s="25" t="n"/>
      <c r="AH800" s="25" t="n"/>
      <c r="AI800" s="394" t="n"/>
      <c r="AM800" s="48" t="n"/>
      <c r="AN800" s="48" t="n"/>
      <c r="AO800" s="48" t="n"/>
    </row>
    <row r="801">
      <c r="M801" s="25" t="n"/>
      <c r="Q801" s="25" t="n"/>
      <c r="U801" s="194" t="n"/>
      <c r="AA801" s="25" t="n"/>
      <c r="AB801" s="25" t="n"/>
      <c r="AC801" s="195" t="n"/>
      <c r="AD801" s="25" t="n"/>
      <c r="AE801" s="25" t="n"/>
      <c r="AG801" s="25" t="n"/>
      <c r="AH801" s="25" t="n"/>
      <c r="AI801" s="394" t="n"/>
      <c r="AM801" s="48" t="n"/>
      <c r="AN801" s="48" t="n"/>
      <c r="AO801" s="48" t="n"/>
    </row>
    <row r="802">
      <c r="M802" s="25" t="n"/>
      <c r="Q802" s="25" t="n"/>
      <c r="U802" s="194" t="n"/>
      <c r="AA802" s="25" t="n"/>
      <c r="AB802" s="25" t="n"/>
      <c r="AC802" s="195" t="n"/>
      <c r="AD802" s="25" t="n"/>
      <c r="AE802" s="25" t="n"/>
      <c r="AG802" s="25" t="n"/>
      <c r="AH802" s="25" t="n"/>
      <c r="AI802" s="394" t="n"/>
      <c r="AM802" s="48" t="n"/>
      <c r="AN802" s="48" t="n"/>
      <c r="AO802" s="48" t="n"/>
    </row>
    <row r="803">
      <c r="M803" s="25" t="n"/>
      <c r="Q803" s="25" t="n"/>
      <c r="U803" s="194" t="n"/>
      <c r="AA803" s="25" t="n"/>
      <c r="AB803" s="25" t="n"/>
      <c r="AC803" s="195" t="n"/>
      <c r="AD803" s="25" t="n"/>
      <c r="AE803" s="25" t="n"/>
      <c r="AG803" s="25" t="n"/>
      <c r="AH803" s="25" t="n"/>
      <c r="AI803" s="394" t="n"/>
      <c r="AM803" s="48" t="n"/>
      <c r="AN803" s="48" t="n"/>
      <c r="AO803" s="48" t="n"/>
    </row>
    <row r="804">
      <c r="M804" s="25" t="n"/>
      <c r="Q804" s="25" t="n"/>
      <c r="U804" s="194" t="n"/>
      <c r="AA804" s="25" t="n"/>
      <c r="AB804" s="25" t="n"/>
      <c r="AC804" s="195" t="n"/>
      <c r="AD804" s="25" t="n"/>
      <c r="AE804" s="25" t="n"/>
      <c r="AG804" s="25" t="n"/>
      <c r="AH804" s="25" t="n"/>
      <c r="AI804" s="394" t="n"/>
      <c r="AM804" s="48" t="n"/>
      <c r="AN804" s="48" t="n"/>
      <c r="AO804" s="48" t="n"/>
    </row>
    <row r="805">
      <c r="M805" s="25" t="n"/>
      <c r="Q805" s="25" t="n"/>
      <c r="U805" s="194" t="n"/>
      <c r="AA805" s="25" t="n"/>
      <c r="AB805" s="25" t="n"/>
      <c r="AC805" s="195" t="n"/>
      <c r="AD805" s="25" t="n"/>
      <c r="AE805" s="25" t="n"/>
      <c r="AG805" s="25" t="n"/>
      <c r="AH805" s="25" t="n"/>
      <c r="AI805" s="394" t="n"/>
      <c r="AM805" s="48" t="n"/>
      <c r="AN805" s="48" t="n"/>
      <c r="AO805" s="48" t="n"/>
    </row>
    <row r="806">
      <c r="M806" s="25" t="n"/>
      <c r="Q806" s="25" t="n"/>
      <c r="U806" s="194" t="n"/>
      <c r="AA806" s="25" t="n"/>
      <c r="AB806" s="25" t="n"/>
      <c r="AC806" s="195" t="n"/>
      <c r="AD806" s="25" t="n"/>
      <c r="AE806" s="25" t="n"/>
      <c r="AG806" s="25" t="n"/>
      <c r="AH806" s="25" t="n"/>
      <c r="AI806" s="394" t="n"/>
      <c r="AM806" s="48" t="n"/>
      <c r="AN806" s="48" t="n"/>
      <c r="AO806" s="48" t="n"/>
    </row>
    <row r="807">
      <c r="M807" s="25" t="n"/>
      <c r="Q807" s="25" t="n"/>
      <c r="U807" s="194" t="n"/>
      <c r="AA807" s="25" t="n"/>
      <c r="AB807" s="25" t="n"/>
      <c r="AC807" s="195" t="n"/>
      <c r="AD807" s="25" t="n"/>
      <c r="AE807" s="25" t="n"/>
      <c r="AG807" s="25" t="n"/>
      <c r="AH807" s="25" t="n"/>
      <c r="AI807" s="394" t="n"/>
      <c r="AM807" s="48" t="n"/>
      <c r="AN807" s="48" t="n"/>
      <c r="AO807" s="48" t="n"/>
    </row>
    <row r="808">
      <c r="M808" s="25" t="n"/>
      <c r="Q808" s="25" t="n"/>
      <c r="U808" s="194" t="n"/>
      <c r="AA808" s="25" t="n"/>
      <c r="AB808" s="25" t="n"/>
      <c r="AC808" s="195" t="n"/>
      <c r="AD808" s="25" t="n"/>
      <c r="AE808" s="25" t="n"/>
      <c r="AG808" s="25" t="n"/>
      <c r="AH808" s="25" t="n"/>
      <c r="AI808" s="394" t="n"/>
      <c r="AM808" s="48" t="n"/>
      <c r="AN808" s="48" t="n"/>
      <c r="AO808" s="48" t="n"/>
    </row>
    <row r="809">
      <c r="M809" s="25" t="n"/>
      <c r="Q809" s="25" t="n"/>
      <c r="U809" s="194" t="n"/>
      <c r="AA809" s="25" t="n"/>
      <c r="AB809" s="25" t="n"/>
      <c r="AC809" s="195" t="n"/>
      <c r="AD809" s="25" t="n"/>
      <c r="AE809" s="25" t="n"/>
      <c r="AG809" s="25" t="n"/>
      <c r="AH809" s="25" t="n"/>
      <c r="AI809" s="394" t="n"/>
      <c r="AM809" s="48" t="n"/>
      <c r="AN809" s="48" t="n"/>
      <c r="AO809" s="48" t="n"/>
    </row>
    <row r="810">
      <c r="M810" s="25" t="n"/>
      <c r="Q810" s="25" t="n"/>
      <c r="U810" s="194" t="n"/>
      <c r="AA810" s="25" t="n"/>
      <c r="AB810" s="25" t="n"/>
      <c r="AC810" s="195" t="n"/>
      <c r="AD810" s="25" t="n"/>
      <c r="AE810" s="25" t="n"/>
      <c r="AG810" s="25" t="n"/>
      <c r="AH810" s="25" t="n"/>
      <c r="AI810" s="394" t="n"/>
      <c r="AM810" s="48" t="n"/>
      <c r="AN810" s="48" t="n"/>
      <c r="AO810" s="48" t="n"/>
    </row>
    <row r="811">
      <c r="M811" s="25" t="n"/>
      <c r="Q811" s="25" t="n"/>
      <c r="U811" s="194" t="n"/>
      <c r="AA811" s="25" t="n"/>
      <c r="AB811" s="25" t="n"/>
      <c r="AC811" s="195" t="n"/>
      <c r="AD811" s="25" t="n"/>
      <c r="AE811" s="25" t="n"/>
      <c r="AG811" s="25" t="n"/>
      <c r="AH811" s="25" t="n"/>
      <c r="AI811" s="394" t="n"/>
      <c r="AM811" s="48" t="n"/>
      <c r="AN811" s="48" t="n"/>
      <c r="AO811" s="48" t="n"/>
    </row>
    <row r="812">
      <c r="M812" s="25" t="n"/>
      <c r="Q812" s="25" t="n"/>
      <c r="U812" s="194" t="n"/>
      <c r="AA812" s="25" t="n"/>
      <c r="AB812" s="25" t="n"/>
      <c r="AC812" s="195" t="n"/>
      <c r="AD812" s="25" t="n"/>
      <c r="AE812" s="25" t="n"/>
      <c r="AG812" s="25" t="n"/>
      <c r="AH812" s="25" t="n"/>
      <c r="AI812" s="394" t="n"/>
      <c r="AM812" s="48" t="n"/>
      <c r="AN812" s="48" t="n"/>
      <c r="AO812" s="48" t="n"/>
    </row>
    <row r="813">
      <c r="M813" s="25" t="n"/>
      <c r="Q813" s="25" t="n"/>
      <c r="U813" s="194" t="n"/>
      <c r="AA813" s="25" t="n"/>
      <c r="AB813" s="25" t="n"/>
      <c r="AC813" s="195" t="n"/>
      <c r="AD813" s="25" t="n"/>
      <c r="AE813" s="25" t="n"/>
      <c r="AG813" s="25" t="n"/>
      <c r="AH813" s="25" t="n"/>
      <c r="AI813" s="394" t="n"/>
      <c r="AM813" s="48" t="n"/>
      <c r="AN813" s="48" t="n"/>
      <c r="AO813" s="48" t="n"/>
    </row>
    <row r="814">
      <c r="M814" s="25" t="n"/>
      <c r="Q814" s="25" t="n"/>
      <c r="U814" s="194" t="n"/>
      <c r="AA814" s="25" t="n"/>
      <c r="AB814" s="25" t="n"/>
      <c r="AC814" s="195" t="n"/>
      <c r="AD814" s="25" t="n"/>
      <c r="AE814" s="25" t="n"/>
      <c r="AG814" s="25" t="n"/>
      <c r="AH814" s="25" t="n"/>
      <c r="AI814" s="394" t="n"/>
      <c r="AM814" s="48" t="n"/>
      <c r="AN814" s="48" t="n"/>
      <c r="AO814" s="48" t="n"/>
    </row>
    <row r="815">
      <c r="M815" s="25" t="n"/>
      <c r="Q815" s="25" t="n"/>
      <c r="U815" s="194" t="n"/>
      <c r="AA815" s="25" t="n"/>
      <c r="AB815" s="25" t="n"/>
      <c r="AC815" s="195" t="n"/>
      <c r="AD815" s="25" t="n"/>
      <c r="AE815" s="25" t="n"/>
      <c r="AG815" s="25" t="n"/>
      <c r="AH815" s="25" t="n"/>
      <c r="AI815" s="394" t="n"/>
      <c r="AM815" s="48" t="n"/>
      <c r="AN815" s="48" t="n"/>
      <c r="AO815" s="48" t="n"/>
    </row>
    <row r="816">
      <c r="M816" s="25" t="n"/>
      <c r="Q816" s="25" t="n"/>
      <c r="U816" s="194" t="n"/>
      <c r="AA816" s="25" t="n"/>
      <c r="AB816" s="25" t="n"/>
      <c r="AC816" s="195" t="n"/>
      <c r="AD816" s="25" t="n"/>
      <c r="AE816" s="25" t="n"/>
      <c r="AG816" s="25" t="n"/>
      <c r="AH816" s="25" t="n"/>
      <c r="AI816" s="394" t="n"/>
      <c r="AM816" s="48" t="n"/>
      <c r="AN816" s="48" t="n"/>
      <c r="AO816" s="48" t="n"/>
    </row>
    <row r="817">
      <c r="M817" s="25" t="n"/>
      <c r="Q817" s="25" t="n"/>
      <c r="U817" s="194" t="n"/>
      <c r="AA817" s="25" t="n"/>
      <c r="AB817" s="25" t="n"/>
      <c r="AC817" s="195" t="n"/>
      <c r="AD817" s="25" t="n"/>
      <c r="AE817" s="25" t="n"/>
      <c r="AG817" s="25" t="n"/>
      <c r="AH817" s="25" t="n"/>
      <c r="AI817" s="394" t="n"/>
      <c r="AM817" s="48" t="n"/>
      <c r="AN817" s="48" t="n"/>
      <c r="AO817" s="48" t="n"/>
    </row>
    <row r="818">
      <c r="M818" s="25" t="n"/>
      <c r="Q818" s="25" t="n"/>
      <c r="U818" s="194" t="n"/>
      <c r="AA818" s="25" t="n"/>
      <c r="AB818" s="25" t="n"/>
      <c r="AC818" s="195" t="n"/>
      <c r="AD818" s="25" t="n"/>
      <c r="AE818" s="25" t="n"/>
      <c r="AG818" s="25" t="n"/>
      <c r="AH818" s="25" t="n"/>
      <c r="AI818" s="394" t="n"/>
      <c r="AM818" s="48" t="n"/>
      <c r="AN818" s="48" t="n"/>
      <c r="AO818" s="48" t="n"/>
    </row>
    <row r="819">
      <c r="M819" s="25" t="n"/>
      <c r="Q819" s="25" t="n"/>
      <c r="U819" s="194" t="n"/>
      <c r="AA819" s="25" t="n"/>
      <c r="AB819" s="25" t="n"/>
      <c r="AC819" s="195" t="n"/>
      <c r="AD819" s="25" t="n"/>
      <c r="AE819" s="25" t="n"/>
      <c r="AG819" s="25" t="n"/>
      <c r="AH819" s="25" t="n"/>
      <c r="AI819" s="394" t="n"/>
      <c r="AM819" s="48" t="n"/>
      <c r="AN819" s="48" t="n"/>
      <c r="AO819" s="48" t="n"/>
    </row>
    <row r="820">
      <c r="M820" s="25" t="n"/>
      <c r="Q820" s="25" t="n"/>
      <c r="U820" s="194" t="n"/>
      <c r="AA820" s="25" t="n"/>
      <c r="AB820" s="25" t="n"/>
      <c r="AC820" s="195" t="n"/>
      <c r="AD820" s="25" t="n"/>
      <c r="AE820" s="25" t="n"/>
      <c r="AG820" s="25" t="n"/>
      <c r="AH820" s="25" t="n"/>
      <c r="AI820" s="394" t="n"/>
      <c r="AM820" s="48" t="n"/>
      <c r="AN820" s="48" t="n"/>
      <c r="AO820" s="48" t="n"/>
    </row>
    <row r="821">
      <c r="M821" s="25" t="n"/>
      <c r="Q821" s="25" t="n"/>
      <c r="U821" s="194" t="n"/>
      <c r="AA821" s="25" t="n"/>
      <c r="AB821" s="25" t="n"/>
      <c r="AC821" s="195" t="n"/>
      <c r="AD821" s="25" t="n"/>
      <c r="AE821" s="25" t="n"/>
      <c r="AG821" s="25" t="n"/>
      <c r="AH821" s="25" t="n"/>
      <c r="AI821" s="394" t="n"/>
      <c r="AM821" s="48" t="n"/>
      <c r="AN821" s="48" t="n"/>
      <c r="AO821" s="48" t="n"/>
    </row>
    <row r="822">
      <c r="M822" s="25" t="n"/>
      <c r="Q822" s="25" t="n"/>
      <c r="U822" s="194" t="n"/>
      <c r="AA822" s="25" t="n"/>
      <c r="AB822" s="25" t="n"/>
      <c r="AC822" s="195" t="n"/>
      <c r="AD822" s="25" t="n"/>
      <c r="AE822" s="25" t="n"/>
      <c r="AG822" s="25" t="n"/>
      <c r="AH822" s="25" t="n"/>
      <c r="AI822" s="394" t="n"/>
      <c r="AM822" s="48" t="n"/>
      <c r="AN822" s="48" t="n"/>
      <c r="AO822" s="48" t="n"/>
    </row>
    <row r="823">
      <c r="M823" s="25" t="n"/>
      <c r="Q823" s="25" t="n"/>
      <c r="U823" s="194" t="n"/>
      <c r="AA823" s="25" t="n"/>
      <c r="AB823" s="25" t="n"/>
      <c r="AC823" s="195" t="n"/>
      <c r="AD823" s="25" t="n"/>
      <c r="AE823" s="25" t="n"/>
      <c r="AG823" s="25" t="n"/>
      <c r="AH823" s="25" t="n"/>
      <c r="AI823" s="394" t="n"/>
      <c r="AM823" s="48" t="n"/>
      <c r="AN823" s="48" t="n"/>
      <c r="AO823" s="48" t="n"/>
    </row>
    <row r="824">
      <c r="M824" s="25" t="n"/>
      <c r="Q824" s="25" t="n"/>
      <c r="U824" s="194" t="n"/>
      <c r="AA824" s="25" t="n"/>
      <c r="AB824" s="25" t="n"/>
      <c r="AC824" s="195" t="n"/>
      <c r="AD824" s="25" t="n"/>
      <c r="AE824" s="25" t="n"/>
      <c r="AG824" s="25" t="n"/>
      <c r="AH824" s="25" t="n"/>
      <c r="AI824" s="394" t="n"/>
      <c r="AM824" s="48" t="n"/>
      <c r="AN824" s="48" t="n"/>
      <c r="AO824" s="48" t="n"/>
    </row>
    <row r="825">
      <c r="M825" s="25" t="n"/>
      <c r="Q825" s="25" t="n"/>
      <c r="U825" s="194" t="n"/>
      <c r="AA825" s="25" t="n"/>
      <c r="AB825" s="25" t="n"/>
      <c r="AC825" s="195" t="n"/>
      <c r="AD825" s="25" t="n"/>
      <c r="AE825" s="25" t="n"/>
      <c r="AG825" s="25" t="n"/>
      <c r="AH825" s="25" t="n"/>
      <c r="AI825" s="394" t="n"/>
      <c r="AM825" s="48" t="n"/>
      <c r="AN825" s="48" t="n"/>
      <c r="AO825" s="48" t="n"/>
    </row>
    <row r="826">
      <c r="M826" s="25" t="n"/>
      <c r="Q826" s="25" t="n"/>
      <c r="U826" s="194" t="n"/>
      <c r="AA826" s="25" t="n"/>
      <c r="AB826" s="25" t="n"/>
      <c r="AC826" s="195" t="n"/>
      <c r="AD826" s="25" t="n"/>
      <c r="AE826" s="25" t="n"/>
      <c r="AG826" s="25" t="n"/>
      <c r="AH826" s="25" t="n"/>
      <c r="AI826" s="394" t="n"/>
      <c r="AM826" s="48" t="n"/>
      <c r="AN826" s="48" t="n"/>
      <c r="AO826" s="48" t="n"/>
    </row>
    <row r="827">
      <c r="M827" s="25" t="n"/>
      <c r="Q827" s="25" t="n"/>
      <c r="U827" s="194" t="n"/>
      <c r="AA827" s="25" t="n"/>
      <c r="AB827" s="25" t="n"/>
      <c r="AC827" s="195" t="n"/>
      <c r="AD827" s="25" t="n"/>
      <c r="AE827" s="25" t="n"/>
      <c r="AG827" s="25" t="n"/>
      <c r="AH827" s="25" t="n"/>
      <c r="AI827" s="394" t="n"/>
      <c r="AM827" s="48" t="n"/>
      <c r="AN827" s="48" t="n"/>
      <c r="AO827" s="48" t="n"/>
    </row>
    <row r="828">
      <c r="M828" s="25" t="n"/>
      <c r="Q828" s="25" t="n"/>
      <c r="U828" s="194" t="n"/>
      <c r="AA828" s="25" t="n"/>
      <c r="AB828" s="25" t="n"/>
      <c r="AC828" s="195" t="n"/>
      <c r="AD828" s="25" t="n"/>
      <c r="AE828" s="25" t="n"/>
      <c r="AG828" s="25" t="n"/>
      <c r="AH828" s="25" t="n"/>
      <c r="AI828" s="394" t="n"/>
      <c r="AM828" s="48" t="n"/>
      <c r="AN828" s="48" t="n"/>
      <c r="AO828" s="48" t="n"/>
    </row>
    <row r="829">
      <c r="M829" s="25" t="n"/>
      <c r="Q829" s="25" t="n"/>
      <c r="U829" s="194" t="n"/>
      <c r="AA829" s="25" t="n"/>
      <c r="AB829" s="25" t="n"/>
      <c r="AC829" s="195" t="n"/>
      <c r="AD829" s="25" t="n"/>
      <c r="AE829" s="25" t="n"/>
      <c r="AG829" s="25" t="n"/>
      <c r="AH829" s="25" t="n"/>
      <c r="AI829" s="394" t="n"/>
      <c r="AM829" s="48" t="n"/>
      <c r="AN829" s="48" t="n"/>
      <c r="AO829" s="48" t="n"/>
    </row>
    <row r="830">
      <c r="M830" s="25" t="n"/>
      <c r="Q830" s="25" t="n"/>
      <c r="U830" s="194" t="n"/>
      <c r="AA830" s="25" t="n"/>
      <c r="AB830" s="25" t="n"/>
      <c r="AC830" s="195" t="n"/>
      <c r="AD830" s="25" t="n"/>
      <c r="AE830" s="25" t="n"/>
      <c r="AG830" s="25" t="n"/>
      <c r="AH830" s="25" t="n"/>
      <c r="AI830" s="394" t="n"/>
      <c r="AM830" s="48" t="n"/>
      <c r="AN830" s="48" t="n"/>
      <c r="AO830" s="48" t="n"/>
    </row>
    <row r="831">
      <c r="M831" s="25" t="n"/>
      <c r="Q831" s="25" t="n"/>
      <c r="U831" s="194" t="n"/>
      <c r="AA831" s="25" t="n"/>
      <c r="AB831" s="25" t="n"/>
      <c r="AC831" s="195" t="n"/>
      <c r="AD831" s="25" t="n"/>
      <c r="AE831" s="25" t="n"/>
      <c r="AG831" s="25" t="n"/>
      <c r="AH831" s="25" t="n"/>
      <c r="AI831" s="394" t="n"/>
      <c r="AM831" s="48" t="n"/>
      <c r="AN831" s="48" t="n"/>
      <c r="AO831" s="48" t="n"/>
    </row>
    <row r="832">
      <c r="M832" s="25" t="n"/>
      <c r="Q832" s="25" t="n"/>
      <c r="U832" s="194" t="n"/>
      <c r="AA832" s="25" t="n"/>
      <c r="AB832" s="25" t="n"/>
      <c r="AC832" s="195" t="n"/>
      <c r="AD832" s="25" t="n"/>
      <c r="AE832" s="25" t="n"/>
      <c r="AG832" s="25" t="n"/>
      <c r="AH832" s="25" t="n"/>
      <c r="AI832" s="394" t="n"/>
      <c r="AM832" s="48" t="n"/>
      <c r="AN832" s="48" t="n"/>
      <c r="AO832" s="48" t="n"/>
    </row>
    <row r="833">
      <c r="M833" s="25" t="n"/>
      <c r="Q833" s="25" t="n"/>
      <c r="U833" s="194" t="n"/>
      <c r="AA833" s="25" t="n"/>
      <c r="AB833" s="25" t="n"/>
      <c r="AC833" s="195" t="n"/>
      <c r="AD833" s="25" t="n"/>
      <c r="AE833" s="25" t="n"/>
      <c r="AG833" s="25" t="n"/>
      <c r="AH833" s="25" t="n"/>
      <c r="AI833" s="394" t="n"/>
      <c r="AM833" s="48" t="n"/>
      <c r="AN833" s="48" t="n"/>
      <c r="AO833" s="48" t="n"/>
    </row>
    <row r="834">
      <c r="M834" s="25" t="n"/>
      <c r="Q834" s="25" t="n"/>
      <c r="U834" s="194" t="n"/>
      <c r="AA834" s="25" t="n"/>
      <c r="AB834" s="25" t="n"/>
      <c r="AC834" s="195" t="n"/>
      <c r="AD834" s="25" t="n"/>
      <c r="AE834" s="25" t="n"/>
      <c r="AG834" s="25" t="n"/>
      <c r="AH834" s="25" t="n"/>
      <c r="AI834" s="394" t="n"/>
      <c r="AM834" s="48" t="n"/>
      <c r="AN834" s="48" t="n"/>
      <c r="AO834" s="48" t="n"/>
    </row>
    <row r="835">
      <c r="M835" s="25" t="n"/>
      <c r="Q835" s="25" t="n"/>
      <c r="U835" s="194" t="n"/>
      <c r="AA835" s="25" t="n"/>
      <c r="AB835" s="25" t="n"/>
      <c r="AC835" s="195" t="n"/>
      <c r="AD835" s="25" t="n"/>
      <c r="AE835" s="25" t="n"/>
      <c r="AG835" s="25" t="n"/>
      <c r="AH835" s="25" t="n"/>
      <c r="AI835" s="394" t="n"/>
      <c r="AM835" s="48" t="n"/>
      <c r="AN835" s="48" t="n"/>
      <c r="AO835" s="48" t="n"/>
    </row>
    <row r="836">
      <c r="M836" s="25" t="n"/>
      <c r="Q836" s="25" t="n"/>
      <c r="U836" s="194" t="n"/>
      <c r="AA836" s="25" t="n"/>
      <c r="AB836" s="25" t="n"/>
      <c r="AC836" s="195" t="n"/>
      <c r="AD836" s="25" t="n"/>
      <c r="AE836" s="25" t="n"/>
      <c r="AG836" s="25" t="n"/>
      <c r="AH836" s="25" t="n"/>
      <c r="AI836" s="394" t="n"/>
      <c r="AM836" s="48" t="n"/>
      <c r="AN836" s="48" t="n"/>
      <c r="AO836" s="48" t="n"/>
    </row>
    <row r="837">
      <c r="M837" s="25" t="n"/>
      <c r="Q837" s="25" t="n"/>
      <c r="U837" s="194" t="n"/>
      <c r="AA837" s="25" t="n"/>
      <c r="AB837" s="25" t="n"/>
      <c r="AC837" s="195" t="n"/>
      <c r="AD837" s="25" t="n"/>
      <c r="AE837" s="25" t="n"/>
      <c r="AG837" s="25" t="n"/>
      <c r="AH837" s="25" t="n"/>
      <c r="AI837" s="394" t="n"/>
      <c r="AM837" s="48" t="n"/>
      <c r="AN837" s="48" t="n"/>
      <c r="AO837" s="48" t="n"/>
    </row>
    <row r="838">
      <c r="M838" s="25" t="n"/>
      <c r="Q838" s="25" t="n"/>
      <c r="U838" s="194" t="n"/>
      <c r="AA838" s="25" t="n"/>
      <c r="AB838" s="25" t="n"/>
      <c r="AC838" s="195" t="n"/>
      <c r="AD838" s="25" t="n"/>
      <c r="AE838" s="25" t="n"/>
      <c r="AG838" s="25" t="n"/>
      <c r="AH838" s="25" t="n"/>
      <c r="AI838" s="394" t="n"/>
      <c r="AM838" s="48" t="n"/>
      <c r="AN838" s="48" t="n"/>
      <c r="AO838" s="48" t="n"/>
    </row>
    <row r="839">
      <c r="M839" s="25" t="n"/>
      <c r="Q839" s="25" t="n"/>
      <c r="U839" s="194" t="n"/>
      <c r="AA839" s="25" t="n"/>
      <c r="AB839" s="25" t="n"/>
      <c r="AC839" s="195" t="n"/>
      <c r="AD839" s="25" t="n"/>
      <c r="AE839" s="25" t="n"/>
      <c r="AG839" s="25" t="n"/>
      <c r="AH839" s="25" t="n"/>
      <c r="AI839" s="394" t="n"/>
      <c r="AM839" s="48" t="n"/>
      <c r="AN839" s="48" t="n"/>
      <c r="AO839" s="48" t="n"/>
    </row>
    <row r="840">
      <c r="M840" s="25" t="n"/>
      <c r="Q840" s="25" t="n"/>
      <c r="U840" s="194" t="n"/>
      <c r="AA840" s="25" t="n"/>
      <c r="AB840" s="25" t="n"/>
      <c r="AC840" s="195" t="n"/>
      <c r="AD840" s="25" t="n"/>
      <c r="AE840" s="25" t="n"/>
      <c r="AG840" s="25" t="n"/>
      <c r="AH840" s="25" t="n"/>
      <c r="AI840" s="394" t="n"/>
      <c r="AM840" s="48" t="n"/>
      <c r="AN840" s="48" t="n"/>
      <c r="AO840" s="48" t="n"/>
    </row>
    <row r="841">
      <c r="M841" s="25" t="n"/>
      <c r="Q841" s="25" t="n"/>
      <c r="U841" s="194" t="n"/>
      <c r="AA841" s="25" t="n"/>
      <c r="AB841" s="25" t="n"/>
      <c r="AC841" s="195" t="n"/>
      <c r="AD841" s="25" t="n"/>
      <c r="AE841" s="25" t="n"/>
      <c r="AG841" s="25" t="n"/>
      <c r="AH841" s="25" t="n"/>
      <c r="AI841" s="394" t="n"/>
      <c r="AM841" s="48" t="n"/>
      <c r="AN841" s="48" t="n"/>
      <c r="AO841" s="48" t="n"/>
    </row>
    <row r="842">
      <c r="M842" s="25" t="n"/>
      <c r="Q842" s="25" t="n"/>
      <c r="U842" s="194" t="n"/>
      <c r="AA842" s="25" t="n"/>
      <c r="AB842" s="25" t="n"/>
      <c r="AC842" s="195" t="n"/>
      <c r="AD842" s="25" t="n"/>
      <c r="AE842" s="25" t="n"/>
      <c r="AG842" s="25" t="n"/>
      <c r="AH842" s="25" t="n"/>
      <c r="AI842" s="394" t="n"/>
      <c r="AM842" s="48" t="n"/>
      <c r="AN842" s="48" t="n"/>
      <c r="AO842" s="48" t="n"/>
    </row>
    <row r="843">
      <c r="M843" s="25" t="n"/>
      <c r="Q843" s="25" t="n"/>
      <c r="U843" s="194" t="n"/>
      <c r="AA843" s="25" t="n"/>
      <c r="AB843" s="25" t="n"/>
      <c r="AC843" s="195" t="n"/>
      <c r="AD843" s="25" t="n"/>
      <c r="AE843" s="25" t="n"/>
      <c r="AG843" s="25" t="n"/>
      <c r="AH843" s="25" t="n"/>
      <c r="AI843" s="394" t="n"/>
      <c r="AM843" s="48" t="n"/>
      <c r="AN843" s="48" t="n"/>
      <c r="AO843" s="48" t="n"/>
    </row>
    <row r="844">
      <c r="M844" s="25" t="n"/>
      <c r="Q844" s="25" t="n"/>
      <c r="U844" s="194" t="n"/>
      <c r="AA844" s="25" t="n"/>
      <c r="AB844" s="25" t="n"/>
      <c r="AC844" s="195" t="n"/>
      <c r="AD844" s="25" t="n"/>
      <c r="AE844" s="25" t="n"/>
      <c r="AG844" s="25" t="n"/>
      <c r="AH844" s="25" t="n"/>
      <c r="AI844" s="394" t="n"/>
      <c r="AM844" s="48" t="n"/>
      <c r="AN844" s="48" t="n"/>
      <c r="AO844" s="48" t="n"/>
    </row>
    <row r="845">
      <c r="M845" s="25" t="n"/>
      <c r="Q845" s="25" t="n"/>
      <c r="U845" s="194" t="n"/>
      <c r="AA845" s="25" t="n"/>
      <c r="AB845" s="25" t="n"/>
      <c r="AC845" s="195" t="n"/>
      <c r="AD845" s="25" t="n"/>
      <c r="AE845" s="25" t="n"/>
      <c r="AG845" s="25" t="n"/>
      <c r="AH845" s="25" t="n"/>
      <c r="AI845" s="394" t="n"/>
      <c r="AM845" s="48" t="n"/>
      <c r="AN845" s="48" t="n"/>
      <c r="AO845" s="48" t="n"/>
    </row>
    <row r="846">
      <c r="M846" s="25" t="n"/>
      <c r="Q846" s="25" t="n"/>
      <c r="U846" s="194" t="n"/>
      <c r="AA846" s="25" t="n"/>
      <c r="AB846" s="25" t="n"/>
      <c r="AC846" s="195" t="n"/>
      <c r="AD846" s="25" t="n"/>
      <c r="AE846" s="25" t="n"/>
      <c r="AG846" s="25" t="n"/>
      <c r="AH846" s="25" t="n"/>
      <c r="AI846" s="394" t="n"/>
      <c r="AM846" s="48" t="n"/>
      <c r="AN846" s="48" t="n"/>
      <c r="AO846" s="48" t="n"/>
    </row>
    <row r="847">
      <c r="M847" s="25" t="n"/>
      <c r="Q847" s="25" t="n"/>
      <c r="U847" s="194" t="n"/>
      <c r="AA847" s="25" t="n"/>
      <c r="AB847" s="25" t="n"/>
      <c r="AC847" s="195" t="n"/>
      <c r="AD847" s="25" t="n"/>
      <c r="AE847" s="25" t="n"/>
      <c r="AG847" s="25" t="n"/>
      <c r="AH847" s="25" t="n"/>
      <c r="AI847" s="394" t="n"/>
      <c r="AM847" s="48" t="n"/>
      <c r="AN847" s="48" t="n"/>
      <c r="AO847" s="48" t="n"/>
    </row>
    <row r="848">
      <c r="M848" s="25" t="n"/>
      <c r="Q848" s="25" t="n"/>
      <c r="U848" s="194" t="n"/>
      <c r="AA848" s="25" t="n"/>
      <c r="AB848" s="25" t="n"/>
      <c r="AC848" s="195" t="n"/>
      <c r="AD848" s="25" t="n"/>
      <c r="AE848" s="25" t="n"/>
      <c r="AG848" s="25" t="n"/>
      <c r="AH848" s="25" t="n"/>
      <c r="AI848" s="394" t="n"/>
      <c r="AM848" s="48" t="n"/>
      <c r="AN848" s="48" t="n"/>
      <c r="AO848" s="48" t="n"/>
    </row>
    <row r="849">
      <c r="M849" s="25" t="n"/>
      <c r="Q849" s="25" t="n"/>
      <c r="U849" s="194" t="n"/>
      <c r="AA849" s="25" t="n"/>
      <c r="AB849" s="25" t="n"/>
      <c r="AC849" s="195" t="n"/>
      <c r="AD849" s="25" t="n"/>
      <c r="AE849" s="25" t="n"/>
      <c r="AG849" s="25" t="n"/>
      <c r="AH849" s="25" t="n"/>
      <c r="AI849" s="394" t="n"/>
      <c r="AM849" s="48" t="n"/>
      <c r="AN849" s="48" t="n"/>
      <c r="AO849" s="48" t="n"/>
    </row>
    <row r="850">
      <c r="M850" s="25" t="n"/>
      <c r="Q850" s="25" t="n"/>
      <c r="U850" s="194" t="n"/>
      <c r="AA850" s="25" t="n"/>
      <c r="AB850" s="25" t="n"/>
      <c r="AC850" s="195" t="n"/>
      <c r="AD850" s="25" t="n"/>
      <c r="AE850" s="25" t="n"/>
      <c r="AG850" s="25" t="n"/>
      <c r="AH850" s="25" t="n"/>
      <c r="AI850" s="394" t="n"/>
      <c r="AM850" s="48" t="n"/>
      <c r="AN850" s="48" t="n"/>
      <c r="AO850" s="48" t="n"/>
    </row>
    <row r="851">
      <c r="M851" s="25" t="n"/>
      <c r="Q851" s="25" t="n"/>
      <c r="U851" s="194" t="n"/>
      <c r="AA851" s="25" t="n"/>
      <c r="AB851" s="25" t="n"/>
      <c r="AC851" s="195" t="n"/>
      <c r="AD851" s="25" t="n"/>
      <c r="AE851" s="25" t="n"/>
      <c r="AG851" s="25" t="n"/>
      <c r="AH851" s="25" t="n"/>
      <c r="AI851" s="394" t="n"/>
      <c r="AM851" s="48" t="n"/>
      <c r="AN851" s="48" t="n"/>
      <c r="AO851" s="48" t="n"/>
    </row>
    <row r="852">
      <c r="M852" s="25" t="n"/>
      <c r="Q852" s="25" t="n"/>
      <c r="U852" s="194" t="n"/>
      <c r="AA852" s="25" t="n"/>
      <c r="AB852" s="25" t="n"/>
      <c r="AC852" s="195" t="n"/>
      <c r="AD852" s="25" t="n"/>
      <c r="AE852" s="25" t="n"/>
      <c r="AG852" s="25" t="n"/>
      <c r="AH852" s="25" t="n"/>
      <c r="AI852" s="394" t="n"/>
      <c r="AM852" s="48" t="n"/>
      <c r="AN852" s="48" t="n"/>
      <c r="AO852" s="48" t="n"/>
    </row>
    <row r="853">
      <c r="M853" s="25" t="n"/>
      <c r="Q853" s="25" t="n"/>
      <c r="U853" s="194" t="n"/>
      <c r="AA853" s="25" t="n"/>
      <c r="AB853" s="25" t="n"/>
      <c r="AC853" s="195" t="n"/>
      <c r="AD853" s="25" t="n"/>
      <c r="AE853" s="25" t="n"/>
      <c r="AG853" s="25" t="n"/>
      <c r="AH853" s="25" t="n"/>
      <c r="AI853" s="394" t="n"/>
      <c r="AM853" s="48" t="n"/>
      <c r="AN853" s="48" t="n"/>
      <c r="AO853" s="48" t="n"/>
    </row>
    <row r="854">
      <c r="M854" s="25" t="n"/>
      <c r="Q854" s="25" t="n"/>
      <c r="U854" s="194" t="n"/>
      <c r="AA854" s="25" t="n"/>
      <c r="AB854" s="25" t="n"/>
      <c r="AC854" s="195" t="n"/>
      <c r="AD854" s="25" t="n"/>
      <c r="AE854" s="25" t="n"/>
      <c r="AG854" s="25" t="n"/>
      <c r="AH854" s="25" t="n"/>
      <c r="AI854" s="394" t="n"/>
      <c r="AM854" s="48" t="n"/>
      <c r="AN854" s="48" t="n"/>
      <c r="AO854" s="48" t="n"/>
    </row>
    <row r="855">
      <c r="M855" s="25" t="n"/>
      <c r="Q855" s="25" t="n"/>
      <c r="U855" s="194" t="n"/>
      <c r="AA855" s="25" t="n"/>
      <c r="AB855" s="25" t="n"/>
      <c r="AC855" s="195" t="n"/>
      <c r="AD855" s="25" t="n"/>
      <c r="AE855" s="25" t="n"/>
      <c r="AG855" s="25" t="n"/>
      <c r="AH855" s="25" t="n"/>
      <c r="AI855" s="394" t="n"/>
      <c r="AM855" s="48" t="n"/>
      <c r="AN855" s="48" t="n"/>
      <c r="AO855" s="48" t="n"/>
    </row>
    <row r="856">
      <c r="M856" s="25" t="n"/>
      <c r="Q856" s="25" t="n"/>
      <c r="U856" s="194" t="n"/>
      <c r="AA856" s="25" t="n"/>
      <c r="AB856" s="25" t="n"/>
      <c r="AC856" s="195" t="n"/>
      <c r="AD856" s="25" t="n"/>
      <c r="AE856" s="25" t="n"/>
      <c r="AG856" s="25" t="n"/>
      <c r="AH856" s="25" t="n"/>
      <c r="AI856" s="394" t="n"/>
      <c r="AM856" s="48" t="n"/>
      <c r="AN856" s="48" t="n"/>
      <c r="AO856" s="48" t="n"/>
    </row>
    <row r="857">
      <c r="M857" s="25" t="n"/>
      <c r="Q857" s="25" t="n"/>
      <c r="U857" s="194" t="n"/>
      <c r="AA857" s="25" t="n"/>
      <c r="AB857" s="25" t="n"/>
      <c r="AC857" s="195" t="n"/>
      <c r="AD857" s="25" t="n"/>
      <c r="AE857" s="25" t="n"/>
      <c r="AG857" s="25" t="n"/>
      <c r="AH857" s="25" t="n"/>
      <c r="AI857" s="394" t="n"/>
      <c r="AM857" s="48" t="n"/>
      <c r="AN857" s="48" t="n"/>
      <c r="AO857" s="48" t="n"/>
    </row>
    <row r="858">
      <c r="M858" s="25" t="n"/>
      <c r="Q858" s="25" t="n"/>
      <c r="U858" s="194" t="n"/>
      <c r="AA858" s="25" t="n"/>
      <c r="AB858" s="25" t="n"/>
      <c r="AC858" s="195" t="n"/>
      <c r="AD858" s="25" t="n"/>
      <c r="AE858" s="25" t="n"/>
      <c r="AG858" s="25" t="n"/>
      <c r="AH858" s="25" t="n"/>
      <c r="AI858" s="394" t="n"/>
      <c r="AM858" s="48" t="n"/>
      <c r="AN858" s="48" t="n"/>
      <c r="AO858" s="48" t="n"/>
    </row>
    <row r="859">
      <c r="M859" s="25" t="n"/>
      <c r="Q859" s="25" t="n"/>
      <c r="U859" s="194" t="n"/>
      <c r="AA859" s="25" t="n"/>
      <c r="AB859" s="25" t="n"/>
      <c r="AC859" s="195" t="n"/>
      <c r="AD859" s="25" t="n"/>
      <c r="AE859" s="25" t="n"/>
      <c r="AG859" s="25" t="n"/>
      <c r="AH859" s="25" t="n"/>
      <c r="AI859" s="394" t="n"/>
      <c r="AM859" s="48" t="n"/>
      <c r="AN859" s="48" t="n"/>
      <c r="AO859" s="48" t="n"/>
    </row>
    <row r="860">
      <c r="M860" s="25" t="n"/>
      <c r="Q860" s="25" t="n"/>
      <c r="U860" s="194" t="n"/>
      <c r="AA860" s="25" t="n"/>
      <c r="AB860" s="25" t="n"/>
      <c r="AC860" s="195" t="n"/>
      <c r="AD860" s="25" t="n"/>
      <c r="AE860" s="25" t="n"/>
      <c r="AG860" s="25" t="n"/>
      <c r="AH860" s="25" t="n"/>
      <c r="AI860" s="394" t="n"/>
      <c r="AM860" s="48" t="n"/>
      <c r="AN860" s="48" t="n"/>
      <c r="AO860" s="48" t="n"/>
    </row>
    <row r="861">
      <c r="M861" s="25" t="n"/>
      <c r="Q861" s="25" t="n"/>
      <c r="U861" s="194" t="n"/>
      <c r="AA861" s="25" t="n"/>
      <c r="AB861" s="25" t="n"/>
      <c r="AC861" s="195" t="n"/>
      <c r="AD861" s="25" t="n"/>
      <c r="AE861" s="25" t="n"/>
      <c r="AG861" s="25" t="n"/>
      <c r="AH861" s="25" t="n"/>
      <c r="AI861" s="394" t="n"/>
      <c r="AM861" s="48" t="n"/>
      <c r="AN861" s="48" t="n"/>
      <c r="AO861" s="48" t="n"/>
    </row>
    <row r="862">
      <c r="M862" s="25" t="n"/>
      <c r="Q862" s="25" t="n"/>
      <c r="U862" s="194" t="n"/>
      <c r="AA862" s="25" t="n"/>
      <c r="AB862" s="25" t="n"/>
      <c r="AC862" s="195" t="n"/>
      <c r="AD862" s="25" t="n"/>
      <c r="AE862" s="25" t="n"/>
      <c r="AG862" s="25" t="n"/>
      <c r="AH862" s="25" t="n"/>
      <c r="AI862" s="394" t="n"/>
      <c r="AM862" s="48" t="n"/>
      <c r="AN862" s="48" t="n"/>
      <c r="AO862" s="48" t="n"/>
    </row>
    <row r="863">
      <c r="M863" s="25" t="n"/>
      <c r="Q863" s="25" t="n"/>
      <c r="U863" s="194" t="n"/>
      <c r="AA863" s="25" t="n"/>
      <c r="AB863" s="25" t="n"/>
      <c r="AC863" s="195" t="n"/>
      <c r="AD863" s="25" t="n"/>
      <c r="AE863" s="25" t="n"/>
      <c r="AG863" s="25" t="n"/>
      <c r="AH863" s="25" t="n"/>
      <c r="AI863" s="394" t="n"/>
      <c r="AM863" s="48" t="n"/>
      <c r="AN863" s="48" t="n"/>
      <c r="AO863" s="48" t="n"/>
    </row>
    <row r="864">
      <c r="M864" s="25" t="n"/>
      <c r="Q864" s="25" t="n"/>
      <c r="U864" s="194" t="n"/>
      <c r="AA864" s="25" t="n"/>
      <c r="AB864" s="25" t="n"/>
      <c r="AC864" s="195" t="n"/>
      <c r="AD864" s="25" t="n"/>
      <c r="AE864" s="25" t="n"/>
      <c r="AG864" s="25" t="n"/>
      <c r="AH864" s="25" t="n"/>
      <c r="AI864" s="394" t="n"/>
      <c r="AM864" s="48" t="n"/>
      <c r="AN864" s="48" t="n"/>
      <c r="AO864" s="48" t="n"/>
    </row>
    <row r="865">
      <c r="M865" s="25" t="n"/>
      <c r="Q865" s="25" t="n"/>
      <c r="U865" s="194" t="n"/>
      <c r="AA865" s="25" t="n"/>
      <c r="AB865" s="25" t="n"/>
      <c r="AC865" s="195" t="n"/>
      <c r="AD865" s="25" t="n"/>
      <c r="AE865" s="25" t="n"/>
      <c r="AG865" s="25" t="n"/>
      <c r="AH865" s="25" t="n"/>
      <c r="AI865" s="394" t="n"/>
      <c r="AM865" s="48" t="n"/>
      <c r="AN865" s="48" t="n"/>
      <c r="AO865" s="48" t="n"/>
    </row>
    <row r="866">
      <c r="M866" s="25" t="n"/>
      <c r="Q866" s="25" t="n"/>
      <c r="U866" s="194" t="n"/>
      <c r="AA866" s="25" t="n"/>
      <c r="AB866" s="25" t="n"/>
      <c r="AC866" s="195" t="n"/>
      <c r="AD866" s="25" t="n"/>
      <c r="AE866" s="25" t="n"/>
      <c r="AG866" s="25" t="n"/>
      <c r="AH866" s="25" t="n"/>
      <c r="AI866" s="394" t="n"/>
      <c r="AM866" s="48" t="n"/>
      <c r="AN866" s="48" t="n"/>
      <c r="AO866" s="48" t="n"/>
    </row>
    <row r="867">
      <c r="M867" s="25" t="n"/>
      <c r="Q867" s="25" t="n"/>
      <c r="U867" s="194" t="n"/>
      <c r="AA867" s="25" t="n"/>
      <c r="AB867" s="25" t="n"/>
      <c r="AC867" s="195" t="n"/>
      <c r="AD867" s="25" t="n"/>
      <c r="AE867" s="25" t="n"/>
      <c r="AG867" s="25" t="n"/>
      <c r="AH867" s="25" t="n"/>
      <c r="AI867" s="394" t="n"/>
      <c r="AM867" s="48" t="n"/>
      <c r="AN867" s="48" t="n"/>
      <c r="AO867" s="48" t="n"/>
    </row>
    <row r="868">
      <c r="M868" s="25" t="n"/>
      <c r="Q868" s="25" t="n"/>
      <c r="U868" s="194" t="n"/>
      <c r="AA868" s="25" t="n"/>
      <c r="AB868" s="25" t="n"/>
      <c r="AC868" s="195" t="n"/>
      <c r="AD868" s="25" t="n"/>
      <c r="AE868" s="25" t="n"/>
      <c r="AG868" s="25" t="n"/>
      <c r="AH868" s="25" t="n"/>
      <c r="AI868" s="394" t="n"/>
      <c r="AM868" s="48" t="n"/>
      <c r="AN868" s="48" t="n"/>
      <c r="AO868" s="48" t="n"/>
    </row>
    <row r="869">
      <c r="M869" s="25" t="n"/>
      <c r="Q869" s="25" t="n"/>
      <c r="U869" s="194" t="n"/>
      <c r="AA869" s="25" t="n"/>
      <c r="AB869" s="25" t="n"/>
      <c r="AC869" s="195" t="n"/>
      <c r="AD869" s="25" t="n"/>
      <c r="AE869" s="25" t="n"/>
      <c r="AG869" s="25" t="n"/>
      <c r="AH869" s="25" t="n"/>
      <c r="AI869" s="394" t="n"/>
      <c r="AM869" s="48" t="n"/>
      <c r="AN869" s="48" t="n"/>
      <c r="AO869" s="48" t="n"/>
    </row>
    <row r="870">
      <c r="M870" s="25" t="n"/>
      <c r="Q870" s="25" t="n"/>
      <c r="U870" s="194" t="n"/>
      <c r="AA870" s="25" t="n"/>
      <c r="AB870" s="25" t="n"/>
      <c r="AC870" s="195" t="n"/>
      <c r="AD870" s="25" t="n"/>
      <c r="AE870" s="25" t="n"/>
      <c r="AG870" s="25" t="n"/>
      <c r="AH870" s="25" t="n"/>
      <c r="AI870" s="394" t="n"/>
      <c r="AM870" s="48" t="n"/>
      <c r="AN870" s="48" t="n"/>
      <c r="AO870" s="48" t="n"/>
    </row>
    <row r="871">
      <c r="M871" s="25" t="n"/>
      <c r="Q871" s="25" t="n"/>
      <c r="U871" s="194" t="n"/>
      <c r="AA871" s="25" t="n"/>
      <c r="AB871" s="25" t="n"/>
      <c r="AC871" s="195" t="n"/>
      <c r="AD871" s="25" t="n"/>
      <c r="AE871" s="25" t="n"/>
      <c r="AG871" s="25" t="n"/>
      <c r="AH871" s="25" t="n"/>
      <c r="AI871" s="394" t="n"/>
      <c r="AM871" s="48" t="n"/>
      <c r="AN871" s="48" t="n"/>
      <c r="AO871" s="48" t="n"/>
    </row>
    <row r="872">
      <c r="M872" s="25" t="n"/>
      <c r="Q872" s="25" t="n"/>
      <c r="U872" s="194" t="n"/>
      <c r="AA872" s="25" t="n"/>
      <c r="AB872" s="25" t="n"/>
      <c r="AC872" s="195" t="n"/>
      <c r="AD872" s="25" t="n"/>
      <c r="AE872" s="25" t="n"/>
      <c r="AG872" s="25" t="n"/>
      <c r="AH872" s="25" t="n"/>
      <c r="AI872" s="394" t="n"/>
      <c r="AM872" s="48" t="n"/>
      <c r="AN872" s="48" t="n"/>
      <c r="AO872" s="48" t="n"/>
    </row>
    <row r="873">
      <c r="M873" s="25" t="n"/>
      <c r="Q873" s="25" t="n"/>
      <c r="U873" s="194" t="n"/>
      <c r="AA873" s="25" t="n"/>
      <c r="AB873" s="25" t="n"/>
      <c r="AC873" s="195" t="n"/>
      <c r="AD873" s="25" t="n"/>
      <c r="AE873" s="25" t="n"/>
      <c r="AG873" s="25" t="n"/>
      <c r="AH873" s="25" t="n"/>
      <c r="AI873" s="394" t="n"/>
      <c r="AM873" s="48" t="n"/>
      <c r="AN873" s="48" t="n"/>
      <c r="AO873" s="48" t="n"/>
    </row>
    <row r="874">
      <c r="M874" s="25" t="n"/>
      <c r="Q874" s="25" t="n"/>
      <c r="U874" s="194" t="n"/>
      <c r="AA874" s="25" t="n"/>
      <c r="AB874" s="25" t="n"/>
      <c r="AC874" s="195" t="n"/>
      <c r="AD874" s="25" t="n"/>
      <c r="AE874" s="25" t="n"/>
      <c r="AG874" s="25" t="n"/>
      <c r="AH874" s="25" t="n"/>
      <c r="AI874" s="394" t="n"/>
      <c r="AM874" s="48" t="n"/>
      <c r="AN874" s="48" t="n"/>
      <c r="AO874" s="48" t="n"/>
    </row>
    <row r="875">
      <c r="M875" s="25" t="n"/>
      <c r="Q875" s="25" t="n"/>
      <c r="U875" s="194" t="n"/>
      <c r="AA875" s="25" t="n"/>
      <c r="AB875" s="25" t="n"/>
      <c r="AC875" s="195" t="n"/>
      <c r="AD875" s="25" t="n"/>
      <c r="AE875" s="25" t="n"/>
      <c r="AG875" s="25" t="n"/>
      <c r="AH875" s="25" t="n"/>
      <c r="AI875" s="394" t="n"/>
      <c r="AM875" s="48" t="n"/>
      <c r="AN875" s="48" t="n"/>
      <c r="AO875" s="48" t="n"/>
    </row>
    <row r="876">
      <c r="M876" s="25" t="n"/>
      <c r="Q876" s="25" t="n"/>
      <c r="U876" s="194" t="n"/>
      <c r="AA876" s="25" t="n"/>
      <c r="AB876" s="25" t="n"/>
      <c r="AC876" s="195" t="n"/>
      <c r="AD876" s="25" t="n"/>
      <c r="AE876" s="25" t="n"/>
      <c r="AG876" s="25" t="n"/>
      <c r="AH876" s="25" t="n"/>
      <c r="AI876" s="394" t="n"/>
      <c r="AM876" s="48" t="n"/>
      <c r="AN876" s="48" t="n"/>
      <c r="AO876" s="48" t="n"/>
    </row>
    <row r="877">
      <c r="M877" s="25" t="n"/>
      <c r="Q877" s="25" t="n"/>
      <c r="U877" s="194" t="n"/>
      <c r="AA877" s="25" t="n"/>
      <c r="AB877" s="25" t="n"/>
      <c r="AC877" s="195" t="n"/>
      <c r="AD877" s="25" t="n"/>
      <c r="AE877" s="25" t="n"/>
      <c r="AG877" s="25" t="n"/>
      <c r="AH877" s="25" t="n"/>
      <c r="AI877" s="394" t="n"/>
      <c r="AM877" s="48" t="n"/>
      <c r="AN877" s="48" t="n"/>
      <c r="AO877" s="48" t="n"/>
    </row>
    <row r="878">
      <c r="M878" s="25" t="n"/>
      <c r="Q878" s="25" t="n"/>
      <c r="U878" s="194" t="n"/>
      <c r="AA878" s="25" t="n"/>
      <c r="AB878" s="25" t="n"/>
      <c r="AC878" s="195" t="n"/>
      <c r="AD878" s="25" t="n"/>
      <c r="AE878" s="25" t="n"/>
      <c r="AG878" s="25" t="n"/>
      <c r="AH878" s="25" t="n"/>
      <c r="AI878" s="394" t="n"/>
      <c r="AM878" s="48" t="n"/>
      <c r="AN878" s="48" t="n"/>
      <c r="AO878" s="48" t="n"/>
    </row>
    <row r="879">
      <c r="M879" s="25" t="n"/>
      <c r="Q879" s="25" t="n"/>
      <c r="U879" s="194" t="n"/>
      <c r="AA879" s="25" t="n"/>
      <c r="AB879" s="25" t="n"/>
      <c r="AC879" s="195" t="n"/>
      <c r="AD879" s="25" t="n"/>
      <c r="AE879" s="25" t="n"/>
      <c r="AG879" s="25" t="n"/>
      <c r="AH879" s="25" t="n"/>
      <c r="AI879" s="394" t="n"/>
      <c r="AM879" s="48" t="n"/>
      <c r="AN879" s="48" t="n"/>
      <c r="AO879" s="48" t="n"/>
    </row>
    <row r="880">
      <c r="M880" s="25" t="n"/>
      <c r="Q880" s="25" t="n"/>
      <c r="U880" s="194" t="n"/>
      <c r="AA880" s="25" t="n"/>
      <c r="AB880" s="25" t="n"/>
      <c r="AC880" s="195" t="n"/>
      <c r="AD880" s="25" t="n"/>
      <c r="AE880" s="25" t="n"/>
      <c r="AG880" s="25" t="n"/>
      <c r="AH880" s="25" t="n"/>
      <c r="AI880" s="394" t="n"/>
      <c r="AM880" s="48" t="n"/>
      <c r="AN880" s="48" t="n"/>
      <c r="AO880" s="48" t="n"/>
    </row>
    <row r="881">
      <c r="M881" s="25" t="n"/>
      <c r="Q881" s="25" t="n"/>
      <c r="U881" s="194" t="n"/>
      <c r="AA881" s="25" t="n"/>
      <c r="AB881" s="25" t="n"/>
      <c r="AC881" s="195" t="n"/>
      <c r="AD881" s="25" t="n"/>
      <c r="AE881" s="25" t="n"/>
      <c r="AG881" s="25" t="n"/>
      <c r="AH881" s="25" t="n"/>
      <c r="AI881" s="394" t="n"/>
      <c r="AM881" s="48" t="n"/>
      <c r="AN881" s="48" t="n"/>
      <c r="AO881" s="48" t="n"/>
    </row>
    <row r="882">
      <c r="M882" s="25" t="n"/>
      <c r="Q882" s="25" t="n"/>
      <c r="U882" s="194" t="n"/>
      <c r="AA882" s="25" t="n"/>
      <c r="AB882" s="25" t="n"/>
      <c r="AC882" s="195" t="n"/>
      <c r="AD882" s="25" t="n"/>
      <c r="AE882" s="25" t="n"/>
      <c r="AG882" s="25" t="n"/>
      <c r="AH882" s="25" t="n"/>
      <c r="AI882" s="394" t="n"/>
      <c r="AM882" s="48" t="n"/>
      <c r="AN882" s="48" t="n"/>
      <c r="AO882" s="48" t="n"/>
    </row>
    <row r="883">
      <c r="M883" s="25" t="n"/>
      <c r="Q883" s="25" t="n"/>
      <c r="U883" s="194" t="n"/>
      <c r="AA883" s="25" t="n"/>
      <c r="AB883" s="25" t="n"/>
      <c r="AC883" s="195" t="n"/>
      <c r="AD883" s="25" t="n"/>
      <c r="AE883" s="25" t="n"/>
      <c r="AG883" s="25" t="n"/>
      <c r="AH883" s="25" t="n"/>
      <c r="AI883" s="394" t="n"/>
      <c r="AM883" s="48" t="n"/>
      <c r="AN883" s="48" t="n"/>
      <c r="AO883" s="48" t="n"/>
    </row>
    <row r="884">
      <c r="M884" s="25" t="n"/>
      <c r="Q884" s="25" t="n"/>
      <c r="U884" s="194" t="n"/>
      <c r="AA884" s="25" t="n"/>
      <c r="AB884" s="25" t="n"/>
      <c r="AC884" s="195" t="n"/>
      <c r="AD884" s="25" t="n"/>
      <c r="AE884" s="25" t="n"/>
      <c r="AG884" s="25" t="n"/>
      <c r="AH884" s="25" t="n"/>
      <c r="AI884" s="394" t="n"/>
      <c r="AM884" s="48" t="n"/>
      <c r="AN884" s="48" t="n"/>
      <c r="AO884" s="48" t="n"/>
    </row>
    <row r="885">
      <c r="M885" s="25" t="n"/>
      <c r="Q885" s="25" t="n"/>
      <c r="U885" s="194" t="n"/>
      <c r="AA885" s="25" t="n"/>
      <c r="AB885" s="25" t="n"/>
      <c r="AC885" s="195" t="n"/>
      <c r="AD885" s="25" t="n"/>
      <c r="AE885" s="25" t="n"/>
      <c r="AG885" s="25" t="n"/>
      <c r="AH885" s="25" t="n"/>
      <c r="AI885" s="394" t="n"/>
      <c r="AM885" s="48" t="n"/>
      <c r="AN885" s="48" t="n"/>
      <c r="AO885" s="48" t="n"/>
    </row>
    <row r="886">
      <c r="M886" s="25" t="n"/>
      <c r="Q886" s="25" t="n"/>
      <c r="U886" s="194" t="n"/>
      <c r="AA886" s="25" t="n"/>
      <c r="AB886" s="25" t="n"/>
      <c r="AC886" s="195" t="n"/>
      <c r="AD886" s="25" t="n"/>
      <c r="AE886" s="25" t="n"/>
      <c r="AG886" s="25" t="n"/>
      <c r="AH886" s="25" t="n"/>
      <c r="AI886" s="394" t="n"/>
      <c r="AM886" s="48" t="n"/>
      <c r="AN886" s="48" t="n"/>
      <c r="AO886" s="48" t="n"/>
    </row>
    <row r="887">
      <c r="M887" s="25" t="n"/>
      <c r="Q887" s="25" t="n"/>
      <c r="U887" s="194" t="n"/>
      <c r="AA887" s="25" t="n"/>
      <c r="AB887" s="25" t="n"/>
      <c r="AC887" s="195" t="n"/>
      <c r="AD887" s="25" t="n"/>
      <c r="AE887" s="25" t="n"/>
      <c r="AG887" s="25" t="n"/>
      <c r="AH887" s="25" t="n"/>
      <c r="AI887" s="394" t="n"/>
      <c r="AM887" s="48" t="n"/>
      <c r="AN887" s="48" t="n"/>
      <c r="AO887" s="48" t="n"/>
    </row>
    <row r="888">
      <c r="M888" s="25" t="n"/>
      <c r="Q888" s="25" t="n"/>
      <c r="U888" s="194" t="n"/>
      <c r="AA888" s="25" t="n"/>
      <c r="AB888" s="25" t="n"/>
      <c r="AC888" s="195" t="n"/>
      <c r="AD888" s="25" t="n"/>
      <c r="AE888" s="25" t="n"/>
      <c r="AG888" s="25" t="n"/>
      <c r="AH888" s="25" t="n"/>
      <c r="AI888" s="394" t="n"/>
      <c r="AM888" s="48" t="n"/>
      <c r="AN888" s="48" t="n"/>
      <c r="AO888" s="48" t="n"/>
    </row>
    <row r="889">
      <c r="M889" s="25" t="n"/>
      <c r="Q889" s="25" t="n"/>
      <c r="U889" s="194" t="n"/>
      <c r="AA889" s="25" t="n"/>
      <c r="AB889" s="25" t="n"/>
      <c r="AC889" s="195" t="n"/>
      <c r="AD889" s="25" t="n"/>
      <c r="AE889" s="25" t="n"/>
      <c r="AG889" s="25" t="n"/>
      <c r="AH889" s="25" t="n"/>
      <c r="AI889" s="394" t="n"/>
      <c r="AM889" s="48" t="n"/>
      <c r="AN889" s="48" t="n"/>
      <c r="AO889" s="48" t="n"/>
    </row>
    <row r="890">
      <c r="M890" s="25" t="n"/>
      <c r="Q890" s="25" t="n"/>
      <c r="U890" s="194" t="n"/>
      <c r="AA890" s="25" t="n"/>
      <c r="AB890" s="25" t="n"/>
      <c r="AC890" s="195" t="n"/>
      <c r="AD890" s="25" t="n"/>
      <c r="AE890" s="25" t="n"/>
      <c r="AG890" s="25" t="n"/>
      <c r="AH890" s="25" t="n"/>
      <c r="AI890" s="394" t="n"/>
      <c r="AM890" s="48" t="n"/>
      <c r="AN890" s="48" t="n"/>
      <c r="AO890" s="48" t="n"/>
    </row>
    <row r="891">
      <c r="M891" s="25" t="n"/>
      <c r="Q891" s="25" t="n"/>
      <c r="U891" s="194" t="n"/>
      <c r="AA891" s="25" t="n"/>
      <c r="AB891" s="25" t="n"/>
      <c r="AC891" s="195" t="n"/>
      <c r="AD891" s="25" t="n"/>
      <c r="AE891" s="25" t="n"/>
      <c r="AG891" s="25" t="n"/>
      <c r="AH891" s="25" t="n"/>
      <c r="AI891" s="394" t="n"/>
      <c r="AM891" s="48" t="n"/>
      <c r="AN891" s="48" t="n"/>
      <c r="AO891" s="48" t="n"/>
    </row>
    <row r="892">
      <c r="M892" s="25" t="n"/>
      <c r="Q892" s="25" t="n"/>
      <c r="U892" s="194" t="n"/>
      <c r="AA892" s="25" t="n"/>
      <c r="AB892" s="25" t="n"/>
      <c r="AC892" s="195" t="n"/>
      <c r="AD892" s="25" t="n"/>
      <c r="AE892" s="25" t="n"/>
      <c r="AG892" s="25" t="n"/>
      <c r="AH892" s="25" t="n"/>
      <c r="AI892" s="394" t="n"/>
      <c r="AM892" s="48" t="n"/>
      <c r="AN892" s="48" t="n"/>
      <c r="AO892" s="48" t="n"/>
    </row>
    <row r="893">
      <c r="M893" s="25" t="n"/>
      <c r="Q893" s="25" t="n"/>
      <c r="U893" s="194" t="n"/>
      <c r="AA893" s="25" t="n"/>
      <c r="AB893" s="25" t="n"/>
      <c r="AC893" s="195" t="n"/>
      <c r="AD893" s="25" t="n"/>
      <c r="AE893" s="25" t="n"/>
      <c r="AG893" s="25" t="n"/>
      <c r="AH893" s="25" t="n"/>
      <c r="AI893" s="394" t="n"/>
      <c r="AM893" s="48" t="n"/>
      <c r="AN893" s="48" t="n"/>
      <c r="AO893" s="48" t="n"/>
    </row>
    <row r="894">
      <c r="M894" s="25" t="n"/>
      <c r="Q894" s="25" t="n"/>
      <c r="U894" s="194" t="n"/>
      <c r="AA894" s="25" t="n"/>
      <c r="AB894" s="25" t="n"/>
      <c r="AC894" s="195" t="n"/>
      <c r="AD894" s="25" t="n"/>
      <c r="AE894" s="25" t="n"/>
      <c r="AG894" s="25" t="n"/>
      <c r="AH894" s="25" t="n"/>
      <c r="AI894" s="394" t="n"/>
      <c r="AM894" s="48" t="n"/>
      <c r="AN894" s="48" t="n"/>
      <c r="AO894" s="48" t="n"/>
    </row>
    <row r="895">
      <c r="M895" s="25" t="n"/>
      <c r="Q895" s="25" t="n"/>
      <c r="U895" s="194" t="n"/>
      <c r="AA895" s="25" t="n"/>
      <c r="AB895" s="25" t="n"/>
      <c r="AC895" s="195" t="n"/>
      <c r="AD895" s="25" t="n"/>
      <c r="AE895" s="25" t="n"/>
      <c r="AG895" s="25" t="n"/>
      <c r="AH895" s="25" t="n"/>
      <c r="AI895" s="394" t="n"/>
      <c r="AM895" s="48" t="n"/>
      <c r="AN895" s="48" t="n"/>
      <c r="AO895" s="48" t="n"/>
    </row>
    <row r="896">
      <c r="M896" s="25" t="n"/>
      <c r="Q896" s="25" t="n"/>
      <c r="U896" s="194" t="n"/>
      <c r="AA896" s="25" t="n"/>
      <c r="AB896" s="25" t="n"/>
      <c r="AC896" s="195" t="n"/>
      <c r="AD896" s="25" t="n"/>
      <c r="AE896" s="25" t="n"/>
      <c r="AG896" s="25" t="n"/>
      <c r="AH896" s="25" t="n"/>
      <c r="AI896" s="394" t="n"/>
      <c r="AM896" s="48" t="n"/>
      <c r="AN896" s="48" t="n"/>
      <c r="AO896" s="48" t="n"/>
    </row>
    <row r="897">
      <c r="M897" s="25" t="n"/>
      <c r="Q897" s="25" t="n"/>
      <c r="U897" s="194" t="n"/>
      <c r="AA897" s="25" t="n"/>
      <c r="AB897" s="25" t="n"/>
      <c r="AC897" s="195" t="n"/>
      <c r="AD897" s="25" t="n"/>
      <c r="AE897" s="25" t="n"/>
      <c r="AG897" s="25" t="n"/>
      <c r="AH897" s="25" t="n"/>
      <c r="AI897" s="394" t="n"/>
      <c r="AM897" s="48" t="n"/>
      <c r="AN897" s="48" t="n"/>
      <c r="AO897" s="48" t="n"/>
    </row>
    <row r="898">
      <c r="M898" s="25" t="n"/>
      <c r="Q898" s="25" t="n"/>
      <c r="U898" s="194" t="n"/>
      <c r="AA898" s="25" t="n"/>
      <c r="AB898" s="25" t="n"/>
      <c r="AC898" s="195" t="n"/>
      <c r="AD898" s="25" t="n"/>
      <c r="AE898" s="25" t="n"/>
      <c r="AG898" s="25" t="n"/>
      <c r="AH898" s="25" t="n"/>
      <c r="AI898" s="394" t="n"/>
      <c r="AM898" s="48" t="n"/>
      <c r="AN898" s="48" t="n"/>
      <c r="AO898" s="48" t="n"/>
    </row>
    <row r="899">
      <c r="M899" s="25" t="n"/>
      <c r="Q899" s="25" t="n"/>
      <c r="U899" s="194" t="n"/>
      <c r="AA899" s="25" t="n"/>
      <c r="AB899" s="25" t="n"/>
      <c r="AC899" s="195" t="n"/>
      <c r="AD899" s="25" t="n"/>
      <c r="AE899" s="25" t="n"/>
      <c r="AG899" s="25" t="n"/>
      <c r="AH899" s="25" t="n"/>
      <c r="AI899" s="394" t="n"/>
      <c r="AM899" s="48" t="n"/>
      <c r="AN899" s="48" t="n"/>
      <c r="AO899" s="48" t="n"/>
    </row>
    <row r="900">
      <c r="M900" s="25" t="n"/>
      <c r="Q900" s="25" t="n"/>
      <c r="U900" s="194" t="n"/>
      <c r="AA900" s="25" t="n"/>
      <c r="AB900" s="25" t="n"/>
      <c r="AC900" s="195" t="n"/>
      <c r="AD900" s="25" t="n"/>
      <c r="AE900" s="25" t="n"/>
      <c r="AG900" s="25" t="n"/>
      <c r="AH900" s="25" t="n"/>
      <c r="AI900" s="394" t="n"/>
      <c r="AM900" s="48" t="n"/>
      <c r="AN900" s="48" t="n"/>
      <c r="AO900" s="48" t="n"/>
    </row>
    <row r="901">
      <c r="M901" s="25" t="n"/>
      <c r="Q901" s="25" t="n"/>
      <c r="U901" s="194" t="n"/>
      <c r="AA901" s="25" t="n"/>
      <c r="AB901" s="25" t="n"/>
      <c r="AC901" s="195" t="n"/>
      <c r="AD901" s="25" t="n"/>
      <c r="AE901" s="25" t="n"/>
      <c r="AG901" s="25" t="n"/>
      <c r="AH901" s="25" t="n"/>
      <c r="AI901" s="394" t="n"/>
      <c r="AM901" s="48" t="n"/>
      <c r="AN901" s="48" t="n"/>
      <c r="AO901" s="48" t="n"/>
    </row>
    <row r="902">
      <c r="M902" s="25" t="n"/>
      <c r="Q902" s="25" t="n"/>
      <c r="U902" s="194" t="n"/>
      <c r="AA902" s="25" t="n"/>
      <c r="AB902" s="25" t="n"/>
      <c r="AC902" s="195" t="n"/>
      <c r="AD902" s="25" t="n"/>
      <c r="AE902" s="25" t="n"/>
      <c r="AG902" s="25" t="n"/>
      <c r="AH902" s="25" t="n"/>
      <c r="AI902" s="394" t="n"/>
      <c r="AM902" s="48" t="n"/>
      <c r="AN902" s="48" t="n"/>
      <c r="AO902" s="48" t="n"/>
    </row>
    <row r="903">
      <c r="M903" s="25" t="n"/>
      <c r="Q903" s="25" t="n"/>
      <c r="U903" s="194" t="n"/>
      <c r="AA903" s="25" t="n"/>
      <c r="AB903" s="25" t="n"/>
      <c r="AC903" s="195" t="n"/>
      <c r="AD903" s="25" t="n"/>
      <c r="AE903" s="25" t="n"/>
      <c r="AG903" s="25" t="n"/>
      <c r="AH903" s="25" t="n"/>
      <c r="AI903" s="394" t="n"/>
      <c r="AM903" s="48" t="n"/>
      <c r="AN903" s="48" t="n"/>
      <c r="AO903" s="48" t="n"/>
    </row>
    <row r="904">
      <c r="M904" s="25" t="n"/>
      <c r="Q904" s="25" t="n"/>
      <c r="U904" s="194" t="n"/>
      <c r="AA904" s="25" t="n"/>
      <c r="AB904" s="25" t="n"/>
      <c r="AC904" s="195" t="n"/>
      <c r="AD904" s="25" t="n"/>
      <c r="AE904" s="25" t="n"/>
      <c r="AG904" s="25" t="n"/>
      <c r="AH904" s="25" t="n"/>
      <c r="AI904" s="394" t="n"/>
      <c r="AM904" s="48" t="n"/>
      <c r="AN904" s="48" t="n"/>
      <c r="AO904" s="48" t="n"/>
    </row>
    <row r="905">
      <c r="M905" s="25" t="n"/>
      <c r="Q905" s="25" t="n"/>
      <c r="U905" s="194" t="n"/>
      <c r="AA905" s="25" t="n"/>
      <c r="AB905" s="25" t="n"/>
      <c r="AC905" s="195" t="n"/>
      <c r="AD905" s="25" t="n"/>
      <c r="AE905" s="25" t="n"/>
      <c r="AG905" s="25" t="n"/>
      <c r="AH905" s="25" t="n"/>
      <c r="AI905" s="394" t="n"/>
      <c r="AM905" s="48" t="n"/>
      <c r="AN905" s="48" t="n"/>
      <c r="AO905" s="48" t="n"/>
    </row>
    <row r="906">
      <c r="M906" s="25" t="n"/>
      <c r="Q906" s="25" t="n"/>
      <c r="U906" s="194" t="n"/>
      <c r="AA906" s="25" t="n"/>
      <c r="AB906" s="25" t="n"/>
      <c r="AC906" s="195" t="n"/>
      <c r="AD906" s="25" t="n"/>
      <c r="AE906" s="25" t="n"/>
      <c r="AG906" s="25" t="n"/>
      <c r="AH906" s="25" t="n"/>
      <c r="AI906" s="394" t="n"/>
      <c r="AM906" s="48" t="n"/>
      <c r="AN906" s="48" t="n"/>
      <c r="AO906" s="48" t="n"/>
    </row>
    <row r="907">
      <c r="M907" s="25" t="n"/>
      <c r="Q907" s="25" t="n"/>
      <c r="U907" s="194" t="n"/>
      <c r="AA907" s="25" t="n"/>
      <c r="AB907" s="25" t="n"/>
      <c r="AC907" s="195" t="n"/>
      <c r="AD907" s="25" t="n"/>
      <c r="AE907" s="25" t="n"/>
      <c r="AG907" s="25" t="n"/>
      <c r="AH907" s="25" t="n"/>
      <c r="AI907" s="394" t="n"/>
      <c r="AM907" s="48" t="n"/>
      <c r="AN907" s="48" t="n"/>
      <c r="AO907" s="48" t="n"/>
    </row>
    <row r="908">
      <c r="M908" s="25" t="n"/>
      <c r="Q908" s="25" t="n"/>
      <c r="U908" s="194" t="n"/>
      <c r="AA908" s="25" t="n"/>
      <c r="AB908" s="25" t="n"/>
      <c r="AC908" s="195" t="n"/>
      <c r="AD908" s="25" t="n"/>
      <c r="AE908" s="25" t="n"/>
      <c r="AG908" s="25" t="n"/>
      <c r="AH908" s="25" t="n"/>
      <c r="AI908" s="394" t="n"/>
      <c r="AM908" s="48" t="n"/>
      <c r="AN908" s="48" t="n"/>
      <c r="AO908" s="48" t="n"/>
    </row>
    <row r="909">
      <c r="M909" s="25" t="n"/>
      <c r="Q909" s="25" t="n"/>
      <c r="U909" s="194" t="n"/>
      <c r="AA909" s="25" t="n"/>
      <c r="AB909" s="25" t="n"/>
      <c r="AC909" s="195" t="n"/>
      <c r="AD909" s="25" t="n"/>
      <c r="AE909" s="25" t="n"/>
      <c r="AG909" s="25" t="n"/>
      <c r="AH909" s="25" t="n"/>
      <c r="AI909" s="394" t="n"/>
      <c r="AM909" s="48" t="n"/>
      <c r="AN909" s="48" t="n"/>
      <c r="AO909" s="48" t="n"/>
    </row>
    <row r="910">
      <c r="M910" s="25" t="n"/>
      <c r="Q910" s="25" t="n"/>
      <c r="U910" s="194" t="n"/>
      <c r="AA910" s="25" t="n"/>
      <c r="AB910" s="25" t="n"/>
      <c r="AC910" s="195" t="n"/>
      <c r="AD910" s="25" t="n"/>
      <c r="AE910" s="25" t="n"/>
      <c r="AG910" s="25" t="n"/>
      <c r="AH910" s="25" t="n"/>
      <c r="AI910" s="394" t="n"/>
      <c r="AM910" s="48" t="n"/>
      <c r="AN910" s="48" t="n"/>
      <c r="AO910" s="48" t="n"/>
    </row>
    <row r="911">
      <c r="M911" s="25" t="n"/>
      <c r="Q911" s="25" t="n"/>
      <c r="U911" s="194" t="n"/>
      <c r="AA911" s="25" t="n"/>
      <c r="AB911" s="25" t="n"/>
      <c r="AC911" s="195" t="n"/>
      <c r="AD911" s="25" t="n"/>
      <c r="AE911" s="25" t="n"/>
      <c r="AG911" s="25" t="n"/>
      <c r="AH911" s="25" t="n"/>
      <c r="AI911" s="394" t="n"/>
      <c r="AM911" s="48" t="n"/>
      <c r="AN911" s="48" t="n"/>
      <c r="AO911" s="48" t="n"/>
    </row>
    <row r="912">
      <c r="M912" s="25" t="n"/>
      <c r="Q912" s="25" t="n"/>
      <c r="U912" s="194" t="n"/>
      <c r="AA912" s="25" t="n"/>
      <c r="AB912" s="25" t="n"/>
      <c r="AC912" s="195" t="n"/>
      <c r="AD912" s="25" t="n"/>
      <c r="AE912" s="25" t="n"/>
      <c r="AG912" s="25" t="n"/>
      <c r="AH912" s="25" t="n"/>
      <c r="AI912" s="394" t="n"/>
      <c r="AM912" s="48" t="n"/>
      <c r="AN912" s="48" t="n"/>
      <c r="AO912" s="48" t="n"/>
    </row>
    <row r="913">
      <c r="M913" s="25" t="n"/>
      <c r="Q913" s="25" t="n"/>
      <c r="U913" s="194" t="n"/>
      <c r="AA913" s="25" t="n"/>
      <c r="AB913" s="25" t="n"/>
      <c r="AC913" s="195" t="n"/>
      <c r="AD913" s="25" t="n"/>
      <c r="AE913" s="25" t="n"/>
      <c r="AG913" s="25" t="n"/>
      <c r="AH913" s="25" t="n"/>
      <c r="AI913" s="394" t="n"/>
      <c r="AM913" s="48" t="n"/>
      <c r="AN913" s="48" t="n"/>
      <c r="AO913" s="48" t="n"/>
    </row>
    <row r="914">
      <c r="M914" s="25" t="n"/>
      <c r="Q914" s="25" t="n"/>
      <c r="U914" s="194" t="n"/>
      <c r="AA914" s="25" t="n"/>
      <c r="AB914" s="25" t="n"/>
      <c r="AC914" s="195" t="n"/>
      <c r="AD914" s="25" t="n"/>
      <c r="AE914" s="25" t="n"/>
      <c r="AG914" s="25" t="n"/>
      <c r="AH914" s="25" t="n"/>
      <c r="AI914" s="394" t="n"/>
      <c r="AM914" s="48" t="n"/>
      <c r="AN914" s="48" t="n"/>
      <c r="AO914" s="48" t="n"/>
    </row>
    <row r="915">
      <c r="M915" s="25" t="n"/>
      <c r="Q915" s="25" t="n"/>
      <c r="U915" s="194" t="n"/>
      <c r="AA915" s="25" t="n"/>
      <c r="AB915" s="25" t="n"/>
      <c r="AC915" s="195" t="n"/>
      <c r="AD915" s="25" t="n"/>
      <c r="AE915" s="25" t="n"/>
      <c r="AG915" s="25" t="n"/>
      <c r="AH915" s="25" t="n"/>
      <c r="AI915" s="394" t="n"/>
      <c r="AM915" s="48" t="n"/>
      <c r="AN915" s="48" t="n"/>
      <c r="AO915" s="48" t="n"/>
    </row>
    <row r="916">
      <c r="M916" s="25" t="n"/>
      <c r="Q916" s="25" t="n"/>
      <c r="U916" s="194" t="n"/>
      <c r="AA916" s="25" t="n"/>
      <c r="AB916" s="25" t="n"/>
      <c r="AC916" s="195" t="n"/>
      <c r="AD916" s="25" t="n"/>
      <c r="AE916" s="25" t="n"/>
      <c r="AG916" s="25" t="n"/>
      <c r="AH916" s="25" t="n"/>
      <c r="AI916" s="394" t="n"/>
      <c r="AM916" s="48" t="n"/>
      <c r="AN916" s="48" t="n"/>
      <c r="AO916" s="48" t="n"/>
    </row>
    <row r="917">
      <c r="M917" s="25" t="n"/>
      <c r="Q917" s="25" t="n"/>
      <c r="U917" s="194" t="n"/>
      <c r="AA917" s="25" t="n"/>
      <c r="AB917" s="25" t="n"/>
      <c r="AC917" s="195" t="n"/>
      <c r="AD917" s="25" t="n"/>
      <c r="AE917" s="25" t="n"/>
      <c r="AG917" s="25" t="n"/>
      <c r="AH917" s="25" t="n"/>
      <c r="AI917" s="394" t="n"/>
      <c r="AM917" s="48" t="n"/>
      <c r="AN917" s="48" t="n"/>
      <c r="AO917" s="48" t="n"/>
    </row>
    <row r="918">
      <c r="M918" s="25" t="n"/>
      <c r="Q918" s="25" t="n"/>
      <c r="U918" s="194" t="n"/>
      <c r="AA918" s="25" t="n"/>
      <c r="AB918" s="25" t="n"/>
      <c r="AC918" s="195" t="n"/>
      <c r="AD918" s="25" t="n"/>
      <c r="AE918" s="25" t="n"/>
      <c r="AG918" s="25" t="n"/>
      <c r="AH918" s="25" t="n"/>
      <c r="AI918" s="394" t="n"/>
      <c r="AM918" s="48" t="n"/>
      <c r="AN918" s="48" t="n"/>
      <c r="AO918" s="48" t="n"/>
    </row>
    <row r="919">
      <c r="M919" s="25" t="n"/>
      <c r="Q919" s="25" t="n"/>
      <c r="U919" s="194" t="n"/>
      <c r="AA919" s="25" t="n"/>
      <c r="AB919" s="25" t="n"/>
      <c r="AC919" s="195" t="n"/>
      <c r="AD919" s="25" t="n"/>
      <c r="AE919" s="25" t="n"/>
      <c r="AG919" s="25" t="n"/>
      <c r="AH919" s="25" t="n"/>
      <c r="AI919" s="394" t="n"/>
      <c r="AM919" s="48" t="n"/>
      <c r="AN919" s="48" t="n"/>
      <c r="AO919" s="48" t="n"/>
    </row>
    <row r="920">
      <c r="M920" s="25" t="n"/>
      <c r="Q920" s="25" t="n"/>
      <c r="U920" s="194" t="n"/>
      <c r="AA920" s="25" t="n"/>
      <c r="AB920" s="25" t="n"/>
      <c r="AC920" s="195" t="n"/>
      <c r="AD920" s="25" t="n"/>
      <c r="AE920" s="25" t="n"/>
      <c r="AG920" s="25" t="n"/>
      <c r="AH920" s="25" t="n"/>
      <c r="AI920" s="394" t="n"/>
      <c r="AM920" s="48" t="n"/>
      <c r="AN920" s="48" t="n"/>
      <c r="AO920" s="48" t="n"/>
    </row>
    <row r="921">
      <c r="M921" s="25" t="n"/>
      <c r="Q921" s="25" t="n"/>
      <c r="U921" s="194" t="n"/>
      <c r="AA921" s="25" t="n"/>
      <c r="AB921" s="25" t="n"/>
      <c r="AC921" s="195" t="n"/>
      <c r="AD921" s="25" t="n"/>
      <c r="AE921" s="25" t="n"/>
      <c r="AG921" s="25" t="n"/>
      <c r="AH921" s="25" t="n"/>
      <c r="AI921" s="394" t="n"/>
      <c r="AM921" s="48" t="n"/>
      <c r="AN921" s="48" t="n"/>
      <c r="AO921" s="48" t="n"/>
    </row>
    <row r="922">
      <c r="M922" s="25" t="n"/>
      <c r="Q922" s="25" t="n"/>
      <c r="U922" s="194" t="n"/>
      <c r="AA922" s="25" t="n"/>
      <c r="AB922" s="25" t="n"/>
      <c r="AC922" s="195" t="n"/>
      <c r="AD922" s="25" t="n"/>
      <c r="AE922" s="25" t="n"/>
      <c r="AG922" s="25" t="n"/>
      <c r="AH922" s="25" t="n"/>
      <c r="AI922" s="394" t="n"/>
      <c r="AM922" s="48" t="n"/>
      <c r="AN922" s="48" t="n"/>
      <c r="AO922" s="48" t="n"/>
    </row>
    <row r="923">
      <c r="M923" s="25" t="n"/>
      <c r="Q923" s="25" t="n"/>
      <c r="U923" s="194" t="n"/>
      <c r="AA923" s="25" t="n"/>
      <c r="AB923" s="25" t="n"/>
      <c r="AC923" s="195" t="n"/>
      <c r="AD923" s="25" t="n"/>
      <c r="AE923" s="25" t="n"/>
      <c r="AG923" s="25" t="n"/>
      <c r="AH923" s="25" t="n"/>
      <c r="AI923" s="394" t="n"/>
      <c r="AM923" s="48" t="n"/>
      <c r="AN923" s="48" t="n"/>
      <c r="AO923" s="48" t="n"/>
    </row>
    <row r="924">
      <c r="M924" s="25" t="n"/>
      <c r="Q924" s="25" t="n"/>
      <c r="U924" s="194" t="n"/>
      <c r="AA924" s="25" t="n"/>
      <c r="AB924" s="25" t="n"/>
      <c r="AC924" s="195" t="n"/>
      <c r="AD924" s="25" t="n"/>
      <c r="AE924" s="25" t="n"/>
      <c r="AG924" s="25" t="n"/>
      <c r="AH924" s="25" t="n"/>
      <c r="AI924" s="394" t="n"/>
      <c r="AM924" s="48" t="n"/>
      <c r="AN924" s="48" t="n"/>
      <c r="AO924" s="48" t="n"/>
    </row>
    <row r="925">
      <c r="M925" s="25" t="n"/>
      <c r="Q925" s="25" t="n"/>
      <c r="U925" s="194" t="n"/>
      <c r="AA925" s="25" t="n"/>
      <c r="AB925" s="25" t="n"/>
      <c r="AC925" s="195" t="n"/>
      <c r="AD925" s="25" t="n"/>
      <c r="AE925" s="25" t="n"/>
      <c r="AG925" s="25" t="n"/>
      <c r="AH925" s="25" t="n"/>
      <c r="AI925" s="394" t="n"/>
      <c r="AM925" s="48" t="n"/>
      <c r="AN925" s="48" t="n"/>
      <c r="AO925" s="48" t="n"/>
    </row>
    <row r="926">
      <c r="M926" s="25" t="n"/>
      <c r="Q926" s="25" t="n"/>
      <c r="U926" s="194" t="n"/>
      <c r="AA926" s="25" t="n"/>
      <c r="AB926" s="25" t="n"/>
      <c r="AC926" s="195" t="n"/>
      <c r="AD926" s="25" t="n"/>
      <c r="AE926" s="25" t="n"/>
      <c r="AG926" s="25" t="n"/>
      <c r="AH926" s="25" t="n"/>
      <c r="AI926" s="394" t="n"/>
      <c r="AM926" s="48" t="n"/>
      <c r="AN926" s="48" t="n"/>
      <c r="AO926" s="48" t="n"/>
    </row>
    <row r="927">
      <c r="M927" s="25" t="n"/>
      <c r="Q927" s="25" t="n"/>
      <c r="U927" s="194" t="n"/>
      <c r="AA927" s="25" t="n"/>
      <c r="AB927" s="25" t="n"/>
      <c r="AC927" s="195" t="n"/>
      <c r="AD927" s="25" t="n"/>
      <c r="AE927" s="25" t="n"/>
      <c r="AG927" s="25" t="n"/>
      <c r="AH927" s="25" t="n"/>
      <c r="AI927" s="394" t="n"/>
      <c r="AM927" s="48" t="n"/>
      <c r="AN927" s="48" t="n"/>
      <c r="AO927" s="48" t="n"/>
    </row>
    <row r="928">
      <c r="M928" s="25" t="n"/>
      <c r="Q928" s="25" t="n"/>
      <c r="U928" s="194" t="n"/>
      <c r="AA928" s="25" t="n"/>
      <c r="AB928" s="25" t="n"/>
      <c r="AC928" s="195" t="n"/>
      <c r="AD928" s="25" t="n"/>
      <c r="AE928" s="25" t="n"/>
      <c r="AG928" s="25" t="n"/>
      <c r="AH928" s="25" t="n"/>
      <c r="AI928" s="394" t="n"/>
      <c r="AM928" s="48" t="n"/>
      <c r="AN928" s="48" t="n"/>
      <c r="AO928" s="48" t="n"/>
    </row>
    <row r="929">
      <c r="M929" s="25" t="n"/>
      <c r="Q929" s="25" t="n"/>
      <c r="U929" s="194" t="n"/>
      <c r="AA929" s="25" t="n"/>
      <c r="AB929" s="25" t="n"/>
      <c r="AC929" s="195" t="n"/>
      <c r="AD929" s="25" t="n"/>
      <c r="AE929" s="25" t="n"/>
      <c r="AG929" s="25" t="n"/>
      <c r="AH929" s="25" t="n"/>
      <c r="AI929" s="394" t="n"/>
      <c r="AM929" s="48" t="n"/>
      <c r="AN929" s="48" t="n"/>
      <c r="AO929" s="48" t="n"/>
    </row>
    <row r="930">
      <c r="M930" s="25" t="n"/>
      <c r="Q930" s="25" t="n"/>
      <c r="U930" s="194" t="n"/>
      <c r="AA930" s="25" t="n"/>
      <c r="AB930" s="25" t="n"/>
      <c r="AC930" s="195" t="n"/>
      <c r="AD930" s="25" t="n"/>
      <c r="AE930" s="25" t="n"/>
      <c r="AG930" s="25" t="n"/>
      <c r="AH930" s="25" t="n"/>
      <c r="AI930" s="394" t="n"/>
      <c r="AM930" s="48" t="n"/>
      <c r="AN930" s="48" t="n"/>
      <c r="AO930" s="48" t="n"/>
    </row>
    <row r="931">
      <c r="M931" s="25" t="n"/>
      <c r="Q931" s="25" t="n"/>
      <c r="U931" s="194" t="n"/>
      <c r="AA931" s="25" t="n"/>
      <c r="AB931" s="25" t="n"/>
      <c r="AC931" s="195" t="n"/>
      <c r="AD931" s="25" t="n"/>
      <c r="AE931" s="25" t="n"/>
      <c r="AG931" s="25" t="n"/>
      <c r="AH931" s="25" t="n"/>
      <c r="AI931" s="394" t="n"/>
      <c r="AM931" s="48" t="n"/>
      <c r="AN931" s="48" t="n"/>
      <c r="AO931" s="48" t="n"/>
    </row>
    <row r="932">
      <c r="M932" s="25" t="n"/>
      <c r="Q932" s="25" t="n"/>
      <c r="U932" s="194" t="n"/>
      <c r="AA932" s="25" t="n"/>
      <c r="AB932" s="25" t="n"/>
      <c r="AC932" s="195" t="n"/>
      <c r="AD932" s="25" t="n"/>
      <c r="AE932" s="25" t="n"/>
      <c r="AG932" s="25" t="n"/>
      <c r="AH932" s="25" t="n"/>
      <c r="AI932" s="394" t="n"/>
      <c r="AM932" s="48" t="n"/>
      <c r="AN932" s="48" t="n"/>
      <c r="AO932" s="48" t="n"/>
    </row>
    <row r="933">
      <c r="M933" s="25" t="n"/>
      <c r="Q933" s="25" t="n"/>
      <c r="U933" s="194" t="n"/>
      <c r="AA933" s="25" t="n"/>
      <c r="AB933" s="25" t="n"/>
      <c r="AC933" s="195" t="n"/>
      <c r="AD933" s="25" t="n"/>
      <c r="AE933" s="25" t="n"/>
      <c r="AG933" s="25" t="n"/>
      <c r="AH933" s="25" t="n"/>
      <c r="AI933" s="394" t="n"/>
      <c r="AM933" s="48" t="n"/>
      <c r="AN933" s="48" t="n"/>
      <c r="AO933" s="48" t="n"/>
    </row>
    <row r="934">
      <c r="M934" s="25" t="n"/>
      <c r="Q934" s="25" t="n"/>
      <c r="U934" s="194" t="n"/>
      <c r="AA934" s="25" t="n"/>
      <c r="AB934" s="25" t="n"/>
      <c r="AC934" s="195" t="n"/>
      <c r="AD934" s="25" t="n"/>
      <c r="AE934" s="25" t="n"/>
      <c r="AG934" s="25" t="n"/>
      <c r="AH934" s="25" t="n"/>
      <c r="AI934" s="394" t="n"/>
      <c r="AM934" s="48" t="n"/>
      <c r="AN934" s="48" t="n"/>
      <c r="AO934" s="48" t="n"/>
    </row>
    <row r="935">
      <c r="M935" s="25" t="n"/>
      <c r="Q935" s="25" t="n"/>
      <c r="U935" s="194" t="n"/>
      <c r="AA935" s="25" t="n"/>
      <c r="AB935" s="25" t="n"/>
      <c r="AC935" s="195" t="n"/>
      <c r="AD935" s="25" t="n"/>
      <c r="AE935" s="25" t="n"/>
      <c r="AG935" s="25" t="n"/>
      <c r="AH935" s="25" t="n"/>
      <c r="AI935" s="394" t="n"/>
      <c r="AM935" s="48" t="n"/>
      <c r="AN935" s="48" t="n"/>
      <c r="AO935" s="48" t="n"/>
    </row>
    <row r="936">
      <c r="M936" s="25" t="n"/>
      <c r="Q936" s="25" t="n"/>
      <c r="U936" s="194" t="n"/>
      <c r="AA936" s="25" t="n"/>
      <c r="AB936" s="25" t="n"/>
      <c r="AC936" s="195" t="n"/>
      <c r="AD936" s="25" t="n"/>
      <c r="AE936" s="25" t="n"/>
      <c r="AG936" s="25" t="n"/>
      <c r="AH936" s="25" t="n"/>
      <c r="AI936" s="394" t="n"/>
      <c r="AM936" s="48" t="n"/>
      <c r="AN936" s="48" t="n"/>
      <c r="AO936" s="48" t="n"/>
    </row>
    <row r="937">
      <c r="M937" s="25" t="n"/>
      <c r="Q937" s="25" t="n"/>
      <c r="U937" s="194" t="n"/>
      <c r="AA937" s="25" t="n"/>
      <c r="AB937" s="25" t="n"/>
      <c r="AC937" s="195" t="n"/>
      <c r="AD937" s="25" t="n"/>
      <c r="AE937" s="25" t="n"/>
      <c r="AG937" s="25" t="n"/>
      <c r="AH937" s="25" t="n"/>
      <c r="AI937" s="394" t="n"/>
      <c r="AM937" s="48" t="n"/>
      <c r="AN937" s="48" t="n"/>
      <c r="AO937" s="48" t="n"/>
    </row>
    <row r="938">
      <c r="M938" s="25" t="n"/>
      <c r="Q938" s="25" t="n"/>
      <c r="U938" s="194" t="n"/>
      <c r="AA938" s="25" t="n"/>
      <c r="AB938" s="25" t="n"/>
      <c r="AC938" s="195" t="n"/>
      <c r="AD938" s="25" t="n"/>
      <c r="AE938" s="25" t="n"/>
      <c r="AG938" s="25" t="n"/>
      <c r="AH938" s="25" t="n"/>
      <c r="AI938" s="394" t="n"/>
      <c r="AM938" s="48" t="n"/>
      <c r="AN938" s="48" t="n"/>
      <c r="AO938" s="48" t="n"/>
    </row>
    <row r="939">
      <c r="M939" s="25" t="n"/>
      <c r="Q939" s="25" t="n"/>
      <c r="U939" s="194" t="n"/>
      <c r="AA939" s="25" t="n"/>
      <c r="AB939" s="25" t="n"/>
      <c r="AC939" s="195" t="n"/>
      <c r="AD939" s="25" t="n"/>
      <c r="AE939" s="25" t="n"/>
      <c r="AG939" s="25" t="n"/>
      <c r="AH939" s="25" t="n"/>
      <c r="AI939" s="394" t="n"/>
      <c r="AM939" s="48" t="n"/>
      <c r="AN939" s="48" t="n"/>
      <c r="AO939" s="48" t="n"/>
    </row>
    <row r="940">
      <c r="M940" s="25" t="n"/>
      <c r="Q940" s="25" t="n"/>
      <c r="U940" s="194" t="n"/>
      <c r="AA940" s="25" t="n"/>
      <c r="AB940" s="25" t="n"/>
      <c r="AC940" s="195" t="n"/>
      <c r="AD940" s="25" t="n"/>
      <c r="AE940" s="25" t="n"/>
      <c r="AG940" s="25" t="n"/>
      <c r="AH940" s="25" t="n"/>
      <c r="AI940" s="394" t="n"/>
      <c r="AM940" s="48" t="n"/>
      <c r="AN940" s="48" t="n"/>
      <c r="AO940" s="48" t="n"/>
    </row>
    <row r="941">
      <c r="M941" s="25" t="n"/>
      <c r="Q941" s="25" t="n"/>
      <c r="U941" s="194" t="n"/>
      <c r="AA941" s="25" t="n"/>
      <c r="AB941" s="25" t="n"/>
      <c r="AC941" s="195" t="n"/>
      <c r="AD941" s="25" t="n"/>
      <c r="AE941" s="25" t="n"/>
      <c r="AG941" s="25" t="n"/>
      <c r="AH941" s="25" t="n"/>
      <c r="AI941" s="394" t="n"/>
      <c r="AM941" s="48" t="n"/>
      <c r="AN941" s="48" t="n"/>
      <c r="AO941" s="48" t="n"/>
    </row>
    <row r="942">
      <c r="M942" s="25" t="n"/>
      <c r="Q942" s="25" t="n"/>
      <c r="U942" s="194" t="n"/>
      <c r="AA942" s="25" t="n"/>
      <c r="AB942" s="25" t="n"/>
      <c r="AC942" s="195" t="n"/>
      <c r="AD942" s="25" t="n"/>
      <c r="AE942" s="25" t="n"/>
      <c r="AG942" s="25" t="n"/>
      <c r="AH942" s="25" t="n"/>
      <c r="AI942" s="394" t="n"/>
      <c r="AM942" s="48" t="n"/>
      <c r="AN942" s="48" t="n"/>
      <c r="AO942" s="48" t="n"/>
    </row>
    <row r="943">
      <c r="M943" s="25" t="n"/>
      <c r="Q943" s="25" t="n"/>
      <c r="U943" s="194" t="n"/>
      <c r="AA943" s="25" t="n"/>
      <c r="AB943" s="25" t="n"/>
      <c r="AC943" s="195" t="n"/>
      <c r="AD943" s="25" t="n"/>
      <c r="AE943" s="25" t="n"/>
      <c r="AG943" s="25" t="n"/>
      <c r="AH943" s="25" t="n"/>
      <c r="AI943" s="394" t="n"/>
      <c r="AM943" s="48" t="n"/>
      <c r="AN943" s="48" t="n"/>
      <c r="AO943" s="48" t="n"/>
    </row>
    <row r="944">
      <c r="M944" s="25" t="n"/>
      <c r="Q944" s="25" t="n"/>
      <c r="U944" s="194" t="n"/>
      <c r="AA944" s="25" t="n"/>
      <c r="AB944" s="25" t="n"/>
      <c r="AC944" s="195" t="n"/>
      <c r="AD944" s="25" t="n"/>
      <c r="AE944" s="25" t="n"/>
      <c r="AG944" s="25" t="n"/>
      <c r="AH944" s="25" t="n"/>
      <c r="AI944" s="394" t="n"/>
      <c r="AM944" s="48" t="n"/>
      <c r="AN944" s="48" t="n"/>
      <c r="AO944" s="48" t="n"/>
    </row>
    <row r="945">
      <c r="M945" s="25" t="n"/>
      <c r="Q945" s="25" t="n"/>
      <c r="U945" s="194" t="n"/>
      <c r="AA945" s="25" t="n"/>
      <c r="AB945" s="25" t="n"/>
      <c r="AC945" s="195" t="n"/>
      <c r="AD945" s="25" t="n"/>
      <c r="AE945" s="25" t="n"/>
      <c r="AG945" s="25" t="n"/>
      <c r="AH945" s="25" t="n"/>
      <c r="AI945" s="394" t="n"/>
      <c r="AM945" s="48" t="n"/>
      <c r="AN945" s="48" t="n"/>
      <c r="AO945" s="48" t="n"/>
    </row>
    <row r="946">
      <c r="M946" s="25" t="n"/>
      <c r="Q946" s="25" t="n"/>
      <c r="U946" s="194" t="n"/>
      <c r="AA946" s="25" t="n"/>
      <c r="AB946" s="25" t="n"/>
      <c r="AC946" s="195" t="n"/>
      <c r="AD946" s="25" t="n"/>
      <c r="AE946" s="25" t="n"/>
      <c r="AG946" s="25" t="n"/>
      <c r="AH946" s="25" t="n"/>
      <c r="AI946" s="394" t="n"/>
      <c r="AM946" s="48" t="n"/>
      <c r="AN946" s="48" t="n"/>
      <c r="AO946" s="48" t="n"/>
    </row>
    <row r="947">
      <c r="M947" s="25" t="n"/>
      <c r="Q947" s="25" t="n"/>
      <c r="U947" s="194" t="n"/>
      <c r="AA947" s="25" t="n"/>
      <c r="AB947" s="25" t="n"/>
      <c r="AC947" s="195" t="n"/>
      <c r="AD947" s="25" t="n"/>
      <c r="AE947" s="25" t="n"/>
      <c r="AG947" s="25" t="n"/>
      <c r="AH947" s="25" t="n"/>
      <c r="AI947" s="394" t="n"/>
      <c r="AM947" s="48" t="n"/>
      <c r="AN947" s="48" t="n"/>
      <c r="AO947" s="48" t="n"/>
    </row>
    <row r="948">
      <c r="M948" s="25" t="n"/>
      <c r="Q948" s="25" t="n"/>
      <c r="U948" s="194" t="n"/>
      <c r="AA948" s="25" t="n"/>
      <c r="AB948" s="25" t="n"/>
      <c r="AC948" s="195" t="n"/>
      <c r="AD948" s="25" t="n"/>
      <c r="AE948" s="25" t="n"/>
      <c r="AG948" s="25" t="n"/>
      <c r="AH948" s="25" t="n"/>
      <c r="AI948" s="394" t="n"/>
      <c r="AM948" s="48" t="n"/>
      <c r="AN948" s="48" t="n"/>
      <c r="AO948" s="48" t="n"/>
    </row>
    <row r="949">
      <c r="M949" s="25" t="n"/>
      <c r="Q949" s="25" t="n"/>
      <c r="U949" s="194" t="n"/>
      <c r="AA949" s="25" t="n"/>
      <c r="AB949" s="25" t="n"/>
      <c r="AC949" s="195" t="n"/>
      <c r="AD949" s="25" t="n"/>
      <c r="AE949" s="25" t="n"/>
      <c r="AG949" s="25" t="n"/>
      <c r="AH949" s="25" t="n"/>
      <c r="AI949" s="394" t="n"/>
      <c r="AM949" s="48" t="n"/>
      <c r="AN949" s="48" t="n"/>
      <c r="AO949" s="48" t="n"/>
    </row>
    <row r="950">
      <c r="M950" s="25" t="n"/>
      <c r="Q950" s="25" t="n"/>
      <c r="U950" s="194" t="n"/>
      <c r="AA950" s="25" t="n"/>
      <c r="AB950" s="25" t="n"/>
      <c r="AC950" s="195" t="n"/>
      <c r="AD950" s="25" t="n"/>
      <c r="AE950" s="25" t="n"/>
      <c r="AG950" s="25" t="n"/>
      <c r="AH950" s="25" t="n"/>
      <c r="AI950" s="394" t="n"/>
      <c r="AM950" s="48" t="n"/>
      <c r="AN950" s="48" t="n"/>
      <c r="AO950" s="48" t="n"/>
    </row>
    <row r="951">
      <c r="M951" s="25" t="n"/>
      <c r="Q951" s="25" t="n"/>
      <c r="U951" s="194" t="n"/>
      <c r="AA951" s="25" t="n"/>
      <c r="AB951" s="25" t="n"/>
      <c r="AC951" s="195" t="n"/>
      <c r="AD951" s="25" t="n"/>
      <c r="AE951" s="25" t="n"/>
      <c r="AG951" s="25" t="n"/>
      <c r="AH951" s="25" t="n"/>
      <c r="AI951" s="394" t="n"/>
      <c r="AM951" s="48" t="n"/>
      <c r="AN951" s="48" t="n"/>
      <c r="AO951" s="48" t="n"/>
    </row>
    <row r="952">
      <c r="M952" s="25" t="n"/>
      <c r="Q952" s="25" t="n"/>
      <c r="U952" s="194" t="n"/>
      <c r="AA952" s="25" t="n"/>
      <c r="AB952" s="25" t="n"/>
      <c r="AC952" s="195" t="n"/>
      <c r="AD952" s="25" t="n"/>
      <c r="AE952" s="25" t="n"/>
      <c r="AG952" s="25" t="n"/>
      <c r="AH952" s="25" t="n"/>
      <c r="AI952" s="394" t="n"/>
      <c r="AM952" s="48" t="n"/>
      <c r="AN952" s="48" t="n"/>
      <c r="AO952" s="48" t="n"/>
    </row>
    <row r="953">
      <c r="M953" s="25" t="n"/>
      <c r="Q953" s="25" t="n"/>
      <c r="U953" s="194" t="n"/>
      <c r="AA953" s="25" t="n"/>
      <c r="AB953" s="25" t="n"/>
      <c r="AC953" s="195" t="n"/>
      <c r="AD953" s="25" t="n"/>
      <c r="AE953" s="25" t="n"/>
      <c r="AG953" s="25" t="n"/>
      <c r="AH953" s="25" t="n"/>
      <c r="AI953" s="394" t="n"/>
      <c r="AM953" s="48" t="n"/>
      <c r="AN953" s="48" t="n"/>
      <c r="AO953" s="48" t="n"/>
    </row>
    <row r="954">
      <c r="M954" s="25" t="n"/>
      <c r="Q954" s="25" t="n"/>
      <c r="U954" s="194" t="n"/>
      <c r="AA954" s="25" t="n"/>
      <c r="AB954" s="25" t="n"/>
      <c r="AC954" s="195" t="n"/>
      <c r="AD954" s="25" t="n"/>
      <c r="AE954" s="25" t="n"/>
      <c r="AG954" s="25" t="n"/>
      <c r="AH954" s="25" t="n"/>
      <c r="AI954" s="394" t="n"/>
      <c r="AM954" s="48" t="n"/>
      <c r="AN954" s="48" t="n"/>
      <c r="AO954" s="48" t="n"/>
    </row>
    <row r="955">
      <c r="M955" s="25" t="n"/>
      <c r="Q955" s="25" t="n"/>
      <c r="U955" s="194" t="n"/>
      <c r="AA955" s="25" t="n"/>
      <c r="AB955" s="25" t="n"/>
      <c r="AC955" s="195" t="n"/>
      <c r="AD955" s="25" t="n"/>
      <c r="AE955" s="25" t="n"/>
      <c r="AG955" s="25" t="n"/>
      <c r="AH955" s="25" t="n"/>
      <c r="AI955" s="394" t="n"/>
      <c r="AM955" s="48" t="n"/>
      <c r="AN955" s="48" t="n"/>
      <c r="AO955" s="48" t="n"/>
    </row>
    <row r="956">
      <c r="M956" s="25" t="n"/>
      <c r="Q956" s="25" t="n"/>
      <c r="U956" s="194" t="n"/>
      <c r="AA956" s="25" t="n"/>
      <c r="AB956" s="25" t="n"/>
      <c r="AC956" s="195" t="n"/>
      <c r="AD956" s="25" t="n"/>
      <c r="AE956" s="25" t="n"/>
      <c r="AG956" s="25" t="n"/>
      <c r="AH956" s="25" t="n"/>
      <c r="AI956" s="394" t="n"/>
      <c r="AM956" s="48" t="n"/>
      <c r="AN956" s="48" t="n"/>
      <c r="AO956" s="48" t="n"/>
    </row>
    <row r="957">
      <c r="M957" s="25" t="n"/>
      <c r="Q957" s="25" t="n"/>
      <c r="U957" s="194" t="n"/>
      <c r="AA957" s="25" t="n"/>
      <c r="AB957" s="25" t="n"/>
      <c r="AC957" s="195" t="n"/>
      <c r="AD957" s="25" t="n"/>
      <c r="AE957" s="25" t="n"/>
      <c r="AG957" s="25" t="n"/>
      <c r="AH957" s="25" t="n"/>
      <c r="AI957" s="394" t="n"/>
      <c r="AM957" s="48" t="n"/>
      <c r="AN957" s="48" t="n"/>
      <c r="AO957" s="48" t="n"/>
    </row>
    <row r="958">
      <c r="M958" s="25" t="n"/>
      <c r="Q958" s="25" t="n"/>
      <c r="U958" s="194" t="n"/>
      <c r="AA958" s="25" t="n"/>
      <c r="AB958" s="25" t="n"/>
      <c r="AC958" s="195" t="n"/>
      <c r="AD958" s="25" t="n"/>
      <c r="AE958" s="25" t="n"/>
      <c r="AG958" s="25" t="n"/>
      <c r="AH958" s="25" t="n"/>
      <c r="AI958" s="394" t="n"/>
      <c r="AM958" s="48" t="n"/>
      <c r="AN958" s="48" t="n"/>
      <c r="AO958" s="48" t="n"/>
    </row>
    <row r="959">
      <c r="M959" s="25" t="n"/>
      <c r="Q959" s="25" t="n"/>
      <c r="U959" s="194" t="n"/>
      <c r="AA959" s="25" t="n"/>
      <c r="AB959" s="25" t="n"/>
      <c r="AC959" s="195" t="n"/>
      <c r="AD959" s="25" t="n"/>
      <c r="AE959" s="25" t="n"/>
      <c r="AG959" s="25" t="n"/>
      <c r="AH959" s="25" t="n"/>
      <c r="AI959" s="394" t="n"/>
      <c r="AM959" s="48" t="n"/>
      <c r="AN959" s="48" t="n"/>
      <c r="AO959" s="48" t="n"/>
    </row>
    <row r="960">
      <c r="M960" s="25" t="n"/>
      <c r="Q960" s="25" t="n"/>
      <c r="U960" s="194" t="n"/>
      <c r="AA960" s="25" t="n"/>
      <c r="AB960" s="25" t="n"/>
      <c r="AC960" s="195" t="n"/>
      <c r="AD960" s="25" t="n"/>
      <c r="AE960" s="25" t="n"/>
      <c r="AG960" s="25" t="n"/>
      <c r="AH960" s="25" t="n"/>
      <c r="AI960" s="394" t="n"/>
      <c r="AM960" s="48" t="n"/>
      <c r="AN960" s="48" t="n"/>
      <c r="AO960" s="48" t="n"/>
    </row>
    <row r="961">
      <c r="M961" s="25" t="n"/>
      <c r="Q961" s="25" t="n"/>
      <c r="U961" s="194" t="n"/>
      <c r="AA961" s="25" t="n"/>
      <c r="AB961" s="25" t="n"/>
      <c r="AC961" s="195" t="n"/>
      <c r="AD961" s="25" t="n"/>
      <c r="AE961" s="25" t="n"/>
      <c r="AG961" s="25" t="n"/>
      <c r="AH961" s="25" t="n"/>
      <c r="AI961" s="394" t="n"/>
      <c r="AM961" s="48" t="n"/>
      <c r="AN961" s="48" t="n"/>
      <c r="AO961" s="48" t="n"/>
    </row>
    <row r="962">
      <c r="M962" s="25" t="n"/>
      <c r="Q962" s="25" t="n"/>
      <c r="U962" s="194" t="n"/>
      <c r="AA962" s="25" t="n"/>
      <c r="AB962" s="25" t="n"/>
      <c r="AC962" s="195" t="n"/>
      <c r="AD962" s="25" t="n"/>
      <c r="AE962" s="25" t="n"/>
      <c r="AG962" s="25" t="n"/>
      <c r="AH962" s="25" t="n"/>
      <c r="AI962" s="394" t="n"/>
      <c r="AM962" s="48" t="n"/>
      <c r="AN962" s="48" t="n"/>
      <c r="AO962" s="48" t="n"/>
    </row>
    <row r="963">
      <c r="M963" s="25" t="n"/>
      <c r="Q963" s="25" t="n"/>
      <c r="U963" s="194" t="n"/>
      <c r="AA963" s="25" t="n"/>
      <c r="AB963" s="25" t="n"/>
      <c r="AC963" s="195" t="n"/>
      <c r="AD963" s="25" t="n"/>
      <c r="AE963" s="25" t="n"/>
      <c r="AG963" s="25" t="n"/>
      <c r="AH963" s="25" t="n"/>
      <c r="AI963" s="394" t="n"/>
      <c r="AM963" s="48" t="n"/>
      <c r="AN963" s="48" t="n"/>
      <c r="AO963" s="48" t="n"/>
    </row>
    <row r="964">
      <c r="M964" s="25" t="n"/>
      <c r="Q964" s="25" t="n"/>
      <c r="U964" s="194" t="n"/>
      <c r="AA964" s="25" t="n"/>
      <c r="AB964" s="25" t="n"/>
      <c r="AC964" s="195" t="n"/>
      <c r="AD964" s="25" t="n"/>
      <c r="AE964" s="25" t="n"/>
      <c r="AG964" s="25" t="n"/>
      <c r="AH964" s="25" t="n"/>
      <c r="AI964" s="394" t="n"/>
      <c r="AM964" s="48" t="n"/>
      <c r="AN964" s="48" t="n"/>
      <c r="AO964" s="48" t="n"/>
    </row>
    <row r="965">
      <c r="M965" s="25" t="n"/>
      <c r="Q965" s="25" t="n"/>
      <c r="U965" s="194" t="n"/>
      <c r="AA965" s="25" t="n"/>
      <c r="AB965" s="25" t="n"/>
      <c r="AC965" s="195" t="n"/>
      <c r="AD965" s="25" t="n"/>
      <c r="AE965" s="25" t="n"/>
      <c r="AG965" s="25" t="n"/>
      <c r="AH965" s="25" t="n"/>
      <c r="AI965" s="394" t="n"/>
      <c r="AM965" s="48" t="n"/>
      <c r="AN965" s="48" t="n"/>
      <c r="AO965" s="48" t="n"/>
    </row>
    <row r="966">
      <c r="M966" s="25" t="n"/>
      <c r="Q966" s="25" t="n"/>
      <c r="U966" s="194" t="n"/>
      <c r="AA966" s="25" t="n"/>
      <c r="AB966" s="25" t="n"/>
      <c r="AC966" s="195" t="n"/>
      <c r="AD966" s="25" t="n"/>
      <c r="AE966" s="25" t="n"/>
      <c r="AG966" s="25" t="n"/>
      <c r="AH966" s="25" t="n"/>
      <c r="AI966" s="394" t="n"/>
      <c r="AM966" s="48" t="n"/>
      <c r="AN966" s="48" t="n"/>
      <c r="AO966" s="48" t="n"/>
    </row>
    <row r="967">
      <c r="M967" s="25" t="n"/>
      <c r="Q967" s="25" t="n"/>
      <c r="U967" s="194" t="n"/>
      <c r="AA967" s="25" t="n"/>
      <c r="AB967" s="25" t="n"/>
      <c r="AC967" s="195" t="n"/>
      <c r="AD967" s="25" t="n"/>
      <c r="AE967" s="25" t="n"/>
      <c r="AG967" s="25" t="n"/>
      <c r="AH967" s="25" t="n"/>
      <c r="AI967" s="394" t="n"/>
      <c r="AM967" s="48" t="n"/>
      <c r="AN967" s="48" t="n"/>
      <c r="AO967" s="48" t="n"/>
    </row>
    <row r="968">
      <c r="M968" s="25" t="n"/>
      <c r="Q968" s="25" t="n"/>
      <c r="U968" s="194" t="n"/>
      <c r="AA968" s="25" t="n"/>
      <c r="AB968" s="25" t="n"/>
      <c r="AC968" s="195" t="n"/>
      <c r="AD968" s="25" t="n"/>
      <c r="AE968" s="25" t="n"/>
      <c r="AG968" s="25" t="n"/>
      <c r="AH968" s="25" t="n"/>
      <c r="AI968" s="394" t="n"/>
      <c r="AM968" s="48" t="n"/>
      <c r="AN968" s="48" t="n"/>
      <c r="AO968" s="48" t="n"/>
    </row>
    <row r="969">
      <c r="M969" s="25" t="n"/>
      <c r="Q969" s="25" t="n"/>
      <c r="U969" s="194" t="n"/>
      <c r="AA969" s="25" t="n"/>
      <c r="AB969" s="25" t="n"/>
      <c r="AC969" s="195" t="n"/>
      <c r="AD969" s="25" t="n"/>
      <c r="AE969" s="25" t="n"/>
      <c r="AG969" s="25" t="n"/>
      <c r="AH969" s="25" t="n"/>
      <c r="AI969" s="394" t="n"/>
      <c r="AM969" s="48" t="n"/>
      <c r="AN969" s="48" t="n"/>
      <c r="AO969" s="48" t="n"/>
    </row>
    <row r="970">
      <c r="M970" s="25" t="n"/>
      <c r="Q970" s="25" t="n"/>
      <c r="U970" s="194" t="n"/>
      <c r="AA970" s="25" t="n"/>
      <c r="AB970" s="25" t="n"/>
      <c r="AC970" s="195" t="n"/>
      <c r="AD970" s="25" t="n"/>
      <c r="AE970" s="25" t="n"/>
      <c r="AG970" s="25" t="n"/>
      <c r="AH970" s="25" t="n"/>
      <c r="AI970" s="394" t="n"/>
      <c r="AM970" s="48" t="n"/>
      <c r="AN970" s="48" t="n"/>
      <c r="AO970" s="48" t="n"/>
    </row>
    <row r="971">
      <c r="M971" s="25" t="n"/>
      <c r="Q971" s="25" t="n"/>
      <c r="U971" s="194" t="n"/>
      <c r="AA971" s="25" t="n"/>
      <c r="AB971" s="25" t="n"/>
      <c r="AC971" s="195" t="n"/>
      <c r="AD971" s="25" t="n"/>
      <c r="AE971" s="25" t="n"/>
      <c r="AG971" s="25" t="n"/>
      <c r="AH971" s="25" t="n"/>
      <c r="AI971" s="394" t="n"/>
      <c r="AM971" s="48" t="n"/>
      <c r="AN971" s="48" t="n"/>
      <c r="AO971" s="48" t="n"/>
    </row>
    <row r="972">
      <c r="M972" s="25" t="n"/>
      <c r="Q972" s="25" t="n"/>
      <c r="U972" s="194" t="n"/>
      <c r="AA972" s="25" t="n"/>
      <c r="AB972" s="25" t="n"/>
      <c r="AC972" s="195" t="n"/>
      <c r="AD972" s="25" t="n"/>
      <c r="AE972" s="25" t="n"/>
      <c r="AG972" s="25" t="n"/>
      <c r="AH972" s="25" t="n"/>
      <c r="AI972" s="394" t="n"/>
      <c r="AM972" s="48" t="n"/>
      <c r="AN972" s="48" t="n"/>
      <c r="AO972" s="48" t="n"/>
    </row>
    <row r="973">
      <c r="M973" s="25" t="n"/>
      <c r="Q973" s="25" t="n"/>
      <c r="U973" s="194" t="n"/>
      <c r="AA973" s="25" t="n"/>
      <c r="AB973" s="25" t="n"/>
      <c r="AC973" s="195" t="n"/>
      <c r="AD973" s="25" t="n"/>
      <c r="AE973" s="25" t="n"/>
      <c r="AG973" s="25" t="n"/>
      <c r="AH973" s="25" t="n"/>
      <c r="AI973" s="394" t="n"/>
      <c r="AM973" s="48" t="n"/>
      <c r="AN973" s="48" t="n"/>
      <c r="AO973" s="48" t="n"/>
    </row>
    <row r="974">
      <c r="M974" s="25" t="n"/>
      <c r="Q974" s="25" t="n"/>
      <c r="U974" s="194" t="n"/>
      <c r="AA974" s="25" t="n"/>
      <c r="AB974" s="25" t="n"/>
      <c r="AC974" s="195" t="n"/>
      <c r="AD974" s="25" t="n"/>
      <c r="AE974" s="25" t="n"/>
      <c r="AG974" s="25" t="n"/>
      <c r="AH974" s="25" t="n"/>
      <c r="AI974" s="394" t="n"/>
      <c r="AM974" s="48" t="n"/>
      <c r="AN974" s="48" t="n"/>
      <c r="AO974" s="48" t="n"/>
    </row>
    <row r="975">
      <c r="M975" s="25" t="n"/>
      <c r="Q975" s="25" t="n"/>
      <c r="U975" s="194" t="n"/>
      <c r="AA975" s="25" t="n"/>
      <c r="AB975" s="25" t="n"/>
      <c r="AC975" s="195" t="n"/>
      <c r="AD975" s="25" t="n"/>
      <c r="AE975" s="25" t="n"/>
      <c r="AG975" s="25" t="n"/>
      <c r="AH975" s="25" t="n"/>
      <c r="AI975" s="394" t="n"/>
      <c r="AM975" s="48" t="n"/>
      <c r="AN975" s="48" t="n"/>
      <c r="AO975" s="48" t="n"/>
    </row>
    <row r="976">
      <c r="M976" s="25" t="n"/>
      <c r="Q976" s="25" t="n"/>
      <c r="U976" s="194" t="n"/>
      <c r="AA976" s="25" t="n"/>
      <c r="AB976" s="25" t="n"/>
      <c r="AC976" s="195" t="n"/>
      <c r="AD976" s="25" t="n"/>
      <c r="AE976" s="25" t="n"/>
      <c r="AG976" s="25" t="n"/>
      <c r="AH976" s="25" t="n"/>
      <c r="AI976" s="394" t="n"/>
      <c r="AM976" s="48" t="n"/>
      <c r="AN976" s="48" t="n"/>
      <c r="AO976" s="48" t="n"/>
    </row>
    <row r="977">
      <c r="M977" s="25" t="n"/>
      <c r="Q977" s="25" t="n"/>
      <c r="U977" s="194" t="n"/>
      <c r="AA977" s="25" t="n"/>
      <c r="AB977" s="25" t="n"/>
      <c r="AC977" s="195" t="n"/>
      <c r="AD977" s="25" t="n"/>
      <c r="AE977" s="25" t="n"/>
      <c r="AG977" s="25" t="n"/>
      <c r="AH977" s="25" t="n"/>
      <c r="AI977" s="394" t="n"/>
      <c r="AM977" s="48" t="n"/>
      <c r="AN977" s="48" t="n"/>
      <c r="AO977" s="48" t="n"/>
    </row>
    <row r="978">
      <c r="M978" s="25" t="n"/>
      <c r="Q978" s="25" t="n"/>
      <c r="U978" s="194" t="n"/>
      <c r="AA978" s="25" t="n"/>
      <c r="AB978" s="25" t="n"/>
      <c r="AC978" s="195" t="n"/>
      <c r="AD978" s="25" t="n"/>
      <c r="AE978" s="25" t="n"/>
      <c r="AG978" s="25" t="n"/>
      <c r="AH978" s="25" t="n"/>
      <c r="AI978" s="394" t="n"/>
      <c r="AM978" s="48" t="n"/>
      <c r="AN978" s="48" t="n"/>
      <c r="AO978" s="48" t="n"/>
    </row>
    <row r="979">
      <c r="M979" s="25" t="n"/>
      <c r="Q979" s="25" t="n"/>
      <c r="U979" s="194" t="n"/>
      <c r="AA979" s="25" t="n"/>
      <c r="AB979" s="25" t="n"/>
      <c r="AC979" s="195" t="n"/>
      <c r="AD979" s="25" t="n"/>
      <c r="AE979" s="25" t="n"/>
      <c r="AG979" s="25" t="n"/>
      <c r="AH979" s="25" t="n"/>
      <c r="AI979" s="394" t="n"/>
      <c r="AM979" s="48" t="n"/>
      <c r="AN979" s="48" t="n"/>
      <c r="AO979" s="48" t="n"/>
    </row>
    <row r="980">
      <c r="M980" s="25" t="n"/>
      <c r="Q980" s="25" t="n"/>
      <c r="U980" s="194" t="n"/>
      <c r="AA980" s="25" t="n"/>
      <c r="AB980" s="25" t="n"/>
      <c r="AC980" s="195" t="n"/>
      <c r="AD980" s="25" t="n"/>
      <c r="AE980" s="25" t="n"/>
      <c r="AG980" s="25" t="n"/>
      <c r="AH980" s="25" t="n"/>
      <c r="AI980" s="394" t="n"/>
      <c r="AM980" s="48" t="n"/>
      <c r="AN980" s="48" t="n"/>
      <c r="AO980" s="48" t="n"/>
    </row>
    <row r="981">
      <c r="M981" s="25" t="n"/>
      <c r="Q981" s="25" t="n"/>
      <c r="U981" s="194" t="n"/>
      <c r="AA981" s="25" t="n"/>
      <c r="AB981" s="25" t="n"/>
      <c r="AC981" s="195" t="n"/>
      <c r="AD981" s="25" t="n"/>
      <c r="AE981" s="25" t="n"/>
      <c r="AG981" s="25" t="n"/>
      <c r="AH981" s="25" t="n"/>
      <c r="AI981" s="394" t="n"/>
      <c r="AM981" s="48" t="n"/>
      <c r="AN981" s="48" t="n"/>
      <c r="AO981" s="48" t="n"/>
    </row>
    <row r="982">
      <c r="M982" s="25" t="n"/>
      <c r="Q982" s="25" t="n"/>
      <c r="U982" s="194" t="n"/>
      <c r="AA982" s="25" t="n"/>
      <c r="AB982" s="25" t="n"/>
      <c r="AC982" s="195" t="n"/>
      <c r="AD982" s="25" t="n"/>
      <c r="AE982" s="25" t="n"/>
      <c r="AG982" s="25" t="n"/>
      <c r="AH982" s="25" t="n"/>
      <c r="AI982" s="394" t="n"/>
      <c r="AM982" s="48" t="n"/>
      <c r="AN982" s="48" t="n"/>
      <c r="AO982" s="48" t="n"/>
    </row>
    <row r="983">
      <c r="M983" s="25" t="n"/>
      <c r="Q983" s="25" t="n"/>
      <c r="U983" s="194" t="n"/>
      <c r="AA983" s="25" t="n"/>
      <c r="AB983" s="25" t="n"/>
      <c r="AC983" s="195" t="n"/>
      <c r="AD983" s="25" t="n"/>
      <c r="AE983" s="25" t="n"/>
      <c r="AG983" s="25" t="n"/>
      <c r="AH983" s="25" t="n"/>
      <c r="AI983" s="394" t="n"/>
      <c r="AM983" s="48" t="n"/>
      <c r="AN983" s="48" t="n"/>
      <c r="AO983" s="48" t="n"/>
    </row>
    <row r="984">
      <c r="M984" s="25" t="n"/>
      <c r="Q984" s="25" t="n"/>
      <c r="U984" s="194" t="n"/>
      <c r="AA984" s="25" t="n"/>
      <c r="AB984" s="25" t="n"/>
      <c r="AC984" s="195" t="n"/>
      <c r="AD984" s="25" t="n"/>
      <c r="AE984" s="25" t="n"/>
      <c r="AG984" s="25" t="n"/>
      <c r="AH984" s="25" t="n"/>
      <c r="AI984" s="394" t="n"/>
      <c r="AM984" s="48" t="n"/>
      <c r="AN984" s="48" t="n"/>
      <c r="AO984" s="48" t="n"/>
    </row>
    <row r="985">
      <c r="M985" s="25" t="n"/>
      <c r="Q985" s="25" t="n"/>
      <c r="U985" s="194" t="n"/>
      <c r="AA985" s="25" t="n"/>
      <c r="AB985" s="25" t="n"/>
      <c r="AC985" s="195" t="n"/>
      <c r="AD985" s="25" t="n"/>
      <c r="AE985" s="25" t="n"/>
      <c r="AG985" s="25" t="n"/>
      <c r="AH985" s="25" t="n"/>
      <c r="AI985" s="394" t="n"/>
      <c r="AM985" s="48" t="n"/>
      <c r="AN985" s="48" t="n"/>
      <c r="AO985" s="48" t="n"/>
    </row>
    <row r="986">
      <c r="M986" s="25" t="n"/>
      <c r="Q986" s="25" t="n"/>
      <c r="U986" s="194" t="n"/>
      <c r="AA986" s="25" t="n"/>
      <c r="AB986" s="25" t="n"/>
      <c r="AC986" s="195" t="n"/>
      <c r="AD986" s="25" t="n"/>
      <c r="AE986" s="25" t="n"/>
      <c r="AG986" s="25" t="n"/>
      <c r="AH986" s="25" t="n"/>
      <c r="AI986" s="394" t="n"/>
      <c r="AM986" s="48" t="n"/>
      <c r="AN986" s="48" t="n"/>
      <c r="AO986" s="48" t="n"/>
    </row>
    <row r="987">
      <c r="M987" s="25" t="n"/>
      <c r="Q987" s="25" t="n"/>
      <c r="U987" s="194" t="n"/>
      <c r="AA987" s="25" t="n"/>
      <c r="AB987" s="25" t="n"/>
      <c r="AC987" s="195" t="n"/>
      <c r="AD987" s="25" t="n"/>
      <c r="AE987" s="25" t="n"/>
      <c r="AG987" s="25" t="n"/>
      <c r="AH987" s="25" t="n"/>
      <c r="AI987" s="394" t="n"/>
      <c r="AM987" s="48" t="n"/>
      <c r="AN987" s="48" t="n"/>
      <c r="AO987" s="48" t="n"/>
    </row>
    <row r="988">
      <c r="M988" s="25" t="n"/>
      <c r="Q988" s="25" t="n"/>
      <c r="U988" s="194" t="n"/>
      <c r="AA988" s="25" t="n"/>
      <c r="AB988" s="25" t="n"/>
      <c r="AC988" s="195" t="n"/>
      <c r="AD988" s="25" t="n"/>
      <c r="AE988" s="25" t="n"/>
      <c r="AG988" s="25" t="n"/>
      <c r="AH988" s="25" t="n"/>
      <c r="AI988" s="394" t="n"/>
      <c r="AM988" s="48" t="n"/>
      <c r="AN988" s="48" t="n"/>
      <c r="AO988" s="48" t="n"/>
    </row>
    <row r="989">
      <c r="M989" s="25" t="n"/>
      <c r="Q989" s="25" t="n"/>
      <c r="U989" s="194" t="n"/>
      <c r="AA989" s="25" t="n"/>
      <c r="AB989" s="25" t="n"/>
      <c r="AC989" s="195" t="n"/>
      <c r="AD989" s="25" t="n"/>
      <c r="AE989" s="25" t="n"/>
      <c r="AG989" s="25" t="n"/>
      <c r="AH989" s="25" t="n"/>
      <c r="AI989" s="394" t="n"/>
      <c r="AM989" s="48" t="n"/>
      <c r="AN989" s="48" t="n"/>
      <c r="AO989" s="48" t="n"/>
    </row>
    <row r="990">
      <c r="M990" s="25" t="n"/>
      <c r="Q990" s="25" t="n"/>
      <c r="U990" s="194" t="n"/>
      <c r="AA990" s="25" t="n"/>
      <c r="AB990" s="25" t="n"/>
      <c r="AC990" s="195" t="n"/>
      <c r="AD990" s="25" t="n"/>
      <c r="AE990" s="25" t="n"/>
      <c r="AG990" s="25" t="n"/>
      <c r="AH990" s="25" t="n"/>
      <c r="AI990" s="394" t="n"/>
      <c r="AM990" s="48" t="n"/>
      <c r="AN990" s="48" t="n"/>
      <c r="AO990" s="48" t="n"/>
    </row>
    <row r="991">
      <c r="M991" s="25" t="n"/>
      <c r="Q991" s="25" t="n"/>
      <c r="U991" s="194" t="n"/>
      <c r="AA991" s="25" t="n"/>
      <c r="AB991" s="25" t="n"/>
      <c r="AC991" s="195" t="n"/>
      <c r="AD991" s="25" t="n"/>
      <c r="AE991" s="25" t="n"/>
      <c r="AG991" s="25" t="n"/>
      <c r="AH991" s="25" t="n"/>
      <c r="AI991" s="394" t="n"/>
      <c r="AM991" s="48" t="n"/>
      <c r="AN991" s="48" t="n"/>
      <c r="AO991" s="48" t="n"/>
    </row>
    <row r="992">
      <c r="M992" s="25" t="n"/>
      <c r="Q992" s="25" t="n"/>
      <c r="U992" s="194" t="n"/>
      <c r="AA992" s="25" t="n"/>
      <c r="AB992" s="25" t="n"/>
      <c r="AC992" s="195" t="n"/>
      <c r="AD992" s="25" t="n"/>
      <c r="AE992" s="25" t="n"/>
      <c r="AG992" s="25" t="n"/>
      <c r="AH992" s="25" t="n"/>
      <c r="AI992" s="394" t="n"/>
      <c r="AM992" s="48" t="n"/>
      <c r="AN992" s="48" t="n"/>
      <c r="AO992" s="48" t="n"/>
    </row>
    <row r="993">
      <c r="M993" s="25" t="n"/>
      <c r="Q993" s="25" t="n"/>
      <c r="U993" s="194" t="n"/>
      <c r="AA993" s="25" t="n"/>
      <c r="AB993" s="25" t="n"/>
      <c r="AC993" s="195" t="n"/>
      <c r="AD993" s="25" t="n"/>
      <c r="AE993" s="25" t="n"/>
      <c r="AG993" s="25" t="n"/>
      <c r="AH993" s="25" t="n"/>
      <c r="AI993" s="394" t="n"/>
      <c r="AM993" s="48" t="n"/>
      <c r="AN993" s="48" t="n"/>
      <c r="AO993" s="48" t="n"/>
    </row>
    <row r="994">
      <c r="M994" s="25" t="n"/>
      <c r="Q994" s="25" t="n"/>
      <c r="U994" s="194" t="n"/>
      <c r="AA994" s="25" t="n"/>
      <c r="AB994" s="25" t="n"/>
      <c r="AC994" s="195" t="n"/>
      <c r="AD994" s="25" t="n"/>
      <c r="AE994" s="25" t="n"/>
      <c r="AG994" s="25" t="n"/>
      <c r="AH994" s="25" t="n"/>
      <c r="AI994" s="394" t="n"/>
      <c r="AM994" s="48" t="n"/>
      <c r="AN994" s="48" t="n"/>
      <c r="AO994" s="48" t="n"/>
    </row>
    <row r="995">
      <c r="M995" s="25" t="n"/>
      <c r="Q995" s="25" t="n"/>
      <c r="U995" s="194" t="n"/>
      <c r="AA995" s="25" t="n"/>
      <c r="AB995" s="25" t="n"/>
      <c r="AC995" s="195" t="n"/>
      <c r="AD995" s="25" t="n"/>
      <c r="AE995" s="25" t="n"/>
      <c r="AG995" s="25" t="n"/>
      <c r="AH995" s="25" t="n"/>
      <c r="AI995" s="394" t="n"/>
      <c r="AM995" s="48" t="n"/>
      <c r="AN995" s="48" t="n"/>
      <c r="AO995" s="48" t="n"/>
    </row>
    <row r="996">
      <c r="M996" s="25" t="n"/>
      <c r="Q996" s="25" t="n"/>
      <c r="U996" s="194" t="n"/>
      <c r="AA996" s="25" t="n"/>
      <c r="AB996" s="25" t="n"/>
      <c r="AC996" s="195" t="n"/>
      <c r="AD996" s="25" t="n"/>
      <c r="AE996" s="25" t="n"/>
      <c r="AG996" s="25" t="n"/>
      <c r="AH996" s="25" t="n"/>
      <c r="AI996" s="394" t="n"/>
      <c r="AM996" s="48" t="n"/>
      <c r="AN996" s="48" t="n"/>
      <c r="AO996" s="48" t="n"/>
    </row>
    <row r="997">
      <c r="M997" s="25" t="n"/>
      <c r="Q997" s="25" t="n"/>
      <c r="U997" s="194" t="n"/>
      <c r="AA997" s="25" t="n"/>
      <c r="AB997" s="25" t="n"/>
      <c r="AC997" s="195" t="n"/>
      <c r="AD997" s="25" t="n"/>
      <c r="AE997" s="25" t="n"/>
      <c r="AG997" s="25" t="n"/>
      <c r="AH997" s="25" t="n"/>
      <c r="AI997" s="394" t="n"/>
      <c r="AM997" s="48" t="n"/>
      <c r="AN997" s="48" t="n"/>
      <c r="AO997" s="48" t="n"/>
    </row>
    <row r="998">
      <c r="M998" s="25" t="n"/>
      <c r="Q998" s="25" t="n"/>
      <c r="U998" s="194" t="n"/>
      <c r="AA998" s="25" t="n"/>
      <c r="AB998" s="25" t="n"/>
      <c r="AC998" s="195" t="n"/>
      <c r="AD998" s="25" t="n"/>
      <c r="AE998" s="25" t="n"/>
      <c r="AG998" s="25" t="n"/>
      <c r="AH998" s="25" t="n"/>
      <c r="AI998" s="394" t="n"/>
      <c r="AM998" s="48" t="n"/>
      <c r="AN998" s="48" t="n"/>
      <c r="AO998" s="48" t="n"/>
    </row>
    <row r="999">
      <c r="M999" s="25" t="n"/>
      <c r="Q999" s="25" t="n"/>
      <c r="U999" s="194" t="n"/>
      <c r="AA999" s="25" t="n"/>
      <c r="AB999" s="25" t="n"/>
      <c r="AC999" s="195" t="n"/>
      <c r="AD999" s="25" t="n"/>
      <c r="AE999" s="25" t="n"/>
      <c r="AG999" s="25" t="n"/>
      <c r="AH999" s="25" t="n"/>
      <c r="AI999" s="394" t="n"/>
      <c r="AM999" s="48" t="n"/>
      <c r="AN999" s="48" t="n"/>
      <c r="AO999" s="48" t="n"/>
    </row>
    <row r="1000">
      <c r="M1000" s="25" t="n"/>
      <c r="Q1000" s="25" t="n"/>
      <c r="U1000" s="194" t="n"/>
      <c r="AA1000" s="25" t="n"/>
      <c r="AB1000" s="25" t="n"/>
      <c r="AC1000" s="195" t="n"/>
      <c r="AD1000" s="25" t="n"/>
      <c r="AE1000" s="25" t="n"/>
      <c r="AG1000" s="25" t="n"/>
      <c r="AH1000" s="25" t="n"/>
      <c r="AI1000" s="394" t="n"/>
      <c r="AM1000" s="48" t="n"/>
      <c r="AN1000" s="48" t="n"/>
      <c r="AO1000" s="48" t="n"/>
    </row>
    <row r="1001">
      <c r="M1001" s="25" t="n"/>
      <c r="Q1001" s="25" t="n"/>
      <c r="U1001" s="194" t="n"/>
      <c r="AA1001" s="25" t="n"/>
      <c r="AB1001" s="25" t="n"/>
      <c r="AC1001" s="195" t="n"/>
      <c r="AD1001" s="25" t="n"/>
      <c r="AE1001" s="25" t="n"/>
      <c r="AG1001" s="25" t="n"/>
      <c r="AH1001" s="25" t="n"/>
      <c r="AI1001" s="394" t="n"/>
      <c r="AM1001" s="48" t="n"/>
      <c r="AN1001" s="48" t="n"/>
      <c r="AO1001" s="48" t="n"/>
    </row>
    <row r="1002">
      <c r="M1002" s="25" t="n"/>
      <c r="Q1002" s="25" t="n"/>
      <c r="U1002" s="194" t="n"/>
      <c r="AA1002" s="25" t="n"/>
      <c r="AB1002" s="25" t="n"/>
      <c r="AC1002" s="195" t="n"/>
      <c r="AD1002" s="25" t="n"/>
      <c r="AE1002" s="25" t="n"/>
      <c r="AG1002" s="25" t="n"/>
      <c r="AH1002" s="25" t="n"/>
      <c r="AI1002" s="394" t="n"/>
      <c r="AM1002" s="48" t="n"/>
      <c r="AN1002" s="48" t="n"/>
      <c r="AO1002" s="48" t="n"/>
    </row>
    <row r="1003">
      <c r="M1003" s="25" t="n"/>
      <c r="Q1003" s="25" t="n"/>
      <c r="U1003" s="194" t="n"/>
      <c r="AA1003" s="25" t="n"/>
      <c r="AB1003" s="25" t="n"/>
      <c r="AC1003" s="195" t="n"/>
      <c r="AD1003" s="25" t="n"/>
      <c r="AE1003" s="25" t="n"/>
      <c r="AG1003" s="25" t="n"/>
      <c r="AH1003" s="25" t="n"/>
      <c r="AI1003" s="394" t="n"/>
      <c r="AM1003" s="48" t="n"/>
      <c r="AN1003" s="48" t="n"/>
      <c r="AO1003" s="48" t="n"/>
    </row>
    <row r="1004">
      <c r="M1004" s="25" t="n"/>
      <c r="Q1004" s="25" t="n"/>
      <c r="U1004" s="194" t="n"/>
      <c r="AA1004" s="25" t="n"/>
      <c r="AB1004" s="25" t="n"/>
      <c r="AC1004" s="195" t="n"/>
      <c r="AD1004" s="25" t="n"/>
      <c r="AE1004" s="25" t="n"/>
      <c r="AG1004" s="25" t="n"/>
      <c r="AH1004" s="25" t="n"/>
      <c r="AI1004" s="394" t="n"/>
      <c r="AM1004" s="48" t="n"/>
      <c r="AN1004" s="48" t="n"/>
      <c r="AO1004" s="48" t="n"/>
    </row>
    <row r="1005">
      <c r="M1005" s="25" t="n"/>
      <c r="Q1005" s="25" t="n"/>
      <c r="U1005" s="194" t="n"/>
      <c r="AA1005" s="25" t="n"/>
      <c r="AB1005" s="25" t="n"/>
      <c r="AC1005" s="195" t="n"/>
      <c r="AD1005" s="25" t="n"/>
      <c r="AE1005" s="25" t="n"/>
      <c r="AG1005" s="25" t="n"/>
      <c r="AH1005" s="25" t="n"/>
      <c r="AI1005" s="394" t="n"/>
      <c r="AM1005" s="48" t="n"/>
      <c r="AN1005" s="48" t="n"/>
      <c r="AO1005" s="48" t="n"/>
    </row>
    <row r="1006">
      <c r="M1006" s="25" t="n"/>
      <c r="Q1006" s="25" t="n"/>
      <c r="U1006" s="194" t="n"/>
      <c r="AA1006" s="25" t="n"/>
      <c r="AB1006" s="25" t="n"/>
      <c r="AC1006" s="195" t="n"/>
      <c r="AD1006" s="25" t="n"/>
      <c r="AE1006" s="25" t="n"/>
      <c r="AG1006" s="25" t="n"/>
      <c r="AH1006" s="25" t="n"/>
      <c r="AI1006" s="394" t="n"/>
      <c r="AM1006" s="48" t="n"/>
      <c r="AN1006" s="48" t="n"/>
      <c r="AO1006" s="48" t="n"/>
    </row>
    <row r="1007">
      <c r="M1007" s="25" t="n"/>
      <c r="Q1007" s="25" t="n"/>
      <c r="U1007" s="194" t="n"/>
      <c r="AA1007" s="25" t="n"/>
      <c r="AB1007" s="25" t="n"/>
      <c r="AC1007" s="195" t="n"/>
      <c r="AD1007" s="25" t="n"/>
      <c r="AE1007" s="25" t="n"/>
      <c r="AG1007" s="25" t="n"/>
      <c r="AH1007" s="25" t="n"/>
      <c r="AI1007" s="394" t="n"/>
      <c r="AM1007" s="48" t="n"/>
      <c r="AN1007" s="48" t="n"/>
      <c r="AO1007" s="48" t="n"/>
    </row>
    <row r="1008">
      <c r="M1008" s="25" t="n"/>
      <c r="Q1008" s="25" t="n"/>
      <c r="U1008" s="194" t="n"/>
      <c r="AA1008" s="25" t="n"/>
      <c r="AB1008" s="25" t="n"/>
      <c r="AC1008" s="195" t="n"/>
      <c r="AD1008" s="25" t="n"/>
      <c r="AE1008" s="25" t="n"/>
      <c r="AG1008" s="25" t="n"/>
      <c r="AH1008" s="25" t="n"/>
      <c r="AI1008" s="394" t="n"/>
      <c r="AM1008" s="48" t="n"/>
      <c r="AN1008" s="48" t="n"/>
      <c r="AO1008" s="48" t="n"/>
    </row>
    <row r="1009">
      <c r="M1009" s="25" t="n"/>
      <c r="Q1009" s="25" t="n"/>
      <c r="U1009" s="194" t="n"/>
      <c r="AA1009" s="25" t="n"/>
      <c r="AB1009" s="25" t="n"/>
      <c r="AC1009" s="195" t="n"/>
      <c r="AD1009" s="25" t="n"/>
      <c r="AE1009" s="25" t="n"/>
      <c r="AG1009" s="25" t="n"/>
      <c r="AH1009" s="25" t="n"/>
      <c r="AI1009" s="394" t="n"/>
      <c r="AM1009" s="48" t="n"/>
      <c r="AN1009" s="48" t="n"/>
      <c r="AO1009" s="48" t="n"/>
    </row>
    <row r="1010">
      <c r="M1010" s="25" t="n"/>
      <c r="Q1010" s="25" t="n"/>
      <c r="U1010" s="194" t="n"/>
      <c r="AA1010" s="25" t="n"/>
      <c r="AB1010" s="25" t="n"/>
      <c r="AC1010" s="195" t="n"/>
      <c r="AD1010" s="25" t="n"/>
      <c r="AE1010" s="25" t="n"/>
      <c r="AG1010" s="25" t="n"/>
      <c r="AH1010" s="25" t="n"/>
      <c r="AI1010" s="394" t="n"/>
      <c r="AM1010" s="48" t="n"/>
      <c r="AN1010" s="48" t="n"/>
      <c r="AO1010" s="48" t="n"/>
    </row>
    <row r="1011">
      <c r="M1011" s="25" t="n"/>
      <c r="Q1011" s="25" t="n"/>
      <c r="U1011" s="194" t="n"/>
      <c r="AA1011" s="25" t="n"/>
      <c r="AB1011" s="25" t="n"/>
      <c r="AC1011" s="195" t="n"/>
      <c r="AD1011" s="25" t="n"/>
      <c r="AE1011" s="25" t="n"/>
      <c r="AG1011" s="25" t="n"/>
      <c r="AH1011" s="25" t="n"/>
      <c r="AI1011" s="394" t="n"/>
      <c r="AM1011" s="48" t="n"/>
      <c r="AN1011" s="48" t="n"/>
      <c r="AO1011" s="48" t="n"/>
    </row>
    <row r="1012">
      <c r="M1012" s="25" t="n"/>
      <c r="Q1012" s="25" t="n"/>
      <c r="U1012" s="194" t="n"/>
      <c r="AA1012" s="25" t="n"/>
      <c r="AB1012" s="25" t="n"/>
      <c r="AC1012" s="195" t="n"/>
      <c r="AD1012" s="25" t="n"/>
      <c r="AE1012" s="25" t="n"/>
      <c r="AG1012" s="25" t="n"/>
      <c r="AH1012" s="25" t="n"/>
      <c r="AI1012" s="394" t="n"/>
      <c r="AM1012" s="48" t="n"/>
      <c r="AN1012" s="48" t="n"/>
      <c r="AO1012" s="48" t="n"/>
    </row>
    <row r="1013">
      <c r="M1013" s="25" t="n"/>
      <c r="Q1013" s="25" t="n"/>
      <c r="U1013" s="194" t="n"/>
      <c r="AA1013" s="25" t="n"/>
      <c r="AB1013" s="25" t="n"/>
      <c r="AC1013" s="195" t="n"/>
      <c r="AD1013" s="25" t="n"/>
      <c r="AE1013" s="25" t="n"/>
      <c r="AG1013" s="25" t="n"/>
      <c r="AH1013" s="25" t="n"/>
      <c r="AI1013" s="394" t="n"/>
      <c r="AM1013" s="48" t="n"/>
      <c r="AN1013" s="48" t="n"/>
      <c r="AO1013" s="48" t="n"/>
    </row>
    <row r="1014">
      <c r="M1014" s="25" t="n"/>
      <c r="Q1014" s="25" t="n"/>
      <c r="U1014" s="194" t="n"/>
      <c r="AA1014" s="25" t="n"/>
      <c r="AB1014" s="25" t="n"/>
      <c r="AC1014" s="195" t="n"/>
      <c r="AD1014" s="25" t="n"/>
      <c r="AE1014" s="25" t="n"/>
      <c r="AG1014" s="25" t="n"/>
      <c r="AH1014" s="25" t="n"/>
      <c r="AI1014" s="394" t="n"/>
      <c r="AM1014" s="48" t="n"/>
      <c r="AN1014" s="48" t="n"/>
      <c r="AO1014" s="48" t="n"/>
    </row>
    <row r="1015">
      <c r="M1015" s="25" t="n"/>
      <c r="Q1015" s="25" t="n"/>
      <c r="U1015" s="194" t="n"/>
      <c r="AA1015" s="25" t="n"/>
      <c r="AB1015" s="25" t="n"/>
      <c r="AC1015" s="195" t="n"/>
      <c r="AD1015" s="25" t="n"/>
      <c r="AE1015" s="25" t="n"/>
      <c r="AG1015" s="25" t="n"/>
      <c r="AH1015" s="25" t="n"/>
      <c r="AI1015" s="394" t="n"/>
      <c r="AM1015" s="48" t="n"/>
      <c r="AN1015" s="48" t="n"/>
      <c r="AO1015" s="48" t="n"/>
    </row>
    <row r="1016">
      <c r="M1016" s="25" t="n"/>
      <c r="Q1016" s="25" t="n"/>
      <c r="U1016" s="194" t="n"/>
      <c r="AA1016" s="25" t="n"/>
      <c r="AB1016" s="25" t="n"/>
      <c r="AC1016" s="195" t="n"/>
      <c r="AD1016" s="25" t="n"/>
      <c r="AE1016" s="25" t="n"/>
      <c r="AG1016" s="25" t="n"/>
      <c r="AH1016" s="25" t="n"/>
      <c r="AI1016" s="394" t="n"/>
      <c r="AM1016" s="48" t="n"/>
      <c r="AN1016" s="48" t="n"/>
      <c r="AO1016" s="48" t="n"/>
    </row>
    <row r="1017">
      <c r="M1017" s="25" t="n"/>
      <c r="Q1017" s="25" t="n"/>
      <c r="U1017" s="194" t="n"/>
      <c r="AA1017" s="25" t="n"/>
      <c r="AB1017" s="25" t="n"/>
      <c r="AC1017" s="195" t="n"/>
      <c r="AD1017" s="25" t="n"/>
      <c r="AE1017" s="25" t="n"/>
      <c r="AG1017" s="25" t="n"/>
      <c r="AH1017" s="25" t="n"/>
      <c r="AI1017" s="394" t="n"/>
      <c r="AM1017" s="48" t="n"/>
      <c r="AN1017" s="48" t="n"/>
      <c r="AO1017" s="48" t="n"/>
    </row>
    <row r="1018">
      <c r="M1018" s="25" t="n"/>
      <c r="Q1018" s="25" t="n"/>
      <c r="U1018" s="194" t="n"/>
      <c r="AA1018" s="25" t="n"/>
      <c r="AB1018" s="25" t="n"/>
      <c r="AC1018" s="195" t="n"/>
      <c r="AD1018" s="25" t="n"/>
      <c r="AE1018" s="25" t="n"/>
      <c r="AG1018" s="25" t="n"/>
      <c r="AH1018" s="25" t="n"/>
      <c r="AI1018" s="394" t="n"/>
      <c r="AM1018" s="48" t="n"/>
      <c r="AN1018" s="48" t="n"/>
      <c r="AO1018" s="48" t="n"/>
    </row>
    <row r="1019">
      <c r="M1019" s="25" t="n"/>
      <c r="Q1019" s="25" t="n"/>
      <c r="U1019" s="194" t="n"/>
      <c r="AA1019" s="25" t="n"/>
      <c r="AB1019" s="25" t="n"/>
      <c r="AC1019" s="195" t="n"/>
      <c r="AD1019" s="25" t="n"/>
      <c r="AE1019" s="25" t="n"/>
      <c r="AG1019" s="25" t="n"/>
      <c r="AH1019" s="25" t="n"/>
      <c r="AI1019" s="394" t="n"/>
      <c r="AM1019" s="48" t="n"/>
      <c r="AN1019" s="48" t="n"/>
      <c r="AO1019" s="48" t="n"/>
    </row>
    <row r="1020">
      <c r="M1020" s="25" t="n"/>
      <c r="Q1020" s="25" t="n"/>
      <c r="U1020" s="194" t="n"/>
      <c r="AA1020" s="25" t="n"/>
      <c r="AB1020" s="25" t="n"/>
      <c r="AC1020" s="195" t="n"/>
      <c r="AD1020" s="25" t="n"/>
      <c r="AE1020" s="25" t="n"/>
      <c r="AG1020" s="25" t="n"/>
      <c r="AH1020" s="25" t="n"/>
      <c r="AI1020" s="394" t="n"/>
      <c r="AM1020" s="48" t="n"/>
      <c r="AN1020" s="48" t="n"/>
      <c r="AO1020" s="48" t="n"/>
    </row>
    <row r="1021">
      <c r="M1021" s="25" t="n"/>
      <c r="Q1021" s="25" t="n"/>
      <c r="U1021" s="194" t="n"/>
      <c r="AA1021" s="25" t="n"/>
      <c r="AB1021" s="25" t="n"/>
      <c r="AC1021" s="195" t="n"/>
      <c r="AD1021" s="25" t="n"/>
      <c r="AE1021" s="25" t="n"/>
      <c r="AG1021" s="25" t="n"/>
      <c r="AH1021" s="25" t="n"/>
      <c r="AI1021" s="394" t="n"/>
      <c r="AM1021" s="48" t="n"/>
      <c r="AN1021" s="48" t="n"/>
      <c r="AO1021" s="48" t="n"/>
    </row>
    <row r="1022">
      <c r="M1022" s="25" t="n"/>
      <c r="Q1022" s="25" t="n"/>
      <c r="U1022" s="194" t="n"/>
      <c r="AA1022" s="25" t="n"/>
      <c r="AB1022" s="25" t="n"/>
      <c r="AC1022" s="195" t="n"/>
      <c r="AD1022" s="25" t="n"/>
      <c r="AE1022" s="25" t="n"/>
      <c r="AG1022" s="25" t="n"/>
      <c r="AH1022" s="25" t="n"/>
      <c r="AI1022" s="394" t="n"/>
      <c r="AM1022" s="48" t="n"/>
      <c r="AN1022" s="48" t="n"/>
      <c r="AO1022" s="48" t="n"/>
    </row>
    <row r="1023">
      <c r="M1023" s="25" t="n"/>
      <c r="Q1023" s="25" t="n"/>
      <c r="U1023" s="194" t="n"/>
      <c r="AA1023" s="25" t="n"/>
      <c r="AB1023" s="25" t="n"/>
      <c r="AC1023" s="195" t="n"/>
      <c r="AD1023" s="25" t="n"/>
      <c r="AE1023" s="25" t="n"/>
      <c r="AG1023" s="25" t="n"/>
      <c r="AH1023" s="25" t="n"/>
      <c r="AI1023" s="394" t="n"/>
      <c r="AM1023" s="48" t="n"/>
      <c r="AN1023" s="48" t="n"/>
      <c r="AO1023" s="48" t="n"/>
    </row>
    <row r="1024">
      <c r="M1024" s="25" t="n"/>
      <c r="Q1024" s="25" t="n"/>
      <c r="U1024" s="194" t="n"/>
      <c r="AA1024" s="25" t="n"/>
      <c r="AB1024" s="25" t="n"/>
      <c r="AC1024" s="195" t="n"/>
      <c r="AD1024" s="25" t="n"/>
      <c r="AE1024" s="25" t="n"/>
      <c r="AG1024" s="25" t="n"/>
      <c r="AH1024" s="25" t="n"/>
      <c r="AI1024" s="394" t="n"/>
      <c r="AM1024" s="48" t="n"/>
      <c r="AN1024" s="48" t="n"/>
      <c r="AO1024" s="48" t="n"/>
    </row>
    <row r="1025">
      <c r="M1025" s="25" t="n"/>
      <c r="Q1025" s="25" t="n"/>
      <c r="U1025" s="194" t="n"/>
      <c r="AA1025" s="25" t="n"/>
      <c r="AB1025" s="25" t="n"/>
      <c r="AC1025" s="195" t="n"/>
      <c r="AD1025" s="25" t="n"/>
      <c r="AE1025" s="25" t="n"/>
      <c r="AG1025" s="25" t="n"/>
      <c r="AH1025" s="25" t="n"/>
      <c r="AI1025" s="394" t="n"/>
      <c r="AM1025" s="48" t="n"/>
      <c r="AN1025" s="48" t="n"/>
      <c r="AO1025" s="48" t="n"/>
    </row>
    <row r="1026">
      <c r="M1026" s="25" t="n"/>
      <c r="Q1026" s="25" t="n"/>
      <c r="U1026" s="194" t="n"/>
      <c r="AA1026" s="25" t="n"/>
      <c r="AB1026" s="25" t="n"/>
      <c r="AC1026" s="195" t="n"/>
      <c r="AD1026" s="25" t="n"/>
      <c r="AE1026" s="25" t="n"/>
      <c r="AG1026" s="25" t="n"/>
      <c r="AH1026" s="25" t="n"/>
      <c r="AI1026" s="394" t="n"/>
      <c r="AM1026" s="48" t="n"/>
      <c r="AN1026" s="48" t="n"/>
      <c r="AO1026" s="48" t="n"/>
    </row>
    <row r="1027">
      <c r="M1027" s="25" t="n"/>
      <c r="Q1027" s="25" t="n"/>
      <c r="U1027" s="194" t="n"/>
      <c r="AA1027" s="25" t="n"/>
      <c r="AB1027" s="25" t="n"/>
      <c r="AC1027" s="195" t="n"/>
      <c r="AD1027" s="25" t="n"/>
      <c r="AE1027" s="25" t="n"/>
      <c r="AG1027" s="25" t="n"/>
      <c r="AH1027" s="25" t="n"/>
      <c r="AI1027" s="394" t="n"/>
      <c r="AM1027" s="48" t="n"/>
      <c r="AN1027" s="48" t="n"/>
      <c r="AO1027" s="48" t="n"/>
    </row>
    <row r="1028">
      <c r="M1028" s="25" t="n"/>
      <c r="Q1028" s="25" t="n"/>
      <c r="U1028" s="194" t="n"/>
      <c r="AA1028" s="25" t="n"/>
      <c r="AB1028" s="25" t="n"/>
      <c r="AC1028" s="195" t="n"/>
      <c r="AD1028" s="25" t="n"/>
      <c r="AE1028" s="25" t="n"/>
      <c r="AG1028" s="25" t="n"/>
      <c r="AH1028" s="25" t="n"/>
      <c r="AI1028" s="394" t="n"/>
      <c r="AM1028" s="48" t="n"/>
      <c r="AN1028" s="48" t="n"/>
      <c r="AO1028" s="48" t="n"/>
    </row>
    <row r="1029">
      <c r="M1029" s="25" t="n"/>
      <c r="Q1029" s="25" t="n"/>
      <c r="U1029" s="194" t="n"/>
      <c r="AA1029" s="25" t="n"/>
      <c r="AB1029" s="25" t="n"/>
      <c r="AC1029" s="195" t="n"/>
      <c r="AD1029" s="25" t="n"/>
      <c r="AE1029" s="25" t="n"/>
      <c r="AG1029" s="25" t="n"/>
      <c r="AH1029" s="25" t="n"/>
      <c r="AI1029" s="394" t="n"/>
      <c r="AM1029" s="48" t="n"/>
      <c r="AN1029" s="48" t="n"/>
      <c r="AO1029" s="48" t="n"/>
    </row>
    <row r="1030">
      <c r="M1030" s="25" t="n"/>
      <c r="Q1030" s="25" t="n"/>
      <c r="U1030" s="194" t="n"/>
      <c r="AA1030" s="25" t="n"/>
      <c r="AB1030" s="25" t="n"/>
      <c r="AC1030" s="195" t="n"/>
      <c r="AD1030" s="25" t="n"/>
      <c r="AE1030" s="25" t="n"/>
      <c r="AG1030" s="25" t="n"/>
      <c r="AH1030" s="25" t="n"/>
      <c r="AI1030" s="394" t="n"/>
      <c r="AM1030" s="48" t="n"/>
      <c r="AN1030" s="48" t="n"/>
      <c r="AO1030" s="48" t="n"/>
    </row>
    <row r="1031">
      <c r="M1031" s="25" t="n"/>
      <c r="Q1031" s="25" t="n"/>
      <c r="U1031" s="194" t="n"/>
      <c r="AA1031" s="25" t="n"/>
      <c r="AB1031" s="25" t="n"/>
      <c r="AC1031" s="195" t="n"/>
      <c r="AD1031" s="25" t="n"/>
      <c r="AE1031" s="25" t="n"/>
      <c r="AG1031" s="25" t="n"/>
      <c r="AH1031" s="25" t="n"/>
      <c r="AI1031" s="394" t="n"/>
      <c r="AM1031" s="48" t="n"/>
      <c r="AN1031" s="48" t="n"/>
      <c r="AO1031" s="48" t="n"/>
    </row>
    <row r="1032">
      <c r="M1032" s="25" t="n"/>
      <c r="Q1032" s="25" t="n"/>
      <c r="U1032" s="194" t="n"/>
      <c r="AA1032" s="25" t="n"/>
      <c r="AB1032" s="25" t="n"/>
      <c r="AC1032" s="195" t="n"/>
      <c r="AD1032" s="25" t="n"/>
      <c r="AE1032" s="25" t="n"/>
      <c r="AG1032" s="25" t="n"/>
      <c r="AH1032" s="25" t="n"/>
      <c r="AI1032" s="394" t="n"/>
      <c r="AM1032" s="48" t="n"/>
      <c r="AN1032" s="48" t="n"/>
      <c r="AO1032" s="48" t="n"/>
    </row>
    <row r="1033">
      <c r="M1033" s="25" t="n"/>
      <c r="Q1033" s="25" t="n"/>
      <c r="U1033" s="194" t="n"/>
      <c r="AA1033" s="25" t="n"/>
      <c r="AB1033" s="25" t="n"/>
      <c r="AC1033" s="195" t="n"/>
      <c r="AD1033" s="25" t="n"/>
      <c r="AE1033" s="25" t="n"/>
      <c r="AG1033" s="25" t="n"/>
      <c r="AH1033" s="25" t="n"/>
      <c r="AI1033" s="394" t="n"/>
      <c r="AM1033" s="48" t="n"/>
      <c r="AN1033" s="48" t="n"/>
      <c r="AO1033" s="48" t="n"/>
    </row>
    <row r="1034">
      <c r="M1034" s="25" t="n"/>
      <c r="Q1034" s="25" t="n"/>
      <c r="U1034" s="194" t="n"/>
      <c r="AA1034" s="25" t="n"/>
      <c r="AB1034" s="25" t="n"/>
      <c r="AC1034" s="195" t="n"/>
      <c r="AD1034" s="25" t="n"/>
      <c r="AE1034" s="25" t="n"/>
      <c r="AG1034" s="25" t="n"/>
      <c r="AH1034" s="25" t="n"/>
      <c r="AI1034" s="394" t="n"/>
      <c r="AM1034" s="48" t="n"/>
      <c r="AN1034" s="48" t="n"/>
      <c r="AO1034" s="48" t="n"/>
    </row>
    <row r="1035">
      <c r="M1035" s="25" t="n"/>
      <c r="Q1035" s="25" t="n"/>
      <c r="U1035" s="194" t="n"/>
      <c r="AA1035" s="25" t="n"/>
      <c r="AB1035" s="25" t="n"/>
      <c r="AC1035" s="195" t="n"/>
      <c r="AD1035" s="25" t="n"/>
      <c r="AE1035" s="25" t="n"/>
      <c r="AG1035" s="25" t="n"/>
      <c r="AH1035" s="25" t="n"/>
      <c r="AI1035" s="394" t="n"/>
      <c r="AM1035" s="48" t="n"/>
      <c r="AN1035" s="48" t="n"/>
      <c r="AO1035" s="48" t="n"/>
    </row>
    <row r="1036">
      <c r="M1036" s="25" t="n"/>
      <c r="Q1036" s="25" t="n"/>
      <c r="U1036" s="194" t="n"/>
      <c r="AA1036" s="25" t="n"/>
      <c r="AB1036" s="25" t="n"/>
      <c r="AC1036" s="195" t="n"/>
      <c r="AD1036" s="25" t="n"/>
      <c r="AE1036" s="25" t="n"/>
      <c r="AG1036" s="25" t="n"/>
      <c r="AH1036" s="25" t="n"/>
      <c r="AI1036" s="394" t="n"/>
      <c r="AM1036" s="48" t="n"/>
      <c r="AN1036" s="48" t="n"/>
      <c r="AO1036" s="48" t="n"/>
    </row>
    <row r="1037">
      <c r="M1037" s="25" t="n"/>
      <c r="Q1037" s="25" t="n"/>
      <c r="U1037" s="194" t="n"/>
      <c r="AA1037" s="25" t="n"/>
      <c r="AB1037" s="25" t="n"/>
      <c r="AC1037" s="195" t="n"/>
      <c r="AD1037" s="25" t="n"/>
      <c r="AE1037" s="25" t="n"/>
      <c r="AG1037" s="25" t="n"/>
      <c r="AH1037" s="25" t="n"/>
      <c r="AI1037" s="394" t="n"/>
      <c r="AM1037" s="48" t="n"/>
      <c r="AN1037" s="48" t="n"/>
      <c r="AO1037" s="48" t="n"/>
    </row>
    <row r="1038">
      <c r="M1038" s="25" t="n"/>
      <c r="Q1038" s="25" t="n"/>
      <c r="U1038" s="194" t="n"/>
      <c r="AA1038" s="25" t="n"/>
      <c r="AB1038" s="25" t="n"/>
      <c r="AC1038" s="195" t="n"/>
      <c r="AD1038" s="25" t="n"/>
      <c r="AE1038" s="25" t="n"/>
      <c r="AG1038" s="25" t="n"/>
      <c r="AH1038" s="25" t="n"/>
      <c r="AI1038" s="394" t="n"/>
      <c r="AM1038" s="48" t="n"/>
      <c r="AN1038" s="48" t="n"/>
      <c r="AO1038" s="48" t="n"/>
    </row>
    <row r="1039">
      <c r="M1039" s="25" t="n"/>
      <c r="Q1039" s="25" t="n"/>
      <c r="U1039" s="194" t="n"/>
      <c r="AA1039" s="25" t="n"/>
      <c r="AB1039" s="25" t="n"/>
      <c r="AC1039" s="195" t="n"/>
      <c r="AD1039" s="25" t="n"/>
      <c r="AE1039" s="25" t="n"/>
      <c r="AG1039" s="25" t="n"/>
      <c r="AH1039" s="25" t="n"/>
      <c r="AI1039" s="394" t="n"/>
      <c r="AM1039" s="48" t="n"/>
      <c r="AN1039" s="48" t="n"/>
      <c r="AO1039" s="48" t="n"/>
    </row>
    <row r="1040">
      <c r="M1040" s="25" t="n"/>
      <c r="Q1040" s="25" t="n"/>
      <c r="U1040" s="194" t="n"/>
      <c r="AA1040" s="25" t="n"/>
      <c r="AB1040" s="25" t="n"/>
      <c r="AC1040" s="195" t="n"/>
      <c r="AD1040" s="25" t="n"/>
      <c r="AE1040" s="25" t="n"/>
      <c r="AG1040" s="25" t="n"/>
      <c r="AH1040" s="25" t="n"/>
      <c r="AI1040" s="394" t="n"/>
      <c r="AM1040" s="48" t="n"/>
      <c r="AN1040" s="48" t="n"/>
      <c r="AO1040" s="48" t="n"/>
    </row>
    <row r="1041">
      <c r="M1041" s="25" t="n"/>
      <c r="Q1041" s="25" t="n"/>
      <c r="U1041" s="194" t="n"/>
      <c r="AA1041" s="25" t="n"/>
      <c r="AB1041" s="25" t="n"/>
      <c r="AC1041" s="195" t="n"/>
      <c r="AD1041" s="25" t="n"/>
      <c r="AE1041" s="25" t="n"/>
      <c r="AG1041" s="25" t="n"/>
      <c r="AH1041" s="25" t="n"/>
      <c r="AI1041" s="394" t="n"/>
      <c r="AM1041" s="48" t="n"/>
      <c r="AN1041" s="48" t="n"/>
      <c r="AO1041" s="48" t="n"/>
    </row>
    <row r="1042">
      <c r="M1042" s="25" t="n"/>
      <c r="Q1042" s="25" t="n"/>
      <c r="U1042" s="194" t="n"/>
      <c r="AA1042" s="25" t="n"/>
      <c r="AB1042" s="25" t="n"/>
      <c r="AC1042" s="195" t="n"/>
      <c r="AD1042" s="25" t="n"/>
      <c r="AE1042" s="25" t="n"/>
      <c r="AG1042" s="25" t="n"/>
      <c r="AH1042" s="25" t="n"/>
      <c r="AI1042" s="394" t="n"/>
      <c r="AM1042" s="48" t="n"/>
      <c r="AN1042" s="48" t="n"/>
      <c r="AO1042" s="48" t="n"/>
    </row>
    <row r="1043">
      <c r="M1043" s="25" t="n"/>
      <c r="Q1043" s="25" t="n"/>
      <c r="U1043" s="194" t="n"/>
      <c r="AA1043" s="25" t="n"/>
      <c r="AB1043" s="25" t="n"/>
      <c r="AC1043" s="195" t="n"/>
      <c r="AD1043" s="25" t="n"/>
      <c r="AE1043" s="25" t="n"/>
      <c r="AG1043" s="25" t="n"/>
      <c r="AH1043" s="25" t="n"/>
      <c r="AI1043" s="394" t="n"/>
      <c r="AM1043" s="48" t="n"/>
      <c r="AN1043" s="48" t="n"/>
      <c r="AO1043" s="48" t="n"/>
    </row>
    <row r="1044">
      <c r="M1044" s="25" t="n"/>
      <c r="Q1044" s="25" t="n"/>
      <c r="U1044" s="194" t="n"/>
      <c r="AA1044" s="25" t="n"/>
      <c r="AB1044" s="25" t="n"/>
      <c r="AC1044" s="195" t="n"/>
      <c r="AD1044" s="25" t="n"/>
      <c r="AE1044" s="25" t="n"/>
      <c r="AG1044" s="25" t="n"/>
      <c r="AH1044" s="25" t="n"/>
      <c r="AI1044" s="394" t="n"/>
      <c r="AM1044" s="48" t="n"/>
      <c r="AN1044" s="48" t="n"/>
      <c r="AO1044" s="48" t="n"/>
    </row>
    <row r="1045">
      <c r="M1045" s="25" t="n"/>
      <c r="Q1045" s="25" t="n"/>
      <c r="U1045" s="194" t="n"/>
      <c r="AA1045" s="25" t="n"/>
      <c r="AB1045" s="25" t="n"/>
      <c r="AC1045" s="195" t="n"/>
      <c r="AD1045" s="25" t="n"/>
      <c r="AE1045" s="25" t="n"/>
      <c r="AG1045" s="25" t="n"/>
      <c r="AH1045" s="25" t="n"/>
      <c r="AI1045" s="394" t="n"/>
      <c r="AM1045" s="48" t="n"/>
      <c r="AN1045" s="48" t="n"/>
      <c r="AO1045" s="48" t="n"/>
    </row>
    <row r="1046">
      <c r="M1046" s="25" t="n"/>
      <c r="Q1046" s="25" t="n"/>
      <c r="U1046" s="194" t="n"/>
      <c r="AA1046" s="25" t="n"/>
      <c r="AB1046" s="25" t="n"/>
      <c r="AC1046" s="195" t="n"/>
      <c r="AD1046" s="25" t="n"/>
      <c r="AE1046" s="25" t="n"/>
      <c r="AG1046" s="25" t="n"/>
      <c r="AH1046" s="25" t="n"/>
      <c r="AI1046" s="394" t="n"/>
      <c r="AM1046" s="48" t="n"/>
      <c r="AN1046" s="48" t="n"/>
      <c r="AO1046" s="48" t="n"/>
    </row>
    <row r="1047">
      <c r="M1047" s="25" t="n"/>
      <c r="Q1047" s="25" t="n"/>
      <c r="U1047" s="194" t="n"/>
      <c r="AA1047" s="25" t="n"/>
      <c r="AB1047" s="25" t="n"/>
      <c r="AC1047" s="195" t="n"/>
      <c r="AD1047" s="25" t="n"/>
      <c r="AE1047" s="25" t="n"/>
      <c r="AG1047" s="25" t="n"/>
      <c r="AH1047" s="25" t="n"/>
      <c r="AI1047" s="394" t="n"/>
      <c r="AM1047" s="48" t="n"/>
      <c r="AN1047" s="48" t="n"/>
      <c r="AO1047" s="48" t="n"/>
    </row>
    <row r="1048">
      <c r="M1048" s="25" t="n"/>
      <c r="Q1048" s="25" t="n"/>
      <c r="U1048" s="194" t="n"/>
      <c r="AA1048" s="25" t="n"/>
      <c r="AB1048" s="25" t="n"/>
      <c r="AC1048" s="195" t="n"/>
      <c r="AD1048" s="25" t="n"/>
      <c r="AE1048" s="25" t="n"/>
      <c r="AG1048" s="25" t="n"/>
      <c r="AH1048" s="25" t="n"/>
      <c r="AI1048" s="394" t="n"/>
      <c r="AM1048" s="48" t="n"/>
      <c r="AN1048" s="48" t="n"/>
      <c r="AO1048" s="48" t="n"/>
    </row>
    <row r="1049">
      <c r="M1049" s="25" t="n"/>
      <c r="Q1049" s="25" t="n"/>
      <c r="U1049" s="194" t="n"/>
      <c r="AA1049" s="25" t="n"/>
      <c r="AB1049" s="25" t="n"/>
      <c r="AC1049" s="195" t="n"/>
      <c r="AD1049" s="25" t="n"/>
      <c r="AE1049" s="25" t="n"/>
      <c r="AG1049" s="25" t="n"/>
      <c r="AH1049" s="25" t="n"/>
      <c r="AI1049" s="394" t="n"/>
      <c r="AM1049" s="48" t="n"/>
      <c r="AN1049" s="48" t="n"/>
      <c r="AO1049" s="48" t="n"/>
    </row>
    <row r="1050">
      <c r="M1050" s="25" t="n"/>
      <c r="Q1050" s="25" t="n"/>
      <c r="U1050" s="194" t="n"/>
      <c r="AA1050" s="25" t="n"/>
      <c r="AB1050" s="25" t="n"/>
      <c r="AC1050" s="195" t="n"/>
      <c r="AD1050" s="25" t="n"/>
      <c r="AE1050" s="25" t="n"/>
      <c r="AG1050" s="25" t="n"/>
      <c r="AH1050" s="25" t="n"/>
      <c r="AI1050" s="394" t="n"/>
      <c r="AM1050" s="48" t="n"/>
      <c r="AN1050" s="48" t="n"/>
      <c r="AO1050" s="48" t="n"/>
    </row>
    <row r="1051">
      <c r="M1051" s="25" t="n"/>
      <c r="Q1051" s="25" t="n"/>
      <c r="U1051" s="194" t="n"/>
      <c r="AA1051" s="25" t="n"/>
      <c r="AB1051" s="25" t="n"/>
      <c r="AC1051" s="195" t="n"/>
      <c r="AD1051" s="25" t="n"/>
      <c r="AE1051" s="25" t="n"/>
      <c r="AG1051" s="25" t="n"/>
      <c r="AH1051" s="25" t="n"/>
      <c r="AI1051" s="394" t="n"/>
      <c r="AM1051" s="48" t="n"/>
      <c r="AN1051" s="48" t="n"/>
      <c r="AO1051" s="48" t="n"/>
    </row>
    <row r="1052">
      <c r="M1052" s="25" t="n"/>
      <c r="Q1052" s="25" t="n"/>
      <c r="U1052" s="194" t="n"/>
      <c r="AA1052" s="25" t="n"/>
      <c r="AB1052" s="25" t="n"/>
      <c r="AC1052" s="195" t="n"/>
      <c r="AD1052" s="25" t="n"/>
      <c r="AE1052" s="25" t="n"/>
      <c r="AG1052" s="25" t="n"/>
      <c r="AH1052" s="25" t="n"/>
      <c r="AI1052" s="394" t="n"/>
      <c r="AM1052" s="48" t="n"/>
      <c r="AN1052" s="48" t="n"/>
      <c r="AO1052" s="48" t="n"/>
    </row>
    <row r="1053">
      <c r="M1053" s="25" t="n"/>
      <c r="Q1053" s="25" t="n"/>
      <c r="U1053" s="194" t="n"/>
      <c r="AA1053" s="25" t="n"/>
      <c r="AB1053" s="25" t="n"/>
      <c r="AC1053" s="195" t="n"/>
      <c r="AD1053" s="25" t="n"/>
      <c r="AE1053" s="25" t="n"/>
      <c r="AG1053" s="25" t="n"/>
      <c r="AH1053" s="25" t="n"/>
      <c r="AI1053" s="394" t="n"/>
      <c r="AM1053" s="48" t="n"/>
      <c r="AN1053" s="48" t="n"/>
      <c r="AO1053" s="48" t="n"/>
    </row>
    <row r="1054">
      <c r="M1054" s="25" t="n"/>
      <c r="Q1054" s="25" t="n"/>
      <c r="U1054" s="194" t="n"/>
      <c r="AA1054" s="25" t="n"/>
      <c r="AB1054" s="25" t="n"/>
      <c r="AC1054" s="195" t="n"/>
      <c r="AD1054" s="25" t="n"/>
      <c r="AE1054" s="25" t="n"/>
      <c r="AG1054" s="25" t="n"/>
      <c r="AH1054" s="25" t="n"/>
      <c r="AI1054" s="394" t="n"/>
      <c r="AM1054" s="48" t="n"/>
      <c r="AN1054" s="48" t="n"/>
      <c r="AO1054" s="48" t="n"/>
    </row>
    <row r="1055">
      <c r="M1055" s="25" t="n"/>
      <c r="Q1055" s="25" t="n"/>
      <c r="U1055" s="194" t="n"/>
      <c r="AA1055" s="25" t="n"/>
      <c r="AB1055" s="25" t="n"/>
      <c r="AC1055" s="195" t="n"/>
      <c r="AD1055" s="25" t="n"/>
      <c r="AE1055" s="25" t="n"/>
      <c r="AG1055" s="25" t="n"/>
      <c r="AH1055" s="25" t="n"/>
      <c r="AI1055" s="394" t="n"/>
      <c r="AM1055" s="48" t="n"/>
      <c r="AN1055" s="48" t="n"/>
      <c r="AO1055" s="48" t="n"/>
    </row>
    <row r="1056">
      <c r="M1056" s="25" t="n"/>
      <c r="Q1056" s="25" t="n"/>
      <c r="U1056" s="194" t="n"/>
      <c r="AA1056" s="25" t="n"/>
      <c r="AB1056" s="25" t="n"/>
      <c r="AC1056" s="195" t="n"/>
      <c r="AD1056" s="25" t="n"/>
      <c r="AE1056" s="25" t="n"/>
      <c r="AG1056" s="25" t="n"/>
      <c r="AH1056" s="25" t="n"/>
      <c r="AI1056" s="394" t="n"/>
      <c r="AM1056" s="48" t="n"/>
      <c r="AN1056" s="48" t="n"/>
      <c r="AO1056" s="48" t="n"/>
    </row>
    <row r="1057">
      <c r="M1057" s="25" t="n"/>
      <c r="Q1057" s="25" t="n"/>
      <c r="U1057" s="194" t="n"/>
      <c r="AA1057" s="25" t="n"/>
      <c r="AB1057" s="25" t="n"/>
      <c r="AC1057" s="195" t="n"/>
      <c r="AD1057" s="25" t="n"/>
      <c r="AE1057" s="25" t="n"/>
      <c r="AG1057" s="25" t="n"/>
      <c r="AH1057" s="25" t="n"/>
      <c r="AI1057" s="394" t="n"/>
      <c r="AM1057" s="48" t="n"/>
      <c r="AN1057" s="48" t="n"/>
      <c r="AO1057" s="48" t="n"/>
    </row>
    <row r="1058">
      <c r="M1058" s="25" t="n"/>
      <c r="Q1058" s="25" t="n"/>
      <c r="U1058" s="194" t="n"/>
      <c r="AA1058" s="25" t="n"/>
      <c r="AB1058" s="25" t="n"/>
      <c r="AC1058" s="195" t="n"/>
      <c r="AD1058" s="25" t="n"/>
      <c r="AE1058" s="25" t="n"/>
      <c r="AG1058" s="25" t="n"/>
      <c r="AH1058" s="25" t="n"/>
      <c r="AI1058" s="394" t="n"/>
      <c r="AM1058" s="48" t="n"/>
      <c r="AN1058" s="48" t="n"/>
      <c r="AO1058" s="48" t="n"/>
    </row>
    <row r="1059">
      <c r="M1059" s="25" t="n"/>
      <c r="Q1059" s="25" t="n"/>
      <c r="U1059" s="194" t="n"/>
      <c r="AA1059" s="25" t="n"/>
      <c r="AB1059" s="25" t="n"/>
      <c r="AC1059" s="195" t="n"/>
      <c r="AD1059" s="25" t="n"/>
      <c r="AE1059" s="25" t="n"/>
      <c r="AG1059" s="25" t="n"/>
      <c r="AH1059" s="25" t="n"/>
      <c r="AI1059" s="394" t="n"/>
      <c r="AM1059" s="48" t="n"/>
      <c r="AN1059" s="48" t="n"/>
      <c r="AO1059" s="48" t="n"/>
    </row>
    <row r="1060">
      <c r="M1060" s="25" t="n"/>
      <c r="Q1060" s="25" t="n"/>
      <c r="U1060" s="194" t="n"/>
      <c r="AA1060" s="25" t="n"/>
      <c r="AB1060" s="25" t="n"/>
      <c r="AC1060" s="195" t="n"/>
      <c r="AD1060" s="25" t="n"/>
      <c r="AE1060" s="25" t="n"/>
      <c r="AG1060" s="25" t="n"/>
      <c r="AH1060" s="25" t="n"/>
      <c r="AI1060" s="394" t="n"/>
      <c r="AM1060" s="48" t="n"/>
      <c r="AN1060" s="48" t="n"/>
      <c r="AO1060" s="48" t="n"/>
    </row>
    <row r="1061">
      <c r="M1061" s="25" t="n"/>
      <c r="Q1061" s="25" t="n"/>
      <c r="U1061" s="194" t="n"/>
      <c r="AA1061" s="25" t="n"/>
      <c r="AB1061" s="25" t="n"/>
      <c r="AC1061" s="195" t="n"/>
      <c r="AD1061" s="25" t="n"/>
      <c r="AE1061" s="25" t="n"/>
      <c r="AG1061" s="25" t="n"/>
      <c r="AH1061" s="25" t="n"/>
      <c r="AI1061" s="394" t="n"/>
      <c r="AM1061" s="48" t="n"/>
      <c r="AN1061" s="48" t="n"/>
      <c r="AO1061" s="48" t="n"/>
    </row>
    <row r="1062">
      <c r="M1062" s="25" t="n"/>
      <c r="Q1062" s="25" t="n"/>
      <c r="U1062" s="194" t="n"/>
      <c r="AA1062" s="25" t="n"/>
      <c r="AB1062" s="25" t="n"/>
      <c r="AC1062" s="195" t="n"/>
      <c r="AD1062" s="25" t="n"/>
      <c r="AE1062" s="25" t="n"/>
      <c r="AG1062" s="25" t="n"/>
      <c r="AH1062" s="25" t="n"/>
      <c r="AI1062" s="394" t="n"/>
      <c r="AM1062" s="48" t="n"/>
      <c r="AN1062" s="48" t="n"/>
      <c r="AO1062" s="48" t="n"/>
    </row>
    <row r="1063">
      <c r="M1063" s="25" t="n"/>
      <c r="Q1063" s="25" t="n"/>
      <c r="U1063" s="194" t="n"/>
      <c r="AA1063" s="25" t="n"/>
      <c r="AB1063" s="25" t="n"/>
      <c r="AC1063" s="195" t="n"/>
      <c r="AD1063" s="25" t="n"/>
      <c r="AE1063" s="25" t="n"/>
      <c r="AG1063" s="25" t="n"/>
      <c r="AH1063" s="25" t="n"/>
      <c r="AI1063" s="394" t="n"/>
      <c r="AM1063" s="48" t="n"/>
      <c r="AN1063" s="48" t="n"/>
      <c r="AO1063" s="48" t="n"/>
    </row>
    <row r="1064">
      <c r="M1064" s="25" t="n"/>
      <c r="Q1064" s="25" t="n"/>
      <c r="U1064" s="194" t="n"/>
      <c r="AA1064" s="25" t="n"/>
      <c r="AB1064" s="25" t="n"/>
      <c r="AC1064" s="195" t="n"/>
      <c r="AD1064" s="25" t="n"/>
      <c r="AE1064" s="25" t="n"/>
      <c r="AG1064" s="25" t="n"/>
      <c r="AH1064" s="25" t="n"/>
      <c r="AI1064" s="394" t="n"/>
      <c r="AM1064" s="48" t="n"/>
      <c r="AN1064" s="48" t="n"/>
      <c r="AO1064" s="48" t="n"/>
    </row>
    <row r="1065">
      <c r="M1065" s="25" t="n"/>
      <c r="Q1065" s="25" t="n"/>
      <c r="U1065" s="194" t="n"/>
      <c r="AA1065" s="25" t="n"/>
      <c r="AB1065" s="25" t="n"/>
      <c r="AC1065" s="195" t="n"/>
      <c r="AD1065" s="25" t="n"/>
      <c r="AE1065" s="25" t="n"/>
      <c r="AG1065" s="25" t="n"/>
      <c r="AH1065" s="25" t="n"/>
      <c r="AI1065" s="394" t="n"/>
      <c r="AM1065" s="48" t="n"/>
      <c r="AN1065" s="48" t="n"/>
      <c r="AO1065" s="48" t="n"/>
    </row>
    <row r="1066">
      <c r="M1066" s="25" t="n"/>
      <c r="Q1066" s="25" t="n"/>
      <c r="U1066" s="194" t="n"/>
      <c r="AA1066" s="25" t="n"/>
      <c r="AB1066" s="25" t="n"/>
      <c r="AC1066" s="195" t="n"/>
      <c r="AD1066" s="25" t="n"/>
      <c r="AE1066" s="25" t="n"/>
      <c r="AG1066" s="25" t="n"/>
      <c r="AH1066" s="25" t="n"/>
      <c r="AI1066" s="394" t="n"/>
      <c r="AM1066" s="48" t="n"/>
      <c r="AN1066" s="48" t="n"/>
      <c r="AO1066" s="48" t="n"/>
    </row>
    <row r="1067">
      <c r="M1067" s="25" t="n"/>
      <c r="Q1067" s="25" t="n"/>
      <c r="U1067" s="194" t="n"/>
      <c r="AA1067" s="25" t="n"/>
      <c r="AB1067" s="25" t="n"/>
      <c r="AC1067" s="195" t="n"/>
      <c r="AD1067" s="25" t="n"/>
      <c r="AE1067" s="25" t="n"/>
      <c r="AG1067" s="25" t="n"/>
      <c r="AH1067" s="25" t="n"/>
      <c r="AI1067" s="394" t="n"/>
      <c r="AM1067" s="48" t="n"/>
      <c r="AN1067" s="48" t="n"/>
      <c r="AO1067" s="48" t="n"/>
    </row>
    <row r="1068">
      <c r="M1068" s="25" t="n"/>
      <c r="Q1068" s="25" t="n"/>
      <c r="U1068" s="194" t="n"/>
      <c r="AA1068" s="25" t="n"/>
      <c r="AB1068" s="25" t="n"/>
      <c r="AC1068" s="195" t="n"/>
      <c r="AD1068" s="25" t="n"/>
      <c r="AE1068" s="25" t="n"/>
      <c r="AG1068" s="25" t="n"/>
      <c r="AH1068" s="25" t="n"/>
      <c r="AI1068" s="394" t="n"/>
      <c r="AM1068" s="48" t="n"/>
      <c r="AN1068" s="48" t="n"/>
      <c r="AO1068" s="48" t="n"/>
    </row>
    <row r="1069">
      <c r="M1069" s="25" t="n"/>
      <c r="Q1069" s="25" t="n"/>
      <c r="U1069" s="194" t="n"/>
      <c r="AA1069" s="25" t="n"/>
      <c r="AB1069" s="25" t="n"/>
      <c r="AC1069" s="195" t="n"/>
      <c r="AD1069" s="25" t="n"/>
      <c r="AE1069" s="25" t="n"/>
      <c r="AG1069" s="25" t="n"/>
      <c r="AH1069" s="25" t="n"/>
      <c r="AI1069" s="394" t="n"/>
      <c r="AM1069" s="48" t="n"/>
      <c r="AN1069" s="48" t="n"/>
      <c r="AO1069" s="48" t="n"/>
    </row>
    <row r="1070">
      <c r="M1070" s="25" t="n"/>
      <c r="Q1070" s="25" t="n"/>
      <c r="U1070" s="194" t="n"/>
      <c r="AA1070" s="25" t="n"/>
      <c r="AB1070" s="25" t="n"/>
      <c r="AC1070" s="195" t="n"/>
      <c r="AD1070" s="25" t="n"/>
      <c r="AE1070" s="25" t="n"/>
      <c r="AG1070" s="25" t="n"/>
      <c r="AH1070" s="25" t="n"/>
      <c r="AI1070" s="394" t="n"/>
      <c r="AM1070" s="48" t="n"/>
      <c r="AN1070" s="48" t="n"/>
      <c r="AO1070" s="48" t="n"/>
    </row>
    <row r="1071">
      <c r="M1071" s="25" t="n"/>
      <c r="Q1071" s="25" t="n"/>
      <c r="U1071" s="194" t="n"/>
      <c r="AA1071" s="25" t="n"/>
      <c r="AB1071" s="25" t="n"/>
      <c r="AC1071" s="195" t="n"/>
      <c r="AD1071" s="25" t="n"/>
      <c r="AE1071" s="25" t="n"/>
      <c r="AG1071" s="25" t="n"/>
      <c r="AH1071" s="25" t="n"/>
      <c r="AI1071" s="394" t="n"/>
      <c r="AM1071" s="48" t="n"/>
      <c r="AN1071" s="48" t="n"/>
      <c r="AO1071" s="48" t="n"/>
    </row>
    <row r="1072">
      <c r="M1072" s="25" t="n"/>
      <c r="Q1072" s="25" t="n"/>
      <c r="U1072" s="194" t="n"/>
      <c r="AA1072" s="25" t="n"/>
      <c r="AB1072" s="25" t="n"/>
      <c r="AC1072" s="195" t="n"/>
      <c r="AD1072" s="25" t="n"/>
      <c r="AE1072" s="25" t="n"/>
      <c r="AG1072" s="25" t="n"/>
      <c r="AH1072" s="25" t="n"/>
      <c r="AI1072" s="394" t="n"/>
      <c r="AM1072" s="48" t="n"/>
      <c r="AN1072" s="48" t="n"/>
      <c r="AO1072" s="48" t="n"/>
    </row>
    <row r="1073">
      <c r="M1073" s="25" t="n"/>
      <c r="Q1073" s="25" t="n"/>
      <c r="U1073" s="194" t="n"/>
      <c r="AA1073" s="25" t="n"/>
      <c r="AB1073" s="25" t="n"/>
      <c r="AC1073" s="195" t="n"/>
      <c r="AD1073" s="25" t="n"/>
      <c r="AE1073" s="25" t="n"/>
      <c r="AG1073" s="25" t="n"/>
      <c r="AH1073" s="25" t="n"/>
      <c r="AI1073" s="394" t="n"/>
      <c r="AM1073" s="48" t="n"/>
      <c r="AN1073" s="48" t="n"/>
      <c r="AO1073" s="48" t="n"/>
    </row>
    <row r="1074">
      <c r="M1074" s="25" t="n"/>
      <c r="Q1074" s="25" t="n"/>
      <c r="U1074" s="194" t="n"/>
      <c r="AA1074" s="25" t="n"/>
      <c r="AB1074" s="25" t="n"/>
      <c r="AC1074" s="195" t="n"/>
      <c r="AD1074" s="25" t="n"/>
      <c r="AE1074" s="25" t="n"/>
      <c r="AG1074" s="25" t="n"/>
      <c r="AH1074" s="25" t="n"/>
      <c r="AI1074" s="394" t="n"/>
      <c r="AM1074" s="48" t="n"/>
      <c r="AN1074" s="48" t="n"/>
      <c r="AO1074" s="48" t="n"/>
    </row>
    <row r="1075">
      <c r="M1075" s="25" t="n"/>
      <c r="Q1075" s="25" t="n"/>
      <c r="U1075" s="194" t="n"/>
      <c r="AA1075" s="25" t="n"/>
      <c r="AB1075" s="25" t="n"/>
      <c r="AC1075" s="195" t="n"/>
      <c r="AD1075" s="25" t="n"/>
      <c r="AE1075" s="25" t="n"/>
      <c r="AG1075" s="25" t="n"/>
      <c r="AH1075" s="25" t="n"/>
      <c r="AI1075" s="394" t="n"/>
      <c r="AM1075" s="48" t="n"/>
      <c r="AN1075" s="48" t="n"/>
      <c r="AO1075" s="48" t="n"/>
    </row>
    <row r="1076">
      <c r="M1076" s="25" t="n"/>
      <c r="Q1076" s="25" t="n"/>
      <c r="U1076" s="194" t="n"/>
      <c r="AA1076" s="25" t="n"/>
      <c r="AB1076" s="25" t="n"/>
      <c r="AC1076" s="195" t="n"/>
      <c r="AD1076" s="25" t="n"/>
      <c r="AE1076" s="25" t="n"/>
      <c r="AG1076" s="25" t="n"/>
      <c r="AH1076" s="25" t="n"/>
      <c r="AI1076" s="394" t="n"/>
      <c r="AM1076" s="48" t="n"/>
      <c r="AN1076" s="48" t="n"/>
      <c r="AO1076" s="48" t="n"/>
    </row>
    <row r="1077">
      <c r="M1077" s="25" t="n"/>
      <c r="Q1077" s="25" t="n"/>
      <c r="U1077" s="194" t="n"/>
      <c r="AA1077" s="25" t="n"/>
      <c r="AB1077" s="25" t="n"/>
      <c r="AC1077" s="195" t="n"/>
      <c r="AD1077" s="25" t="n"/>
      <c r="AE1077" s="25" t="n"/>
      <c r="AG1077" s="25" t="n"/>
      <c r="AH1077" s="25" t="n"/>
      <c r="AI1077" s="394" t="n"/>
      <c r="AM1077" s="48" t="n"/>
      <c r="AN1077" s="48" t="n"/>
      <c r="AO1077" s="48" t="n"/>
    </row>
    <row r="1078">
      <c r="M1078" s="25" t="n"/>
      <c r="Q1078" s="25" t="n"/>
      <c r="U1078" s="194" t="n"/>
      <c r="AA1078" s="25" t="n"/>
      <c r="AB1078" s="25" t="n"/>
      <c r="AC1078" s="195" t="n"/>
      <c r="AD1078" s="25" t="n"/>
      <c r="AE1078" s="25" t="n"/>
      <c r="AG1078" s="25" t="n"/>
      <c r="AH1078" s="25" t="n"/>
      <c r="AI1078" s="394" t="n"/>
      <c r="AM1078" s="48" t="n"/>
      <c r="AN1078" s="48" t="n"/>
      <c r="AO1078" s="48" t="n"/>
    </row>
    <row r="1079">
      <c r="M1079" s="25" t="n"/>
      <c r="Q1079" s="25" t="n"/>
      <c r="U1079" s="194" t="n"/>
      <c r="AA1079" s="25" t="n"/>
      <c r="AB1079" s="25" t="n"/>
      <c r="AC1079" s="195" t="n"/>
      <c r="AD1079" s="25" t="n"/>
      <c r="AE1079" s="25" t="n"/>
      <c r="AG1079" s="25" t="n"/>
      <c r="AH1079" s="25" t="n"/>
      <c r="AI1079" s="394" t="n"/>
      <c r="AM1079" s="48" t="n"/>
      <c r="AN1079" s="48" t="n"/>
      <c r="AO1079" s="48" t="n"/>
    </row>
    <row r="1080">
      <c r="M1080" s="25" t="n"/>
      <c r="Q1080" s="25" t="n"/>
      <c r="U1080" s="194" t="n"/>
      <c r="AA1080" s="25" t="n"/>
      <c r="AB1080" s="25" t="n"/>
      <c r="AC1080" s="195" t="n"/>
      <c r="AD1080" s="25" t="n"/>
      <c r="AE1080" s="25" t="n"/>
      <c r="AG1080" s="25" t="n"/>
      <c r="AH1080" s="25" t="n"/>
      <c r="AI1080" s="394" t="n"/>
      <c r="AM1080" s="48" t="n"/>
      <c r="AN1080" s="48" t="n"/>
      <c r="AO1080" s="48" t="n"/>
    </row>
    <row r="1081">
      <c r="M1081" s="25" t="n"/>
      <c r="Q1081" s="25" t="n"/>
      <c r="U1081" s="194" t="n"/>
      <c r="AA1081" s="25" t="n"/>
      <c r="AB1081" s="25" t="n"/>
      <c r="AC1081" s="195" t="n"/>
      <c r="AD1081" s="25" t="n"/>
      <c r="AE1081" s="25" t="n"/>
      <c r="AG1081" s="25" t="n"/>
      <c r="AH1081" s="25" t="n"/>
      <c r="AI1081" s="394" t="n"/>
      <c r="AM1081" s="48" t="n"/>
      <c r="AN1081" s="48" t="n"/>
      <c r="AO1081" s="48" t="n"/>
    </row>
    <row r="1082">
      <c r="M1082" s="25" t="n"/>
      <c r="Q1082" s="25" t="n"/>
      <c r="U1082" s="194" t="n"/>
      <c r="AA1082" s="25" t="n"/>
      <c r="AB1082" s="25" t="n"/>
      <c r="AC1082" s="195" t="n"/>
      <c r="AD1082" s="25" t="n"/>
      <c r="AE1082" s="25" t="n"/>
      <c r="AG1082" s="25" t="n"/>
      <c r="AH1082" s="25" t="n"/>
      <c r="AI1082" s="394" t="n"/>
      <c r="AM1082" s="48" t="n"/>
      <c r="AN1082" s="48" t="n"/>
      <c r="AO1082" s="48" t="n"/>
    </row>
    <row r="1083">
      <c r="M1083" s="25" t="n"/>
      <c r="Q1083" s="25" t="n"/>
      <c r="U1083" s="194" t="n"/>
      <c r="AA1083" s="25" t="n"/>
      <c r="AB1083" s="25" t="n"/>
      <c r="AC1083" s="195" t="n"/>
      <c r="AD1083" s="25" t="n"/>
      <c r="AE1083" s="25" t="n"/>
      <c r="AG1083" s="25" t="n"/>
      <c r="AH1083" s="25" t="n"/>
      <c r="AI1083" s="394" t="n"/>
      <c r="AM1083" s="48" t="n"/>
      <c r="AN1083" s="48" t="n"/>
      <c r="AO1083" s="48" t="n"/>
    </row>
    <row r="1084">
      <c r="M1084" s="25" t="n"/>
      <c r="Q1084" s="25" t="n"/>
      <c r="U1084" s="194" t="n"/>
      <c r="AA1084" s="25" t="n"/>
      <c r="AB1084" s="25" t="n"/>
      <c r="AC1084" s="195" t="n"/>
      <c r="AD1084" s="25" t="n"/>
      <c r="AE1084" s="25" t="n"/>
      <c r="AG1084" s="25" t="n"/>
      <c r="AH1084" s="25" t="n"/>
      <c r="AI1084" s="394" t="n"/>
      <c r="AM1084" s="48" t="n"/>
      <c r="AN1084" s="48" t="n"/>
      <c r="AO1084" s="48" t="n"/>
    </row>
    <row r="1085">
      <c r="M1085" s="25" t="n"/>
      <c r="Q1085" s="25" t="n"/>
      <c r="U1085" s="194" t="n"/>
      <c r="AA1085" s="25" t="n"/>
      <c r="AB1085" s="25" t="n"/>
      <c r="AC1085" s="195" t="n"/>
      <c r="AD1085" s="25" t="n"/>
      <c r="AE1085" s="25" t="n"/>
      <c r="AG1085" s="25" t="n"/>
      <c r="AH1085" s="25" t="n"/>
      <c r="AI1085" s="394" t="n"/>
      <c r="AM1085" s="48" t="n"/>
      <c r="AN1085" s="48" t="n"/>
      <c r="AO1085" s="48" t="n"/>
    </row>
    <row r="1086">
      <c r="M1086" s="25" t="n"/>
      <c r="Q1086" s="25" t="n"/>
      <c r="U1086" s="194" t="n"/>
      <c r="AA1086" s="25" t="n"/>
      <c r="AB1086" s="25" t="n"/>
      <c r="AC1086" s="195" t="n"/>
      <c r="AD1086" s="25" t="n"/>
      <c r="AE1086" s="25" t="n"/>
      <c r="AG1086" s="25" t="n"/>
      <c r="AH1086" s="25" t="n"/>
      <c r="AI1086" s="394" t="n"/>
      <c r="AM1086" s="48" t="n"/>
      <c r="AN1086" s="48" t="n"/>
      <c r="AO1086" s="48" t="n"/>
    </row>
    <row r="1087">
      <c r="M1087" s="25" t="n"/>
      <c r="Q1087" s="25" t="n"/>
      <c r="U1087" s="194" t="n"/>
      <c r="AA1087" s="25" t="n"/>
      <c r="AB1087" s="25" t="n"/>
      <c r="AC1087" s="195" t="n"/>
      <c r="AD1087" s="25" t="n"/>
      <c r="AE1087" s="25" t="n"/>
      <c r="AG1087" s="25" t="n"/>
      <c r="AH1087" s="25" t="n"/>
      <c r="AI1087" s="394" t="n"/>
      <c r="AM1087" s="48" t="n"/>
      <c r="AN1087" s="48" t="n"/>
      <c r="AO1087" s="48" t="n"/>
    </row>
    <row r="1088">
      <c r="M1088" s="25" t="n"/>
      <c r="Q1088" s="25" t="n"/>
      <c r="U1088" s="194" t="n"/>
      <c r="AA1088" s="25" t="n"/>
      <c r="AB1088" s="25" t="n"/>
      <c r="AC1088" s="195" t="n"/>
      <c r="AD1088" s="25" t="n"/>
      <c r="AE1088" s="25" t="n"/>
      <c r="AG1088" s="25" t="n"/>
      <c r="AH1088" s="25" t="n"/>
      <c r="AI1088" s="394" t="n"/>
      <c r="AM1088" s="48" t="n"/>
      <c r="AN1088" s="48" t="n"/>
      <c r="AO1088" s="48" t="n"/>
    </row>
    <row r="1089">
      <c r="M1089" s="25" t="n"/>
      <c r="Q1089" s="25" t="n"/>
      <c r="U1089" s="194" t="n"/>
      <c r="AA1089" s="25" t="n"/>
      <c r="AB1089" s="25" t="n"/>
      <c r="AC1089" s="195" t="n"/>
      <c r="AD1089" s="25" t="n"/>
      <c r="AE1089" s="25" t="n"/>
      <c r="AG1089" s="25" t="n"/>
      <c r="AH1089" s="25" t="n"/>
      <c r="AI1089" s="394" t="n"/>
      <c r="AM1089" s="48" t="n"/>
      <c r="AN1089" s="48" t="n"/>
      <c r="AO1089" s="48" t="n"/>
    </row>
    <row r="1090">
      <c r="M1090" s="25" t="n"/>
      <c r="Q1090" s="25" t="n"/>
      <c r="U1090" s="194" t="n"/>
      <c r="AA1090" s="25" t="n"/>
      <c r="AB1090" s="25" t="n"/>
      <c r="AC1090" s="195" t="n"/>
      <c r="AD1090" s="25" t="n"/>
      <c r="AE1090" s="25" t="n"/>
      <c r="AG1090" s="25" t="n"/>
      <c r="AH1090" s="25" t="n"/>
      <c r="AI1090" s="394" t="n"/>
      <c r="AM1090" s="48" t="n"/>
      <c r="AN1090" s="48" t="n"/>
      <c r="AO1090" s="48" t="n"/>
    </row>
    <row r="1091">
      <c r="M1091" s="25" t="n"/>
      <c r="Q1091" s="25" t="n"/>
      <c r="U1091" s="194" t="n"/>
      <c r="AA1091" s="25" t="n"/>
      <c r="AB1091" s="25" t="n"/>
      <c r="AC1091" s="195" t="n"/>
      <c r="AD1091" s="25" t="n"/>
      <c r="AE1091" s="25" t="n"/>
      <c r="AG1091" s="25" t="n"/>
      <c r="AH1091" s="25" t="n"/>
      <c r="AI1091" s="394" t="n"/>
      <c r="AM1091" s="48" t="n"/>
      <c r="AN1091" s="48" t="n"/>
      <c r="AO1091" s="48" t="n"/>
    </row>
    <row r="1092">
      <c r="M1092" s="25" t="n"/>
      <c r="Q1092" s="25" t="n"/>
      <c r="U1092" s="194" t="n"/>
      <c r="AA1092" s="25" t="n"/>
      <c r="AB1092" s="25" t="n"/>
      <c r="AC1092" s="195" t="n"/>
      <c r="AD1092" s="25" t="n"/>
      <c r="AE1092" s="25" t="n"/>
      <c r="AG1092" s="25" t="n"/>
      <c r="AH1092" s="25" t="n"/>
      <c r="AI1092" s="394" t="n"/>
      <c r="AM1092" s="48" t="n"/>
      <c r="AN1092" s="48" t="n"/>
      <c r="AO1092" s="48" t="n"/>
    </row>
    <row r="1093">
      <c r="M1093" s="25" t="n"/>
      <c r="Q1093" s="25" t="n"/>
      <c r="U1093" s="194" t="n"/>
      <c r="AA1093" s="25" t="n"/>
      <c r="AB1093" s="25" t="n"/>
      <c r="AC1093" s="195" t="n"/>
      <c r="AD1093" s="25" t="n"/>
      <c r="AE1093" s="25" t="n"/>
      <c r="AG1093" s="25" t="n"/>
      <c r="AH1093" s="25" t="n"/>
      <c r="AI1093" s="394" t="n"/>
      <c r="AM1093" s="48" t="n"/>
      <c r="AN1093" s="48" t="n"/>
      <c r="AO1093" s="48" t="n"/>
    </row>
    <row r="1094">
      <c r="M1094" s="25" t="n"/>
      <c r="Q1094" s="25" t="n"/>
      <c r="U1094" s="194" t="n"/>
      <c r="AA1094" s="25" t="n"/>
      <c r="AB1094" s="25" t="n"/>
      <c r="AC1094" s="195" t="n"/>
      <c r="AD1094" s="25" t="n"/>
      <c r="AE1094" s="25" t="n"/>
      <c r="AG1094" s="25" t="n"/>
      <c r="AH1094" s="25" t="n"/>
      <c r="AI1094" s="394" t="n"/>
      <c r="AM1094" s="48" t="n"/>
      <c r="AN1094" s="48" t="n"/>
      <c r="AO1094" s="48" t="n"/>
    </row>
    <row r="1095">
      <c r="M1095" s="25" t="n"/>
      <c r="Q1095" s="25" t="n"/>
      <c r="U1095" s="194" t="n"/>
      <c r="AA1095" s="25" t="n"/>
      <c r="AB1095" s="25" t="n"/>
      <c r="AC1095" s="195" t="n"/>
      <c r="AD1095" s="25" t="n"/>
      <c r="AE1095" s="25" t="n"/>
      <c r="AG1095" s="25" t="n"/>
      <c r="AH1095" s="25" t="n"/>
      <c r="AI1095" s="394" t="n"/>
      <c r="AM1095" s="48" t="n"/>
      <c r="AN1095" s="48" t="n"/>
      <c r="AO1095" s="48" t="n"/>
    </row>
    <row r="1096">
      <c r="M1096" s="25" t="n"/>
      <c r="Q1096" s="25" t="n"/>
      <c r="U1096" s="194" t="n"/>
      <c r="AA1096" s="25" t="n"/>
      <c r="AB1096" s="25" t="n"/>
      <c r="AC1096" s="195" t="n"/>
      <c r="AD1096" s="25" t="n"/>
      <c r="AE1096" s="25" t="n"/>
      <c r="AG1096" s="25" t="n"/>
      <c r="AH1096" s="25" t="n"/>
      <c r="AI1096" s="394" t="n"/>
      <c r="AM1096" s="48" t="n"/>
      <c r="AN1096" s="48" t="n"/>
      <c r="AO1096" s="48" t="n"/>
    </row>
    <row r="1097">
      <c r="M1097" s="25" t="n"/>
      <c r="Q1097" s="25" t="n"/>
      <c r="U1097" s="194" t="n"/>
      <c r="AA1097" s="25" t="n"/>
      <c r="AB1097" s="25" t="n"/>
      <c r="AC1097" s="195" t="n"/>
      <c r="AD1097" s="25" t="n"/>
      <c r="AE1097" s="25" t="n"/>
      <c r="AG1097" s="25" t="n"/>
      <c r="AH1097" s="25" t="n"/>
      <c r="AI1097" s="394" t="n"/>
      <c r="AM1097" s="48" t="n"/>
      <c r="AN1097" s="48" t="n"/>
      <c r="AO1097" s="48" t="n"/>
    </row>
    <row r="1098">
      <c r="M1098" s="25" t="n"/>
      <c r="Q1098" s="25" t="n"/>
      <c r="U1098" s="194" t="n"/>
      <c r="AA1098" s="25" t="n"/>
      <c r="AB1098" s="25" t="n"/>
      <c r="AC1098" s="195" t="n"/>
      <c r="AD1098" s="25" t="n"/>
      <c r="AE1098" s="25" t="n"/>
      <c r="AG1098" s="25" t="n"/>
      <c r="AH1098" s="25" t="n"/>
      <c r="AI1098" s="394" t="n"/>
      <c r="AM1098" s="48" t="n"/>
      <c r="AN1098" s="48" t="n"/>
      <c r="AO1098" s="48" t="n"/>
    </row>
    <row r="1099">
      <c r="M1099" s="25" t="n"/>
      <c r="Q1099" s="25" t="n"/>
      <c r="U1099" s="194" t="n"/>
      <c r="AA1099" s="25" t="n"/>
      <c r="AB1099" s="25" t="n"/>
      <c r="AC1099" s="195" t="n"/>
      <c r="AD1099" s="25" t="n"/>
      <c r="AE1099" s="25" t="n"/>
      <c r="AG1099" s="25" t="n"/>
      <c r="AH1099" s="25" t="n"/>
      <c r="AI1099" s="394" t="n"/>
      <c r="AM1099" s="48" t="n"/>
      <c r="AN1099" s="48" t="n"/>
      <c r="AO1099" s="48" t="n"/>
    </row>
    <row r="1100">
      <c r="M1100" s="25" t="n"/>
      <c r="Q1100" s="25" t="n"/>
      <c r="U1100" s="194" t="n"/>
      <c r="AA1100" s="25" t="n"/>
      <c r="AB1100" s="25" t="n"/>
      <c r="AC1100" s="195" t="n"/>
      <c r="AD1100" s="25" t="n"/>
      <c r="AE1100" s="25" t="n"/>
      <c r="AG1100" s="25" t="n"/>
      <c r="AH1100" s="25" t="n"/>
      <c r="AI1100" s="394" t="n"/>
      <c r="AM1100" s="48" t="n"/>
      <c r="AN1100" s="48" t="n"/>
      <c r="AO1100" s="48" t="n"/>
    </row>
    <row r="1101">
      <c r="M1101" s="25" t="n"/>
      <c r="Q1101" s="25" t="n"/>
      <c r="U1101" s="194" t="n"/>
      <c r="AA1101" s="25" t="n"/>
      <c r="AB1101" s="25" t="n"/>
      <c r="AC1101" s="195" t="n"/>
      <c r="AD1101" s="25" t="n"/>
      <c r="AE1101" s="25" t="n"/>
      <c r="AG1101" s="25" t="n"/>
      <c r="AH1101" s="25" t="n"/>
      <c r="AI1101" s="394" t="n"/>
      <c r="AM1101" s="48" t="n"/>
      <c r="AN1101" s="48" t="n"/>
      <c r="AO1101" s="48" t="n"/>
    </row>
    <row r="1102">
      <c r="M1102" s="25" t="n"/>
      <c r="Q1102" s="25" t="n"/>
      <c r="U1102" s="194" t="n"/>
      <c r="AA1102" s="25" t="n"/>
      <c r="AB1102" s="25" t="n"/>
      <c r="AC1102" s="195" t="n"/>
      <c r="AD1102" s="25" t="n"/>
      <c r="AE1102" s="25" t="n"/>
      <c r="AG1102" s="25" t="n"/>
      <c r="AH1102" s="25" t="n"/>
      <c r="AI1102" s="394" t="n"/>
      <c r="AM1102" s="48" t="n"/>
      <c r="AN1102" s="48" t="n"/>
      <c r="AO1102" s="48" t="n"/>
    </row>
    <row r="1103">
      <c r="M1103" s="25" t="n"/>
      <c r="Q1103" s="25" t="n"/>
      <c r="U1103" s="194" t="n"/>
      <c r="AA1103" s="25" t="n"/>
      <c r="AB1103" s="25" t="n"/>
      <c r="AC1103" s="195" t="n"/>
      <c r="AD1103" s="25" t="n"/>
      <c r="AE1103" s="25" t="n"/>
      <c r="AG1103" s="25" t="n"/>
      <c r="AH1103" s="25" t="n"/>
      <c r="AI1103" s="394" t="n"/>
      <c r="AM1103" s="48" t="n"/>
      <c r="AN1103" s="48" t="n"/>
      <c r="AO1103" s="48" t="n"/>
    </row>
    <row r="1104">
      <c r="M1104" s="25" t="n"/>
      <c r="Q1104" s="25" t="n"/>
      <c r="U1104" s="194" t="n"/>
      <c r="AA1104" s="25" t="n"/>
      <c r="AB1104" s="25" t="n"/>
      <c r="AC1104" s="195" t="n"/>
      <c r="AD1104" s="25" t="n"/>
      <c r="AE1104" s="25" t="n"/>
      <c r="AG1104" s="25" t="n"/>
      <c r="AH1104" s="25" t="n"/>
      <c r="AI1104" s="394" t="n"/>
      <c r="AM1104" s="48" t="n"/>
      <c r="AN1104" s="48" t="n"/>
      <c r="AO1104" s="48" t="n"/>
    </row>
    <row r="1105">
      <c r="M1105" s="25" t="n"/>
      <c r="Q1105" s="25" t="n"/>
      <c r="U1105" s="194" t="n"/>
      <c r="AA1105" s="25" t="n"/>
      <c r="AB1105" s="25" t="n"/>
      <c r="AC1105" s="195" t="n"/>
      <c r="AD1105" s="25" t="n"/>
      <c r="AE1105" s="25" t="n"/>
      <c r="AG1105" s="25" t="n"/>
      <c r="AH1105" s="25" t="n"/>
      <c r="AI1105" s="394" t="n"/>
      <c r="AM1105" s="48" t="n"/>
      <c r="AN1105" s="48" t="n"/>
      <c r="AO1105" s="48" t="n"/>
    </row>
    <row r="1106">
      <c r="M1106" s="25" t="n"/>
      <c r="Q1106" s="25" t="n"/>
      <c r="U1106" s="194" t="n"/>
      <c r="AA1106" s="25" t="n"/>
      <c r="AB1106" s="25" t="n"/>
      <c r="AC1106" s="195" t="n"/>
      <c r="AD1106" s="25" t="n"/>
      <c r="AE1106" s="25" t="n"/>
      <c r="AG1106" s="25" t="n"/>
      <c r="AH1106" s="25" t="n"/>
      <c r="AI1106" s="394" t="n"/>
      <c r="AM1106" s="48" t="n"/>
      <c r="AN1106" s="48" t="n"/>
      <c r="AO1106" s="48" t="n"/>
    </row>
    <row r="1107">
      <c r="M1107" s="25" t="n"/>
      <c r="Q1107" s="25" t="n"/>
      <c r="U1107" s="194" t="n"/>
      <c r="AA1107" s="25" t="n"/>
      <c r="AB1107" s="25" t="n"/>
      <c r="AC1107" s="195" t="n"/>
      <c r="AD1107" s="25" t="n"/>
      <c r="AE1107" s="25" t="n"/>
      <c r="AG1107" s="25" t="n"/>
      <c r="AH1107" s="25" t="n"/>
      <c r="AI1107" s="394" t="n"/>
      <c r="AM1107" s="48" t="n"/>
      <c r="AN1107" s="48" t="n"/>
      <c r="AO1107" s="48" t="n"/>
    </row>
    <row r="1108">
      <c r="M1108" s="25" t="n"/>
      <c r="Q1108" s="25" t="n"/>
      <c r="U1108" s="194" t="n"/>
      <c r="AA1108" s="25" t="n"/>
      <c r="AB1108" s="25" t="n"/>
      <c r="AC1108" s="195" t="n"/>
      <c r="AD1108" s="25" t="n"/>
      <c r="AE1108" s="25" t="n"/>
      <c r="AG1108" s="25" t="n"/>
      <c r="AH1108" s="25" t="n"/>
      <c r="AI1108" s="394" t="n"/>
      <c r="AM1108" s="48" t="n"/>
      <c r="AN1108" s="48" t="n"/>
      <c r="AO1108" s="48" t="n"/>
    </row>
    <row r="1109">
      <c r="M1109" s="25" t="n"/>
      <c r="Q1109" s="25" t="n"/>
      <c r="U1109" s="194" t="n"/>
      <c r="AA1109" s="25" t="n"/>
      <c r="AB1109" s="25" t="n"/>
      <c r="AC1109" s="195" t="n"/>
      <c r="AD1109" s="25" t="n"/>
      <c r="AE1109" s="25" t="n"/>
      <c r="AG1109" s="25" t="n"/>
      <c r="AH1109" s="25" t="n"/>
      <c r="AI1109" s="394" t="n"/>
      <c r="AM1109" s="48" t="n"/>
      <c r="AN1109" s="48" t="n"/>
      <c r="AO1109" s="48" t="n"/>
    </row>
    <row r="1110">
      <c r="M1110" s="25" t="n"/>
      <c r="Q1110" s="25" t="n"/>
      <c r="U1110" s="194" t="n"/>
      <c r="AA1110" s="25" t="n"/>
      <c r="AB1110" s="25" t="n"/>
      <c r="AC1110" s="195" t="n"/>
      <c r="AD1110" s="25" t="n"/>
      <c r="AE1110" s="25" t="n"/>
      <c r="AG1110" s="25" t="n"/>
      <c r="AH1110" s="25" t="n"/>
      <c r="AI1110" s="394" t="n"/>
      <c r="AM1110" s="48" t="n"/>
      <c r="AN1110" s="48" t="n"/>
      <c r="AO1110" s="48" t="n"/>
    </row>
    <row r="1111">
      <c r="M1111" s="25" t="n"/>
      <c r="Q1111" s="25" t="n"/>
      <c r="U1111" s="194" t="n"/>
      <c r="AA1111" s="25" t="n"/>
      <c r="AB1111" s="25" t="n"/>
      <c r="AC1111" s="195" t="n"/>
      <c r="AD1111" s="25" t="n"/>
      <c r="AE1111" s="25" t="n"/>
      <c r="AG1111" s="25" t="n"/>
      <c r="AH1111" s="25" t="n"/>
      <c r="AI1111" s="394" t="n"/>
      <c r="AM1111" s="48" t="n"/>
      <c r="AN1111" s="48" t="n"/>
      <c r="AO1111" s="48" t="n"/>
    </row>
    <row r="1112">
      <c r="M1112" s="25" t="n"/>
      <c r="Q1112" s="25" t="n"/>
      <c r="U1112" s="194" t="n"/>
      <c r="AA1112" s="25" t="n"/>
      <c r="AB1112" s="25" t="n"/>
      <c r="AC1112" s="195" t="n"/>
      <c r="AD1112" s="25" t="n"/>
      <c r="AE1112" s="25" t="n"/>
      <c r="AG1112" s="25" t="n"/>
      <c r="AH1112" s="25" t="n"/>
      <c r="AI1112" s="394" t="n"/>
      <c r="AM1112" s="48" t="n"/>
      <c r="AN1112" s="48" t="n"/>
      <c r="AO1112" s="48" t="n"/>
    </row>
    <row r="1113">
      <c r="M1113" s="25" t="n"/>
      <c r="Q1113" s="25" t="n"/>
      <c r="U1113" s="194" t="n"/>
      <c r="AA1113" s="25" t="n"/>
      <c r="AB1113" s="25" t="n"/>
      <c r="AC1113" s="195" t="n"/>
      <c r="AD1113" s="25" t="n"/>
      <c r="AE1113" s="25" t="n"/>
      <c r="AG1113" s="25" t="n"/>
      <c r="AH1113" s="25" t="n"/>
      <c r="AI1113" s="394" t="n"/>
      <c r="AM1113" s="48" t="n"/>
      <c r="AN1113" s="48" t="n"/>
      <c r="AO1113" s="48" t="n"/>
    </row>
    <row r="1114">
      <c r="M1114" s="25" t="n"/>
      <c r="Q1114" s="25" t="n"/>
      <c r="U1114" s="194" t="n"/>
      <c r="AA1114" s="25" t="n"/>
      <c r="AB1114" s="25" t="n"/>
      <c r="AC1114" s="195" t="n"/>
      <c r="AD1114" s="25" t="n"/>
      <c r="AE1114" s="25" t="n"/>
      <c r="AG1114" s="25" t="n"/>
      <c r="AH1114" s="25" t="n"/>
      <c r="AI1114" s="394" t="n"/>
      <c r="AM1114" s="48" t="n"/>
      <c r="AN1114" s="48" t="n"/>
      <c r="AO1114" s="48" t="n"/>
    </row>
    <row r="1115">
      <c r="M1115" s="25" t="n"/>
      <c r="Q1115" s="25" t="n"/>
      <c r="U1115" s="194" t="n"/>
      <c r="AA1115" s="25" t="n"/>
      <c r="AB1115" s="25" t="n"/>
      <c r="AC1115" s="195" t="n"/>
      <c r="AD1115" s="25" t="n"/>
      <c r="AE1115" s="25" t="n"/>
      <c r="AG1115" s="25" t="n"/>
      <c r="AH1115" s="25" t="n"/>
      <c r="AI1115" s="394" t="n"/>
      <c r="AM1115" s="48" t="n"/>
      <c r="AN1115" s="48" t="n"/>
      <c r="AO1115" s="48" t="n"/>
    </row>
    <row r="1116">
      <c r="M1116" s="25" t="n"/>
      <c r="Q1116" s="25" t="n"/>
      <c r="U1116" s="194" t="n"/>
      <c r="AA1116" s="25" t="n"/>
      <c r="AB1116" s="25" t="n"/>
      <c r="AC1116" s="195" t="n"/>
      <c r="AD1116" s="25" t="n"/>
      <c r="AE1116" s="25" t="n"/>
      <c r="AG1116" s="25" t="n"/>
      <c r="AH1116" s="25" t="n"/>
      <c r="AI1116" s="394" t="n"/>
      <c r="AM1116" s="48" t="n"/>
      <c r="AN1116" s="48" t="n"/>
      <c r="AO1116" s="48" t="n"/>
    </row>
    <row r="1117">
      <c r="M1117" s="25" t="n"/>
      <c r="Q1117" s="25" t="n"/>
      <c r="U1117" s="194" t="n"/>
      <c r="AA1117" s="25" t="n"/>
      <c r="AB1117" s="25" t="n"/>
      <c r="AC1117" s="195" t="n"/>
      <c r="AD1117" s="25" t="n"/>
      <c r="AE1117" s="25" t="n"/>
      <c r="AG1117" s="25" t="n"/>
      <c r="AH1117" s="25" t="n"/>
      <c r="AI1117" s="394" t="n"/>
      <c r="AM1117" s="48" t="n"/>
      <c r="AN1117" s="48" t="n"/>
      <c r="AO1117" s="48" t="n"/>
    </row>
    <row r="1118">
      <c r="M1118" s="25" t="n"/>
      <c r="Q1118" s="25" t="n"/>
      <c r="U1118" s="194" t="n"/>
      <c r="AA1118" s="25" t="n"/>
      <c r="AB1118" s="25" t="n"/>
      <c r="AC1118" s="195" t="n"/>
      <c r="AD1118" s="25" t="n"/>
      <c r="AE1118" s="25" t="n"/>
      <c r="AG1118" s="25" t="n"/>
      <c r="AH1118" s="25" t="n"/>
      <c r="AI1118" s="394" t="n"/>
      <c r="AM1118" s="48" t="n"/>
      <c r="AN1118" s="48" t="n"/>
      <c r="AO1118" s="48" t="n"/>
    </row>
    <row r="1119">
      <c r="M1119" s="25" t="n"/>
      <c r="Q1119" s="25" t="n"/>
      <c r="U1119" s="194" t="n"/>
      <c r="AA1119" s="25" t="n"/>
      <c r="AB1119" s="25" t="n"/>
      <c r="AC1119" s="195" t="n"/>
      <c r="AD1119" s="25" t="n"/>
      <c r="AE1119" s="25" t="n"/>
      <c r="AG1119" s="25" t="n"/>
      <c r="AH1119" s="25" t="n"/>
      <c r="AI1119" s="394" t="n"/>
      <c r="AM1119" s="48" t="n"/>
      <c r="AN1119" s="48" t="n"/>
      <c r="AO1119" s="48" t="n"/>
    </row>
    <row r="1120">
      <c r="M1120" s="25" t="n"/>
      <c r="Q1120" s="25" t="n"/>
      <c r="U1120" s="194" t="n"/>
      <c r="AA1120" s="25" t="n"/>
      <c r="AB1120" s="25" t="n"/>
      <c r="AC1120" s="195" t="n"/>
      <c r="AD1120" s="25" t="n"/>
      <c r="AE1120" s="25" t="n"/>
      <c r="AG1120" s="25" t="n"/>
      <c r="AH1120" s="25" t="n"/>
      <c r="AI1120" s="394" t="n"/>
      <c r="AM1120" s="48" t="n"/>
      <c r="AN1120" s="48" t="n"/>
      <c r="AO1120" s="48" t="n"/>
    </row>
    <row r="1121">
      <c r="M1121" s="25" t="n"/>
      <c r="Q1121" s="25" t="n"/>
      <c r="U1121" s="194" t="n"/>
      <c r="AA1121" s="25" t="n"/>
      <c r="AB1121" s="25" t="n"/>
      <c r="AC1121" s="195" t="n"/>
      <c r="AD1121" s="25" t="n"/>
      <c r="AE1121" s="25" t="n"/>
      <c r="AG1121" s="25" t="n"/>
      <c r="AH1121" s="25" t="n"/>
      <c r="AI1121" s="394" t="n"/>
      <c r="AM1121" s="48" t="n"/>
      <c r="AN1121" s="48" t="n"/>
      <c r="AO1121" s="48" t="n"/>
    </row>
    <row r="1122">
      <c r="M1122" s="25" t="n"/>
      <c r="Q1122" s="25" t="n"/>
      <c r="U1122" s="194" t="n"/>
      <c r="AA1122" s="25" t="n"/>
      <c r="AB1122" s="25" t="n"/>
      <c r="AC1122" s="195" t="n"/>
      <c r="AD1122" s="25" t="n"/>
      <c r="AE1122" s="25" t="n"/>
      <c r="AG1122" s="25" t="n"/>
      <c r="AH1122" s="25" t="n"/>
      <c r="AI1122" s="394" t="n"/>
      <c r="AM1122" s="48" t="n"/>
      <c r="AN1122" s="48" t="n"/>
      <c r="AO1122" s="48" t="n"/>
    </row>
    <row r="1123">
      <c r="M1123" s="25" t="n"/>
      <c r="Q1123" s="25" t="n"/>
      <c r="U1123" s="194" t="n"/>
      <c r="AA1123" s="25" t="n"/>
      <c r="AB1123" s="25" t="n"/>
      <c r="AC1123" s="195" t="n"/>
      <c r="AD1123" s="25" t="n"/>
      <c r="AE1123" s="25" t="n"/>
      <c r="AG1123" s="25" t="n"/>
      <c r="AH1123" s="25" t="n"/>
      <c r="AI1123" s="394" t="n"/>
      <c r="AM1123" s="48" t="n"/>
      <c r="AN1123" s="48" t="n"/>
      <c r="AO1123" s="48" t="n"/>
    </row>
    <row r="1124">
      <c r="M1124" s="25" t="n"/>
      <c r="Q1124" s="25" t="n"/>
      <c r="U1124" s="194" t="n"/>
      <c r="AA1124" s="25" t="n"/>
      <c r="AB1124" s="25" t="n"/>
      <c r="AC1124" s="195" t="n"/>
      <c r="AD1124" s="25" t="n"/>
      <c r="AE1124" s="25" t="n"/>
      <c r="AG1124" s="25" t="n"/>
      <c r="AH1124" s="25" t="n"/>
      <c r="AI1124" s="394" t="n"/>
      <c r="AM1124" s="48" t="n"/>
      <c r="AN1124" s="48" t="n"/>
      <c r="AO1124" s="48" t="n"/>
    </row>
    <row r="1125">
      <c r="M1125" s="25" t="n"/>
      <c r="Q1125" s="25" t="n"/>
      <c r="U1125" s="194" t="n"/>
      <c r="AA1125" s="25" t="n"/>
      <c r="AB1125" s="25" t="n"/>
      <c r="AC1125" s="195" t="n"/>
      <c r="AD1125" s="25" t="n"/>
      <c r="AE1125" s="25" t="n"/>
      <c r="AG1125" s="25" t="n"/>
      <c r="AH1125" s="25" t="n"/>
      <c r="AI1125" s="394" t="n"/>
      <c r="AM1125" s="48" t="n"/>
      <c r="AN1125" s="48" t="n"/>
      <c r="AO1125" s="48" t="n"/>
    </row>
    <row r="1126">
      <c r="M1126" s="25" t="n"/>
      <c r="Q1126" s="25" t="n"/>
      <c r="U1126" s="194" t="n"/>
      <c r="AA1126" s="25" t="n"/>
      <c r="AB1126" s="25" t="n"/>
      <c r="AC1126" s="195" t="n"/>
      <c r="AD1126" s="25" t="n"/>
      <c r="AE1126" s="25" t="n"/>
      <c r="AG1126" s="25" t="n"/>
      <c r="AH1126" s="25" t="n"/>
      <c r="AI1126" s="394" t="n"/>
      <c r="AM1126" s="48" t="n"/>
      <c r="AN1126" s="48" t="n"/>
      <c r="AO1126" s="48" t="n"/>
    </row>
    <row r="1127">
      <c r="M1127" s="25" t="n"/>
      <c r="Q1127" s="25" t="n"/>
      <c r="U1127" s="194" t="n"/>
      <c r="AA1127" s="25" t="n"/>
      <c r="AB1127" s="25" t="n"/>
      <c r="AC1127" s="195" t="n"/>
      <c r="AD1127" s="25" t="n"/>
      <c r="AE1127" s="25" t="n"/>
      <c r="AG1127" s="25" t="n"/>
      <c r="AH1127" s="25" t="n"/>
      <c r="AI1127" s="394" t="n"/>
      <c r="AM1127" s="48" t="n"/>
      <c r="AN1127" s="48" t="n"/>
      <c r="AO1127" s="48" t="n"/>
    </row>
    <row r="1128">
      <c r="M1128" s="25" t="n"/>
      <c r="Q1128" s="25" t="n"/>
      <c r="U1128" s="194" t="n"/>
      <c r="AA1128" s="25" t="n"/>
      <c r="AB1128" s="25" t="n"/>
      <c r="AC1128" s="195" t="n"/>
      <c r="AD1128" s="25" t="n"/>
      <c r="AE1128" s="25" t="n"/>
      <c r="AG1128" s="25" t="n"/>
      <c r="AH1128" s="25" t="n"/>
      <c r="AI1128" s="394" t="n"/>
      <c r="AM1128" s="48" t="n"/>
      <c r="AN1128" s="48" t="n"/>
      <c r="AO1128" s="48" t="n"/>
    </row>
    <row r="1129">
      <c r="M1129" s="25" t="n"/>
      <c r="Q1129" s="25" t="n"/>
      <c r="U1129" s="194" t="n"/>
      <c r="AA1129" s="25" t="n"/>
      <c r="AB1129" s="25" t="n"/>
      <c r="AC1129" s="195" t="n"/>
      <c r="AD1129" s="25" t="n"/>
      <c r="AE1129" s="25" t="n"/>
      <c r="AG1129" s="25" t="n"/>
      <c r="AH1129" s="25" t="n"/>
      <c r="AI1129" s="394" t="n"/>
      <c r="AM1129" s="48" t="n"/>
      <c r="AN1129" s="48" t="n"/>
      <c r="AO1129" s="48" t="n"/>
    </row>
    <row r="1130">
      <c r="M1130" s="25" t="n"/>
      <c r="Q1130" s="25" t="n"/>
      <c r="U1130" s="194" t="n"/>
      <c r="AA1130" s="25" t="n"/>
      <c r="AB1130" s="25" t="n"/>
      <c r="AC1130" s="195" t="n"/>
      <c r="AD1130" s="25" t="n"/>
      <c r="AE1130" s="25" t="n"/>
      <c r="AG1130" s="25" t="n"/>
      <c r="AH1130" s="25" t="n"/>
      <c r="AI1130" s="394" t="n"/>
      <c r="AM1130" s="48" t="n"/>
      <c r="AN1130" s="48" t="n"/>
      <c r="AO1130" s="48" t="n"/>
    </row>
    <row r="1131">
      <c r="M1131" s="25" t="n"/>
      <c r="Q1131" s="25" t="n"/>
      <c r="U1131" s="194" t="n"/>
      <c r="AA1131" s="25" t="n"/>
      <c r="AB1131" s="25" t="n"/>
      <c r="AC1131" s="195" t="n"/>
      <c r="AD1131" s="25" t="n"/>
      <c r="AE1131" s="25" t="n"/>
      <c r="AG1131" s="25" t="n"/>
      <c r="AH1131" s="25" t="n"/>
      <c r="AI1131" s="394" t="n"/>
      <c r="AM1131" s="48" t="n"/>
      <c r="AN1131" s="48" t="n"/>
      <c r="AO1131" s="48" t="n"/>
    </row>
    <row r="1132">
      <c r="M1132" s="25" t="n"/>
      <c r="Q1132" s="25" t="n"/>
      <c r="U1132" s="194" t="n"/>
      <c r="AA1132" s="25" t="n"/>
      <c r="AB1132" s="25" t="n"/>
      <c r="AC1132" s="195" t="n"/>
      <c r="AD1132" s="25" t="n"/>
      <c r="AE1132" s="25" t="n"/>
      <c r="AG1132" s="25" t="n"/>
      <c r="AH1132" s="25" t="n"/>
      <c r="AI1132" s="394" t="n"/>
      <c r="AM1132" s="48" t="n"/>
      <c r="AN1132" s="48" t="n"/>
      <c r="AO1132" s="48" t="n"/>
    </row>
    <row r="1133">
      <c r="M1133" s="25" t="n"/>
      <c r="Q1133" s="25" t="n"/>
      <c r="U1133" s="194" t="n"/>
      <c r="AA1133" s="25" t="n"/>
      <c r="AB1133" s="25" t="n"/>
      <c r="AC1133" s="195" t="n"/>
      <c r="AD1133" s="25" t="n"/>
      <c r="AE1133" s="25" t="n"/>
      <c r="AG1133" s="25" t="n"/>
      <c r="AH1133" s="25" t="n"/>
      <c r="AI1133" s="394" t="n"/>
      <c r="AM1133" s="48" t="n"/>
      <c r="AN1133" s="48" t="n"/>
      <c r="AO1133" s="48" t="n"/>
    </row>
    <row r="1134">
      <c r="M1134" s="25" t="n"/>
      <c r="Q1134" s="25" t="n"/>
      <c r="U1134" s="194" t="n"/>
      <c r="AA1134" s="25" t="n"/>
      <c r="AB1134" s="25" t="n"/>
      <c r="AC1134" s="195" t="n"/>
      <c r="AD1134" s="25" t="n"/>
      <c r="AE1134" s="25" t="n"/>
      <c r="AG1134" s="25" t="n"/>
      <c r="AH1134" s="25" t="n"/>
      <c r="AI1134" s="394" t="n"/>
      <c r="AM1134" s="48" t="n"/>
      <c r="AN1134" s="48" t="n"/>
      <c r="AO1134" s="48" t="n"/>
    </row>
    <row r="1135">
      <c r="M1135" s="25" t="n"/>
      <c r="Q1135" s="25" t="n"/>
      <c r="U1135" s="194" t="n"/>
      <c r="AA1135" s="25" t="n"/>
      <c r="AB1135" s="25" t="n"/>
      <c r="AC1135" s="195" t="n"/>
      <c r="AD1135" s="25" t="n"/>
      <c r="AE1135" s="25" t="n"/>
      <c r="AG1135" s="25" t="n"/>
      <c r="AH1135" s="25" t="n"/>
      <c r="AI1135" s="394" t="n"/>
      <c r="AM1135" s="48" t="n"/>
      <c r="AN1135" s="48" t="n"/>
      <c r="AO1135" s="48" t="n"/>
    </row>
    <row r="1136">
      <c r="M1136" s="25" t="n"/>
      <c r="Q1136" s="25" t="n"/>
      <c r="U1136" s="194" t="n"/>
      <c r="AA1136" s="25" t="n"/>
      <c r="AB1136" s="25" t="n"/>
      <c r="AC1136" s="195" t="n"/>
      <c r="AD1136" s="25" t="n"/>
      <c r="AE1136" s="25" t="n"/>
      <c r="AG1136" s="25" t="n"/>
      <c r="AH1136" s="25" t="n"/>
      <c r="AI1136" s="394" t="n"/>
      <c r="AM1136" s="48" t="n"/>
      <c r="AN1136" s="48" t="n"/>
      <c r="AO1136" s="48" t="n"/>
    </row>
    <row r="1137">
      <c r="M1137" s="25" t="n"/>
      <c r="Q1137" s="25" t="n"/>
      <c r="U1137" s="194" t="n"/>
      <c r="AA1137" s="25" t="n"/>
      <c r="AB1137" s="25" t="n"/>
      <c r="AC1137" s="195" t="n"/>
      <c r="AD1137" s="25" t="n"/>
      <c r="AE1137" s="25" t="n"/>
      <c r="AG1137" s="25" t="n"/>
      <c r="AH1137" s="25" t="n"/>
      <c r="AI1137" s="394" t="n"/>
      <c r="AM1137" s="48" t="n"/>
      <c r="AN1137" s="48" t="n"/>
      <c r="AO1137" s="48" t="n"/>
    </row>
    <row r="1138">
      <c r="M1138" s="25" t="n"/>
      <c r="Q1138" s="25" t="n"/>
      <c r="U1138" s="194" t="n"/>
      <c r="AA1138" s="25" t="n"/>
      <c r="AB1138" s="25" t="n"/>
      <c r="AC1138" s="195" t="n"/>
      <c r="AD1138" s="25" t="n"/>
      <c r="AE1138" s="25" t="n"/>
      <c r="AG1138" s="25" t="n"/>
      <c r="AH1138" s="25" t="n"/>
      <c r="AI1138" s="394" t="n"/>
      <c r="AM1138" s="48" t="n"/>
      <c r="AN1138" s="48" t="n"/>
      <c r="AO1138" s="48" t="n"/>
    </row>
    <row r="1139">
      <c r="M1139" s="25" t="n"/>
      <c r="Q1139" s="25" t="n"/>
      <c r="U1139" s="194" t="n"/>
      <c r="AA1139" s="25" t="n"/>
      <c r="AB1139" s="25" t="n"/>
      <c r="AC1139" s="195" t="n"/>
      <c r="AD1139" s="25" t="n"/>
      <c r="AE1139" s="25" t="n"/>
      <c r="AG1139" s="25" t="n"/>
      <c r="AH1139" s="25" t="n"/>
      <c r="AI1139" s="394" t="n"/>
      <c r="AM1139" s="48" t="n"/>
      <c r="AN1139" s="48" t="n"/>
      <c r="AO1139" s="48" t="n"/>
    </row>
    <row r="1140">
      <c r="M1140" s="25" t="n"/>
      <c r="Q1140" s="25" t="n"/>
      <c r="U1140" s="194" t="n"/>
      <c r="AA1140" s="25" t="n"/>
      <c r="AB1140" s="25" t="n"/>
      <c r="AC1140" s="195" t="n"/>
      <c r="AD1140" s="25" t="n"/>
      <c r="AE1140" s="25" t="n"/>
      <c r="AG1140" s="25" t="n"/>
      <c r="AH1140" s="25" t="n"/>
      <c r="AI1140" s="394" t="n"/>
      <c r="AM1140" s="48" t="n"/>
      <c r="AN1140" s="48" t="n"/>
      <c r="AO1140" s="48" t="n"/>
    </row>
    <row r="1141">
      <c r="M1141" s="25" t="n"/>
      <c r="Q1141" s="25" t="n"/>
      <c r="U1141" s="194" t="n"/>
      <c r="AA1141" s="25" t="n"/>
      <c r="AB1141" s="25" t="n"/>
      <c r="AC1141" s="195" t="n"/>
      <c r="AD1141" s="25" t="n"/>
      <c r="AE1141" s="25" t="n"/>
      <c r="AG1141" s="25" t="n"/>
      <c r="AH1141" s="25" t="n"/>
      <c r="AI1141" s="394" t="n"/>
      <c r="AM1141" s="48" t="n"/>
      <c r="AN1141" s="48" t="n"/>
      <c r="AO1141" s="48" t="n"/>
    </row>
    <row r="1142">
      <c r="M1142" s="25" t="n"/>
      <c r="Q1142" s="25" t="n"/>
      <c r="U1142" s="194" t="n"/>
      <c r="AA1142" s="25" t="n"/>
      <c r="AB1142" s="25" t="n"/>
      <c r="AC1142" s="195" t="n"/>
      <c r="AD1142" s="25" t="n"/>
      <c r="AE1142" s="25" t="n"/>
      <c r="AG1142" s="25" t="n"/>
      <c r="AH1142" s="25" t="n"/>
      <c r="AI1142" s="394" t="n"/>
      <c r="AM1142" s="48" t="n"/>
      <c r="AN1142" s="48" t="n"/>
      <c r="AO1142" s="48" t="n"/>
    </row>
    <row r="1143">
      <c r="M1143" s="25" t="n"/>
      <c r="Q1143" s="25" t="n"/>
      <c r="U1143" s="194" t="n"/>
      <c r="AA1143" s="25" t="n"/>
      <c r="AB1143" s="25" t="n"/>
      <c r="AC1143" s="195" t="n"/>
      <c r="AD1143" s="25" t="n"/>
      <c r="AE1143" s="25" t="n"/>
      <c r="AG1143" s="25" t="n"/>
      <c r="AH1143" s="25" t="n"/>
      <c r="AI1143" s="394" t="n"/>
      <c r="AM1143" s="48" t="n"/>
      <c r="AN1143" s="48" t="n"/>
      <c r="AO1143" s="48" t="n"/>
    </row>
    <row r="1144">
      <c r="M1144" s="25" t="n"/>
      <c r="Q1144" s="25" t="n"/>
      <c r="U1144" s="194" t="n"/>
      <c r="AA1144" s="25" t="n"/>
      <c r="AB1144" s="25" t="n"/>
      <c r="AC1144" s="195" t="n"/>
      <c r="AD1144" s="25" t="n"/>
      <c r="AE1144" s="25" t="n"/>
      <c r="AG1144" s="25" t="n"/>
      <c r="AH1144" s="25" t="n"/>
      <c r="AI1144" s="394" t="n"/>
      <c r="AM1144" s="48" t="n"/>
      <c r="AN1144" s="48" t="n"/>
      <c r="AO1144" s="48" t="n"/>
    </row>
    <row r="1145">
      <c r="M1145" s="25" t="n"/>
      <c r="Q1145" s="25" t="n"/>
      <c r="U1145" s="194" t="n"/>
      <c r="AA1145" s="25" t="n"/>
      <c r="AB1145" s="25" t="n"/>
      <c r="AC1145" s="195" t="n"/>
      <c r="AD1145" s="25" t="n"/>
      <c r="AE1145" s="25" t="n"/>
      <c r="AG1145" s="25" t="n"/>
      <c r="AH1145" s="25" t="n"/>
      <c r="AI1145" s="394" t="n"/>
      <c r="AM1145" s="48" t="n"/>
      <c r="AN1145" s="48" t="n"/>
      <c r="AO1145" s="48" t="n"/>
    </row>
    <row r="1146">
      <c r="M1146" s="25" t="n"/>
      <c r="Q1146" s="25" t="n"/>
      <c r="U1146" s="194" t="n"/>
      <c r="AA1146" s="25" t="n"/>
      <c r="AB1146" s="25" t="n"/>
      <c r="AC1146" s="195" t="n"/>
      <c r="AD1146" s="25" t="n"/>
      <c r="AE1146" s="25" t="n"/>
      <c r="AG1146" s="25" t="n"/>
      <c r="AH1146" s="25" t="n"/>
      <c r="AI1146" s="394" t="n"/>
      <c r="AM1146" s="48" t="n"/>
      <c r="AN1146" s="48" t="n"/>
      <c r="AO1146" s="48" t="n"/>
    </row>
    <row r="1147">
      <c r="M1147" s="25" t="n"/>
      <c r="Q1147" s="25" t="n"/>
      <c r="U1147" s="194" t="n"/>
      <c r="AA1147" s="25" t="n"/>
      <c r="AB1147" s="25" t="n"/>
      <c r="AC1147" s="195" t="n"/>
      <c r="AD1147" s="25" t="n"/>
      <c r="AE1147" s="25" t="n"/>
      <c r="AG1147" s="25" t="n"/>
      <c r="AH1147" s="25" t="n"/>
      <c r="AI1147" s="394" t="n"/>
      <c r="AM1147" s="48" t="n"/>
      <c r="AN1147" s="48" t="n"/>
      <c r="AO1147" s="48" t="n"/>
    </row>
    <row r="1148">
      <c r="M1148" s="25" t="n"/>
      <c r="Q1148" s="25" t="n"/>
      <c r="U1148" s="194" t="n"/>
      <c r="AA1148" s="25" t="n"/>
      <c r="AB1148" s="25" t="n"/>
      <c r="AC1148" s="195" t="n"/>
      <c r="AD1148" s="25" t="n"/>
      <c r="AE1148" s="25" t="n"/>
      <c r="AG1148" s="25" t="n"/>
      <c r="AH1148" s="25" t="n"/>
      <c r="AI1148" s="394" t="n"/>
      <c r="AM1148" s="48" t="n"/>
      <c r="AN1148" s="48" t="n"/>
      <c r="AO1148" s="48" t="n"/>
    </row>
    <row r="1149">
      <c r="M1149" s="25" t="n"/>
      <c r="Q1149" s="25" t="n"/>
      <c r="U1149" s="194" t="n"/>
      <c r="AA1149" s="25" t="n"/>
      <c r="AB1149" s="25" t="n"/>
      <c r="AC1149" s="195" t="n"/>
      <c r="AD1149" s="25" t="n"/>
      <c r="AE1149" s="25" t="n"/>
      <c r="AG1149" s="25" t="n"/>
      <c r="AH1149" s="25" t="n"/>
      <c r="AI1149" s="394" t="n"/>
      <c r="AM1149" s="48" t="n"/>
      <c r="AN1149" s="48" t="n"/>
      <c r="AO1149" s="48" t="n"/>
    </row>
    <row r="1150">
      <c r="M1150" s="25" t="n"/>
      <c r="Q1150" s="25" t="n"/>
      <c r="U1150" s="194" t="n"/>
      <c r="AA1150" s="25" t="n"/>
      <c r="AB1150" s="25" t="n"/>
      <c r="AC1150" s="195" t="n"/>
      <c r="AD1150" s="25" t="n"/>
      <c r="AE1150" s="25" t="n"/>
      <c r="AG1150" s="25" t="n"/>
      <c r="AH1150" s="25" t="n"/>
      <c r="AI1150" s="394" t="n"/>
      <c r="AM1150" s="48" t="n"/>
      <c r="AN1150" s="48" t="n"/>
      <c r="AO1150" s="48" t="n"/>
    </row>
    <row r="1151">
      <c r="M1151" s="25" t="n"/>
      <c r="Q1151" s="25" t="n"/>
      <c r="U1151" s="194" t="n"/>
      <c r="AA1151" s="25" t="n"/>
      <c r="AB1151" s="25" t="n"/>
      <c r="AC1151" s="195" t="n"/>
      <c r="AD1151" s="25" t="n"/>
      <c r="AE1151" s="25" t="n"/>
      <c r="AG1151" s="25" t="n"/>
      <c r="AH1151" s="25" t="n"/>
      <c r="AI1151" s="394" t="n"/>
      <c r="AM1151" s="48" t="n"/>
      <c r="AN1151" s="48" t="n"/>
      <c r="AO1151" s="48" t="n"/>
    </row>
    <row r="1152">
      <c r="M1152" s="25" t="n"/>
      <c r="Q1152" s="25" t="n"/>
      <c r="U1152" s="194" t="n"/>
      <c r="AA1152" s="25" t="n"/>
      <c r="AB1152" s="25" t="n"/>
      <c r="AC1152" s="195" t="n"/>
      <c r="AD1152" s="25" t="n"/>
      <c r="AE1152" s="25" t="n"/>
      <c r="AG1152" s="25" t="n"/>
      <c r="AH1152" s="25" t="n"/>
      <c r="AI1152" s="394" t="n"/>
      <c r="AM1152" s="48" t="n"/>
      <c r="AN1152" s="48" t="n"/>
      <c r="AO1152" s="48" t="n"/>
    </row>
    <row r="1153">
      <c r="M1153" s="25" t="n"/>
      <c r="Q1153" s="25" t="n"/>
      <c r="U1153" s="194" t="n"/>
      <c r="AA1153" s="25" t="n"/>
      <c r="AB1153" s="25" t="n"/>
      <c r="AC1153" s="195" t="n"/>
      <c r="AD1153" s="25" t="n"/>
      <c r="AE1153" s="25" t="n"/>
      <c r="AG1153" s="25" t="n"/>
      <c r="AH1153" s="25" t="n"/>
      <c r="AI1153" s="394" t="n"/>
      <c r="AM1153" s="48" t="n"/>
      <c r="AN1153" s="48" t="n"/>
      <c r="AO1153" s="48" t="n"/>
    </row>
    <row r="1154">
      <c r="M1154" s="25" t="n"/>
      <c r="Q1154" s="25" t="n"/>
      <c r="U1154" s="194" t="n"/>
      <c r="AA1154" s="25" t="n"/>
      <c r="AB1154" s="25" t="n"/>
      <c r="AC1154" s="195" t="n"/>
      <c r="AD1154" s="25" t="n"/>
      <c r="AE1154" s="25" t="n"/>
      <c r="AG1154" s="25" t="n"/>
      <c r="AH1154" s="25" t="n"/>
      <c r="AI1154" s="394" t="n"/>
      <c r="AM1154" s="48" t="n"/>
      <c r="AN1154" s="48" t="n"/>
      <c r="AO1154" s="48" t="n"/>
    </row>
    <row r="1155">
      <c r="M1155" s="25" t="n"/>
      <c r="Q1155" s="25" t="n"/>
      <c r="U1155" s="194" t="n"/>
      <c r="AA1155" s="25" t="n"/>
      <c r="AB1155" s="25" t="n"/>
      <c r="AC1155" s="195" t="n"/>
      <c r="AD1155" s="25" t="n"/>
      <c r="AE1155" s="25" t="n"/>
      <c r="AG1155" s="25" t="n"/>
      <c r="AH1155" s="25" t="n"/>
      <c r="AI1155" s="394" t="n"/>
      <c r="AM1155" s="48" t="n"/>
      <c r="AN1155" s="48" t="n"/>
      <c r="AO1155" s="48" t="n"/>
    </row>
    <row r="1156">
      <c r="M1156" s="25" t="n"/>
      <c r="Q1156" s="25" t="n"/>
      <c r="U1156" s="194" t="n"/>
      <c r="AA1156" s="25" t="n"/>
      <c r="AB1156" s="25" t="n"/>
      <c r="AC1156" s="195" t="n"/>
      <c r="AD1156" s="25" t="n"/>
      <c r="AE1156" s="25" t="n"/>
      <c r="AG1156" s="25" t="n"/>
      <c r="AH1156" s="25" t="n"/>
      <c r="AI1156" s="394" t="n"/>
      <c r="AM1156" s="48" t="n"/>
      <c r="AN1156" s="48" t="n"/>
      <c r="AO1156" s="48" t="n"/>
    </row>
    <row r="1157">
      <c r="M1157" s="25" t="n"/>
      <c r="Q1157" s="25" t="n"/>
      <c r="U1157" s="194" t="n"/>
      <c r="AA1157" s="25" t="n"/>
      <c r="AB1157" s="25" t="n"/>
      <c r="AC1157" s="195" t="n"/>
      <c r="AD1157" s="25" t="n"/>
      <c r="AE1157" s="25" t="n"/>
      <c r="AG1157" s="25" t="n"/>
      <c r="AH1157" s="25" t="n"/>
      <c r="AI1157" s="394" t="n"/>
      <c r="AM1157" s="48" t="n"/>
      <c r="AN1157" s="48" t="n"/>
      <c r="AO1157" s="48" t="n"/>
    </row>
    <row r="1158">
      <c r="M1158" s="25" t="n"/>
      <c r="Q1158" s="25" t="n"/>
      <c r="U1158" s="194" t="n"/>
      <c r="AA1158" s="25" t="n"/>
      <c r="AB1158" s="25" t="n"/>
      <c r="AC1158" s="195" t="n"/>
      <c r="AD1158" s="25" t="n"/>
      <c r="AE1158" s="25" t="n"/>
      <c r="AG1158" s="25" t="n"/>
      <c r="AH1158" s="25" t="n"/>
      <c r="AI1158" s="394" t="n"/>
      <c r="AM1158" s="48" t="n"/>
      <c r="AN1158" s="48" t="n"/>
      <c r="AO1158" s="48" t="n"/>
    </row>
    <row r="1159">
      <c r="M1159" s="25" t="n"/>
      <c r="Q1159" s="25" t="n"/>
      <c r="U1159" s="194" t="n"/>
      <c r="AA1159" s="25" t="n"/>
      <c r="AB1159" s="25" t="n"/>
      <c r="AC1159" s="195" t="n"/>
      <c r="AD1159" s="25" t="n"/>
      <c r="AE1159" s="25" t="n"/>
      <c r="AG1159" s="25" t="n"/>
      <c r="AH1159" s="25" t="n"/>
      <c r="AI1159" s="394" t="n"/>
      <c r="AM1159" s="48" t="n"/>
      <c r="AN1159" s="48" t="n"/>
      <c r="AO1159" s="48" t="n"/>
    </row>
    <row r="1160">
      <c r="M1160" s="25" t="n"/>
      <c r="Q1160" s="25" t="n"/>
      <c r="U1160" s="194" t="n"/>
      <c r="AA1160" s="25" t="n"/>
      <c r="AB1160" s="25" t="n"/>
      <c r="AC1160" s="195" t="n"/>
      <c r="AD1160" s="25" t="n"/>
      <c r="AE1160" s="25" t="n"/>
      <c r="AG1160" s="25" t="n"/>
      <c r="AH1160" s="25" t="n"/>
      <c r="AI1160" s="394" t="n"/>
      <c r="AM1160" s="48" t="n"/>
      <c r="AN1160" s="48" t="n"/>
      <c r="AO1160" s="48" t="n"/>
    </row>
    <row r="1161">
      <c r="M1161" s="25" t="n"/>
      <c r="Q1161" s="25" t="n"/>
      <c r="U1161" s="194" t="n"/>
      <c r="AA1161" s="25" t="n"/>
      <c r="AB1161" s="25" t="n"/>
      <c r="AC1161" s="195" t="n"/>
      <c r="AD1161" s="25" t="n"/>
      <c r="AE1161" s="25" t="n"/>
      <c r="AG1161" s="25" t="n"/>
      <c r="AH1161" s="25" t="n"/>
      <c r="AI1161" s="394" t="n"/>
      <c r="AM1161" s="48" t="n"/>
      <c r="AN1161" s="48" t="n"/>
      <c r="AO1161" s="48" t="n"/>
    </row>
    <row r="1162">
      <c r="M1162" s="25" t="n"/>
      <c r="Q1162" s="25" t="n"/>
      <c r="U1162" s="194" t="n"/>
      <c r="AA1162" s="25" t="n"/>
      <c r="AB1162" s="25" t="n"/>
      <c r="AC1162" s="195" t="n"/>
      <c r="AD1162" s="25" t="n"/>
      <c r="AE1162" s="25" t="n"/>
      <c r="AG1162" s="25" t="n"/>
      <c r="AH1162" s="25" t="n"/>
      <c r="AI1162" s="394" t="n"/>
      <c r="AM1162" s="48" t="n"/>
      <c r="AN1162" s="48" t="n"/>
      <c r="AO1162" s="48" t="n"/>
    </row>
    <row r="1163">
      <c r="M1163" s="25" t="n"/>
      <c r="Q1163" s="25" t="n"/>
      <c r="U1163" s="194" t="n"/>
      <c r="AA1163" s="25" t="n"/>
      <c r="AB1163" s="25" t="n"/>
      <c r="AC1163" s="195" t="n"/>
      <c r="AD1163" s="25" t="n"/>
      <c r="AE1163" s="25" t="n"/>
      <c r="AG1163" s="25" t="n"/>
      <c r="AH1163" s="25" t="n"/>
      <c r="AI1163" s="394" t="n"/>
      <c r="AM1163" s="48" t="n"/>
      <c r="AN1163" s="48" t="n"/>
      <c r="AO1163" s="48" t="n"/>
    </row>
    <row r="1164">
      <c r="M1164" s="25" t="n"/>
      <c r="Q1164" s="25" t="n"/>
      <c r="U1164" s="194" t="n"/>
      <c r="AA1164" s="25" t="n"/>
      <c r="AB1164" s="25" t="n"/>
      <c r="AC1164" s="195" t="n"/>
      <c r="AD1164" s="25" t="n"/>
      <c r="AE1164" s="25" t="n"/>
      <c r="AG1164" s="25" t="n"/>
      <c r="AH1164" s="25" t="n"/>
      <c r="AI1164" s="394" t="n"/>
      <c r="AM1164" s="48" t="n"/>
      <c r="AN1164" s="48" t="n"/>
      <c r="AO1164" s="48" t="n"/>
    </row>
    <row r="1165">
      <c r="M1165" s="25" t="n"/>
      <c r="Q1165" s="25" t="n"/>
      <c r="U1165" s="194" t="n"/>
      <c r="AA1165" s="25" t="n"/>
      <c r="AB1165" s="25" t="n"/>
      <c r="AC1165" s="195" t="n"/>
      <c r="AD1165" s="25" t="n"/>
      <c r="AE1165" s="25" t="n"/>
      <c r="AG1165" s="25" t="n"/>
      <c r="AH1165" s="25" t="n"/>
      <c r="AI1165" s="394" t="n"/>
      <c r="AM1165" s="48" t="n"/>
      <c r="AN1165" s="48" t="n"/>
      <c r="AO1165" s="48" t="n"/>
    </row>
    <row r="1166">
      <c r="M1166" s="25" t="n"/>
      <c r="Q1166" s="25" t="n"/>
      <c r="U1166" s="194" t="n"/>
      <c r="AA1166" s="25" t="n"/>
      <c r="AB1166" s="25" t="n"/>
      <c r="AC1166" s="195" t="n"/>
      <c r="AD1166" s="25" t="n"/>
      <c r="AE1166" s="25" t="n"/>
      <c r="AG1166" s="25" t="n"/>
      <c r="AH1166" s="25" t="n"/>
      <c r="AI1166" s="394" t="n"/>
      <c r="AM1166" s="48" t="n"/>
      <c r="AN1166" s="48" t="n"/>
      <c r="AO1166" s="48" t="n"/>
    </row>
    <row r="1167">
      <c r="M1167" s="25" t="n"/>
      <c r="Q1167" s="25" t="n"/>
      <c r="U1167" s="194" t="n"/>
      <c r="AA1167" s="25" t="n"/>
      <c r="AB1167" s="25" t="n"/>
      <c r="AC1167" s="195" t="n"/>
      <c r="AD1167" s="25" t="n"/>
      <c r="AE1167" s="25" t="n"/>
      <c r="AG1167" s="25" t="n"/>
      <c r="AH1167" s="25" t="n"/>
      <c r="AI1167" s="394" t="n"/>
      <c r="AM1167" s="48" t="n"/>
      <c r="AN1167" s="48" t="n"/>
      <c r="AO1167" s="48" t="n"/>
    </row>
    <row r="1168">
      <c r="M1168" s="25" t="n"/>
      <c r="Q1168" s="25" t="n"/>
      <c r="U1168" s="194" t="n"/>
      <c r="AA1168" s="25" t="n"/>
      <c r="AB1168" s="25" t="n"/>
      <c r="AC1168" s="195" t="n"/>
      <c r="AD1168" s="25" t="n"/>
      <c r="AE1168" s="25" t="n"/>
      <c r="AG1168" s="25" t="n"/>
      <c r="AH1168" s="25" t="n"/>
      <c r="AI1168" s="394" t="n"/>
      <c r="AM1168" s="48" t="n"/>
      <c r="AN1168" s="48" t="n"/>
      <c r="AO1168" s="48" t="n"/>
    </row>
    <row r="1169">
      <c r="M1169" s="25" t="n"/>
      <c r="Q1169" s="25" t="n"/>
      <c r="U1169" s="194" t="n"/>
      <c r="AA1169" s="25" t="n"/>
      <c r="AB1169" s="25" t="n"/>
      <c r="AC1169" s="195" t="n"/>
      <c r="AD1169" s="25" t="n"/>
      <c r="AE1169" s="25" t="n"/>
      <c r="AG1169" s="25" t="n"/>
      <c r="AH1169" s="25" t="n"/>
      <c r="AI1169" s="394" t="n"/>
      <c r="AM1169" s="48" t="n"/>
      <c r="AN1169" s="48" t="n"/>
      <c r="AO1169" s="48" t="n"/>
    </row>
    <row r="1170">
      <c r="M1170" s="25" t="n"/>
      <c r="Q1170" s="25" t="n"/>
      <c r="U1170" s="194" t="n"/>
      <c r="AA1170" s="25" t="n"/>
      <c r="AB1170" s="25" t="n"/>
      <c r="AC1170" s="195" t="n"/>
      <c r="AD1170" s="25" t="n"/>
      <c r="AE1170" s="25" t="n"/>
      <c r="AG1170" s="25" t="n"/>
      <c r="AH1170" s="25" t="n"/>
      <c r="AI1170" s="394" t="n"/>
      <c r="AM1170" s="48" t="n"/>
      <c r="AN1170" s="48" t="n"/>
      <c r="AO1170" s="48" t="n"/>
    </row>
    <row r="1171">
      <c r="M1171" s="25" t="n"/>
      <c r="Q1171" s="25" t="n"/>
      <c r="U1171" s="194" t="n"/>
      <c r="AA1171" s="25" t="n"/>
      <c r="AB1171" s="25" t="n"/>
      <c r="AC1171" s="195" t="n"/>
      <c r="AD1171" s="25" t="n"/>
      <c r="AE1171" s="25" t="n"/>
      <c r="AG1171" s="25" t="n"/>
      <c r="AH1171" s="25" t="n"/>
      <c r="AI1171" s="394" t="n"/>
      <c r="AM1171" s="48" t="n"/>
      <c r="AN1171" s="48" t="n"/>
      <c r="AO1171" s="48" t="n"/>
    </row>
    <row r="1172">
      <c r="M1172" s="25" t="n"/>
      <c r="Q1172" s="25" t="n"/>
      <c r="U1172" s="194" t="n"/>
      <c r="AA1172" s="25" t="n"/>
      <c r="AB1172" s="25" t="n"/>
      <c r="AC1172" s="195" t="n"/>
      <c r="AD1172" s="25" t="n"/>
      <c r="AE1172" s="25" t="n"/>
      <c r="AG1172" s="25" t="n"/>
      <c r="AH1172" s="25" t="n"/>
      <c r="AI1172" s="394" t="n"/>
      <c r="AM1172" s="48" t="n"/>
      <c r="AN1172" s="48" t="n"/>
      <c r="AO1172" s="48" t="n"/>
    </row>
    <row r="1173">
      <c r="M1173" s="25" t="n"/>
      <c r="Q1173" s="25" t="n"/>
      <c r="U1173" s="194" t="n"/>
      <c r="AA1173" s="25" t="n"/>
      <c r="AB1173" s="25" t="n"/>
      <c r="AC1173" s="195" t="n"/>
      <c r="AD1173" s="25" t="n"/>
      <c r="AE1173" s="25" t="n"/>
      <c r="AG1173" s="25" t="n"/>
      <c r="AH1173" s="25" t="n"/>
      <c r="AI1173" s="394" t="n"/>
      <c r="AM1173" s="48" t="n"/>
      <c r="AN1173" s="48" t="n"/>
      <c r="AO1173" s="48" t="n"/>
    </row>
    <row r="1174">
      <c r="M1174" s="25" t="n"/>
      <c r="Q1174" s="25" t="n"/>
      <c r="U1174" s="194" t="n"/>
      <c r="AA1174" s="25" t="n"/>
      <c r="AB1174" s="25" t="n"/>
      <c r="AC1174" s="195" t="n"/>
      <c r="AD1174" s="25" t="n"/>
      <c r="AE1174" s="25" t="n"/>
      <c r="AG1174" s="25" t="n"/>
      <c r="AH1174" s="25" t="n"/>
      <c r="AI1174" s="394" t="n"/>
      <c r="AM1174" s="48" t="n"/>
      <c r="AN1174" s="48" t="n"/>
      <c r="AO1174" s="48" t="n"/>
    </row>
    <row r="1175">
      <c r="M1175" s="25" t="n"/>
      <c r="Q1175" s="25" t="n"/>
      <c r="U1175" s="194" t="n"/>
      <c r="AA1175" s="25" t="n"/>
      <c r="AB1175" s="25" t="n"/>
      <c r="AC1175" s="195" t="n"/>
      <c r="AD1175" s="25" t="n"/>
      <c r="AE1175" s="25" t="n"/>
      <c r="AG1175" s="25" t="n"/>
      <c r="AH1175" s="25" t="n"/>
      <c r="AI1175" s="394" t="n"/>
      <c r="AM1175" s="48" t="n"/>
      <c r="AN1175" s="48" t="n"/>
      <c r="AO1175" s="48" t="n"/>
    </row>
    <row r="1176">
      <c r="M1176" s="25" t="n"/>
      <c r="Q1176" s="25" t="n"/>
      <c r="U1176" s="194" t="n"/>
      <c r="AA1176" s="25" t="n"/>
      <c r="AB1176" s="25" t="n"/>
      <c r="AC1176" s="195" t="n"/>
      <c r="AD1176" s="25" t="n"/>
      <c r="AE1176" s="25" t="n"/>
      <c r="AG1176" s="25" t="n"/>
      <c r="AH1176" s="25" t="n"/>
      <c r="AI1176" s="394" t="n"/>
      <c r="AM1176" s="48" t="n"/>
      <c r="AN1176" s="48" t="n"/>
      <c r="AO1176" s="48" t="n"/>
    </row>
    <row r="1177">
      <c r="M1177" s="25" t="n"/>
      <c r="Q1177" s="25" t="n"/>
      <c r="U1177" s="194" t="n"/>
      <c r="AA1177" s="25" t="n"/>
      <c r="AB1177" s="25" t="n"/>
      <c r="AC1177" s="195" t="n"/>
      <c r="AD1177" s="25" t="n"/>
      <c r="AE1177" s="25" t="n"/>
      <c r="AG1177" s="25" t="n"/>
      <c r="AH1177" s="25" t="n"/>
      <c r="AI1177" s="394" t="n"/>
      <c r="AM1177" s="48" t="n"/>
      <c r="AN1177" s="48" t="n"/>
      <c r="AO1177" s="48" t="n"/>
    </row>
    <row r="1178">
      <c r="M1178" s="25" t="n"/>
      <c r="Q1178" s="25" t="n"/>
      <c r="U1178" s="194" t="n"/>
      <c r="AA1178" s="25" t="n"/>
      <c r="AB1178" s="25" t="n"/>
      <c r="AC1178" s="195" t="n"/>
      <c r="AD1178" s="25" t="n"/>
      <c r="AE1178" s="25" t="n"/>
      <c r="AG1178" s="25" t="n"/>
      <c r="AH1178" s="25" t="n"/>
      <c r="AI1178" s="394" t="n"/>
      <c r="AM1178" s="48" t="n"/>
      <c r="AN1178" s="48" t="n"/>
      <c r="AO1178" s="48" t="n"/>
    </row>
    <row r="1179">
      <c r="M1179" s="25" t="n"/>
      <c r="Q1179" s="25" t="n"/>
      <c r="U1179" s="194" t="n"/>
      <c r="AA1179" s="25" t="n"/>
      <c r="AB1179" s="25" t="n"/>
      <c r="AC1179" s="195" t="n"/>
      <c r="AD1179" s="25" t="n"/>
      <c r="AE1179" s="25" t="n"/>
      <c r="AG1179" s="25" t="n"/>
      <c r="AH1179" s="25" t="n"/>
      <c r="AI1179" s="394" t="n"/>
      <c r="AM1179" s="48" t="n"/>
      <c r="AN1179" s="48" t="n"/>
      <c r="AO1179" s="48" t="n"/>
    </row>
    <row r="1180">
      <c r="M1180" s="25" t="n"/>
      <c r="Q1180" s="25" t="n"/>
      <c r="U1180" s="194" t="n"/>
      <c r="AA1180" s="25" t="n"/>
      <c r="AB1180" s="25" t="n"/>
      <c r="AC1180" s="195" t="n"/>
      <c r="AD1180" s="25" t="n"/>
      <c r="AE1180" s="25" t="n"/>
      <c r="AG1180" s="25" t="n"/>
      <c r="AH1180" s="25" t="n"/>
      <c r="AI1180" s="394" t="n"/>
      <c r="AM1180" s="48" t="n"/>
      <c r="AN1180" s="48" t="n"/>
      <c r="AO1180" s="48" t="n"/>
    </row>
    <row r="1181">
      <c r="M1181" s="25" t="n"/>
      <c r="Q1181" s="25" t="n"/>
      <c r="U1181" s="194" t="n"/>
      <c r="AA1181" s="25" t="n"/>
      <c r="AB1181" s="25" t="n"/>
      <c r="AC1181" s="195" t="n"/>
      <c r="AD1181" s="25" t="n"/>
      <c r="AE1181" s="25" t="n"/>
      <c r="AG1181" s="25" t="n"/>
      <c r="AH1181" s="25" t="n"/>
      <c r="AI1181" s="394" t="n"/>
      <c r="AM1181" s="48" t="n"/>
      <c r="AN1181" s="48" t="n"/>
      <c r="AO1181" s="48" t="n"/>
    </row>
    <row r="1182">
      <c r="M1182" s="25" t="n"/>
      <c r="Q1182" s="25" t="n"/>
      <c r="U1182" s="194" t="n"/>
      <c r="AA1182" s="25" t="n"/>
      <c r="AB1182" s="25" t="n"/>
      <c r="AC1182" s="195" t="n"/>
      <c r="AD1182" s="25" t="n"/>
      <c r="AE1182" s="25" t="n"/>
      <c r="AG1182" s="25" t="n"/>
      <c r="AH1182" s="25" t="n"/>
      <c r="AI1182" s="394" t="n"/>
      <c r="AM1182" s="48" t="n"/>
      <c r="AN1182" s="48" t="n"/>
      <c r="AO1182" s="48" t="n"/>
    </row>
    <row r="1183">
      <c r="M1183" s="25" t="n"/>
      <c r="Q1183" s="25" t="n"/>
      <c r="U1183" s="194" t="n"/>
      <c r="AA1183" s="25" t="n"/>
      <c r="AB1183" s="25" t="n"/>
      <c r="AC1183" s="195" t="n"/>
      <c r="AD1183" s="25" t="n"/>
      <c r="AE1183" s="25" t="n"/>
      <c r="AG1183" s="25" t="n"/>
      <c r="AH1183" s="25" t="n"/>
      <c r="AI1183" s="394" t="n"/>
      <c r="AM1183" s="48" t="n"/>
      <c r="AN1183" s="48" t="n"/>
      <c r="AO1183" s="48" t="n"/>
    </row>
    <row r="1184">
      <c r="M1184" s="25" t="n"/>
      <c r="Q1184" s="25" t="n"/>
      <c r="U1184" s="194" t="n"/>
      <c r="AA1184" s="25" t="n"/>
      <c r="AB1184" s="25" t="n"/>
      <c r="AC1184" s="195" t="n"/>
      <c r="AD1184" s="25" t="n"/>
      <c r="AE1184" s="25" t="n"/>
      <c r="AG1184" s="25" t="n"/>
      <c r="AH1184" s="25" t="n"/>
      <c r="AI1184" s="394" t="n"/>
      <c r="AM1184" s="48" t="n"/>
      <c r="AN1184" s="48" t="n"/>
      <c r="AO1184" s="48" t="n"/>
    </row>
    <row r="1185">
      <c r="M1185" s="25" t="n"/>
      <c r="Q1185" s="25" t="n"/>
      <c r="U1185" s="194" t="n"/>
      <c r="AA1185" s="25" t="n"/>
      <c r="AB1185" s="25" t="n"/>
      <c r="AC1185" s="195" t="n"/>
      <c r="AD1185" s="25" t="n"/>
      <c r="AE1185" s="25" t="n"/>
      <c r="AG1185" s="25" t="n"/>
      <c r="AH1185" s="25" t="n"/>
      <c r="AI1185" s="394" t="n"/>
      <c r="AM1185" s="48" t="n"/>
      <c r="AN1185" s="48" t="n"/>
      <c r="AO1185" s="48" t="n"/>
    </row>
    <row r="1186">
      <c r="M1186" s="25" t="n"/>
      <c r="Q1186" s="25" t="n"/>
      <c r="U1186" s="194" t="n"/>
      <c r="AA1186" s="25" t="n"/>
      <c r="AB1186" s="25" t="n"/>
      <c r="AC1186" s="195" t="n"/>
      <c r="AD1186" s="25" t="n"/>
      <c r="AE1186" s="25" t="n"/>
      <c r="AG1186" s="25" t="n"/>
      <c r="AH1186" s="25" t="n"/>
      <c r="AI1186" s="394" t="n"/>
      <c r="AM1186" s="48" t="n"/>
      <c r="AN1186" s="48" t="n"/>
      <c r="AO1186" s="48" t="n"/>
    </row>
    <row r="1187">
      <c r="M1187" s="25" t="n"/>
      <c r="Q1187" s="25" t="n"/>
      <c r="U1187" s="194" t="n"/>
      <c r="AA1187" s="25" t="n"/>
      <c r="AB1187" s="25" t="n"/>
      <c r="AC1187" s="195" t="n"/>
      <c r="AD1187" s="25" t="n"/>
      <c r="AE1187" s="25" t="n"/>
      <c r="AG1187" s="25" t="n"/>
      <c r="AH1187" s="25" t="n"/>
      <c r="AI1187" s="394" t="n"/>
      <c r="AM1187" s="48" t="n"/>
      <c r="AN1187" s="48" t="n"/>
      <c r="AO1187" s="48" t="n"/>
    </row>
    <row r="1188">
      <c r="M1188" s="25" t="n"/>
      <c r="Q1188" s="25" t="n"/>
      <c r="U1188" s="194" t="n"/>
      <c r="AA1188" s="25" t="n"/>
      <c r="AB1188" s="25" t="n"/>
      <c r="AC1188" s="195" t="n"/>
      <c r="AD1188" s="25" t="n"/>
      <c r="AE1188" s="25" t="n"/>
      <c r="AG1188" s="25" t="n"/>
      <c r="AH1188" s="25" t="n"/>
      <c r="AI1188" s="394" t="n"/>
      <c r="AM1188" s="48" t="n"/>
      <c r="AN1188" s="48" t="n"/>
      <c r="AO1188" s="48" t="n"/>
    </row>
    <row r="1189">
      <c r="M1189" s="25" t="n"/>
      <c r="Q1189" s="25" t="n"/>
      <c r="U1189" s="194" t="n"/>
      <c r="AA1189" s="25" t="n"/>
      <c r="AB1189" s="25" t="n"/>
      <c r="AC1189" s="195" t="n"/>
      <c r="AD1189" s="25" t="n"/>
      <c r="AE1189" s="25" t="n"/>
      <c r="AG1189" s="25" t="n"/>
      <c r="AH1189" s="25" t="n"/>
      <c r="AI1189" s="394" t="n"/>
      <c r="AM1189" s="48" t="n"/>
      <c r="AN1189" s="48" t="n"/>
      <c r="AO1189" s="48" t="n"/>
    </row>
    <row r="1190">
      <c r="M1190" s="25" t="n"/>
      <c r="Q1190" s="25" t="n"/>
      <c r="U1190" s="194" t="n"/>
      <c r="AA1190" s="25" t="n"/>
      <c r="AB1190" s="25" t="n"/>
      <c r="AC1190" s="195" t="n"/>
      <c r="AD1190" s="25" t="n"/>
      <c r="AE1190" s="25" t="n"/>
      <c r="AG1190" s="25" t="n"/>
      <c r="AH1190" s="25" t="n"/>
      <c r="AI1190" s="394" t="n"/>
      <c r="AM1190" s="48" t="n"/>
      <c r="AN1190" s="48" t="n"/>
      <c r="AO1190" s="48" t="n"/>
    </row>
    <row r="1191">
      <c r="M1191" s="25" t="n"/>
      <c r="Q1191" s="25" t="n"/>
      <c r="U1191" s="194" t="n"/>
      <c r="AA1191" s="25" t="n"/>
      <c r="AB1191" s="25" t="n"/>
      <c r="AC1191" s="195" t="n"/>
      <c r="AD1191" s="25" t="n"/>
      <c r="AE1191" s="25" t="n"/>
      <c r="AG1191" s="25" t="n"/>
      <c r="AH1191" s="25" t="n"/>
      <c r="AI1191" s="394" t="n"/>
      <c r="AM1191" s="48" t="n"/>
      <c r="AN1191" s="48" t="n"/>
      <c r="AO1191" s="48" t="n"/>
    </row>
    <row r="1192">
      <c r="M1192" s="25" t="n"/>
      <c r="Q1192" s="25" t="n"/>
      <c r="U1192" s="194" t="n"/>
      <c r="AA1192" s="25" t="n"/>
      <c r="AB1192" s="25" t="n"/>
      <c r="AC1192" s="195" t="n"/>
      <c r="AD1192" s="25" t="n"/>
      <c r="AE1192" s="25" t="n"/>
      <c r="AG1192" s="25" t="n"/>
      <c r="AH1192" s="25" t="n"/>
      <c r="AI1192" s="394" t="n"/>
      <c r="AM1192" s="48" t="n"/>
      <c r="AN1192" s="48" t="n"/>
      <c r="AO1192" s="48" t="n"/>
    </row>
    <row r="1193">
      <c r="M1193" s="25" t="n"/>
      <c r="Q1193" s="25" t="n"/>
      <c r="U1193" s="194" t="n"/>
      <c r="AA1193" s="25" t="n"/>
      <c r="AB1193" s="25" t="n"/>
      <c r="AC1193" s="195" t="n"/>
      <c r="AD1193" s="25" t="n"/>
      <c r="AE1193" s="25" t="n"/>
      <c r="AG1193" s="25" t="n"/>
      <c r="AH1193" s="25" t="n"/>
      <c r="AI1193" s="394" t="n"/>
      <c r="AM1193" s="48" t="n"/>
      <c r="AN1193" s="48" t="n"/>
      <c r="AO1193" s="48" t="n"/>
    </row>
    <row r="1194">
      <c r="M1194" s="25" t="n"/>
      <c r="Q1194" s="25" t="n"/>
      <c r="U1194" s="194" t="n"/>
      <c r="AA1194" s="25" t="n"/>
      <c r="AB1194" s="25" t="n"/>
      <c r="AC1194" s="195" t="n"/>
      <c r="AD1194" s="25" t="n"/>
      <c r="AE1194" s="25" t="n"/>
      <c r="AG1194" s="25" t="n"/>
      <c r="AH1194" s="25" t="n"/>
      <c r="AI1194" s="394" t="n"/>
      <c r="AM1194" s="48" t="n"/>
      <c r="AN1194" s="48" t="n"/>
      <c r="AO1194" s="48" t="n"/>
    </row>
    <row r="1195">
      <c r="M1195" s="25" t="n"/>
      <c r="Q1195" s="25" t="n"/>
      <c r="U1195" s="194" t="n"/>
      <c r="AA1195" s="25" t="n"/>
      <c r="AB1195" s="25" t="n"/>
      <c r="AC1195" s="195" t="n"/>
      <c r="AD1195" s="25" t="n"/>
      <c r="AE1195" s="25" t="n"/>
      <c r="AG1195" s="25" t="n"/>
      <c r="AH1195" s="25" t="n"/>
      <c r="AI1195" s="394" t="n"/>
      <c r="AM1195" s="48" t="n"/>
      <c r="AN1195" s="48" t="n"/>
      <c r="AO1195" s="48" t="n"/>
    </row>
    <row r="1196">
      <c r="M1196" s="25" t="n"/>
      <c r="Q1196" s="25" t="n"/>
      <c r="U1196" s="194" t="n"/>
      <c r="AA1196" s="25" t="n"/>
      <c r="AB1196" s="25" t="n"/>
      <c r="AC1196" s="195" t="n"/>
      <c r="AD1196" s="25" t="n"/>
      <c r="AE1196" s="25" t="n"/>
      <c r="AG1196" s="25" t="n"/>
      <c r="AH1196" s="25" t="n"/>
      <c r="AI1196" s="394" t="n"/>
      <c r="AM1196" s="48" t="n"/>
      <c r="AN1196" s="48" t="n"/>
      <c r="AO1196" s="48" t="n"/>
    </row>
    <row r="1197">
      <c r="M1197" s="25" t="n"/>
      <c r="Q1197" s="25" t="n"/>
      <c r="U1197" s="194" t="n"/>
      <c r="AA1197" s="25" t="n"/>
      <c r="AB1197" s="25" t="n"/>
      <c r="AC1197" s="195" t="n"/>
      <c r="AD1197" s="25" t="n"/>
      <c r="AE1197" s="25" t="n"/>
      <c r="AG1197" s="25" t="n"/>
      <c r="AH1197" s="25" t="n"/>
      <c r="AI1197" s="394" t="n"/>
      <c r="AM1197" s="48" t="n"/>
      <c r="AN1197" s="48" t="n"/>
      <c r="AO1197" s="48" t="n"/>
    </row>
    <row r="1198">
      <c r="M1198" s="25" t="n"/>
      <c r="Q1198" s="25" t="n"/>
      <c r="U1198" s="194" t="n"/>
      <c r="AA1198" s="25" t="n"/>
      <c r="AB1198" s="25" t="n"/>
      <c r="AC1198" s="195" t="n"/>
      <c r="AD1198" s="25" t="n"/>
      <c r="AE1198" s="25" t="n"/>
      <c r="AG1198" s="25" t="n"/>
      <c r="AH1198" s="25" t="n"/>
      <c r="AI1198" s="394" t="n"/>
      <c r="AM1198" s="48" t="n"/>
      <c r="AN1198" s="48" t="n"/>
      <c r="AO1198" s="48" t="n"/>
    </row>
    <row r="1199">
      <c r="M1199" s="25" t="n"/>
      <c r="Q1199" s="25" t="n"/>
      <c r="U1199" s="194" t="n"/>
      <c r="AA1199" s="25" t="n"/>
      <c r="AB1199" s="25" t="n"/>
      <c r="AC1199" s="195" t="n"/>
      <c r="AD1199" s="25" t="n"/>
      <c r="AE1199" s="25" t="n"/>
      <c r="AG1199" s="25" t="n"/>
      <c r="AH1199" s="25" t="n"/>
      <c r="AI1199" s="394" t="n"/>
      <c r="AM1199" s="48" t="n"/>
      <c r="AN1199" s="48" t="n"/>
      <c r="AO1199" s="48" t="n"/>
    </row>
    <row r="1200">
      <c r="M1200" s="25" t="n"/>
      <c r="Q1200" s="25" t="n"/>
      <c r="U1200" s="194" t="n"/>
      <c r="AA1200" s="25" t="n"/>
      <c r="AB1200" s="25" t="n"/>
      <c r="AC1200" s="195" t="n"/>
      <c r="AD1200" s="25" t="n"/>
      <c r="AE1200" s="25" t="n"/>
      <c r="AG1200" s="25" t="n"/>
      <c r="AH1200" s="25" t="n"/>
      <c r="AI1200" s="394" t="n"/>
      <c r="AM1200" s="48" t="n"/>
      <c r="AN1200" s="48" t="n"/>
      <c r="AO1200" s="48" t="n"/>
    </row>
    <row r="1201">
      <c r="M1201" s="25" t="n"/>
      <c r="Q1201" s="25" t="n"/>
      <c r="U1201" s="194" t="n"/>
      <c r="AA1201" s="25" t="n"/>
      <c r="AB1201" s="25" t="n"/>
      <c r="AC1201" s="195" t="n"/>
      <c r="AD1201" s="25" t="n"/>
      <c r="AE1201" s="25" t="n"/>
      <c r="AG1201" s="25" t="n"/>
      <c r="AH1201" s="25" t="n"/>
      <c r="AI1201" s="394" t="n"/>
      <c r="AM1201" s="48" t="n"/>
      <c r="AN1201" s="48" t="n"/>
      <c r="AO1201" s="48" t="n"/>
    </row>
    <row r="1202">
      <c r="M1202" s="25" t="n"/>
      <c r="Q1202" s="25" t="n"/>
      <c r="U1202" s="194" t="n"/>
      <c r="AA1202" s="25" t="n"/>
      <c r="AB1202" s="25" t="n"/>
      <c r="AC1202" s="195" t="n"/>
      <c r="AD1202" s="25" t="n"/>
      <c r="AE1202" s="25" t="n"/>
      <c r="AG1202" s="25" t="n"/>
      <c r="AH1202" s="25" t="n"/>
      <c r="AI1202" s="394" t="n"/>
      <c r="AM1202" s="48" t="n"/>
      <c r="AN1202" s="48" t="n"/>
      <c r="AO1202" s="48" t="n"/>
    </row>
    <row r="1203">
      <c r="M1203" s="25" t="n"/>
      <c r="Q1203" s="25" t="n"/>
      <c r="U1203" s="194" t="n"/>
      <c r="AA1203" s="25" t="n"/>
      <c r="AB1203" s="25" t="n"/>
      <c r="AC1203" s="195" t="n"/>
      <c r="AD1203" s="25" t="n"/>
      <c r="AE1203" s="25" t="n"/>
      <c r="AG1203" s="25" t="n"/>
      <c r="AH1203" s="25" t="n"/>
      <c r="AI1203" s="394" t="n"/>
      <c r="AM1203" s="48" t="n"/>
      <c r="AN1203" s="48" t="n"/>
      <c r="AO1203" s="48" t="n"/>
    </row>
    <row r="1204">
      <c r="M1204" s="25" t="n"/>
      <c r="Q1204" s="25" t="n"/>
      <c r="U1204" s="194" t="n"/>
      <c r="AA1204" s="25" t="n"/>
      <c r="AB1204" s="25" t="n"/>
      <c r="AC1204" s="195" t="n"/>
      <c r="AD1204" s="25" t="n"/>
      <c r="AE1204" s="25" t="n"/>
      <c r="AG1204" s="25" t="n"/>
      <c r="AH1204" s="25" t="n"/>
      <c r="AI1204" s="394" t="n"/>
      <c r="AM1204" s="48" t="n"/>
      <c r="AN1204" s="48" t="n"/>
      <c r="AO1204" s="48" t="n"/>
    </row>
    <row r="1205">
      <c r="M1205" s="25" t="n"/>
      <c r="Q1205" s="25" t="n"/>
      <c r="U1205" s="194" t="n"/>
      <c r="AA1205" s="25" t="n"/>
      <c r="AB1205" s="25" t="n"/>
      <c r="AC1205" s="195" t="n"/>
      <c r="AD1205" s="25" t="n"/>
      <c r="AE1205" s="25" t="n"/>
      <c r="AG1205" s="25" t="n"/>
      <c r="AH1205" s="25" t="n"/>
      <c r="AI1205" s="394" t="n"/>
      <c r="AM1205" s="48" t="n"/>
      <c r="AN1205" s="48" t="n"/>
      <c r="AO1205" s="48" t="n"/>
    </row>
    <row r="1206">
      <c r="M1206" s="25" t="n"/>
      <c r="Q1206" s="25" t="n"/>
      <c r="U1206" s="194" t="n"/>
      <c r="AA1206" s="25" t="n"/>
      <c r="AB1206" s="25" t="n"/>
      <c r="AC1206" s="195" t="n"/>
      <c r="AD1206" s="25" t="n"/>
      <c r="AE1206" s="25" t="n"/>
      <c r="AG1206" s="25" t="n"/>
      <c r="AH1206" s="25" t="n"/>
      <c r="AI1206" s="394" t="n"/>
      <c r="AM1206" s="48" t="n"/>
      <c r="AN1206" s="48" t="n"/>
      <c r="AO1206" s="48" t="n"/>
    </row>
    <row r="1207">
      <c r="M1207" s="25" t="n"/>
      <c r="Q1207" s="25" t="n"/>
      <c r="U1207" s="194" t="n"/>
      <c r="AA1207" s="25" t="n"/>
      <c r="AB1207" s="25" t="n"/>
      <c r="AC1207" s="195" t="n"/>
      <c r="AD1207" s="25" t="n"/>
      <c r="AE1207" s="25" t="n"/>
      <c r="AG1207" s="25" t="n"/>
      <c r="AH1207" s="25" t="n"/>
      <c r="AI1207" s="394" t="n"/>
      <c r="AM1207" s="48" t="n"/>
      <c r="AN1207" s="48" t="n"/>
      <c r="AO1207" s="48" t="n"/>
    </row>
    <row r="1208">
      <c r="M1208" s="25" t="n"/>
      <c r="Q1208" s="25" t="n"/>
      <c r="U1208" s="194" t="n"/>
      <c r="AA1208" s="25" t="n"/>
      <c r="AB1208" s="25" t="n"/>
      <c r="AC1208" s="195" t="n"/>
      <c r="AD1208" s="25" t="n"/>
      <c r="AE1208" s="25" t="n"/>
      <c r="AG1208" s="25" t="n"/>
      <c r="AH1208" s="25" t="n"/>
      <c r="AI1208" s="394" t="n"/>
      <c r="AM1208" s="48" t="n"/>
      <c r="AN1208" s="48" t="n"/>
      <c r="AO1208" s="48" t="n"/>
    </row>
    <row r="1209">
      <c r="M1209" s="25" t="n"/>
      <c r="Q1209" s="25" t="n"/>
      <c r="U1209" s="194" t="n"/>
      <c r="AA1209" s="25" t="n"/>
      <c r="AB1209" s="25" t="n"/>
      <c r="AC1209" s="195" t="n"/>
      <c r="AD1209" s="25" t="n"/>
      <c r="AE1209" s="25" t="n"/>
      <c r="AG1209" s="25" t="n"/>
      <c r="AH1209" s="25" t="n"/>
      <c r="AI1209" s="394" t="n"/>
      <c r="AM1209" s="48" t="n"/>
      <c r="AN1209" s="48" t="n"/>
      <c r="AO1209" s="48" t="n"/>
    </row>
    <row r="1210">
      <c r="M1210" s="25" t="n"/>
      <c r="Q1210" s="25" t="n"/>
      <c r="U1210" s="194" t="n"/>
      <c r="AA1210" s="25" t="n"/>
      <c r="AB1210" s="25" t="n"/>
      <c r="AC1210" s="195" t="n"/>
      <c r="AD1210" s="25" t="n"/>
      <c r="AE1210" s="25" t="n"/>
      <c r="AG1210" s="25" t="n"/>
      <c r="AH1210" s="25" t="n"/>
      <c r="AI1210" s="394" t="n"/>
      <c r="AM1210" s="48" t="n"/>
      <c r="AN1210" s="48" t="n"/>
      <c r="AO1210" s="48" t="n"/>
    </row>
    <row r="1211">
      <c r="M1211" s="25" t="n"/>
      <c r="Q1211" s="25" t="n"/>
      <c r="U1211" s="194" t="n"/>
      <c r="AA1211" s="25" t="n"/>
      <c r="AB1211" s="25" t="n"/>
      <c r="AC1211" s="195" t="n"/>
      <c r="AD1211" s="25" t="n"/>
      <c r="AE1211" s="25" t="n"/>
      <c r="AG1211" s="25" t="n"/>
      <c r="AH1211" s="25" t="n"/>
      <c r="AI1211" s="394" t="n"/>
      <c r="AM1211" s="48" t="n"/>
      <c r="AN1211" s="48" t="n"/>
      <c r="AO1211" s="48" t="n"/>
    </row>
    <row r="1212">
      <c r="M1212" s="25" t="n"/>
      <c r="Q1212" s="25" t="n"/>
      <c r="U1212" s="194" t="n"/>
      <c r="AA1212" s="25" t="n"/>
      <c r="AB1212" s="25" t="n"/>
      <c r="AC1212" s="195" t="n"/>
      <c r="AD1212" s="25" t="n"/>
      <c r="AE1212" s="25" t="n"/>
      <c r="AG1212" s="25" t="n"/>
      <c r="AH1212" s="25" t="n"/>
      <c r="AI1212" s="394" t="n"/>
      <c r="AM1212" s="48" t="n"/>
      <c r="AN1212" s="48" t="n"/>
      <c r="AO1212" s="48" t="n"/>
    </row>
    <row r="1213">
      <c r="M1213" s="25" t="n"/>
      <c r="Q1213" s="25" t="n"/>
      <c r="U1213" s="194" t="n"/>
      <c r="AA1213" s="25" t="n"/>
      <c r="AB1213" s="25" t="n"/>
      <c r="AC1213" s="195" t="n"/>
      <c r="AD1213" s="25" t="n"/>
      <c r="AE1213" s="25" t="n"/>
      <c r="AG1213" s="25" t="n"/>
      <c r="AH1213" s="25" t="n"/>
      <c r="AI1213" s="394" t="n"/>
      <c r="AM1213" s="48" t="n"/>
      <c r="AN1213" s="48" t="n"/>
      <c r="AO1213" s="48" t="n"/>
    </row>
    <row r="1214">
      <c r="M1214" s="25" t="n"/>
      <c r="Q1214" s="25" t="n"/>
      <c r="U1214" s="194" t="n"/>
      <c r="AA1214" s="25" t="n"/>
      <c r="AB1214" s="25" t="n"/>
      <c r="AC1214" s="195" t="n"/>
      <c r="AD1214" s="25" t="n"/>
      <c r="AE1214" s="25" t="n"/>
      <c r="AG1214" s="25" t="n"/>
      <c r="AH1214" s="25" t="n"/>
      <c r="AI1214" s="394" t="n"/>
      <c r="AM1214" s="48" t="n"/>
      <c r="AN1214" s="48" t="n"/>
      <c r="AO1214" s="48" t="n"/>
    </row>
    <row r="1215">
      <c r="M1215" s="25" t="n"/>
      <c r="Q1215" s="25" t="n"/>
      <c r="U1215" s="194" t="n"/>
      <c r="AA1215" s="25" t="n"/>
      <c r="AB1215" s="25" t="n"/>
      <c r="AC1215" s="195" t="n"/>
      <c r="AD1215" s="25" t="n"/>
      <c r="AE1215" s="25" t="n"/>
      <c r="AG1215" s="25" t="n"/>
      <c r="AH1215" s="25" t="n"/>
      <c r="AI1215" s="394" t="n"/>
      <c r="AM1215" s="48" t="n"/>
      <c r="AN1215" s="48" t="n"/>
      <c r="AO1215" s="48" t="n"/>
    </row>
    <row r="1216">
      <c r="M1216" s="25" t="n"/>
      <c r="Q1216" s="25" t="n"/>
      <c r="U1216" s="194" t="n"/>
      <c r="AA1216" s="25" t="n"/>
      <c r="AB1216" s="25" t="n"/>
      <c r="AC1216" s="195" t="n"/>
      <c r="AD1216" s="25" t="n"/>
      <c r="AE1216" s="25" t="n"/>
      <c r="AG1216" s="25" t="n"/>
      <c r="AH1216" s="25" t="n"/>
      <c r="AI1216" s="394" t="n"/>
      <c r="AM1216" s="48" t="n"/>
      <c r="AN1216" s="48" t="n"/>
      <c r="AO1216" s="48" t="n"/>
    </row>
    <row r="1217">
      <c r="M1217" s="25" t="n"/>
      <c r="Q1217" s="25" t="n"/>
      <c r="U1217" s="194" t="n"/>
      <c r="AA1217" s="25" t="n"/>
      <c r="AB1217" s="25" t="n"/>
      <c r="AC1217" s="195" t="n"/>
      <c r="AD1217" s="25" t="n"/>
      <c r="AE1217" s="25" t="n"/>
      <c r="AG1217" s="25" t="n"/>
      <c r="AH1217" s="25" t="n"/>
      <c r="AI1217" s="394" t="n"/>
      <c r="AM1217" s="48" t="n"/>
      <c r="AN1217" s="48" t="n"/>
      <c r="AO1217" s="48" t="n"/>
    </row>
    <row r="1218">
      <c r="M1218" s="25" t="n"/>
      <c r="Q1218" s="25" t="n"/>
      <c r="U1218" s="194" t="n"/>
      <c r="AA1218" s="25" t="n"/>
      <c r="AB1218" s="25" t="n"/>
      <c r="AC1218" s="195" t="n"/>
      <c r="AD1218" s="25" t="n"/>
      <c r="AE1218" s="25" t="n"/>
      <c r="AG1218" s="25" t="n"/>
      <c r="AH1218" s="25" t="n"/>
      <c r="AI1218" s="394" t="n"/>
      <c r="AM1218" s="48" t="n"/>
      <c r="AN1218" s="48" t="n"/>
      <c r="AO1218" s="48" t="n"/>
    </row>
    <row r="1219">
      <c r="M1219" s="25" t="n"/>
      <c r="Q1219" s="25" t="n"/>
      <c r="U1219" s="194" t="n"/>
      <c r="AA1219" s="25" t="n"/>
      <c r="AB1219" s="25" t="n"/>
      <c r="AC1219" s="195" t="n"/>
      <c r="AD1219" s="25" t="n"/>
      <c r="AE1219" s="25" t="n"/>
      <c r="AG1219" s="25" t="n"/>
      <c r="AH1219" s="25" t="n"/>
      <c r="AI1219" s="394" t="n"/>
      <c r="AM1219" s="48" t="n"/>
      <c r="AN1219" s="48" t="n"/>
      <c r="AO1219" s="48" t="n"/>
    </row>
    <row r="1220">
      <c r="M1220" s="25" t="n"/>
      <c r="Q1220" s="25" t="n"/>
      <c r="U1220" s="194" t="n"/>
      <c r="AA1220" s="25" t="n"/>
      <c r="AB1220" s="25" t="n"/>
      <c r="AC1220" s="195" t="n"/>
      <c r="AD1220" s="25" t="n"/>
      <c r="AE1220" s="25" t="n"/>
      <c r="AG1220" s="25" t="n"/>
      <c r="AH1220" s="25" t="n"/>
      <c r="AI1220" s="394" t="n"/>
      <c r="AM1220" s="48" t="n"/>
      <c r="AN1220" s="48" t="n"/>
      <c r="AO1220" s="48" t="n"/>
    </row>
    <row r="1221">
      <c r="M1221" s="25" t="n"/>
      <c r="Q1221" s="25" t="n"/>
      <c r="U1221" s="194" t="n"/>
      <c r="AA1221" s="25" t="n"/>
      <c r="AB1221" s="25" t="n"/>
      <c r="AC1221" s="195" t="n"/>
      <c r="AD1221" s="25" t="n"/>
      <c r="AE1221" s="25" t="n"/>
      <c r="AG1221" s="25" t="n"/>
      <c r="AH1221" s="25" t="n"/>
      <c r="AI1221" s="394" t="n"/>
      <c r="AM1221" s="48" t="n"/>
      <c r="AN1221" s="48" t="n"/>
      <c r="AO1221" s="48" t="n"/>
    </row>
    <row r="1222">
      <c r="M1222" s="25" t="n"/>
      <c r="Q1222" s="25" t="n"/>
      <c r="U1222" s="194" t="n"/>
      <c r="AA1222" s="25" t="n"/>
      <c r="AB1222" s="25" t="n"/>
      <c r="AC1222" s="195" t="n"/>
      <c r="AD1222" s="25" t="n"/>
      <c r="AE1222" s="25" t="n"/>
      <c r="AG1222" s="25" t="n"/>
      <c r="AH1222" s="25" t="n"/>
      <c r="AI1222" s="394" t="n"/>
      <c r="AM1222" s="48" t="n"/>
      <c r="AN1222" s="48" t="n"/>
      <c r="AO1222" s="48" t="n"/>
    </row>
    <row r="1223">
      <c r="M1223" s="25" t="n"/>
      <c r="Q1223" s="25" t="n"/>
      <c r="U1223" s="194" t="n"/>
      <c r="AA1223" s="25" t="n"/>
      <c r="AB1223" s="25" t="n"/>
      <c r="AC1223" s="195" t="n"/>
      <c r="AD1223" s="25" t="n"/>
      <c r="AE1223" s="25" t="n"/>
      <c r="AG1223" s="25" t="n"/>
      <c r="AH1223" s="25" t="n"/>
      <c r="AI1223" s="394" t="n"/>
      <c r="AM1223" s="48" t="n"/>
      <c r="AN1223" s="48" t="n"/>
      <c r="AO1223" s="48" t="n"/>
    </row>
    <row r="1224">
      <c r="M1224" s="25" t="n"/>
      <c r="Q1224" s="25" t="n"/>
      <c r="U1224" s="194" t="n"/>
      <c r="AA1224" s="25" t="n"/>
      <c r="AB1224" s="25" t="n"/>
      <c r="AC1224" s="195" t="n"/>
      <c r="AD1224" s="25" t="n"/>
      <c r="AE1224" s="25" t="n"/>
      <c r="AG1224" s="25" t="n"/>
      <c r="AH1224" s="25" t="n"/>
      <c r="AI1224" s="394" t="n"/>
      <c r="AM1224" s="48" t="n"/>
      <c r="AN1224" s="48" t="n"/>
      <c r="AO1224" s="48" t="n"/>
    </row>
    <row r="1225">
      <c r="M1225" s="25" t="n"/>
      <c r="Q1225" s="25" t="n"/>
      <c r="U1225" s="194" t="n"/>
      <c r="AA1225" s="25" t="n"/>
      <c r="AB1225" s="25" t="n"/>
      <c r="AC1225" s="195" t="n"/>
      <c r="AD1225" s="25" t="n"/>
      <c r="AE1225" s="25" t="n"/>
      <c r="AG1225" s="25" t="n"/>
      <c r="AH1225" s="25" t="n"/>
      <c r="AI1225" s="394" t="n"/>
      <c r="AM1225" s="48" t="n"/>
      <c r="AN1225" s="48" t="n"/>
      <c r="AO1225" s="48" t="n"/>
    </row>
    <row r="1226">
      <c r="M1226" s="25" t="n"/>
      <c r="Q1226" s="25" t="n"/>
      <c r="U1226" s="194" t="n"/>
      <c r="AA1226" s="25" t="n"/>
      <c r="AB1226" s="25" t="n"/>
      <c r="AC1226" s="195" t="n"/>
      <c r="AD1226" s="25" t="n"/>
      <c r="AE1226" s="25" t="n"/>
      <c r="AG1226" s="25" t="n"/>
      <c r="AH1226" s="25" t="n"/>
      <c r="AI1226" s="394" t="n"/>
      <c r="AM1226" s="48" t="n"/>
      <c r="AN1226" s="48" t="n"/>
      <c r="AO1226" s="48" t="n"/>
    </row>
    <row r="1227">
      <c r="M1227" s="25" t="n"/>
      <c r="Q1227" s="25" t="n"/>
      <c r="U1227" s="194" t="n"/>
      <c r="AA1227" s="25" t="n"/>
      <c r="AB1227" s="25" t="n"/>
      <c r="AC1227" s="195" t="n"/>
      <c r="AD1227" s="25" t="n"/>
      <c r="AE1227" s="25" t="n"/>
      <c r="AG1227" s="25" t="n"/>
      <c r="AH1227" s="25" t="n"/>
      <c r="AI1227" s="394" t="n"/>
      <c r="AM1227" s="48" t="n"/>
      <c r="AN1227" s="48" t="n"/>
      <c r="AO1227" s="48" t="n"/>
    </row>
    <row r="1228">
      <c r="M1228" s="25" t="n"/>
      <c r="Q1228" s="25" t="n"/>
      <c r="U1228" s="194" t="n"/>
      <c r="AA1228" s="25" t="n"/>
      <c r="AB1228" s="25" t="n"/>
      <c r="AC1228" s="195" t="n"/>
      <c r="AD1228" s="25" t="n"/>
      <c r="AE1228" s="25" t="n"/>
      <c r="AG1228" s="25" t="n"/>
      <c r="AH1228" s="25" t="n"/>
      <c r="AI1228" s="394" t="n"/>
      <c r="AM1228" s="48" t="n"/>
      <c r="AN1228" s="48" t="n"/>
      <c r="AO1228" s="48" t="n"/>
    </row>
    <row r="1229">
      <c r="M1229" s="25" t="n"/>
      <c r="Q1229" s="25" t="n"/>
      <c r="U1229" s="194" t="n"/>
      <c r="AA1229" s="25" t="n"/>
      <c r="AB1229" s="25" t="n"/>
      <c r="AC1229" s="195" t="n"/>
      <c r="AD1229" s="25" t="n"/>
      <c r="AE1229" s="25" t="n"/>
      <c r="AG1229" s="25" t="n"/>
      <c r="AH1229" s="25" t="n"/>
      <c r="AI1229" s="394" t="n"/>
      <c r="AM1229" s="48" t="n"/>
      <c r="AN1229" s="48" t="n"/>
      <c r="AO1229" s="48" t="n"/>
    </row>
    <row r="1230">
      <c r="M1230" s="25" t="n"/>
      <c r="Q1230" s="25" t="n"/>
      <c r="U1230" s="194" t="n"/>
      <c r="AA1230" s="25" t="n"/>
      <c r="AB1230" s="25" t="n"/>
      <c r="AC1230" s="195" t="n"/>
      <c r="AD1230" s="25" t="n"/>
      <c r="AE1230" s="25" t="n"/>
      <c r="AG1230" s="25" t="n"/>
      <c r="AH1230" s="25" t="n"/>
      <c r="AI1230" s="394" t="n"/>
      <c r="AM1230" s="48" t="n"/>
      <c r="AN1230" s="48" t="n"/>
      <c r="AO1230" s="48" t="n"/>
    </row>
    <row r="1231">
      <c r="M1231" s="25" t="n"/>
      <c r="Q1231" s="25" t="n"/>
      <c r="U1231" s="194" t="n"/>
      <c r="AA1231" s="25" t="n"/>
      <c r="AB1231" s="25" t="n"/>
      <c r="AC1231" s="195" t="n"/>
      <c r="AD1231" s="25" t="n"/>
      <c r="AE1231" s="25" t="n"/>
      <c r="AG1231" s="25" t="n"/>
      <c r="AH1231" s="25" t="n"/>
      <c r="AI1231" s="394" t="n"/>
      <c r="AM1231" s="48" t="n"/>
      <c r="AN1231" s="48" t="n"/>
      <c r="AO1231" s="48" t="n"/>
    </row>
    <row r="1232">
      <c r="M1232" s="25" t="n"/>
      <c r="Q1232" s="25" t="n"/>
      <c r="U1232" s="194" t="n"/>
      <c r="AA1232" s="25" t="n"/>
      <c r="AB1232" s="25" t="n"/>
      <c r="AC1232" s="195" t="n"/>
      <c r="AD1232" s="25" t="n"/>
      <c r="AE1232" s="25" t="n"/>
      <c r="AG1232" s="25" t="n"/>
      <c r="AH1232" s="25" t="n"/>
      <c r="AI1232" s="394" t="n"/>
      <c r="AM1232" s="48" t="n"/>
      <c r="AN1232" s="48" t="n"/>
      <c r="AO1232" s="48" t="n"/>
    </row>
    <row r="1233">
      <c r="M1233" s="25" t="n"/>
      <c r="Q1233" s="25" t="n"/>
      <c r="U1233" s="194" t="n"/>
      <c r="AA1233" s="25" t="n"/>
      <c r="AB1233" s="25" t="n"/>
      <c r="AC1233" s="195" t="n"/>
      <c r="AD1233" s="25" t="n"/>
      <c r="AE1233" s="25" t="n"/>
      <c r="AG1233" s="25" t="n"/>
      <c r="AH1233" s="25" t="n"/>
      <c r="AI1233" s="394" t="n"/>
      <c r="AM1233" s="48" t="n"/>
      <c r="AN1233" s="48" t="n"/>
      <c r="AO1233" s="48" t="n"/>
    </row>
    <row r="1234">
      <c r="M1234" s="25" t="n"/>
      <c r="Q1234" s="25" t="n"/>
      <c r="U1234" s="194" t="n"/>
      <c r="AA1234" s="25" t="n"/>
      <c r="AB1234" s="25" t="n"/>
      <c r="AC1234" s="195" t="n"/>
      <c r="AD1234" s="25" t="n"/>
      <c r="AE1234" s="25" t="n"/>
      <c r="AG1234" s="25" t="n"/>
      <c r="AH1234" s="25" t="n"/>
      <c r="AI1234" s="394" t="n"/>
      <c r="AM1234" s="48" t="n"/>
      <c r="AN1234" s="48" t="n"/>
      <c r="AO1234" s="48" t="n"/>
    </row>
    <row r="1235">
      <c r="M1235" s="25" t="n"/>
      <c r="Q1235" s="25" t="n"/>
      <c r="U1235" s="194" t="n"/>
      <c r="AA1235" s="25" t="n"/>
      <c r="AB1235" s="25" t="n"/>
      <c r="AC1235" s="195" t="n"/>
      <c r="AD1235" s="25" t="n"/>
      <c r="AE1235" s="25" t="n"/>
      <c r="AG1235" s="25" t="n"/>
      <c r="AH1235" s="25" t="n"/>
      <c r="AI1235" s="394" t="n"/>
      <c r="AM1235" s="48" t="n"/>
      <c r="AN1235" s="48" t="n"/>
      <c r="AO1235" s="48" t="n"/>
    </row>
    <row r="1236">
      <c r="M1236" s="25" t="n"/>
      <c r="Q1236" s="25" t="n"/>
      <c r="U1236" s="194" t="n"/>
      <c r="AA1236" s="25" t="n"/>
      <c r="AB1236" s="25" t="n"/>
      <c r="AC1236" s="195" t="n"/>
      <c r="AD1236" s="25" t="n"/>
      <c r="AE1236" s="25" t="n"/>
      <c r="AG1236" s="25" t="n"/>
      <c r="AH1236" s="25" t="n"/>
      <c r="AI1236" s="394" t="n"/>
      <c r="AM1236" s="48" t="n"/>
      <c r="AN1236" s="48" t="n"/>
      <c r="AO1236" s="48" t="n"/>
    </row>
    <row r="1237">
      <c r="M1237" s="25" t="n"/>
      <c r="Q1237" s="25" t="n"/>
      <c r="U1237" s="194" t="n"/>
      <c r="AA1237" s="25" t="n"/>
      <c r="AB1237" s="25" t="n"/>
      <c r="AC1237" s="195" t="n"/>
      <c r="AD1237" s="25" t="n"/>
      <c r="AE1237" s="25" t="n"/>
      <c r="AG1237" s="25" t="n"/>
      <c r="AH1237" s="25" t="n"/>
      <c r="AI1237" s="394" t="n"/>
      <c r="AM1237" s="48" t="n"/>
      <c r="AN1237" s="48" t="n"/>
      <c r="AO1237" s="48" t="n"/>
    </row>
    <row r="1238">
      <c r="M1238" s="25" t="n"/>
      <c r="Q1238" s="25" t="n"/>
      <c r="U1238" s="194" t="n"/>
      <c r="AA1238" s="25" t="n"/>
      <c r="AB1238" s="25" t="n"/>
      <c r="AC1238" s="195" t="n"/>
      <c r="AD1238" s="25" t="n"/>
      <c r="AE1238" s="25" t="n"/>
      <c r="AG1238" s="25" t="n"/>
      <c r="AH1238" s="25" t="n"/>
      <c r="AI1238" s="394" t="n"/>
      <c r="AM1238" s="48" t="n"/>
      <c r="AN1238" s="48" t="n"/>
      <c r="AO1238" s="48" t="n"/>
    </row>
    <row r="1239">
      <c r="M1239" s="25" t="n"/>
      <c r="Q1239" s="25" t="n"/>
      <c r="U1239" s="194" t="n"/>
      <c r="AA1239" s="25" t="n"/>
      <c r="AB1239" s="25" t="n"/>
      <c r="AC1239" s="195" t="n"/>
      <c r="AD1239" s="25" t="n"/>
      <c r="AE1239" s="25" t="n"/>
      <c r="AG1239" s="25" t="n"/>
      <c r="AH1239" s="25" t="n"/>
      <c r="AI1239" s="394" t="n"/>
      <c r="AM1239" s="48" t="n"/>
      <c r="AN1239" s="48" t="n"/>
      <c r="AO1239" s="48" t="n"/>
    </row>
    <row r="1240">
      <c r="M1240" s="25" t="n"/>
      <c r="Q1240" s="25" t="n"/>
      <c r="U1240" s="194" t="n"/>
      <c r="AA1240" s="25" t="n"/>
      <c r="AB1240" s="25" t="n"/>
      <c r="AC1240" s="195" t="n"/>
      <c r="AD1240" s="25" t="n"/>
      <c r="AE1240" s="25" t="n"/>
      <c r="AG1240" s="25" t="n"/>
      <c r="AH1240" s="25" t="n"/>
      <c r="AI1240" s="394" t="n"/>
      <c r="AM1240" s="48" t="n"/>
      <c r="AN1240" s="48" t="n"/>
      <c r="AO1240" s="48" t="n"/>
    </row>
    <row r="1241">
      <c r="M1241" s="25" t="n"/>
      <c r="Q1241" s="25" t="n"/>
      <c r="U1241" s="194" t="n"/>
      <c r="AA1241" s="25" t="n"/>
      <c r="AB1241" s="25" t="n"/>
      <c r="AC1241" s="195" t="n"/>
      <c r="AD1241" s="25" t="n"/>
      <c r="AE1241" s="25" t="n"/>
      <c r="AG1241" s="25" t="n"/>
      <c r="AH1241" s="25" t="n"/>
      <c r="AI1241" s="394" t="n"/>
      <c r="AM1241" s="48" t="n"/>
      <c r="AN1241" s="48" t="n"/>
      <c r="AO1241" s="48" t="n"/>
    </row>
    <row r="1242">
      <c r="M1242" s="25" t="n"/>
      <c r="Q1242" s="25" t="n"/>
      <c r="U1242" s="194" t="n"/>
      <c r="AA1242" s="25" t="n"/>
      <c r="AB1242" s="25" t="n"/>
      <c r="AC1242" s="195" t="n"/>
      <c r="AD1242" s="25" t="n"/>
      <c r="AE1242" s="25" t="n"/>
      <c r="AG1242" s="25" t="n"/>
      <c r="AH1242" s="25" t="n"/>
      <c r="AI1242" s="394" t="n"/>
      <c r="AM1242" s="48" t="n"/>
      <c r="AN1242" s="48" t="n"/>
      <c r="AO1242" s="48" t="n"/>
    </row>
    <row r="1243">
      <c r="M1243" s="25" t="n"/>
      <c r="Q1243" s="25" t="n"/>
      <c r="U1243" s="194" t="n"/>
      <c r="AA1243" s="25" t="n"/>
      <c r="AB1243" s="25" t="n"/>
      <c r="AC1243" s="195" t="n"/>
      <c r="AD1243" s="25" t="n"/>
      <c r="AE1243" s="25" t="n"/>
      <c r="AG1243" s="25" t="n"/>
      <c r="AH1243" s="25" t="n"/>
      <c r="AI1243" s="394" t="n"/>
      <c r="AM1243" s="48" t="n"/>
      <c r="AN1243" s="48" t="n"/>
      <c r="AO1243" s="48" t="n"/>
    </row>
    <row r="1244">
      <c r="M1244" s="25" t="n"/>
      <c r="Q1244" s="25" t="n"/>
      <c r="U1244" s="194" t="n"/>
      <c r="AA1244" s="25" t="n"/>
      <c r="AB1244" s="25" t="n"/>
      <c r="AC1244" s="195" t="n"/>
      <c r="AD1244" s="25" t="n"/>
      <c r="AE1244" s="25" t="n"/>
      <c r="AG1244" s="25" t="n"/>
      <c r="AH1244" s="25" t="n"/>
      <c r="AI1244" s="394" t="n"/>
      <c r="AM1244" s="48" t="n"/>
      <c r="AN1244" s="48" t="n"/>
      <c r="AO1244" s="48" t="n"/>
    </row>
    <row r="1245">
      <c r="M1245" s="25" t="n"/>
      <c r="Q1245" s="25" t="n"/>
      <c r="U1245" s="194" t="n"/>
      <c r="AA1245" s="25" t="n"/>
      <c r="AB1245" s="25" t="n"/>
      <c r="AC1245" s="195" t="n"/>
      <c r="AD1245" s="25" t="n"/>
      <c r="AE1245" s="25" t="n"/>
      <c r="AG1245" s="25" t="n"/>
      <c r="AH1245" s="25" t="n"/>
      <c r="AI1245" s="394" t="n"/>
      <c r="AM1245" s="48" t="n"/>
      <c r="AN1245" s="48" t="n"/>
      <c r="AO1245" s="48" t="n"/>
    </row>
    <row r="1246">
      <c r="M1246" s="25" t="n"/>
      <c r="Q1246" s="25" t="n"/>
      <c r="U1246" s="194" t="n"/>
      <c r="AA1246" s="25" t="n"/>
      <c r="AB1246" s="25" t="n"/>
      <c r="AC1246" s="195" t="n"/>
      <c r="AD1246" s="25" t="n"/>
      <c r="AE1246" s="25" t="n"/>
      <c r="AG1246" s="25" t="n"/>
      <c r="AH1246" s="25" t="n"/>
      <c r="AI1246" s="394" t="n"/>
      <c r="AM1246" s="48" t="n"/>
      <c r="AN1246" s="48" t="n"/>
      <c r="AO1246" s="48" t="n"/>
    </row>
    <row r="1247">
      <c r="M1247" s="25" t="n"/>
      <c r="Q1247" s="25" t="n"/>
      <c r="U1247" s="194" t="n"/>
      <c r="AA1247" s="25" t="n"/>
      <c r="AB1247" s="25" t="n"/>
      <c r="AC1247" s="195" t="n"/>
      <c r="AD1247" s="25" t="n"/>
      <c r="AE1247" s="25" t="n"/>
      <c r="AG1247" s="25" t="n"/>
      <c r="AH1247" s="25" t="n"/>
      <c r="AI1247" s="394" t="n"/>
      <c r="AM1247" s="48" t="n"/>
      <c r="AN1247" s="48" t="n"/>
      <c r="AO1247" s="48" t="n"/>
    </row>
    <row r="1248">
      <c r="M1248" s="25" t="n"/>
      <c r="Q1248" s="25" t="n"/>
      <c r="U1248" s="194" t="n"/>
      <c r="AA1248" s="25" t="n"/>
      <c r="AB1248" s="25" t="n"/>
      <c r="AC1248" s="195" t="n"/>
      <c r="AD1248" s="25" t="n"/>
      <c r="AE1248" s="25" t="n"/>
      <c r="AG1248" s="25" t="n"/>
      <c r="AH1248" s="25" t="n"/>
      <c r="AI1248" s="394" t="n"/>
      <c r="AM1248" s="48" t="n"/>
      <c r="AN1248" s="48" t="n"/>
      <c r="AO1248" s="48" t="n"/>
    </row>
    <row r="1249">
      <c r="M1249" s="25" t="n"/>
      <c r="Q1249" s="25" t="n"/>
      <c r="U1249" s="194" t="n"/>
      <c r="AA1249" s="25" t="n"/>
      <c r="AB1249" s="25" t="n"/>
      <c r="AC1249" s="195" t="n"/>
      <c r="AD1249" s="25" t="n"/>
      <c r="AE1249" s="25" t="n"/>
      <c r="AG1249" s="25" t="n"/>
      <c r="AH1249" s="25" t="n"/>
      <c r="AI1249" s="394" t="n"/>
      <c r="AM1249" s="48" t="n"/>
      <c r="AN1249" s="48" t="n"/>
      <c r="AO1249" s="48" t="n"/>
    </row>
    <row r="1250">
      <c r="M1250" s="25" t="n"/>
      <c r="Q1250" s="25" t="n"/>
      <c r="U1250" s="194" t="n"/>
      <c r="AA1250" s="25" t="n"/>
      <c r="AB1250" s="25" t="n"/>
      <c r="AC1250" s="195" t="n"/>
      <c r="AD1250" s="25" t="n"/>
      <c r="AE1250" s="25" t="n"/>
      <c r="AG1250" s="25" t="n"/>
      <c r="AH1250" s="25" t="n"/>
      <c r="AI1250" s="394" t="n"/>
      <c r="AM1250" s="48" t="n"/>
      <c r="AN1250" s="48" t="n"/>
      <c r="AO1250" s="48" t="n"/>
    </row>
    <row r="1251">
      <c r="M1251" s="25" t="n"/>
      <c r="Q1251" s="25" t="n"/>
      <c r="U1251" s="194" t="n"/>
      <c r="AA1251" s="25" t="n"/>
      <c r="AB1251" s="25" t="n"/>
      <c r="AC1251" s="195" t="n"/>
      <c r="AD1251" s="25" t="n"/>
      <c r="AE1251" s="25" t="n"/>
      <c r="AG1251" s="25" t="n"/>
      <c r="AH1251" s="25" t="n"/>
      <c r="AI1251" s="394" t="n"/>
      <c r="AM1251" s="48" t="n"/>
      <c r="AN1251" s="48" t="n"/>
      <c r="AO1251" s="48" t="n"/>
    </row>
    <row r="1252">
      <c r="M1252" s="25" t="n"/>
      <c r="Q1252" s="25" t="n"/>
      <c r="U1252" s="194" t="n"/>
      <c r="AA1252" s="25" t="n"/>
      <c r="AB1252" s="25" t="n"/>
      <c r="AC1252" s="195" t="n"/>
      <c r="AD1252" s="25" t="n"/>
      <c r="AE1252" s="25" t="n"/>
      <c r="AG1252" s="25" t="n"/>
      <c r="AH1252" s="25" t="n"/>
      <c r="AI1252" s="394" t="n"/>
      <c r="AM1252" s="48" t="n"/>
      <c r="AN1252" s="48" t="n"/>
      <c r="AO1252" s="48" t="n"/>
    </row>
    <row r="1253">
      <c r="M1253" s="25" t="n"/>
      <c r="Q1253" s="25" t="n"/>
      <c r="U1253" s="194" t="n"/>
      <c r="AA1253" s="25" t="n"/>
      <c r="AB1253" s="25" t="n"/>
      <c r="AC1253" s="195" t="n"/>
      <c r="AD1253" s="25" t="n"/>
      <c r="AE1253" s="25" t="n"/>
      <c r="AG1253" s="25" t="n"/>
      <c r="AH1253" s="25" t="n"/>
      <c r="AI1253" s="394" t="n"/>
      <c r="AM1253" s="48" t="n"/>
      <c r="AN1253" s="48" t="n"/>
      <c r="AO1253" s="48" t="n"/>
    </row>
    <row r="1254">
      <c r="M1254" s="25" t="n"/>
      <c r="Q1254" s="25" t="n"/>
      <c r="U1254" s="194" t="n"/>
      <c r="AA1254" s="25" t="n"/>
      <c r="AB1254" s="25" t="n"/>
      <c r="AC1254" s="195" t="n"/>
      <c r="AD1254" s="25" t="n"/>
      <c r="AE1254" s="25" t="n"/>
      <c r="AG1254" s="25" t="n"/>
      <c r="AH1254" s="25" t="n"/>
      <c r="AI1254" s="394" t="n"/>
      <c r="AM1254" s="48" t="n"/>
      <c r="AN1254" s="48" t="n"/>
      <c r="AO1254" s="48" t="n"/>
    </row>
    <row r="1255">
      <c r="M1255" s="25" t="n"/>
      <c r="Q1255" s="25" t="n"/>
      <c r="U1255" s="194" t="n"/>
      <c r="AA1255" s="25" t="n"/>
      <c r="AB1255" s="25" t="n"/>
      <c r="AC1255" s="195" t="n"/>
      <c r="AD1255" s="25" t="n"/>
      <c r="AE1255" s="25" t="n"/>
      <c r="AG1255" s="25" t="n"/>
      <c r="AH1255" s="25" t="n"/>
      <c r="AI1255" s="394" t="n"/>
      <c r="AM1255" s="48" t="n"/>
      <c r="AN1255" s="48" t="n"/>
      <c r="AO1255" s="48" t="n"/>
    </row>
    <row r="1256">
      <c r="M1256" s="25" t="n"/>
      <c r="Q1256" s="25" t="n"/>
      <c r="U1256" s="194" t="n"/>
      <c r="AA1256" s="25" t="n"/>
      <c r="AB1256" s="25" t="n"/>
      <c r="AC1256" s="195" t="n"/>
      <c r="AD1256" s="25" t="n"/>
      <c r="AE1256" s="25" t="n"/>
      <c r="AG1256" s="25" t="n"/>
      <c r="AH1256" s="25" t="n"/>
      <c r="AI1256" s="394" t="n"/>
      <c r="AM1256" s="48" t="n"/>
      <c r="AN1256" s="48" t="n"/>
      <c r="AO1256" s="48" t="n"/>
    </row>
    <row r="1257">
      <c r="M1257" s="25" t="n"/>
      <c r="Q1257" s="25" t="n"/>
      <c r="U1257" s="194" t="n"/>
      <c r="AA1257" s="25" t="n"/>
      <c r="AB1257" s="25" t="n"/>
      <c r="AC1257" s="195" t="n"/>
      <c r="AD1257" s="25" t="n"/>
      <c r="AE1257" s="25" t="n"/>
      <c r="AG1257" s="25" t="n"/>
      <c r="AH1257" s="25" t="n"/>
      <c r="AI1257" s="394" t="n"/>
      <c r="AM1257" s="48" t="n"/>
      <c r="AN1257" s="48" t="n"/>
      <c r="AO1257" s="48" t="n"/>
    </row>
    <row r="1258">
      <c r="M1258" s="25" t="n"/>
      <c r="Q1258" s="25" t="n"/>
      <c r="U1258" s="194" t="n"/>
      <c r="AA1258" s="25" t="n"/>
      <c r="AB1258" s="25" t="n"/>
      <c r="AC1258" s="195" t="n"/>
      <c r="AD1258" s="25" t="n"/>
      <c r="AE1258" s="25" t="n"/>
      <c r="AG1258" s="25" t="n"/>
      <c r="AH1258" s="25" t="n"/>
      <c r="AI1258" s="394" t="n"/>
      <c r="AM1258" s="48" t="n"/>
      <c r="AN1258" s="48" t="n"/>
      <c r="AO1258" s="48" t="n"/>
    </row>
    <row r="1259">
      <c r="M1259" s="25" t="n"/>
      <c r="Q1259" s="25" t="n"/>
      <c r="U1259" s="194" t="n"/>
      <c r="AA1259" s="25" t="n"/>
      <c r="AB1259" s="25" t="n"/>
      <c r="AC1259" s="195" t="n"/>
      <c r="AD1259" s="25" t="n"/>
      <c r="AE1259" s="25" t="n"/>
      <c r="AG1259" s="25" t="n"/>
      <c r="AH1259" s="25" t="n"/>
      <c r="AI1259" s="394" t="n"/>
      <c r="AM1259" s="48" t="n"/>
      <c r="AN1259" s="48" t="n"/>
      <c r="AO1259" s="48" t="n"/>
    </row>
    <row r="1260">
      <c r="M1260" s="25" t="n"/>
      <c r="Q1260" s="25" t="n"/>
      <c r="U1260" s="194" t="n"/>
      <c r="AA1260" s="25" t="n"/>
      <c r="AB1260" s="25" t="n"/>
      <c r="AC1260" s="195" t="n"/>
      <c r="AD1260" s="25" t="n"/>
      <c r="AE1260" s="25" t="n"/>
      <c r="AG1260" s="25" t="n"/>
      <c r="AH1260" s="25" t="n"/>
      <c r="AI1260" s="394" t="n"/>
      <c r="AM1260" s="48" t="n"/>
      <c r="AN1260" s="48" t="n"/>
      <c r="AO1260" s="48" t="n"/>
    </row>
    <row r="1261">
      <c r="M1261" s="25" t="n"/>
      <c r="Q1261" s="25" t="n"/>
      <c r="U1261" s="194" t="n"/>
      <c r="AA1261" s="25" t="n"/>
      <c r="AB1261" s="25" t="n"/>
      <c r="AC1261" s="195" t="n"/>
      <c r="AD1261" s="25" t="n"/>
      <c r="AE1261" s="25" t="n"/>
      <c r="AG1261" s="25" t="n"/>
      <c r="AH1261" s="25" t="n"/>
      <c r="AI1261" s="394" t="n"/>
      <c r="AM1261" s="48" t="n"/>
      <c r="AN1261" s="48" t="n"/>
      <c r="AO1261" s="48" t="n"/>
    </row>
    <row r="1262">
      <c r="M1262" s="25" t="n"/>
      <c r="Q1262" s="25" t="n"/>
      <c r="U1262" s="194" t="n"/>
      <c r="AA1262" s="25" t="n"/>
      <c r="AB1262" s="25" t="n"/>
      <c r="AC1262" s="195" t="n"/>
      <c r="AD1262" s="25" t="n"/>
      <c r="AE1262" s="25" t="n"/>
      <c r="AG1262" s="25" t="n"/>
      <c r="AH1262" s="25" t="n"/>
      <c r="AI1262" s="394" t="n"/>
      <c r="AM1262" s="48" t="n"/>
      <c r="AN1262" s="48" t="n"/>
      <c r="AO1262" s="48" t="n"/>
    </row>
    <row r="1263">
      <c r="M1263" s="25" t="n"/>
      <c r="Q1263" s="25" t="n"/>
      <c r="U1263" s="194" t="n"/>
      <c r="AA1263" s="25" t="n"/>
      <c r="AB1263" s="25" t="n"/>
      <c r="AC1263" s="195" t="n"/>
      <c r="AD1263" s="25" t="n"/>
      <c r="AE1263" s="25" t="n"/>
      <c r="AG1263" s="25" t="n"/>
      <c r="AH1263" s="25" t="n"/>
      <c r="AI1263" s="394" t="n"/>
      <c r="AM1263" s="48" t="n"/>
      <c r="AN1263" s="48" t="n"/>
      <c r="AO1263" s="48" t="n"/>
    </row>
    <row r="1264">
      <c r="M1264" s="25" t="n"/>
      <c r="Q1264" s="25" t="n"/>
      <c r="U1264" s="194" t="n"/>
      <c r="AA1264" s="25" t="n"/>
      <c r="AB1264" s="25" t="n"/>
      <c r="AC1264" s="195" t="n"/>
      <c r="AD1264" s="25" t="n"/>
      <c r="AE1264" s="25" t="n"/>
      <c r="AG1264" s="25" t="n"/>
      <c r="AH1264" s="25" t="n"/>
      <c r="AI1264" s="394" t="n"/>
      <c r="AM1264" s="48" t="n"/>
      <c r="AN1264" s="48" t="n"/>
      <c r="AO1264" s="48" t="n"/>
    </row>
    <row r="1265">
      <c r="M1265" s="25" t="n"/>
      <c r="Q1265" s="25" t="n"/>
      <c r="U1265" s="194" t="n"/>
      <c r="AA1265" s="25" t="n"/>
      <c r="AB1265" s="25" t="n"/>
      <c r="AC1265" s="195" t="n"/>
      <c r="AD1265" s="25" t="n"/>
      <c r="AE1265" s="25" t="n"/>
      <c r="AG1265" s="25" t="n"/>
      <c r="AH1265" s="25" t="n"/>
      <c r="AI1265" s="394" t="n"/>
      <c r="AM1265" s="48" t="n"/>
      <c r="AN1265" s="48" t="n"/>
      <c r="AO1265" s="48" t="n"/>
    </row>
    <row r="1266">
      <c r="M1266" s="25" t="n"/>
      <c r="Q1266" s="25" t="n"/>
      <c r="U1266" s="194" t="n"/>
      <c r="AA1266" s="25" t="n"/>
      <c r="AB1266" s="25" t="n"/>
      <c r="AC1266" s="195" t="n"/>
      <c r="AD1266" s="25" t="n"/>
      <c r="AE1266" s="25" t="n"/>
      <c r="AG1266" s="25" t="n"/>
      <c r="AH1266" s="25" t="n"/>
      <c r="AI1266" s="394" t="n"/>
      <c r="AM1266" s="48" t="n"/>
      <c r="AN1266" s="48" t="n"/>
      <c r="AO1266" s="48" t="n"/>
    </row>
    <row r="1267">
      <c r="M1267" s="25" t="n"/>
      <c r="Q1267" s="25" t="n"/>
      <c r="U1267" s="194" t="n"/>
      <c r="AA1267" s="25" t="n"/>
      <c r="AB1267" s="25" t="n"/>
      <c r="AC1267" s="195" t="n"/>
      <c r="AD1267" s="25" t="n"/>
      <c r="AE1267" s="25" t="n"/>
      <c r="AG1267" s="25" t="n"/>
      <c r="AH1267" s="25" t="n"/>
      <c r="AI1267" s="394" t="n"/>
      <c r="AM1267" s="48" t="n"/>
      <c r="AN1267" s="48" t="n"/>
      <c r="AO1267" s="48" t="n"/>
    </row>
    <row r="1268">
      <c r="M1268" s="25" t="n"/>
      <c r="Q1268" s="25" t="n"/>
      <c r="U1268" s="194" t="n"/>
      <c r="AA1268" s="25" t="n"/>
      <c r="AB1268" s="25" t="n"/>
      <c r="AC1268" s="195" t="n"/>
      <c r="AD1268" s="25" t="n"/>
      <c r="AE1268" s="25" t="n"/>
      <c r="AG1268" s="25" t="n"/>
      <c r="AH1268" s="25" t="n"/>
      <c r="AI1268" s="394" t="n"/>
      <c r="AM1268" s="48" t="n"/>
      <c r="AN1268" s="48" t="n"/>
      <c r="AO1268" s="48" t="n"/>
    </row>
    <row r="1269">
      <c r="M1269" s="25" t="n"/>
      <c r="Q1269" s="25" t="n"/>
      <c r="U1269" s="194" t="n"/>
      <c r="AA1269" s="25" t="n"/>
      <c r="AB1269" s="25" t="n"/>
      <c r="AC1269" s="195" t="n"/>
      <c r="AD1269" s="25" t="n"/>
      <c r="AE1269" s="25" t="n"/>
      <c r="AG1269" s="25" t="n"/>
      <c r="AH1269" s="25" t="n"/>
      <c r="AI1269" s="394" t="n"/>
      <c r="AM1269" s="48" t="n"/>
      <c r="AN1269" s="48" t="n"/>
      <c r="AO1269" s="48" t="n"/>
    </row>
    <row r="1270">
      <c r="M1270" s="25" t="n"/>
      <c r="Q1270" s="25" t="n"/>
      <c r="U1270" s="194" t="n"/>
      <c r="AA1270" s="25" t="n"/>
      <c r="AB1270" s="25" t="n"/>
      <c r="AC1270" s="195" t="n"/>
      <c r="AD1270" s="25" t="n"/>
      <c r="AE1270" s="25" t="n"/>
      <c r="AG1270" s="25" t="n"/>
      <c r="AH1270" s="25" t="n"/>
      <c r="AI1270" s="394" t="n"/>
      <c r="AM1270" s="48" t="n"/>
      <c r="AN1270" s="48" t="n"/>
      <c r="AO1270" s="48" t="n"/>
    </row>
    <row r="1271">
      <c r="M1271" s="25" t="n"/>
      <c r="Q1271" s="25" t="n"/>
      <c r="U1271" s="194" t="n"/>
      <c r="AA1271" s="25" t="n"/>
      <c r="AB1271" s="25" t="n"/>
      <c r="AC1271" s="195" t="n"/>
      <c r="AD1271" s="25" t="n"/>
      <c r="AE1271" s="25" t="n"/>
      <c r="AG1271" s="25" t="n"/>
      <c r="AH1271" s="25" t="n"/>
      <c r="AI1271" s="394" t="n"/>
      <c r="AM1271" s="48" t="n"/>
      <c r="AN1271" s="48" t="n"/>
      <c r="AO1271" s="48" t="n"/>
    </row>
    <row r="1272">
      <c r="M1272" s="25" t="n"/>
      <c r="Q1272" s="25" t="n"/>
      <c r="U1272" s="194" t="n"/>
      <c r="AA1272" s="25" t="n"/>
      <c r="AB1272" s="25" t="n"/>
      <c r="AC1272" s="195" t="n"/>
      <c r="AD1272" s="25" t="n"/>
      <c r="AE1272" s="25" t="n"/>
      <c r="AG1272" s="25" t="n"/>
      <c r="AH1272" s="25" t="n"/>
      <c r="AI1272" s="394" t="n"/>
      <c r="AM1272" s="48" t="n"/>
      <c r="AN1272" s="48" t="n"/>
      <c r="AO1272" s="48" t="n"/>
    </row>
    <row r="1273">
      <c r="M1273" s="25" t="n"/>
      <c r="Q1273" s="25" t="n"/>
      <c r="U1273" s="194" t="n"/>
      <c r="AA1273" s="25" t="n"/>
      <c r="AB1273" s="25" t="n"/>
      <c r="AC1273" s="195" t="n"/>
      <c r="AD1273" s="25" t="n"/>
      <c r="AE1273" s="25" t="n"/>
      <c r="AG1273" s="25" t="n"/>
      <c r="AH1273" s="25" t="n"/>
      <c r="AI1273" s="394" t="n"/>
      <c r="AM1273" s="48" t="n"/>
      <c r="AN1273" s="48" t="n"/>
      <c r="AO1273" s="48" t="n"/>
    </row>
    <row r="1274">
      <c r="M1274" s="25" t="n"/>
      <c r="Q1274" s="25" t="n"/>
      <c r="U1274" s="194" t="n"/>
      <c r="AA1274" s="25" t="n"/>
      <c r="AB1274" s="25" t="n"/>
      <c r="AC1274" s="195" t="n"/>
      <c r="AD1274" s="25" t="n"/>
      <c r="AE1274" s="25" t="n"/>
      <c r="AG1274" s="25" t="n"/>
      <c r="AH1274" s="25" t="n"/>
      <c r="AI1274" s="394" t="n"/>
      <c r="AM1274" s="48" t="n"/>
      <c r="AN1274" s="48" t="n"/>
      <c r="AO1274" s="48" t="n"/>
    </row>
    <row r="1275">
      <c r="M1275" s="25" t="n"/>
      <c r="Q1275" s="25" t="n"/>
      <c r="U1275" s="194" t="n"/>
      <c r="AA1275" s="25" t="n"/>
      <c r="AB1275" s="25" t="n"/>
      <c r="AC1275" s="195" t="n"/>
      <c r="AD1275" s="25" t="n"/>
      <c r="AE1275" s="25" t="n"/>
      <c r="AG1275" s="25" t="n"/>
      <c r="AH1275" s="25" t="n"/>
      <c r="AI1275" s="394" t="n"/>
      <c r="AM1275" s="48" t="n"/>
      <c r="AN1275" s="48" t="n"/>
      <c r="AO1275" s="48" t="n"/>
    </row>
    <row r="1276">
      <c r="M1276" s="25" t="n"/>
      <c r="Q1276" s="25" t="n"/>
      <c r="U1276" s="194" t="n"/>
      <c r="AA1276" s="25" t="n"/>
      <c r="AB1276" s="25" t="n"/>
      <c r="AC1276" s="195" t="n"/>
      <c r="AD1276" s="25" t="n"/>
      <c r="AE1276" s="25" t="n"/>
      <c r="AG1276" s="25" t="n"/>
      <c r="AH1276" s="25" t="n"/>
      <c r="AI1276" s="394" t="n"/>
      <c r="AM1276" s="48" t="n"/>
      <c r="AN1276" s="48" t="n"/>
      <c r="AO1276" s="48" t="n"/>
    </row>
    <row r="1277">
      <c r="M1277" s="25" t="n"/>
      <c r="Q1277" s="25" t="n"/>
      <c r="U1277" s="194" t="n"/>
      <c r="AA1277" s="25" t="n"/>
      <c r="AB1277" s="25" t="n"/>
      <c r="AC1277" s="195" t="n"/>
      <c r="AD1277" s="25" t="n"/>
      <c r="AE1277" s="25" t="n"/>
      <c r="AG1277" s="25" t="n"/>
      <c r="AH1277" s="25" t="n"/>
      <c r="AI1277" s="394" t="n"/>
      <c r="AM1277" s="48" t="n"/>
      <c r="AN1277" s="48" t="n"/>
      <c r="AO1277" s="48" t="n"/>
    </row>
    <row r="1278">
      <c r="M1278" s="25" t="n"/>
      <c r="Q1278" s="25" t="n"/>
      <c r="U1278" s="194" t="n"/>
      <c r="AA1278" s="25" t="n"/>
      <c r="AB1278" s="25" t="n"/>
      <c r="AC1278" s="195" t="n"/>
      <c r="AD1278" s="25" t="n"/>
      <c r="AE1278" s="25" t="n"/>
      <c r="AG1278" s="25" t="n"/>
      <c r="AH1278" s="25" t="n"/>
      <c r="AI1278" s="394" t="n"/>
      <c r="AM1278" s="48" t="n"/>
      <c r="AN1278" s="48" t="n"/>
      <c r="AO1278" s="48" t="n"/>
    </row>
    <row r="1279">
      <c r="M1279" s="25" t="n"/>
      <c r="Q1279" s="25" t="n"/>
      <c r="U1279" s="194" t="n"/>
      <c r="AA1279" s="25" t="n"/>
      <c r="AB1279" s="25" t="n"/>
      <c r="AC1279" s="195" t="n"/>
      <c r="AD1279" s="25" t="n"/>
      <c r="AE1279" s="25" t="n"/>
      <c r="AG1279" s="25" t="n"/>
      <c r="AH1279" s="25" t="n"/>
      <c r="AI1279" s="394" t="n"/>
      <c r="AM1279" s="48" t="n"/>
      <c r="AN1279" s="48" t="n"/>
      <c r="AO1279" s="48" t="n"/>
    </row>
    <row r="1280">
      <c r="M1280" s="25" t="n"/>
      <c r="Q1280" s="25" t="n"/>
      <c r="U1280" s="194" t="n"/>
      <c r="AA1280" s="25" t="n"/>
      <c r="AB1280" s="25" t="n"/>
      <c r="AC1280" s="195" t="n"/>
      <c r="AD1280" s="25" t="n"/>
      <c r="AE1280" s="25" t="n"/>
      <c r="AG1280" s="25" t="n"/>
      <c r="AH1280" s="25" t="n"/>
      <c r="AI1280" s="394" t="n"/>
      <c r="AM1280" s="48" t="n"/>
      <c r="AN1280" s="48" t="n"/>
      <c r="AO1280" s="48" t="n"/>
    </row>
    <row r="1281">
      <c r="M1281" s="25" t="n"/>
      <c r="Q1281" s="25" t="n"/>
      <c r="U1281" s="194" t="n"/>
      <c r="AA1281" s="25" t="n"/>
      <c r="AB1281" s="25" t="n"/>
      <c r="AC1281" s="195" t="n"/>
      <c r="AD1281" s="25" t="n"/>
      <c r="AE1281" s="25" t="n"/>
      <c r="AG1281" s="25" t="n"/>
      <c r="AH1281" s="25" t="n"/>
      <c r="AI1281" s="394" t="n"/>
      <c r="AM1281" s="48" t="n"/>
      <c r="AN1281" s="48" t="n"/>
      <c r="AO1281" s="48" t="n"/>
    </row>
    <row r="1282">
      <c r="M1282" s="25" t="n"/>
      <c r="Q1282" s="25" t="n"/>
      <c r="U1282" s="194" t="n"/>
      <c r="AA1282" s="25" t="n"/>
      <c r="AB1282" s="25" t="n"/>
      <c r="AC1282" s="195" t="n"/>
      <c r="AD1282" s="25" t="n"/>
      <c r="AE1282" s="25" t="n"/>
      <c r="AG1282" s="25" t="n"/>
      <c r="AH1282" s="25" t="n"/>
      <c r="AI1282" s="394" t="n"/>
      <c r="AM1282" s="48" t="n"/>
      <c r="AN1282" s="48" t="n"/>
      <c r="AO1282" s="48" t="n"/>
    </row>
    <row r="1283">
      <c r="M1283" s="25" t="n"/>
      <c r="Q1283" s="25" t="n"/>
      <c r="U1283" s="194" t="n"/>
      <c r="AA1283" s="25" t="n"/>
      <c r="AB1283" s="25" t="n"/>
      <c r="AC1283" s="195" t="n"/>
      <c r="AD1283" s="25" t="n"/>
      <c r="AE1283" s="25" t="n"/>
      <c r="AG1283" s="25" t="n"/>
      <c r="AH1283" s="25" t="n"/>
      <c r="AI1283" s="394" t="n"/>
      <c r="AM1283" s="48" t="n"/>
      <c r="AN1283" s="48" t="n"/>
      <c r="AO1283" s="48" t="n"/>
    </row>
    <row r="1284">
      <c r="M1284" s="25" t="n"/>
      <c r="Q1284" s="25" t="n"/>
      <c r="U1284" s="194" t="n"/>
      <c r="AA1284" s="25" t="n"/>
      <c r="AB1284" s="25" t="n"/>
      <c r="AC1284" s="195" t="n"/>
      <c r="AD1284" s="25" t="n"/>
      <c r="AE1284" s="25" t="n"/>
      <c r="AG1284" s="25" t="n"/>
      <c r="AH1284" s="25" t="n"/>
      <c r="AI1284" s="394" t="n"/>
      <c r="AM1284" s="48" t="n"/>
      <c r="AN1284" s="48" t="n"/>
      <c r="AO1284" s="48" t="n"/>
    </row>
    <row r="1285">
      <c r="M1285" s="25" t="n"/>
      <c r="Q1285" s="25" t="n"/>
      <c r="U1285" s="194" t="n"/>
      <c r="AA1285" s="25" t="n"/>
      <c r="AB1285" s="25" t="n"/>
      <c r="AC1285" s="195" t="n"/>
      <c r="AD1285" s="25" t="n"/>
      <c r="AE1285" s="25" t="n"/>
      <c r="AG1285" s="25" t="n"/>
      <c r="AH1285" s="25" t="n"/>
      <c r="AI1285" s="394" t="n"/>
      <c r="AM1285" s="48" t="n"/>
      <c r="AN1285" s="48" t="n"/>
      <c r="AO1285" s="48" t="n"/>
    </row>
    <row r="1286">
      <c r="M1286" s="25" t="n"/>
      <c r="Q1286" s="25" t="n"/>
      <c r="U1286" s="194" t="n"/>
      <c r="AA1286" s="25" t="n"/>
      <c r="AB1286" s="25" t="n"/>
      <c r="AC1286" s="195" t="n"/>
      <c r="AD1286" s="25" t="n"/>
      <c r="AE1286" s="25" t="n"/>
      <c r="AG1286" s="25" t="n"/>
      <c r="AH1286" s="25" t="n"/>
      <c r="AI1286" s="394" t="n"/>
      <c r="AM1286" s="48" t="n"/>
      <c r="AN1286" s="48" t="n"/>
      <c r="AO1286" s="48" t="n"/>
    </row>
    <row r="1287">
      <c r="M1287" s="25" t="n"/>
      <c r="Q1287" s="25" t="n"/>
      <c r="U1287" s="194" t="n"/>
      <c r="AA1287" s="25" t="n"/>
      <c r="AB1287" s="25" t="n"/>
      <c r="AC1287" s="195" t="n"/>
      <c r="AD1287" s="25" t="n"/>
      <c r="AE1287" s="25" t="n"/>
      <c r="AG1287" s="25" t="n"/>
      <c r="AH1287" s="25" t="n"/>
      <c r="AI1287" s="394" t="n"/>
      <c r="AM1287" s="48" t="n"/>
      <c r="AN1287" s="48" t="n"/>
      <c r="AO1287" s="48" t="n"/>
    </row>
    <row r="1288">
      <c r="M1288" s="25" t="n"/>
      <c r="Q1288" s="25" t="n"/>
      <c r="U1288" s="194" t="n"/>
      <c r="AA1288" s="25" t="n"/>
      <c r="AB1288" s="25" t="n"/>
      <c r="AC1288" s="195" t="n"/>
      <c r="AD1288" s="25" t="n"/>
      <c r="AE1288" s="25" t="n"/>
      <c r="AG1288" s="25" t="n"/>
      <c r="AH1288" s="25" t="n"/>
      <c r="AI1288" s="394" t="n"/>
      <c r="AM1288" s="48" t="n"/>
      <c r="AN1288" s="48" t="n"/>
      <c r="AO1288" s="48" t="n"/>
    </row>
    <row r="1289">
      <c r="M1289" s="25" t="n"/>
      <c r="Q1289" s="25" t="n"/>
      <c r="U1289" s="194" t="n"/>
      <c r="AA1289" s="25" t="n"/>
      <c r="AB1289" s="25" t="n"/>
      <c r="AC1289" s="195" t="n"/>
      <c r="AD1289" s="25" t="n"/>
      <c r="AE1289" s="25" t="n"/>
      <c r="AG1289" s="25" t="n"/>
      <c r="AH1289" s="25" t="n"/>
      <c r="AI1289" s="394" t="n"/>
      <c r="AM1289" s="48" t="n"/>
      <c r="AN1289" s="48" t="n"/>
      <c r="AO1289" s="48" t="n"/>
    </row>
    <row r="1290">
      <c r="M1290" s="25" t="n"/>
      <c r="Q1290" s="25" t="n"/>
      <c r="U1290" s="194" t="n"/>
      <c r="AA1290" s="25" t="n"/>
      <c r="AB1290" s="25" t="n"/>
      <c r="AC1290" s="195" t="n"/>
      <c r="AD1290" s="25" t="n"/>
      <c r="AE1290" s="25" t="n"/>
      <c r="AG1290" s="25" t="n"/>
      <c r="AH1290" s="25" t="n"/>
      <c r="AI1290" s="394" t="n"/>
      <c r="AM1290" s="48" t="n"/>
      <c r="AN1290" s="48" t="n"/>
      <c r="AO1290" s="48" t="n"/>
    </row>
    <row r="1291">
      <c r="M1291" s="25" t="n"/>
      <c r="Q1291" s="25" t="n"/>
      <c r="U1291" s="194" t="n"/>
      <c r="AA1291" s="25" t="n"/>
      <c r="AB1291" s="25" t="n"/>
      <c r="AC1291" s="195" t="n"/>
      <c r="AD1291" s="25" t="n"/>
      <c r="AE1291" s="25" t="n"/>
      <c r="AG1291" s="25" t="n"/>
      <c r="AH1291" s="25" t="n"/>
      <c r="AI1291" s="394" t="n"/>
      <c r="AM1291" s="48" t="n"/>
      <c r="AN1291" s="48" t="n"/>
      <c r="AO1291" s="48" t="n"/>
    </row>
    <row r="1292">
      <c r="M1292" s="25" t="n"/>
      <c r="Q1292" s="25" t="n"/>
      <c r="U1292" s="194" t="n"/>
      <c r="AA1292" s="25" t="n"/>
      <c r="AB1292" s="25" t="n"/>
      <c r="AC1292" s="195" t="n"/>
      <c r="AD1292" s="25" t="n"/>
      <c r="AE1292" s="25" t="n"/>
      <c r="AG1292" s="25" t="n"/>
      <c r="AH1292" s="25" t="n"/>
      <c r="AI1292" s="394" t="n"/>
      <c r="AM1292" s="48" t="n"/>
      <c r="AN1292" s="48" t="n"/>
      <c r="AO1292" s="48" t="n"/>
    </row>
    <row r="1293">
      <c r="M1293" s="25" t="n"/>
      <c r="Q1293" s="25" t="n"/>
      <c r="U1293" s="194" t="n"/>
      <c r="AA1293" s="25" t="n"/>
      <c r="AB1293" s="25" t="n"/>
      <c r="AC1293" s="195" t="n"/>
      <c r="AD1293" s="25" t="n"/>
      <c r="AE1293" s="25" t="n"/>
      <c r="AG1293" s="25" t="n"/>
      <c r="AH1293" s="25" t="n"/>
      <c r="AI1293" s="394" t="n"/>
      <c r="AM1293" s="48" t="n"/>
      <c r="AN1293" s="48" t="n"/>
      <c r="AO1293" s="48" t="n"/>
    </row>
    <row r="1294">
      <c r="M1294" s="25" t="n"/>
      <c r="Q1294" s="25" t="n"/>
      <c r="U1294" s="194" t="n"/>
      <c r="AA1294" s="25" t="n"/>
      <c r="AB1294" s="25" t="n"/>
      <c r="AC1294" s="195" t="n"/>
      <c r="AD1294" s="25" t="n"/>
      <c r="AE1294" s="25" t="n"/>
      <c r="AG1294" s="25" t="n"/>
      <c r="AH1294" s="25" t="n"/>
      <c r="AI1294" s="394" t="n"/>
      <c r="AM1294" s="48" t="n"/>
      <c r="AN1294" s="48" t="n"/>
      <c r="AO1294" s="48" t="n"/>
    </row>
    <row r="1295">
      <c r="M1295" s="25" t="n"/>
      <c r="Q1295" s="25" t="n"/>
      <c r="U1295" s="194" t="n"/>
      <c r="AA1295" s="25" t="n"/>
      <c r="AB1295" s="25" t="n"/>
      <c r="AC1295" s="195" t="n"/>
      <c r="AD1295" s="25" t="n"/>
      <c r="AE1295" s="25" t="n"/>
      <c r="AG1295" s="25" t="n"/>
      <c r="AH1295" s="25" t="n"/>
      <c r="AI1295" s="394" t="n"/>
      <c r="AM1295" s="48" t="n"/>
      <c r="AN1295" s="48" t="n"/>
      <c r="AO1295" s="48" t="n"/>
    </row>
    <row r="1296">
      <c r="M1296" s="25" t="n"/>
      <c r="Q1296" s="25" t="n"/>
      <c r="U1296" s="194" t="n"/>
      <c r="AA1296" s="25" t="n"/>
      <c r="AB1296" s="25" t="n"/>
      <c r="AC1296" s="195" t="n"/>
      <c r="AD1296" s="25" t="n"/>
      <c r="AE1296" s="25" t="n"/>
      <c r="AG1296" s="25" t="n"/>
      <c r="AH1296" s="25" t="n"/>
      <c r="AI1296" s="394" t="n"/>
      <c r="AM1296" s="48" t="n"/>
      <c r="AN1296" s="48" t="n"/>
      <c r="AO1296" s="48" t="n"/>
    </row>
    <row r="1297">
      <c r="M1297" s="25" t="n"/>
      <c r="Q1297" s="25" t="n"/>
      <c r="U1297" s="194" t="n"/>
      <c r="AA1297" s="25" t="n"/>
      <c r="AB1297" s="25" t="n"/>
      <c r="AC1297" s="195" t="n"/>
      <c r="AD1297" s="25" t="n"/>
      <c r="AE1297" s="25" t="n"/>
      <c r="AG1297" s="25" t="n"/>
      <c r="AH1297" s="25" t="n"/>
      <c r="AI1297" s="394" t="n"/>
      <c r="AM1297" s="48" t="n"/>
      <c r="AN1297" s="48" t="n"/>
      <c r="AO1297" s="48" t="n"/>
    </row>
    <row r="1298">
      <c r="M1298" s="25" t="n"/>
      <c r="Q1298" s="25" t="n"/>
      <c r="U1298" s="194" t="n"/>
      <c r="AA1298" s="25" t="n"/>
      <c r="AB1298" s="25" t="n"/>
      <c r="AC1298" s="195" t="n"/>
      <c r="AD1298" s="25" t="n"/>
      <c r="AE1298" s="25" t="n"/>
      <c r="AG1298" s="25" t="n"/>
      <c r="AH1298" s="25" t="n"/>
      <c r="AI1298" s="394" t="n"/>
      <c r="AM1298" s="48" t="n"/>
      <c r="AN1298" s="48" t="n"/>
      <c r="AO1298" s="48" t="n"/>
    </row>
    <row r="1299">
      <c r="M1299" s="25" t="n"/>
      <c r="Q1299" s="25" t="n"/>
      <c r="U1299" s="194" t="n"/>
      <c r="AA1299" s="25" t="n"/>
      <c r="AB1299" s="25" t="n"/>
      <c r="AC1299" s="195" t="n"/>
      <c r="AD1299" s="25" t="n"/>
      <c r="AE1299" s="25" t="n"/>
      <c r="AG1299" s="25" t="n"/>
      <c r="AH1299" s="25" t="n"/>
      <c r="AI1299" s="394" t="n"/>
      <c r="AM1299" s="48" t="n"/>
      <c r="AN1299" s="48" t="n"/>
      <c r="AO1299" s="48" t="n"/>
    </row>
    <row r="1300">
      <c r="M1300" s="25" t="n"/>
      <c r="Q1300" s="25" t="n"/>
      <c r="U1300" s="194" t="n"/>
      <c r="AA1300" s="25" t="n"/>
      <c r="AB1300" s="25" t="n"/>
      <c r="AC1300" s="195" t="n"/>
      <c r="AD1300" s="25" t="n"/>
      <c r="AE1300" s="25" t="n"/>
      <c r="AG1300" s="25" t="n"/>
      <c r="AH1300" s="25" t="n"/>
      <c r="AI1300" s="394" t="n"/>
      <c r="AM1300" s="48" t="n"/>
      <c r="AN1300" s="48" t="n"/>
      <c r="AO1300" s="48" t="n"/>
    </row>
    <row r="1301">
      <c r="M1301" s="25" t="n"/>
      <c r="Q1301" s="25" t="n"/>
      <c r="U1301" s="194" t="n"/>
      <c r="AA1301" s="25" t="n"/>
      <c r="AB1301" s="25" t="n"/>
      <c r="AC1301" s="195" t="n"/>
      <c r="AD1301" s="25" t="n"/>
      <c r="AE1301" s="25" t="n"/>
      <c r="AG1301" s="25" t="n"/>
      <c r="AH1301" s="25" t="n"/>
      <c r="AI1301" s="394" t="n"/>
      <c r="AM1301" s="48" t="n"/>
      <c r="AN1301" s="48" t="n"/>
      <c r="AO1301" s="48" t="n"/>
    </row>
    <row r="1302">
      <c r="M1302" s="25" t="n"/>
      <c r="Q1302" s="25" t="n"/>
      <c r="U1302" s="194" t="n"/>
      <c r="AA1302" s="25" t="n"/>
      <c r="AB1302" s="25" t="n"/>
      <c r="AC1302" s="195" t="n"/>
      <c r="AD1302" s="25" t="n"/>
      <c r="AE1302" s="25" t="n"/>
      <c r="AG1302" s="25" t="n"/>
      <c r="AH1302" s="25" t="n"/>
      <c r="AI1302" s="394" t="n"/>
      <c r="AM1302" s="48" t="n"/>
      <c r="AN1302" s="48" t="n"/>
      <c r="AO1302" s="48" t="n"/>
    </row>
    <row r="1303">
      <c r="M1303" s="25" t="n"/>
      <c r="Q1303" s="25" t="n"/>
      <c r="U1303" s="194" t="n"/>
      <c r="AA1303" s="25" t="n"/>
      <c r="AB1303" s="25" t="n"/>
      <c r="AC1303" s="195" t="n"/>
      <c r="AD1303" s="25" t="n"/>
      <c r="AE1303" s="25" t="n"/>
      <c r="AG1303" s="25" t="n"/>
      <c r="AH1303" s="25" t="n"/>
      <c r="AI1303" s="394" t="n"/>
      <c r="AM1303" s="48" t="n"/>
      <c r="AN1303" s="48" t="n"/>
      <c r="AO1303" s="48" t="n"/>
    </row>
    <row r="1304">
      <c r="M1304" s="25" t="n"/>
      <c r="Q1304" s="25" t="n"/>
      <c r="U1304" s="194" t="n"/>
      <c r="AA1304" s="25" t="n"/>
      <c r="AB1304" s="25" t="n"/>
      <c r="AC1304" s="195" t="n"/>
      <c r="AD1304" s="25" t="n"/>
      <c r="AE1304" s="25" t="n"/>
      <c r="AG1304" s="25" t="n"/>
      <c r="AH1304" s="25" t="n"/>
      <c r="AI1304" s="394" t="n"/>
      <c r="AM1304" s="48" t="n"/>
      <c r="AN1304" s="48" t="n"/>
      <c r="AO1304" s="48" t="n"/>
    </row>
    <row r="1305">
      <c r="M1305" s="25" t="n"/>
      <c r="Q1305" s="25" t="n"/>
      <c r="U1305" s="194" t="n"/>
      <c r="AA1305" s="25" t="n"/>
      <c r="AB1305" s="25" t="n"/>
      <c r="AC1305" s="195" t="n"/>
      <c r="AD1305" s="25" t="n"/>
      <c r="AE1305" s="25" t="n"/>
      <c r="AG1305" s="25" t="n"/>
      <c r="AH1305" s="25" t="n"/>
      <c r="AI1305" s="394" t="n"/>
      <c r="AM1305" s="48" t="n"/>
      <c r="AN1305" s="48" t="n"/>
      <c r="AO1305" s="48" t="n"/>
    </row>
    <row r="1306">
      <c r="M1306" s="25" t="n"/>
      <c r="Q1306" s="25" t="n"/>
      <c r="U1306" s="194" t="n"/>
      <c r="AA1306" s="25" t="n"/>
      <c r="AB1306" s="25" t="n"/>
      <c r="AC1306" s="195" t="n"/>
      <c r="AD1306" s="25" t="n"/>
      <c r="AE1306" s="25" t="n"/>
      <c r="AG1306" s="25" t="n"/>
      <c r="AH1306" s="25" t="n"/>
      <c r="AI1306" s="394" t="n"/>
      <c r="AM1306" s="48" t="n"/>
      <c r="AN1306" s="48" t="n"/>
      <c r="AO1306" s="48" t="n"/>
    </row>
    <row r="1307">
      <c r="M1307" s="25" t="n"/>
      <c r="Q1307" s="25" t="n"/>
      <c r="U1307" s="194" t="n"/>
      <c r="AA1307" s="25" t="n"/>
      <c r="AB1307" s="25" t="n"/>
      <c r="AC1307" s="195" t="n"/>
      <c r="AD1307" s="25" t="n"/>
      <c r="AE1307" s="25" t="n"/>
      <c r="AG1307" s="25" t="n"/>
      <c r="AH1307" s="25" t="n"/>
      <c r="AI1307" s="394" t="n"/>
      <c r="AM1307" s="48" t="n"/>
      <c r="AN1307" s="48" t="n"/>
      <c r="AO1307" s="48" t="n"/>
    </row>
    <row r="1308">
      <c r="M1308" s="25" t="n"/>
      <c r="Q1308" s="25" t="n"/>
      <c r="U1308" s="194" t="n"/>
      <c r="AA1308" s="25" t="n"/>
      <c r="AB1308" s="25" t="n"/>
      <c r="AC1308" s="195" t="n"/>
      <c r="AD1308" s="25" t="n"/>
      <c r="AE1308" s="25" t="n"/>
      <c r="AG1308" s="25" t="n"/>
      <c r="AH1308" s="25" t="n"/>
      <c r="AI1308" s="394" t="n"/>
      <c r="AM1308" s="48" t="n"/>
      <c r="AN1308" s="48" t="n"/>
      <c r="AO1308" s="48" t="n"/>
    </row>
    <row r="1309">
      <c r="M1309" s="25" t="n"/>
      <c r="Q1309" s="25" t="n"/>
      <c r="U1309" s="194" t="n"/>
      <c r="AA1309" s="25" t="n"/>
      <c r="AB1309" s="25" t="n"/>
      <c r="AC1309" s="195" t="n"/>
      <c r="AD1309" s="25" t="n"/>
      <c r="AE1309" s="25" t="n"/>
      <c r="AG1309" s="25" t="n"/>
      <c r="AH1309" s="25" t="n"/>
      <c r="AI1309" s="394" t="n"/>
      <c r="AM1309" s="48" t="n"/>
      <c r="AN1309" s="48" t="n"/>
      <c r="AO1309" s="48" t="n"/>
    </row>
    <row r="1310">
      <c r="M1310" s="25" t="n"/>
      <c r="Q1310" s="25" t="n"/>
      <c r="U1310" s="194" t="n"/>
      <c r="AA1310" s="25" t="n"/>
      <c r="AB1310" s="25" t="n"/>
      <c r="AC1310" s="195" t="n"/>
      <c r="AD1310" s="25" t="n"/>
      <c r="AE1310" s="25" t="n"/>
      <c r="AG1310" s="25" t="n"/>
      <c r="AH1310" s="25" t="n"/>
      <c r="AI1310" s="394" t="n"/>
      <c r="AM1310" s="48" t="n"/>
      <c r="AN1310" s="48" t="n"/>
      <c r="AO1310" s="48" t="n"/>
    </row>
    <row r="1311">
      <c r="M1311" s="25" t="n"/>
      <c r="Q1311" s="25" t="n"/>
      <c r="U1311" s="194" t="n"/>
      <c r="AA1311" s="25" t="n"/>
      <c r="AB1311" s="25" t="n"/>
      <c r="AC1311" s="195" t="n"/>
      <c r="AD1311" s="25" t="n"/>
      <c r="AE1311" s="25" t="n"/>
      <c r="AG1311" s="25" t="n"/>
      <c r="AH1311" s="25" t="n"/>
      <c r="AI1311" s="394" t="n"/>
      <c r="AM1311" s="48" t="n"/>
      <c r="AN1311" s="48" t="n"/>
      <c r="AO1311" s="48" t="n"/>
    </row>
    <row r="1312">
      <c r="M1312" s="25" t="n"/>
      <c r="Q1312" s="25" t="n"/>
      <c r="U1312" s="194" t="n"/>
      <c r="AA1312" s="25" t="n"/>
      <c r="AB1312" s="25" t="n"/>
      <c r="AC1312" s="195" t="n"/>
      <c r="AD1312" s="25" t="n"/>
      <c r="AE1312" s="25" t="n"/>
      <c r="AG1312" s="25" t="n"/>
      <c r="AH1312" s="25" t="n"/>
      <c r="AI1312" s="394" t="n"/>
      <c r="AM1312" s="48" t="n"/>
      <c r="AN1312" s="48" t="n"/>
      <c r="AO1312" s="48" t="n"/>
    </row>
    <row r="1313">
      <c r="M1313" s="25" t="n"/>
      <c r="Q1313" s="25" t="n"/>
      <c r="U1313" s="194" t="n"/>
      <c r="AA1313" s="25" t="n"/>
      <c r="AB1313" s="25" t="n"/>
      <c r="AC1313" s="195" t="n"/>
      <c r="AD1313" s="25" t="n"/>
      <c r="AE1313" s="25" t="n"/>
      <c r="AG1313" s="25" t="n"/>
      <c r="AH1313" s="25" t="n"/>
      <c r="AI1313" s="394" t="n"/>
      <c r="AM1313" s="48" t="n"/>
      <c r="AN1313" s="48" t="n"/>
      <c r="AO1313" s="48" t="n"/>
    </row>
    <row r="1314">
      <c r="M1314" s="25" t="n"/>
      <c r="Q1314" s="25" t="n"/>
      <c r="U1314" s="194" t="n"/>
      <c r="AA1314" s="25" t="n"/>
      <c r="AB1314" s="25" t="n"/>
      <c r="AC1314" s="195" t="n"/>
      <c r="AD1314" s="25" t="n"/>
      <c r="AE1314" s="25" t="n"/>
      <c r="AG1314" s="25" t="n"/>
      <c r="AH1314" s="25" t="n"/>
      <c r="AI1314" s="394" t="n"/>
      <c r="AM1314" s="48" t="n"/>
      <c r="AN1314" s="48" t="n"/>
      <c r="AO1314" s="48" t="n"/>
    </row>
    <row r="1315">
      <c r="M1315" s="25" t="n"/>
      <c r="Q1315" s="25" t="n"/>
      <c r="U1315" s="194" t="n"/>
      <c r="AA1315" s="25" t="n"/>
      <c r="AB1315" s="25" t="n"/>
      <c r="AC1315" s="195" t="n"/>
      <c r="AD1315" s="25" t="n"/>
      <c r="AE1315" s="25" t="n"/>
      <c r="AG1315" s="25" t="n"/>
      <c r="AH1315" s="25" t="n"/>
      <c r="AI1315" s="394" t="n"/>
      <c r="AM1315" s="48" t="n"/>
      <c r="AN1315" s="48" t="n"/>
      <c r="AO1315" s="48" t="n"/>
    </row>
    <row r="1316">
      <c r="M1316" s="25" t="n"/>
      <c r="Q1316" s="25" t="n"/>
      <c r="U1316" s="194" t="n"/>
      <c r="AA1316" s="25" t="n"/>
      <c r="AB1316" s="25" t="n"/>
      <c r="AC1316" s="195" t="n"/>
      <c r="AD1316" s="25" t="n"/>
      <c r="AE1316" s="25" t="n"/>
      <c r="AG1316" s="25" t="n"/>
      <c r="AH1316" s="25" t="n"/>
      <c r="AI1316" s="394" t="n"/>
      <c r="AM1316" s="48" t="n"/>
      <c r="AN1316" s="48" t="n"/>
      <c r="AO1316" s="48" t="n"/>
    </row>
    <row r="1317">
      <c r="M1317" s="25" t="n"/>
      <c r="Q1317" s="25" t="n"/>
      <c r="U1317" s="194" t="n"/>
      <c r="AA1317" s="25" t="n"/>
      <c r="AB1317" s="25" t="n"/>
      <c r="AC1317" s="195" t="n"/>
      <c r="AD1317" s="25" t="n"/>
      <c r="AE1317" s="25" t="n"/>
      <c r="AG1317" s="25" t="n"/>
      <c r="AH1317" s="25" t="n"/>
      <c r="AI1317" s="394" t="n"/>
      <c r="AM1317" s="48" t="n"/>
      <c r="AN1317" s="48" t="n"/>
      <c r="AO1317" s="48" t="n"/>
    </row>
    <row r="1318">
      <c r="M1318" s="25" t="n"/>
      <c r="Q1318" s="25" t="n"/>
      <c r="U1318" s="194" t="n"/>
      <c r="AA1318" s="25" t="n"/>
      <c r="AB1318" s="25" t="n"/>
      <c r="AC1318" s="195" t="n"/>
      <c r="AD1318" s="25" t="n"/>
      <c r="AE1318" s="25" t="n"/>
      <c r="AG1318" s="25" t="n"/>
      <c r="AH1318" s="25" t="n"/>
      <c r="AI1318" s="394" t="n"/>
      <c r="AM1318" s="48" t="n"/>
      <c r="AN1318" s="48" t="n"/>
      <c r="AO1318" s="48" t="n"/>
    </row>
    <row r="1319">
      <c r="M1319" s="25" t="n"/>
      <c r="Q1319" s="25" t="n"/>
      <c r="U1319" s="194" t="n"/>
      <c r="AA1319" s="25" t="n"/>
      <c r="AB1319" s="25" t="n"/>
      <c r="AC1319" s="195" t="n"/>
      <c r="AD1319" s="25" t="n"/>
      <c r="AE1319" s="25" t="n"/>
      <c r="AG1319" s="25" t="n"/>
      <c r="AH1319" s="25" t="n"/>
      <c r="AI1319" s="394" t="n"/>
      <c r="AM1319" s="48" t="n"/>
      <c r="AN1319" s="48" t="n"/>
      <c r="AO1319" s="48" t="n"/>
    </row>
    <row r="1320">
      <c r="M1320" s="25" t="n"/>
      <c r="Q1320" s="25" t="n"/>
      <c r="U1320" s="194" t="n"/>
      <c r="AA1320" s="25" t="n"/>
      <c r="AB1320" s="25" t="n"/>
      <c r="AC1320" s="195" t="n"/>
      <c r="AD1320" s="25" t="n"/>
      <c r="AE1320" s="25" t="n"/>
      <c r="AG1320" s="25" t="n"/>
      <c r="AH1320" s="25" t="n"/>
      <c r="AI1320" s="394" t="n"/>
      <c r="AM1320" s="48" t="n"/>
      <c r="AN1320" s="48" t="n"/>
      <c r="AO1320" s="48" t="n"/>
    </row>
    <row r="1321">
      <c r="M1321" s="25" t="n"/>
      <c r="Q1321" s="25" t="n"/>
      <c r="U1321" s="194" t="n"/>
      <c r="AA1321" s="25" t="n"/>
      <c r="AB1321" s="25" t="n"/>
      <c r="AC1321" s="195" t="n"/>
      <c r="AD1321" s="25" t="n"/>
      <c r="AE1321" s="25" t="n"/>
      <c r="AG1321" s="25" t="n"/>
      <c r="AH1321" s="25" t="n"/>
      <c r="AI1321" s="394" t="n"/>
      <c r="AM1321" s="48" t="n"/>
      <c r="AN1321" s="48" t="n"/>
      <c r="AO1321" s="48" t="n"/>
    </row>
    <row r="1322">
      <c r="M1322" s="25" t="n"/>
      <c r="Q1322" s="25" t="n"/>
      <c r="U1322" s="194" t="n"/>
      <c r="AA1322" s="25" t="n"/>
      <c r="AB1322" s="25" t="n"/>
      <c r="AC1322" s="195" t="n"/>
      <c r="AD1322" s="25" t="n"/>
      <c r="AE1322" s="25" t="n"/>
      <c r="AG1322" s="25" t="n"/>
      <c r="AH1322" s="25" t="n"/>
      <c r="AI1322" s="394" t="n"/>
      <c r="AM1322" s="48" t="n"/>
      <c r="AN1322" s="48" t="n"/>
      <c r="AO1322" s="48" t="n"/>
    </row>
    <row r="1323">
      <c r="M1323" s="25" t="n"/>
      <c r="Q1323" s="25" t="n"/>
      <c r="U1323" s="194" t="n"/>
      <c r="AA1323" s="25" t="n"/>
      <c r="AB1323" s="25" t="n"/>
      <c r="AC1323" s="195" t="n"/>
      <c r="AD1323" s="25" t="n"/>
      <c r="AE1323" s="25" t="n"/>
      <c r="AG1323" s="25" t="n"/>
      <c r="AH1323" s="25" t="n"/>
      <c r="AI1323" s="394" t="n"/>
      <c r="AM1323" s="48" t="n"/>
      <c r="AN1323" s="48" t="n"/>
      <c r="AO1323" s="48" t="n"/>
    </row>
    <row r="1324">
      <c r="M1324" s="25" t="n"/>
      <c r="Q1324" s="25" t="n"/>
      <c r="U1324" s="194" t="n"/>
      <c r="AA1324" s="25" t="n"/>
      <c r="AB1324" s="25" t="n"/>
      <c r="AC1324" s="195" t="n"/>
      <c r="AD1324" s="25" t="n"/>
      <c r="AE1324" s="25" t="n"/>
      <c r="AG1324" s="25" t="n"/>
      <c r="AH1324" s="25" t="n"/>
      <c r="AI1324" s="394" t="n"/>
      <c r="AM1324" s="48" t="n"/>
      <c r="AN1324" s="48" t="n"/>
      <c r="AO1324" s="48" t="n"/>
    </row>
    <row r="1325">
      <c r="M1325" s="25" t="n"/>
      <c r="Q1325" s="25" t="n"/>
      <c r="U1325" s="194" t="n"/>
      <c r="AA1325" s="25" t="n"/>
      <c r="AB1325" s="25" t="n"/>
      <c r="AC1325" s="195" t="n"/>
      <c r="AD1325" s="25" t="n"/>
      <c r="AE1325" s="25" t="n"/>
      <c r="AG1325" s="25" t="n"/>
      <c r="AH1325" s="25" t="n"/>
      <c r="AI1325" s="394" t="n"/>
      <c r="AM1325" s="48" t="n"/>
      <c r="AN1325" s="48" t="n"/>
      <c r="AO1325" s="48" t="n"/>
    </row>
    <row r="1326">
      <c r="M1326" s="25" t="n"/>
      <c r="Q1326" s="25" t="n"/>
      <c r="U1326" s="194" t="n"/>
      <c r="AA1326" s="25" t="n"/>
      <c r="AB1326" s="25" t="n"/>
      <c r="AC1326" s="195" t="n"/>
      <c r="AD1326" s="25" t="n"/>
      <c r="AE1326" s="25" t="n"/>
      <c r="AG1326" s="25" t="n"/>
      <c r="AH1326" s="25" t="n"/>
      <c r="AI1326" s="394" t="n"/>
      <c r="AM1326" s="48" t="n"/>
      <c r="AN1326" s="48" t="n"/>
      <c r="AO1326" s="48" t="n"/>
    </row>
    <row r="1327">
      <c r="M1327" s="25" t="n"/>
      <c r="Q1327" s="25" t="n"/>
      <c r="U1327" s="194" t="n"/>
      <c r="AA1327" s="25" t="n"/>
      <c r="AB1327" s="25" t="n"/>
      <c r="AC1327" s="195" t="n"/>
      <c r="AD1327" s="25" t="n"/>
      <c r="AE1327" s="25" t="n"/>
      <c r="AG1327" s="25" t="n"/>
      <c r="AH1327" s="25" t="n"/>
      <c r="AI1327" s="394" t="n"/>
      <c r="AM1327" s="48" t="n"/>
      <c r="AN1327" s="48" t="n"/>
      <c r="AO1327" s="48" t="n"/>
    </row>
    <row r="1328">
      <c r="M1328" s="25" t="n"/>
      <c r="Q1328" s="25" t="n"/>
      <c r="U1328" s="194" t="n"/>
      <c r="AA1328" s="25" t="n"/>
      <c r="AB1328" s="25" t="n"/>
      <c r="AC1328" s="195" t="n"/>
      <c r="AD1328" s="25" t="n"/>
      <c r="AE1328" s="25" t="n"/>
      <c r="AG1328" s="25" t="n"/>
      <c r="AH1328" s="25" t="n"/>
      <c r="AI1328" s="394" t="n"/>
      <c r="AM1328" s="48" t="n"/>
      <c r="AN1328" s="48" t="n"/>
      <c r="AO1328" s="48" t="n"/>
    </row>
    <row r="1329">
      <c r="M1329" s="25" t="n"/>
      <c r="Q1329" s="25" t="n"/>
      <c r="U1329" s="194" t="n"/>
      <c r="AA1329" s="25" t="n"/>
      <c r="AB1329" s="25" t="n"/>
      <c r="AC1329" s="195" t="n"/>
      <c r="AD1329" s="25" t="n"/>
      <c r="AE1329" s="25" t="n"/>
      <c r="AG1329" s="25" t="n"/>
      <c r="AH1329" s="25" t="n"/>
      <c r="AI1329" s="394" t="n"/>
      <c r="AM1329" s="48" t="n"/>
      <c r="AN1329" s="48" t="n"/>
      <c r="AO1329" s="48" t="n"/>
    </row>
    <row r="1330">
      <c r="M1330" s="25" t="n"/>
      <c r="Q1330" s="25" t="n"/>
      <c r="U1330" s="194" t="n"/>
      <c r="AA1330" s="25" t="n"/>
      <c r="AB1330" s="25" t="n"/>
      <c r="AC1330" s="195" t="n"/>
      <c r="AD1330" s="25" t="n"/>
      <c r="AE1330" s="25" t="n"/>
      <c r="AG1330" s="25" t="n"/>
      <c r="AH1330" s="25" t="n"/>
      <c r="AI1330" s="394" t="n"/>
      <c r="AM1330" s="48" t="n"/>
      <c r="AN1330" s="48" t="n"/>
      <c r="AO1330" s="48" t="n"/>
    </row>
    <row r="1331">
      <c r="M1331" s="25" t="n"/>
      <c r="Q1331" s="25" t="n"/>
      <c r="U1331" s="194" t="n"/>
      <c r="AA1331" s="25" t="n"/>
      <c r="AB1331" s="25" t="n"/>
      <c r="AC1331" s="195" t="n"/>
      <c r="AD1331" s="25" t="n"/>
      <c r="AE1331" s="25" t="n"/>
      <c r="AG1331" s="25" t="n"/>
      <c r="AH1331" s="25" t="n"/>
      <c r="AI1331" s="394" t="n"/>
      <c r="AM1331" s="48" t="n"/>
      <c r="AN1331" s="48" t="n"/>
      <c r="AO1331" s="48" t="n"/>
    </row>
    <row r="1332">
      <c r="M1332" s="25" t="n"/>
      <c r="Q1332" s="25" t="n"/>
      <c r="U1332" s="194" t="n"/>
      <c r="AA1332" s="25" t="n"/>
      <c r="AB1332" s="25" t="n"/>
      <c r="AC1332" s="195" t="n"/>
      <c r="AD1332" s="25" t="n"/>
      <c r="AE1332" s="25" t="n"/>
      <c r="AG1332" s="25" t="n"/>
      <c r="AH1332" s="25" t="n"/>
      <c r="AI1332" s="394" t="n"/>
      <c r="AM1332" s="48" t="n"/>
      <c r="AN1332" s="48" t="n"/>
      <c r="AO1332" s="48" t="n"/>
    </row>
    <row r="1333">
      <c r="M1333" s="25" t="n"/>
      <c r="Q1333" s="25" t="n"/>
      <c r="U1333" s="194" t="n"/>
      <c r="AA1333" s="25" t="n"/>
      <c r="AB1333" s="25" t="n"/>
      <c r="AC1333" s="195" t="n"/>
      <c r="AD1333" s="25" t="n"/>
      <c r="AE1333" s="25" t="n"/>
      <c r="AG1333" s="25" t="n"/>
      <c r="AH1333" s="25" t="n"/>
      <c r="AI1333" s="394" t="n"/>
      <c r="AM1333" s="48" t="n"/>
      <c r="AN1333" s="48" t="n"/>
      <c r="AO1333" s="48" t="n"/>
    </row>
    <row r="1334">
      <c r="M1334" s="25" t="n"/>
      <c r="Q1334" s="25" t="n"/>
      <c r="U1334" s="194" t="n"/>
      <c r="AA1334" s="25" t="n"/>
      <c r="AB1334" s="25" t="n"/>
      <c r="AC1334" s="195" t="n"/>
      <c r="AD1334" s="25" t="n"/>
      <c r="AE1334" s="25" t="n"/>
      <c r="AG1334" s="25" t="n"/>
      <c r="AH1334" s="25" t="n"/>
      <c r="AI1334" s="394" t="n"/>
      <c r="AM1334" s="48" t="n"/>
      <c r="AN1334" s="48" t="n"/>
      <c r="AO1334" s="48" t="n"/>
    </row>
    <row r="1335">
      <c r="M1335" s="25" t="n"/>
      <c r="Q1335" s="25" t="n"/>
      <c r="U1335" s="194" t="n"/>
      <c r="AA1335" s="25" t="n"/>
      <c r="AB1335" s="25" t="n"/>
      <c r="AC1335" s="195" t="n"/>
      <c r="AD1335" s="25" t="n"/>
      <c r="AE1335" s="25" t="n"/>
      <c r="AG1335" s="25" t="n"/>
      <c r="AH1335" s="25" t="n"/>
      <c r="AI1335" s="394" t="n"/>
      <c r="AM1335" s="48" t="n"/>
      <c r="AN1335" s="48" t="n"/>
      <c r="AO1335" s="48" t="n"/>
    </row>
    <row r="1336">
      <c r="M1336" s="25" t="n"/>
      <c r="Q1336" s="25" t="n"/>
      <c r="U1336" s="194" t="n"/>
      <c r="AA1336" s="25" t="n"/>
      <c r="AB1336" s="25" t="n"/>
      <c r="AC1336" s="195" t="n"/>
      <c r="AD1336" s="25" t="n"/>
      <c r="AE1336" s="25" t="n"/>
      <c r="AG1336" s="25" t="n"/>
      <c r="AH1336" s="25" t="n"/>
      <c r="AI1336" s="394" t="n"/>
      <c r="AM1336" s="48" t="n"/>
      <c r="AN1336" s="48" t="n"/>
      <c r="AO1336" s="48" t="n"/>
    </row>
    <row r="1337">
      <c r="M1337" s="25" t="n"/>
      <c r="Q1337" s="25" t="n"/>
      <c r="U1337" s="194" t="n"/>
      <c r="AA1337" s="25" t="n"/>
      <c r="AB1337" s="25" t="n"/>
      <c r="AC1337" s="195" t="n"/>
      <c r="AD1337" s="25" t="n"/>
      <c r="AE1337" s="25" t="n"/>
      <c r="AG1337" s="25" t="n"/>
      <c r="AH1337" s="25" t="n"/>
      <c r="AI1337" s="394" t="n"/>
      <c r="AM1337" s="48" t="n"/>
      <c r="AN1337" s="48" t="n"/>
      <c r="AO1337" s="48" t="n"/>
    </row>
    <row r="1338">
      <c r="M1338" s="25" t="n"/>
      <c r="Q1338" s="25" t="n"/>
      <c r="U1338" s="194" t="n"/>
      <c r="AA1338" s="25" t="n"/>
      <c r="AB1338" s="25" t="n"/>
      <c r="AC1338" s="195" t="n"/>
      <c r="AD1338" s="25" t="n"/>
      <c r="AE1338" s="25" t="n"/>
      <c r="AG1338" s="25" t="n"/>
      <c r="AH1338" s="25" t="n"/>
      <c r="AI1338" s="394" t="n"/>
      <c r="AM1338" s="48" t="n"/>
      <c r="AN1338" s="48" t="n"/>
      <c r="AO1338" s="48" t="n"/>
    </row>
    <row r="1339">
      <c r="M1339" s="25" t="n"/>
      <c r="Q1339" s="25" t="n"/>
      <c r="U1339" s="194" t="n"/>
      <c r="AA1339" s="25" t="n"/>
      <c r="AB1339" s="25" t="n"/>
      <c r="AC1339" s="195" t="n"/>
      <c r="AD1339" s="25" t="n"/>
      <c r="AE1339" s="25" t="n"/>
      <c r="AG1339" s="25" t="n"/>
      <c r="AH1339" s="25" t="n"/>
      <c r="AI1339" s="394" t="n"/>
      <c r="AM1339" s="48" t="n"/>
      <c r="AN1339" s="48" t="n"/>
      <c r="AO1339" s="48" t="n"/>
    </row>
    <row r="1340">
      <c r="M1340" s="25" t="n"/>
      <c r="Q1340" s="25" t="n"/>
      <c r="U1340" s="194" t="n"/>
      <c r="AA1340" s="25" t="n"/>
      <c r="AB1340" s="25" t="n"/>
      <c r="AC1340" s="195" t="n"/>
      <c r="AD1340" s="25" t="n"/>
      <c r="AE1340" s="25" t="n"/>
      <c r="AG1340" s="25" t="n"/>
      <c r="AH1340" s="25" t="n"/>
      <c r="AI1340" s="394" t="n"/>
      <c r="AM1340" s="48" t="n"/>
      <c r="AN1340" s="48" t="n"/>
      <c r="AO1340" s="48" t="n"/>
    </row>
    <row r="1341">
      <c r="M1341" s="25" t="n"/>
      <c r="Q1341" s="25" t="n"/>
      <c r="U1341" s="194" t="n"/>
      <c r="AA1341" s="25" t="n"/>
      <c r="AB1341" s="25" t="n"/>
      <c r="AC1341" s="195" t="n"/>
      <c r="AD1341" s="25" t="n"/>
      <c r="AE1341" s="25" t="n"/>
      <c r="AG1341" s="25" t="n"/>
      <c r="AH1341" s="25" t="n"/>
      <c r="AI1341" s="394" t="n"/>
      <c r="AM1341" s="48" t="n"/>
      <c r="AN1341" s="48" t="n"/>
      <c r="AO1341" s="48" t="n"/>
    </row>
    <row r="1342">
      <c r="M1342" s="25" t="n"/>
      <c r="Q1342" s="25" t="n"/>
      <c r="U1342" s="194" t="n"/>
      <c r="AA1342" s="25" t="n"/>
      <c r="AB1342" s="25" t="n"/>
      <c r="AC1342" s="195" t="n"/>
      <c r="AD1342" s="25" t="n"/>
      <c r="AE1342" s="25" t="n"/>
      <c r="AG1342" s="25" t="n"/>
      <c r="AH1342" s="25" t="n"/>
      <c r="AI1342" s="394" t="n"/>
      <c r="AM1342" s="48" t="n"/>
      <c r="AN1342" s="48" t="n"/>
      <c r="AO1342" s="48" t="n"/>
    </row>
    <row r="1343">
      <c r="M1343" s="25" t="n"/>
      <c r="Q1343" s="25" t="n"/>
      <c r="U1343" s="194" t="n"/>
      <c r="AA1343" s="25" t="n"/>
      <c r="AB1343" s="25" t="n"/>
      <c r="AC1343" s="195" t="n"/>
      <c r="AD1343" s="25" t="n"/>
      <c r="AE1343" s="25" t="n"/>
      <c r="AG1343" s="25" t="n"/>
      <c r="AH1343" s="25" t="n"/>
      <c r="AI1343" s="394" t="n"/>
      <c r="AM1343" s="48" t="n"/>
      <c r="AN1343" s="48" t="n"/>
      <c r="AO1343" s="48" t="n"/>
    </row>
    <row r="1344">
      <c r="M1344" s="25" t="n"/>
      <c r="Q1344" s="25" t="n"/>
      <c r="U1344" s="194" t="n"/>
      <c r="AA1344" s="25" t="n"/>
      <c r="AB1344" s="25" t="n"/>
      <c r="AC1344" s="195" t="n"/>
      <c r="AD1344" s="25" t="n"/>
      <c r="AE1344" s="25" t="n"/>
      <c r="AG1344" s="25" t="n"/>
      <c r="AH1344" s="25" t="n"/>
      <c r="AI1344" s="394" t="n"/>
      <c r="AM1344" s="48" t="n"/>
      <c r="AN1344" s="48" t="n"/>
      <c r="AO1344" s="48" t="n"/>
    </row>
    <row r="1345">
      <c r="M1345" s="25" t="n"/>
      <c r="O1345" s="90" t="n"/>
      <c r="Q1345" s="25" t="n"/>
      <c r="U1345" s="194" t="n"/>
      <c r="AA1345" s="25" t="n"/>
      <c r="AB1345" s="25" t="n"/>
      <c r="AC1345" s="195" t="n"/>
      <c r="AD1345" s="25" t="n"/>
      <c r="AE1345" s="25" t="n"/>
      <c r="AG1345" s="25" t="n"/>
      <c r="AH1345" s="25" t="n"/>
      <c r="AI1345" s="394" t="n"/>
      <c r="AM1345" s="48" t="n"/>
      <c r="AN1345" s="48" t="n"/>
      <c r="AO1345" s="48" t="n"/>
    </row>
    <row r="1346">
      <c r="M1346" s="25" t="n"/>
      <c r="O1346" s="90" t="n"/>
      <c r="Q1346" s="25" t="n"/>
      <c r="U1346" s="194" t="n"/>
      <c r="AA1346" s="25" t="n"/>
      <c r="AB1346" s="25" t="n"/>
      <c r="AC1346" s="195" t="n"/>
      <c r="AD1346" s="25" t="n"/>
      <c r="AE1346" s="25" t="n"/>
      <c r="AG1346" s="25" t="n"/>
      <c r="AH1346" s="25" t="n"/>
      <c r="AI1346" s="394" t="n"/>
      <c r="AM1346" s="48" t="n"/>
      <c r="AN1346" s="48" t="n"/>
      <c r="AO1346" s="48" t="n"/>
    </row>
    <row r="1347">
      <c r="M1347" s="25" t="n"/>
      <c r="Q1347" s="25" t="n"/>
      <c r="U1347" s="194" t="n"/>
      <c r="AA1347" s="25" t="n"/>
      <c r="AB1347" s="25" t="n"/>
      <c r="AC1347" s="195" t="n"/>
      <c r="AD1347" s="25" t="n"/>
      <c r="AE1347" s="25" t="n"/>
      <c r="AG1347" s="25" t="n"/>
      <c r="AH1347" s="25" t="n"/>
      <c r="AI1347" s="394" t="n"/>
      <c r="AM1347" s="48" t="n"/>
      <c r="AN1347" s="48" t="n"/>
      <c r="AO1347" s="48" t="n"/>
    </row>
    <row r="1348">
      <c r="M1348" s="25" t="n"/>
      <c r="Q1348" s="25" t="n"/>
      <c r="U1348" s="194" t="n"/>
      <c r="AA1348" s="25" t="n"/>
      <c r="AB1348" s="25" t="n"/>
      <c r="AC1348" s="195" t="n"/>
      <c r="AD1348" s="25" t="n"/>
      <c r="AE1348" s="25" t="n"/>
      <c r="AG1348" s="25" t="n"/>
      <c r="AH1348" s="25" t="n"/>
      <c r="AI1348" s="394" t="n"/>
      <c r="AM1348" s="48" t="n"/>
      <c r="AN1348" s="48" t="n"/>
      <c r="AO1348" s="48" t="n"/>
    </row>
    <row r="1349">
      <c r="M1349" s="25" t="n"/>
      <c r="Q1349" s="25" t="n"/>
      <c r="U1349" s="194" t="n"/>
      <c r="AA1349" s="25" t="n"/>
      <c r="AB1349" s="25" t="n"/>
      <c r="AC1349" s="195" t="n"/>
      <c r="AD1349" s="25" t="n"/>
      <c r="AE1349" s="25" t="n"/>
      <c r="AG1349" s="25" t="n"/>
      <c r="AH1349" s="25" t="n"/>
      <c r="AI1349" s="394" t="n"/>
      <c r="AM1349" s="48" t="n"/>
      <c r="AN1349" s="48" t="n"/>
      <c r="AO1349" s="48" t="n"/>
    </row>
    <row r="1350">
      <c r="M1350" s="25" t="n"/>
      <c r="Q1350" s="25" t="n"/>
      <c r="U1350" s="194" t="n"/>
      <c r="AA1350" s="25" t="n"/>
      <c r="AB1350" s="25" t="n"/>
      <c r="AC1350" s="195" t="n"/>
      <c r="AD1350" s="25" t="n"/>
      <c r="AE1350" s="25" t="n"/>
      <c r="AG1350" s="25" t="n"/>
      <c r="AH1350" s="25" t="n"/>
      <c r="AI1350" s="394" t="n"/>
      <c r="AM1350" s="48" t="n"/>
      <c r="AN1350" s="48" t="n"/>
      <c r="AO1350" s="48" t="n"/>
    </row>
    <row r="1351">
      <c r="M1351" s="25" t="n"/>
      <c r="Q1351" s="25" t="n"/>
      <c r="U1351" s="194" t="n"/>
      <c r="AA1351" s="25" t="n"/>
      <c r="AB1351" s="25" t="n"/>
      <c r="AC1351" s="195" t="n"/>
      <c r="AD1351" s="25" t="n"/>
      <c r="AE1351" s="25" t="n"/>
      <c r="AG1351" s="25" t="n"/>
      <c r="AH1351" s="25" t="n"/>
      <c r="AI1351" s="394" t="n"/>
      <c r="AM1351" s="48" t="n"/>
      <c r="AN1351" s="48" t="n"/>
      <c r="AO1351" s="48" t="n"/>
    </row>
    <row r="1352">
      <c r="M1352" s="25" t="n"/>
      <c r="Q1352" s="25" t="n"/>
      <c r="U1352" s="194" t="n"/>
      <c r="AA1352" s="25" t="n"/>
      <c r="AB1352" s="25" t="n"/>
      <c r="AC1352" s="195" t="n"/>
      <c r="AD1352" s="25" t="n"/>
      <c r="AE1352" s="25" t="n"/>
      <c r="AG1352" s="25" t="n"/>
      <c r="AH1352" s="25" t="n"/>
      <c r="AI1352" s="394" t="n"/>
      <c r="AM1352" s="48" t="n"/>
      <c r="AN1352" s="48" t="n"/>
      <c r="AO1352" s="48" t="n"/>
    </row>
    <row r="1353">
      <c r="M1353" s="25" t="n"/>
      <c r="Q1353" s="25" t="n"/>
      <c r="U1353" s="194" t="n"/>
      <c r="AA1353" s="25" t="n"/>
      <c r="AB1353" s="25" t="n"/>
      <c r="AC1353" s="195" t="n"/>
      <c r="AD1353" s="25" t="n"/>
      <c r="AE1353" s="25" t="n"/>
      <c r="AG1353" s="25" t="n"/>
      <c r="AH1353" s="25" t="n"/>
      <c r="AI1353" s="394" t="n"/>
      <c r="AM1353" s="48" t="n"/>
      <c r="AN1353" s="48" t="n"/>
      <c r="AO1353" s="48" t="n"/>
    </row>
    <row r="1354">
      <c r="M1354" s="25" t="n"/>
      <c r="Q1354" s="25" t="n"/>
      <c r="U1354" s="194" t="n"/>
      <c r="AA1354" s="25" t="n"/>
      <c r="AB1354" s="25" t="n"/>
      <c r="AC1354" s="195" t="n"/>
      <c r="AD1354" s="25" t="n"/>
      <c r="AE1354" s="25" t="n"/>
      <c r="AG1354" s="25" t="n"/>
      <c r="AH1354" s="25" t="n"/>
      <c r="AI1354" s="394" t="n"/>
      <c r="AM1354" s="48" t="n"/>
      <c r="AN1354" s="48" t="n"/>
      <c r="AO1354" s="48" t="n"/>
    </row>
    <row r="1355">
      <c r="M1355" s="25" t="n"/>
      <c r="Q1355" s="25" t="n"/>
      <c r="U1355" s="194" t="n"/>
      <c r="AA1355" s="25" t="n"/>
      <c r="AB1355" s="25" t="n"/>
      <c r="AC1355" s="195" t="n"/>
      <c r="AD1355" s="25" t="n"/>
      <c r="AE1355" s="25" t="n"/>
      <c r="AG1355" s="25" t="n"/>
      <c r="AH1355" s="25" t="n"/>
      <c r="AI1355" s="394" t="n"/>
      <c r="AM1355" s="48" t="n"/>
      <c r="AN1355" s="48" t="n"/>
      <c r="AO1355" s="48" t="n"/>
    </row>
    <row r="1356">
      <c r="M1356" s="25" t="n"/>
      <c r="Q1356" s="25" t="n"/>
      <c r="U1356" s="194" t="n"/>
      <c r="AA1356" s="25" t="n"/>
      <c r="AB1356" s="25" t="n"/>
      <c r="AC1356" s="195" t="n"/>
      <c r="AD1356" s="25" t="n"/>
      <c r="AE1356" s="25" t="n"/>
      <c r="AG1356" s="25" t="n"/>
      <c r="AH1356" s="25" t="n"/>
      <c r="AI1356" s="394" t="n"/>
      <c r="AM1356" s="48" t="n"/>
      <c r="AN1356" s="48" t="n"/>
      <c r="AO1356" s="48" t="n"/>
    </row>
    <row r="1357">
      <c r="M1357" s="25" t="n"/>
      <c r="Q1357" s="25" t="n"/>
      <c r="U1357" s="194" t="n"/>
      <c r="AA1357" s="25" t="n"/>
      <c r="AB1357" s="25" t="n"/>
      <c r="AC1357" s="195" t="n"/>
      <c r="AD1357" s="25" t="n"/>
      <c r="AE1357" s="25" t="n"/>
      <c r="AG1357" s="25" t="n"/>
      <c r="AH1357" s="25" t="n"/>
      <c r="AI1357" s="394" t="n"/>
      <c r="AM1357" s="48" t="n"/>
      <c r="AN1357" s="48" t="n"/>
      <c r="AO1357" s="48" t="n"/>
    </row>
    <row r="1358">
      <c r="M1358" s="25" t="n"/>
      <c r="Q1358" s="25" t="n"/>
      <c r="U1358" s="194" t="n"/>
      <c r="AA1358" s="25" t="n"/>
      <c r="AB1358" s="25" t="n"/>
      <c r="AC1358" s="195" t="n"/>
      <c r="AD1358" s="25" t="n"/>
      <c r="AE1358" s="25" t="n"/>
      <c r="AG1358" s="25" t="n"/>
      <c r="AH1358" s="25" t="n"/>
      <c r="AI1358" s="394" t="n"/>
      <c r="AM1358" s="48" t="n"/>
      <c r="AN1358" s="48" t="n"/>
      <c r="AO1358" s="48" t="n"/>
    </row>
    <row r="1359">
      <c r="M1359" s="25" t="n"/>
      <c r="Q1359" s="25" t="n"/>
      <c r="U1359" s="194" t="n"/>
      <c r="AA1359" s="25" t="n"/>
      <c r="AB1359" s="25" t="n"/>
      <c r="AC1359" s="195" t="n"/>
      <c r="AD1359" s="25" t="n"/>
      <c r="AE1359" s="25" t="n"/>
      <c r="AG1359" s="25" t="n"/>
      <c r="AH1359" s="25" t="n"/>
      <c r="AI1359" s="394" t="n"/>
      <c r="AM1359" s="48" t="n"/>
      <c r="AN1359" s="48" t="n"/>
      <c r="AO1359" s="48" t="n"/>
    </row>
    <row r="1360">
      <c r="M1360" s="25" t="n"/>
      <c r="Q1360" s="25" t="n"/>
      <c r="U1360" s="194" t="n"/>
      <c r="AA1360" s="25" t="n"/>
      <c r="AB1360" s="25" t="n"/>
      <c r="AC1360" s="195" t="n"/>
      <c r="AD1360" s="25" t="n"/>
      <c r="AE1360" s="25" t="n"/>
      <c r="AG1360" s="25" t="n"/>
      <c r="AH1360" s="25" t="n"/>
      <c r="AI1360" s="394" t="n"/>
      <c r="AM1360" s="48" t="n"/>
      <c r="AN1360" s="48" t="n"/>
      <c r="AO1360" s="48" t="n"/>
    </row>
    <row r="1361">
      <c r="M1361" s="25" t="n"/>
      <c r="Q1361" s="25" t="n"/>
      <c r="U1361" s="194" t="n"/>
      <c r="AA1361" s="25" t="n"/>
      <c r="AB1361" s="25" t="n"/>
      <c r="AC1361" s="195" t="n"/>
      <c r="AD1361" s="25" t="n"/>
      <c r="AE1361" s="25" t="n"/>
      <c r="AG1361" s="25" t="n"/>
      <c r="AH1361" s="25" t="n"/>
      <c r="AI1361" s="394" t="n"/>
      <c r="AM1361" s="48" t="n"/>
      <c r="AN1361" s="48" t="n"/>
      <c r="AO1361" s="48" t="n"/>
    </row>
    <row r="1362">
      <c r="M1362" s="25" t="n"/>
      <c r="Q1362" s="25" t="n"/>
      <c r="U1362" s="194" t="n"/>
      <c r="AA1362" s="25" t="n"/>
      <c r="AB1362" s="25" t="n"/>
      <c r="AC1362" s="195" t="n"/>
      <c r="AD1362" s="25" t="n"/>
      <c r="AE1362" s="25" t="n"/>
      <c r="AG1362" s="25" t="n"/>
      <c r="AH1362" s="25" t="n"/>
      <c r="AI1362" s="394" t="n"/>
      <c r="AM1362" s="48" t="n"/>
      <c r="AN1362" s="48" t="n"/>
      <c r="AO1362" s="48" t="n"/>
    </row>
    <row r="1363">
      <c r="M1363" s="25" t="n"/>
      <c r="Q1363" s="25" t="n"/>
      <c r="U1363" s="194" t="n"/>
      <c r="AA1363" s="25" t="n"/>
      <c r="AB1363" s="25" t="n"/>
      <c r="AC1363" s="195" t="n"/>
      <c r="AD1363" s="25" t="n"/>
      <c r="AE1363" s="25" t="n"/>
      <c r="AG1363" s="25" t="n"/>
      <c r="AH1363" s="25" t="n"/>
      <c r="AI1363" s="394" t="n"/>
      <c r="AM1363" s="48" t="n"/>
      <c r="AN1363" s="48" t="n"/>
      <c r="AO1363" s="48" t="n"/>
    </row>
    <row r="1364">
      <c r="M1364" s="25" t="n"/>
      <c r="Q1364" s="25" t="n"/>
      <c r="U1364" s="194" t="n"/>
      <c r="AA1364" s="25" t="n"/>
      <c r="AB1364" s="25" t="n"/>
      <c r="AC1364" s="195" t="n"/>
      <c r="AD1364" s="25" t="n"/>
      <c r="AE1364" s="25" t="n"/>
      <c r="AG1364" s="25" t="n"/>
      <c r="AH1364" s="25" t="n"/>
      <c r="AI1364" s="394" t="n"/>
      <c r="AM1364" s="48" t="n"/>
      <c r="AN1364" s="48" t="n"/>
      <c r="AO1364" s="48" t="n"/>
    </row>
    <row r="1365">
      <c r="M1365" s="25" t="n"/>
      <c r="Q1365" s="25" t="n"/>
      <c r="U1365" s="194" t="n"/>
      <c r="AA1365" s="25" t="n"/>
      <c r="AB1365" s="25" t="n"/>
      <c r="AC1365" s="195" t="n"/>
      <c r="AD1365" s="25" t="n"/>
      <c r="AE1365" s="25" t="n"/>
      <c r="AG1365" s="25" t="n"/>
      <c r="AH1365" s="25" t="n"/>
      <c r="AI1365" s="394" t="n"/>
      <c r="AM1365" s="48" t="n"/>
      <c r="AN1365" s="48" t="n"/>
      <c r="AO1365" s="48" t="n"/>
    </row>
    <row r="1366">
      <c r="M1366" s="25" t="n"/>
      <c r="Q1366" s="25" t="n"/>
      <c r="U1366" s="194" t="n"/>
      <c r="AA1366" s="25" t="n"/>
      <c r="AB1366" s="25" t="n"/>
      <c r="AC1366" s="195" t="n"/>
      <c r="AD1366" s="25" t="n"/>
      <c r="AE1366" s="25" t="n"/>
      <c r="AG1366" s="25" t="n"/>
      <c r="AH1366" s="25" t="n"/>
      <c r="AI1366" s="394" t="n"/>
      <c r="AM1366" s="48" t="n"/>
      <c r="AN1366" s="48" t="n"/>
      <c r="AO1366" s="48" t="n"/>
    </row>
    <row r="1367">
      <c r="M1367" s="25" t="n"/>
      <c r="Q1367" s="25" t="n"/>
      <c r="U1367" s="194" t="n"/>
      <c r="AA1367" s="25" t="n"/>
      <c r="AB1367" s="25" t="n"/>
      <c r="AC1367" s="195" t="n"/>
      <c r="AD1367" s="25" t="n"/>
      <c r="AE1367" s="25" t="n"/>
      <c r="AG1367" s="25" t="n"/>
      <c r="AH1367" s="25" t="n"/>
      <c r="AI1367" s="394" t="n"/>
      <c r="AM1367" s="48" t="n"/>
      <c r="AN1367" s="48" t="n"/>
      <c r="AO1367" s="48" t="n"/>
    </row>
    <row r="1368">
      <c r="M1368" s="25" t="n"/>
      <c r="Q1368" s="25" t="n"/>
      <c r="U1368" s="194" t="n"/>
      <c r="AA1368" s="25" t="n"/>
      <c r="AB1368" s="25" t="n"/>
      <c r="AC1368" s="195" t="n"/>
      <c r="AD1368" s="25" t="n"/>
      <c r="AE1368" s="25" t="n"/>
      <c r="AG1368" s="25" t="n"/>
      <c r="AH1368" s="25" t="n"/>
      <c r="AI1368" s="394" t="n"/>
      <c r="AM1368" s="48" t="n"/>
      <c r="AN1368" s="48" t="n"/>
      <c r="AO1368" s="48" t="n"/>
    </row>
    <row r="1369">
      <c r="E1369" s="90" t="n"/>
      <c r="M1369" s="25" t="n"/>
      <c r="Q1369" s="25" t="n"/>
      <c r="U1369" s="194" t="n"/>
      <c r="AA1369" s="25" t="n"/>
      <c r="AB1369" s="25" t="n"/>
      <c r="AC1369" s="195" t="n"/>
      <c r="AD1369" s="25" t="n"/>
      <c r="AE1369" s="25" t="n"/>
      <c r="AG1369" s="25" t="n"/>
      <c r="AH1369" s="25" t="n"/>
      <c r="AI1369" s="394" t="n"/>
      <c r="AM1369" s="48" t="n"/>
      <c r="AN1369" s="48" t="n"/>
      <c r="AO1369" s="48" t="n"/>
    </row>
    <row r="1370">
      <c r="E1370" s="90" t="n"/>
      <c r="M1370" s="25" t="n"/>
      <c r="Q1370" s="25" t="n"/>
      <c r="U1370" s="194" t="n"/>
      <c r="AA1370" s="25" t="n"/>
      <c r="AB1370" s="25" t="n"/>
      <c r="AC1370" s="195" t="n"/>
      <c r="AD1370" s="25" t="n"/>
      <c r="AE1370" s="25" t="n"/>
      <c r="AG1370" s="25" t="n"/>
      <c r="AH1370" s="25" t="n"/>
      <c r="AI1370" s="394" t="n"/>
      <c r="AM1370" s="48" t="n"/>
      <c r="AN1370" s="48" t="n"/>
      <c r="AO1370" s="48" t="n"/>
    </row>
    <row r="1371">
      <c r="E1371" s="90" t="n"/>
      <c r="M1371" s="25" t="n"/>
      <c r="Q1371" s="25" t="n"/>
      <c r="U1371" s="194" t="n"/>
      <c r="AA1371" s="25" t="n"/>
      <c r="AB1371" s="25" t="n"/>
      <c r="AC1371" s="195" t="n"/>
      <c r="AD1371" s="25" t="n"/>
      <c r="AE1371" s="25" t="n"/>
      <c r="AG1371" s="25" t="n"/>
      <c r="AH1371" s="25" t="n"/>
      <c r="AI1371" s="394" t="n"/>
      <c r="AM1371" s="48" t="n"/>
      <c r="AN1371" s="48" t="n"/>
      <c r="AO1371" s="48" t="n"/>
    </row>
    <row r="1372">
      <c r="E1372" s="90" t="n"/>
      <c r="M1372" s="25" t="n"/>
      <c r="Q1372" s="25" t="n"/>
      <c r="U1372" s="194" t="n"/>
      <c r="AA1372" s="25" t="n"/>
      <c r="AB1372" s="25" t="n"/>
      <c r="AC1372" s="195" t="n"/>
      <c r="AD1372" s="25" t="n"/>
      <c r="AE1372" s="25" t="n"/>
      <c r="AG1372" s="25" t="n"/>
      <c r="AH1372" s="25" t="n"/>
      <c r="AI1372" s="394" t="n"/>
      <c r="AM1372" s="48" t="n"/>
      <c r="AN1372" s="48" t="n"/>
      <c r="AO1372" s="48" t="n"/>
    </row>
    <row r="1373">
      <c r="E1373" s="90" t="n"/>
      <c r="M1373" s="25" t="n"/>
      <c r="Q1373" s="25" t="n"/>
      <c r="U1373" s="194" t="n"/>
      <c r="AA1373" s="25" t="n"/>
      <c r="AB1373" s="25" t="n"/>
      <c r="AC1373" s="195" t="n"/>
      <c r="AD1373" s="25" t="n"/>
      <c r="AE1373" s="25" t="n"/>
      <c r="AG1373" s="25" t="n"/>
      <c r="AH1373" s="25" t="n"/>
      <c r="AI1373" s="394" t="n"/>
      <c r="AM1373" s="48" t="n"/>
      <c r="AN1373" s="48" t="n"/>
      <c r="AO1373" s="48" t="n"/>
    </row>
    <row r="1374">
      <c r="E1374" s="90" t="n"/>
      <c r="M1374" s="25" t="n"/>
      <c r="Q1374" s="25" t="n"/>
      <c r="U1374" s="194" t="n"/>
      <c r="AA1374" s="25" t="n"/>
      <c r="AB1374" s="25" t="n"/>
      <c r="AC1374" s="195" t="n"/>
      <c r="AD1374" s="25" t="n"/>
      <c r="AE1374" s="25" t="n"/>
      <c r="AG1374" s="25" t="n"/>
      <c r="AH1374" s="25" t="n"/>
      <c r="AI1374" s="394" t="n"/>
      <c r="AM1374" s="48" t="n"/>
      <c r="AN1374" s="48" t="n"/>
      <c r="AO1374" s="48" t="n"/>
    </row>
    <row r="1375">
      <c r="E1375" s="90" t="n"/>
      <c r="M1375" s="25" t="n"/>
      <c r="Q1375" s="25" t="n"/>
      <c r="U1375" s="194" t="n"/>
      <c r="AA1375" s="25" t="n"/>
      <c r="AB1375" s="25" t="n"/>
      <c r="AC1375" s="195" t="n"/>
      <c r="AD1375" s="25" t="n"/>
      <c r="AE1375" s="25" t="n"/>
      <c r="AG1375" s="25" t="n"/>
      <c r="AH1375" s="25" t="n"/>
      <c r="AI1375" s="394" t="n"/>
      <c r="AM1375" s="48" t="n"/>
      <c r="AN1375" s="48" t="n"/>
      <c r="AO1375" s="48" t="n"/>
    </row>
    <row r="1376">
      <c r="E1376" s="90" t="n"/>
      <c r="M1376" s="25" t="n"/>
      <c r="Q1376" s="25" t="n"/>
      <c r="U1376" s="194" t="n"/>
      <c r="AA1376" s="25" t="n"/>
      <c r="AB1376" s="25" t="n"/>
      <c r="AC1376" s="195" t="n"/>
      <c r="AD1376" s="25" t="n"/>
      <c r="AE1376" s="25" t="n"/>
      <c r="AG1376" s="25" t="n"/>
      <c r="AH1376" s="25" t="n"/>
      <c r="AI1376" s="394" t="n"/>
      <c r="AM1376" s="48" t="n"/>
      <c r="AN1376" s="48" t="n"/>
      <c r="AO1376" s="48" t="n"/>
    </row>
    <row r="1377">
      <c r="E1377" s="90" t="n"/>
      <c r="M1377" s="25" t="n"/>
      <c r="Q1377" s="25" t="n"/>
      <c r="U1377" s="194" t="n"/>
      <c r="AA1377" s="25" t="n"/>
      <c r="AB1377" s="25" t="n"/>
      <c r="AC1377" s="195" t="n"/>
      <c r="AD1377" s="25" t="n"/>
      <c r="AE1377" s="25" t="n"/>
      <c r="AG1377" s="25" t="n"/>
      <c r="AH1377" s="25" t="n"/>
      <c r="AI1377" s="394" t="n"/>
      <c r="AM1377" s="48" t="n"/>
      <c r="AN1377" s="48" t="n"/>
      <c r="AO1377" s="48" t="n"/>
    </row>
    <row r="1378">
      <c r="E1378" s="90" t="n"/>
      <c r="M1378" s="25" t="n"/>
      <c r="Q1378" s="25" t="n"/>
      <c r="U1378" s="194" t="n"/>
      <c r="AA1378" s="25" t="n"/>
      <c r="AB1378" s="25" t="n"/>
      <c r="AC1378" s="195" t="n"/>
      <c r="AD1378" s="25" t="n"/>
      <c r="AE1378" s="25" t="n"/>
      <c r="AG1378" s="25" t="n"/>
      <c r="AH1378" s="25" t="n"/>
      <c r="AI1378" s="394" t="n"/>
      <c r="AM1378" s="48" t="n"/>
      <c r="AN1378" s="48" t="n"/>
      <c r="AO1378" s="48" t="n"/>
    </row>
    <row r="1379">
      <c r="E1379" s="90" t="n"/>
      <c r="M1379" s="25" t="n"/>
      <c r="Q1379" s="25" t="n"/>
      <c r="U1379" s="194" t="n"/>
      <c r="AA1379" s="25" t="n"/>
      <c r="AB1379" s="25" t="n"/>
      <c r="AC1379" s="195" t="n"/>
      <c r="AD1379" s="25" t="n"/>
      <c r="AE1379" s="25" t="n"/>
      <c r="AG1379" s="25" t="n"/>
      <c r="AH1379" s="25" t="n"/>
      <c r="AI1379" s="394" t="n"/>
      <c r="AM1379" s="48" t="n"/>
      <c r="AN1379" s="48" t="n"/>
      <c r="AO1379" s="48" t="n"/>
    </row>
    <row r="1380">
      <c r="E1380" s="90" t="n"/>
      <c r="M1380" s="25" t="n"/>
      <c r="Q1380" s="25" t="n"/>
      <c r="U1380" s="194" t="n"/>
      <c r="AA1380" s="25" t="n"/>
      <c r="AB1380" s="25" t="n"/>
      <c r="AC1380" s="195" t="n"/>
      <c r="AD1380" s="25" t="n"/>
      <c r="AE1380" s="25" t="n"/>
      <c r="AG1380" s="25" t="n"/>
      <c r="AH1380" s="25" t="n"/>
      <c r="AI1380" s="394" t="n"/>
      <c r="AM1380" s="48" t="n"/>
      <c r="AN1380" s="48" t="n"/>
      <c r="AO1380" s="48" t="n"/>
    </row>
    <row r="1381">
      <c r="E1381" s="90" t="n"/>
      <c r="M1381" s="25" t="n"/>
      <c r="Q1381" s="25" t="n"/>
      <c r="U1381" s="194" t="n"/>
      <c r="AA1381" s="25" t="n"/>
      <c r="AB1381" s="25" t="n"/>
      <c r="AC1381" s="195" t="n"/>
      <c r="AD1381" s="25" t="n"/>
      <c r="AE1381" s="25" t="n"/>
      <c r="AG1381" s="25" t="n"/>
      <c r="AH1381" s="25" t="n"/>
      <c r="AI1381" s="394" t="n"/>
      <c r="AM1381" s="48" t="n"/>
      <c r="AN1381" s="48" t="n"/>
      <c r="AO1381" s="48" t="n"/>
    </row>
    <row r="1382">
      <c r="E1382" s="90" t="n"/>
      <c r="M1382" s="25" t="n"/>
      <c r="Q1382" s="25" t="n"/>
      <c r="U1382" s="194" t="n"/>
      <c r="AA1382" s="25" t="n"/>
      <c r="AB1382" s="25" t="n"/>
      <c r="AC1382" s="195" t="n"/>
      <c r="AD1382" s="25" t="n"/>
      <c r="AE1382" s="25" t="n"/>
      <c r="AG1382" s="25" t="n"/>
      <c r="AH1382" s="25" t="n"/>
      <c r="AI1382" s="394" t="n"/>
      <c r="AM1382" s="48" t="n"/>
      <c r="AN1382" s="48" t="n"/>
      <c r="AO1382" s="48" t="n"/>
    </row>
    <row r="1383">
      <c r="E1383" s="90" t="n"/>
      <c r="M1383" s="25" t="n"/>
      <c r="Q1383" s="25" t="n"/>
      <c r="U1383" s="194" t="n"/>
      <c r="AA1383" s="25" t="n"/>
      <c r="AB1383" s="25" t="n"/>
      <c r="AC1383" s="195" t="n"/>
      <c r="AD1383" s="25" t="n"/>
      <c r="AE1383" s="25" t="n"/>
      <c r="AG1383" s="25" t="n"/>
      <c r="AH1383" s="25" t="n"/>
      <c r="AI1383" s="394" t="n"/>
      <c r="AM1383" s="48" t="n"/>
      <c r="AN1383" s="48" t="n"/>
      <c r="AO1383" s="48" t="n"/>
    </row>
    <row r="1384">
      <c r="E1384" s="90" t="n"/>
      <c r="M1384" s="25" t="n"/>
      <c r="Q1384" s="25" t="n"/>
      <c r="U1384" s="194" t="n"/>
      <c r="AA1384" s="25" t="n"/>
      <c r="AB1384" s="25" t="n"/>
      <c r="AC1384" s="195" t="n"/>
      <c r="AD1384" s="25" t="n"/>
      <c r="AE1384" s="25" t="n"/>
      <c r="AG1384" s="25" t="n"/>
      <c r="AH1384" s="25" t="n"/>
      <c r="AI1384" s="394" t="n"/>
      <c r="AM1384" s="48" t="n"/>
      <c r="AN1384" s="48" t="n"/>
      <c r="AO1384" s="48" t="n"/>
    </row>
    <row r="1385">
      <c r="E1385" s="90" t="n"/>
      <c r="M1385" s="25" t="n"/>
      <c r="Q1385" s="25" t="n"/>
      <c r="U1385" s="194" t="n"/>
      <c r="AA1385" s="25" t="n"/>
      <c r="AB1385" s="25" t="n"/>
      <c r="AC1385" s="195" t="n"/>
      <c r="AD1385" s="25" t="n"/>
      <c r="AE1385" s="25" t="n"/>
      <c r="AG1385" s="25" t="n"/>
      <c r="AH1385" s="25" t="n"/>
      <c r="AI1385" s="394" t="n"/>
      <c r="AM1385" s="48" t="n"/>
      <c r="AN1385" s="48" t="n"/>
      <c r="AO1385" s="48" t="n"/>
    </row>
    <row r="1386">
      <c r="E1386" s="90" t="n"/>
      <c r="M1386" s="25" t="n"/>
      <c r="Q1386" s="25" t="n"/>
      <c r="U1386" s="194" t="n"/>
      <c r="AA1386" s="25" t="n"/>
      <c r="AB1386" s="25" t="n"/>
      <c r="AC1386" s="195" t="n"/>
      <c r="AD1386" s="25" t="n"/>
      <c r="AE1386" s="25" t="n"/>
      <c r="AG1386" s="25" t="n"/>
      <c r="AH1386" s="25" t="n"/>
      <c r="AI1386" s="394" t="n"/>
      <c r="AM1386" s="48" t="n"/>
      <c r="AN1386" s="48" t="n"/>
      <c r="AO1386" s="48" t="n"/>
    </row>
    <row r="1387">
      <c r="E1387" s="90" t="n"/>
      <c r="M1387" s="25" t="n"/>
      <c r="Q1387" s="25" t="n"/>
      <c r="U1387" s="194" t="n"/>
      <c r="AA1387" s="25" t="n"/>
      <c r="AB1387" s="25" t="n"/>
      <c r="AC1387" s="195" t="n"/>
      <c r="AD1387" s="25" t="n"/>
      <c r="AE1387" s="25" t="n"/>
      <c r="AG1387" s="25" t="n"/>
      <c r="AH1387" s="25" t="n"/>
      <c r="AI1387" s="394" t="n"/>
      <c r="AM1387" s="48" t="n"/>
      <c r="AN1387" s="48" t="n"/>
      <c r="AO1387" s="48" t="n"/>
    </row>
    <row r="1388">
      <c r="M1388" s="25" t="n"/>
      <c r="Q1388" s="25" t="n"/>
      <c r="U1388" s="194" t="n"/>
      <c r="AA1388" s="25" t="n"/>
      <c r="AB1388" s="25" t="n"/>
      <c r="AC1388" s="195" t="n"/>
      <c r="AD1388" s="25" t="n"/>
      <c r="AE1388" s="25" t="n"/>
      <c r="AG1388" s="25" t="n"/>
      <c r="AH1388" s="25" t="n"/>
      <c r="AI1388" s="394" t="n"/>
      <c r="AM1388" s="48" t="n"/>
      <c r="AN1388" s="48" t="n"/>
      <c r="AO1388" s="48" t="n"/>
    </row>
    <row r="1389">
      <c r="M1389" s="25" t="n"/>
      <c r="Q1389" s="25" t="n"/>
      <c r="U1389" s="194" t="n"/>
      <c r="AA1389" s="25" t="n"/>
      <c r="AB1389" s="25" t="n"/>
      <c r="AC1389" s="195" t="n"/>
      <c r="AD1389" s="25" t="n"/>
      <c r="AE1389" s="25" t="n"/>
      <c r="AG1389" s="25" t="n"/>
      <c r="AH1389" s="25" t="n"/>
      <c r="AI1389" s="394" t="n"/>
      <c r="AM1389" s="48" t="n"/>
      <c r="AN1389" s="48" t="n"/>
      <c r="AO1389" s="48" t="n"/>
    </row>
    <row r="1390">
      <c r="M1390" s="25" t="n"/>
      <c r="Q1390" s="25" t="n"/>
      <c r="U1390" s="194" t="n"/>
      <c r="AA1390" s="25" t="n"/>
      <c r="AB1390" s="25" t="n"/>
      <c r="AC1390" s="195" t="n"/>
      <c r="AD1390" s="25" t="n"/>
      <c r="AE1390" s="25" t="n"/>
      <c r="AG1390" s="25" t="n"/>
      <c r="AH1390" s="25" t="n"/>
      <c r="AI1390" s="394" t="n"/>
      <c r="AM1390" s="48" t="n"/>
      <c r="AN1390" s="48" t="n"/>
      <c r="AO1390" s="48" t="n"/>
    </row>
    <row r="1391">
      <c r="M1391" s="25" t="n"/>
      <c r="Q1391" s="25" t="n"/>
      <c r="U1391" s="194" t="n"/>
      <c r="AA1391" s="25" t="n"/>
      <c r="AB1391" s="25" t="n"/>
      <c r="AC1391" s="195" t="n"/>
      <c r="AD1391" s="25" t="n"/>
      <c r="AE1391" s="25" t="n"/>
      <c r="AG1391" s="25" t="n"/>
      <c r="AH1391" s="25" t="n"/>
      <c r="AI1391" s="394" t="n"/>
      <c r="AM1391" s="48" t="n"/>
      <c r="AN1391" s="48" t="n"/>
      <c r="AO1391" s="48" t="n"/>
    </row>
    <row r="1392">
      <c r="M1392" s="25" t="n"/>
      <c r="O1392" s="90" t="n"/>
      <c r="Q1392" s="25" t="n"/>
      <c r="U1392" s="194" t="n"/>
      <c r="AA1392" s="25" t="n"/>
      <c r="AB1392" s="25" t="n"/>
      <c r="AC1392" s="195" t="n"/>
      <c r="AD1392" s="25" t="n"/>
      <c r="AE1392" s="25" t="n"/>
      <c r="AG1392" s="25" t="n"/>
      <c r="AH1392" s="25" t="n"/>
      <c r="AI1392" s="394" t="n"/>
      <c r="AM1392" s="48" t="n"/>
      <c r="AN1392" s="48" t="n"/>
      <c r="AO1392" s="48" t="n"/>
    </row>
    <row r="1393">
      <c r="M1393" s="25" t="n"/>
      <c r="Q1393" s="25" t="n"/>
      <c r="U1393" s="194" t="n"/>
      <c r="AA1393" s="25" t="n"/>
      <c r="AB1393" s="25" t="n"/>
      <c r="AC1393" s="195" t="n"/>
      <c r="AD1393" s="25" t="n"/>
      <c r="AE1393" s="25" t="n"/>
      <c r="AG1393" s="25" t="n"/>
      <c r="AH1393" s="25" t="n"/>
      <c r="AI1393" s="394" t="n"/>
      <c r="AM1393" s="48" t="n"/>
      <c r="AN1393" s="48" t="n"/>
      <c r="AO1393" s="48" t="n"/>
    </row>
    <row r="1394">
      <c r="M1394" s="25" t="n"/>
      <c r="Q1394" s="25" t="n"/>
      <c r="U1394" s="194" t="n"/>
      <c r="AA1394" s="25" t="n"/>
      <c r="AB1394" s="25" t="n"/>
      <c r="AC1394" s="195" t="n"/>
      <c r="AD1394" s="25" t="n"/>
      <c r="AE1394" s="25" t="n"/>
      <c r="AG1394" s="25" t="n"/>
      <c r="AH1394" s="25" t="n"/>
      <c r="AI1394" s="394" t="n"/>
      <c r="AM1394" s="48" t="n"/>
      <c r="AN1394" s="48" t="n"/>
      <c r="AO1394" s="48" t="n"/>
    </row>
    <row r="1395">
      <c r="M1395" s="25" t="n"/>
      <c r="Q1395" s="25" t="n"/>
      <c r="U1395" s="194" t="n"/>
      <c r="AA1395" s="25" t="n"/>
      <c r="AB1395" s="25" t="n"/>
      <c r="AC1395" s="195" t="n"/>
      <c r="AD1395" s="25" t="n"/>
      <c r="AE1395" s="25" t="n"/>
      <c r="AG1395" s="25" t="n"/>
      <c r="AH1395" s="25" t="n"/>
      <c r="AI1395" s="394" t="n"/>
      <c r="AM1395" s="48" t="n"/>
      <c r="AN1395" s="48" t="n"/>
      <c r="AO1395" s="48" t="n"/>
    </row>
    <row r="1396">
      <c r="M1396" s="25" t="n"/>
      <c r="Q1396" s="25" t="n"/>
      <c r="U1396" s="194" t="n"/>
      <c r="AA1396" s="25" t="n"/>
      <c r="AB1396" s="25" t="n"/>
      <c r="AC1396" s="195" t="n"/>
      <c r="AD1396" s="25" t="n"/>
      <c r="AE1396" s="25" t="n"/>
      <c r="AG1396" s="25" t="n"/>
      <c r="AH1396" s="25" t="n"/>
      <c r="AI1396" s="394" t="n"/>
      <c r="AM1396" s="48" t="n"/>
      <c r="AN1396" s="48" t="n"/>
      <c r="AO1396" s="48" t="n"/>
    </row>
    <row r="1397">
      <c r="M1397" s="25" t="n"/>
      <c r="Q1397" s="25" t="n"/>
      <c r="U1397" s="194" t="n"/>
      <c r="AA1397" s="25" t="n"/>
      <c r="AB1397" s="25" t="n"/>
      <c r="AC1397" s="195" t="n"/>
      <c r="AD1397" s="25" t="n"/>
      <c r="AE1397" s="25" t="n"/>
      <c r="AG1397" s="25" t="n"/>
      <c r="AH1397" s="25" t="n"/>
      <c r="AI1397" s="394" t="n"/>
      <c r="AM1397" s="48" t="n"/>
      <c r="AN1397" s="48" t="n"/>
      <c r="AO1397" s="48" t="n"/>
    </row>
    <row r="1398">
      <c r="M1398" s="25" t="n"/>
      <c r="Q1398" s="25" t="n"/>
      <c r="U1398" s="194" t="n"/>
      <c r="AA1398" s="25" t="n"/>
      <c r="AB1398" s="25" t="n"/>
      <c r="AC1398" s="195" t="n"/>
      <c r="AD1398" s="25" t="n"/>
      <c r="AE1398" s="25" t="n"/>
      <c r="AG1398" s="25" t="n"/>
      <c r="AH1398" s="25" t="n"/>
      <c r="AI1398" s="394" t="n"/>
      <c r="AM1398" s="48" t="n"/>
      <c r="AN1398" s="48" t="n"/>
      <c r="AO1398" s="48" t="n"/>
    </row>
    <row r="1399">
      <c r="M1399" s="25" t="n"/>
      <c r="Q1399" s="25" t="n"/>
      <c r="U1399" s="194" t="n"/>
      <c r="AA1399" s="25" t="n"/>
      <c r="AB1399" s="25" t="n"/>
      <c r="AC1399" s="195" t="n"/>
      <c r="AD1399" s="25" t="n"/>
      <c r="AE1399" s="25" t="n"/>
      <c r="AG1399" s="25" t="n"/>
      <c r="AH1399" s="25" t="n"/>
      <c r="AI1399" s="394" t="n"/>
      <c r="AM1399" s="48" t="n"/>
      <c r="AN1399" s="48" t="n"/>
      <c r="AO1399" s="48" t="n"/>
    </row>
    <row r="1400">
      <c r="M1400" s="25" t="n"/>
      <c r="Q1400" s="25" t="n"/>
      <c r="U1400" s="194" t="n"/>
      <c r="AA1400" s="25" t="n"/>
      <c r="AB1400" s="25" t="n"/>
      <c r="AC1400" s="195" t="n"/>
      <c r="AD1400" s="25" t="n"/>
      <c r="AE1400" s="25" t="n"/>
      <c r="AG1400" s="25" t="n"/>
      <c r="AH1400" s="25" t="n"/>
      <c r="AI1400" s="394" t="n"/>
      <c r="AM1400" s="48" t="n"/>
      <c r="AN1400" s="48" t="n"/>
      <c r="AO1400" s="48" t="n"/>
    </row>
    <row r="1401">
      <c r="M1401" s="25" t="n"/>
      <c r="Q1401" s="25" t="n"/>
      <c r="U1401" s="194" t="n"/>
      <c r="AA1401" s="25" t="n"/>
      <c r="AB1401" s="25" t="n"/>
      <c r="AC1401" s="195" t="n"/>
      <c r="AD1401" s="25" t="n"/>
      <c r="AE1401" s="25" t="n"/>
      <c r="AG1401" s="25" t="n"/>
      <c r="AH1401" s="25" t="n"/>
      <c r="AI1401" s="394" t="n"/>
      <c r="AM1401" s="48" t="n"/>
      <c r="AN1401" s="48" t="n"/>
      <c r="AO1401" s="48" t="n"/>
    </row>
    <row r="1402">
      <c r="M1402" s="25" t="n"/>
      <c r="Q1402" s="25" t="n"/>
      <c r="U1402" s="194" t="n"/>
      <c r="AA1402" s="25" t="n"/>
      <c r="AB1402" s="25" t="n"/>
      <c r="AC1402" s="195" t="n"/>
      <c r="AD1402" s="25" t="n"/>
      <c r="AE1402" s="25" t="n"/>
      <c r="AG1402" s="25" t="n"/>
      <c r="AH1402" s="25" t="n"/>
      <c r="AI1402" s="394" t="n"/>
      <c r="AM1402" s="48" t="n"/>
      <c r="AN1402" s="48" t="n"/>
      <c r="AO1402" s="48" t="n"/>
    </row>
    <row r="1403">
      <c r="M1403" s="25" t="n"/>
      <c r="Q1403" s="25" t="n"/>
      <c r="U1403" s="194" t="n"/>
      <c r="AA1403" s="25" t="n"/>
      <c r="AB1403" s="25" t="n"/>
      <c r="AC1403" s="195" t="n"/>
      <c r="AD1403" s="25" t="n"/>
      <c r="AE1403" s="25" t="n"/>
      <c r="AG1403" s="25" t="n"/>
      <c r="AH1403" s="25" t="n"/>
      <c r="AI1403" s="394" t="n"/>
      <c r="AM1403" s="48" t="n"/>
      <c r="AN1403" s="48" t="n"/>
      <c r="AO1403" s="48" t="n"/>
    </row>
    <row r="1404">
      <c r="M1404" s="25" t="n"/>
      <c r="Q1404" s="25" t="n"/>
      <c r="U1404" s="194" t="n"/>
      <c r="AA1404" s="25" t="n"/>
      <c r="AB1404" s="25" t="n"/>
      <c r="AC1404" s="195" t="n"/>
      <c r="AD1404" s="25" t="n"/>
      <c r="AE1404" s="25" t="n"/>
      <c r="AG1404" s="25" t="n"/>
      <c r="AH1404" s="25" t="n"/>
      <c r="AI1404" s="394" t="n"/>
      <c r="AM1404" s="48" t="n"/>
      <c r="AN1404" s="48" t="n"/>
      <c r="AO1404" s="48" t="n"/>
    </row>
    <row r="1405">
      <c r="M1405" s="25" t="n"/>
      <c r="Q1405" s="25" t="n"/>
      <c r="U1405" s="194" t="n"/>
      <c r="AA1405" s="25" t="n"/>
      <c r="AB1405" s="25" t="n"/>
      <c r="AC1405" s="195" t="n"/>
      <c r="AD1405" s="25" t="n"/>
      <c r="AE1405" s="25" t="n"/>
      <c r="AG1405" s="25" t="n"/>
      <c r="AH1405" s="25" t="n"/>
      <c r="AI1405" s="394" t="n"/>
      <c r="AM1405" s="48" t="n"/>
      <c r="AN1405" s="48" t="n"/>
      <c r="AO1405" s="48" t="n"/>
    </row>
    <row r="1406">
      <c r="M1406" s="25" t="n"/>
      <c r="Q1406" s="25" t="n"/>
      <c r="U1406" s="194" t="n"/>
      <c r="AA1406" s="25" t="n"/>
      <c r="AB1406" s="25" t="n"/>
      <c r="AC1406" s="195" t="n"/>
      <c r="AD1406" s="25" t="n"/>
      <c r="AE1406" s="25" t="n"/>
      <c r="AG1406" s="25" t="n"/>
      <c r="AH1406" s="25" t="n"/>
      <c r="AI1406" s="394" t="n"/>
      <c r="AM1406" s="48" t="n"/>
      <c r="AN1406" s="48" t="n"/>
      <c r="AO1406" s="48" t="n"/>
    </row>
    <row r="1407">
      <c r="M1407" s="25" t="n"/>
      <c r="Q1407" s="25" t="n"/>
      <c r="U1407" s="194" t="n"/>
      <c r="AA1407" s="25" t="n"/>
      <c r="AB1407" s="25" t="n"/>
      <c r="AC1407" s="195" t="n"/>
      <c r="AD1407" s="25" t="n"/>
      <c r="AE1407" s="25" t="n"/>
      <c r="AG1407" s="25" t="n"/>
      <c r="AH1407" s="25" t="n"/>
      <c r="AI1407" s="394" t="n"/>
      <c r="AM1407" s="48" t="n"/>
      <c r="AN1407" s="48" t="n"/>
      <c r="AO1407" s="48" t="n"/>
    </row>
    <row r="1408">
      <c r="M1408" s="25" t="n"/>
      <c r="Q1408" s="25" t="n"/>
      <c r="U1408" s="194" t="n"/>
      <c r="AA1408" s="25" t="n"/>
      <c r="AB1408" s="25" t="n"/>
      <c r="AC1408" s="195" t="n"/>
      <c r="AD1408" s="25" t="n"/>
      <c r="AE1408" s="25" t="n"/>
      <c r="AG1408" s="25" t="n"/>
      <c r="AH1408" s="25" t="n"/>
      <c r="AI1408" s="394" t="n"/>
      <c r="AM1408" s="48" t="n"/>
      <c r="AN1408" s="48" t="n"/>
      <c r="AO1408" s="48" t="n"/>
    </row>
    <row r="1409">
      <c r="M1409" s="25" t="n"/>
      <c r="Q1409" s="25" t="n"/>
      <c r="U1409" s="194" t="n"/>
      <c r="AA1409" s="25" t="n"/>
      <c r="AB1409" s="25" t="n"/>
      <c r="AC1409" s="195" t="n"/>
      <c r="AD1409" s="25" t="n"/>
      <c r="AE1409" s="25" t="n"/>
      <c r="AG1409" s="25" t="n"/>
      <c r="AH1409" s="25" t="n"/>
      <c r="AI1409" s="394" t="n"/>
      <c r="AM1409" s="48" t="n"/>
      <c r="AN1409" s="48" t="n"/>
      <c r="AO1409" s="48" t="n"/>
    </row>
    <row r="1410">
      <c r="M1410" s="25" t="n"/>
      <c r="Q1410" s="25" t="n"/>
      <c r="U1410" s="194" t="n"/>
      <c r="AA1410" s="25" t="n"/>
      <c r="AB1410" s="25" t="n"/>
      <c r="AC1410" s="195" t="n"/>
      <c r="AD1410" s="25" t="n"/>
      <c r="AE1410" s="25" t="n"/>
      <c r="AG1410" s="25" t="n"/>
      <c r="AH1410" s="25" t="n"/>
      <c r="AI1410" s="394" t="n"/>
      <c r="AM1410" s="48" t="n"/>
      <c r="AN1410" s="48" t="n"/>
      <c r="AO1410" s="48" t="n"/>
    </row>
    <row r="1411">
      <c r="M1411" s="25" t="n"/>
      <c r="Q1411" s="25" t="n"/>
      <c r="U1411" s="194" t="n"/>
      <c r="AA1411" s="25" t="n"/>
      <c r="AB1411" s="25" t="n"/>
      <c r="AC1411" s="195" t="n"/>
      <c r="AD1411" s="25" t="n"/>
      <c r="AE1411" s="25" t="n"/>
      <c r="AG1411" s="25" t="n"/>
      <c r="AH1411" s="25" t="n"/>
      <c r="AI1411" s="394" t="n"/>
      <c r="AM1411" s="48" t="n"/>
      <c r="AN1411" s="48" t="n"/>
      <c r="AO1411" s="48" t="n"/>
    </row>
    <row r="1412">
      <c r="M1412" s="25" t="n"/>
      <c r="Q1412" s="25" t="n"/>
      <c r="U1412" s="194" t="n"/>
      <c r="AA1412" s="25" t="n"/>
      <c r="AB1412" s="25" t="n"/>
      <c r="AC1412" s="195" t="n"/>
      <c r="AD1412" s="25" t="n"/>
      <c r="AE1412" s="25" t="n"/>
      <c r="AG1412" s="25" t="n"/>
      <c r="AH1412" s="25" t="n"/>
      <c r="AI1412" s="394" t="n"/>
      <c r="AM1412" s="48" t="n"/>
      <c r="AN1412" s="48" t="n"/>
      <c r="AO1412" s="48" t="n"/>
    </row>
    <row r="1413">
      <c r="M1413" s="25" t="n"/>
      <c r="Q1413" s="25" t="n"/>
      <c r="U1413" s="194" t="n"/>
      <c r="AA1413" s="25" t="n"/>
      <c r="AB1413" s="25" t="n"/>
      <c r="AC1413" s="195" t="n"/>
      <c r="AD1413" s="25" t="n"/>
      <c r="AE1413" s="25" t="n"/>
      <c r="AG1413" s="25" t="n"/>
      <c r="AH1413" s="25" t="n"/>
      <c r="AI1413" s="394" t="n"/>
      <c r="AM1413" s="48" t="n"/>
      <c r="AN1413" s="48" t="n"/>
      <c r="AO1413" s="48" t="n"/>
    </row>
    <row r="1414">
      <c r="M1414" s="25" t="n"/>
      <c r="Q1414" s="25" t="n"/>
      <c r="U1414" s="194" t="n"/>
      <c r="AA1414" s="25" t="n"/>
      <c r="AB1414" s="25" t="n"/>
      <c r="AC1414" s="195" t="n"/>
      <c r="AD1414" s="25" t="n"/>
      <c r="AE1414" s="25" t="n"/>
      <c r="AG1414" s="25" t="n"/>
      <c r="AH1414" s="25" t="n"/>
      <c r="AI1414" s="394" t="n"/>
      <c r="AM1414" s="48" t="n"/>
      <c r="AN1414" s="48" t="n"/>
      <c r="AO1414" s="48" t="n"/>
    </row>
    <row r="1415">
      <c r="M1415" s="25" t="n"/>
      <c r="Q1415" s="25" t="n"/>
      <c r="U1415" s="194" t="n"/>
      <c r="AA1415" s="25" t="n"/>
      <c r="AB1415" s="25" t="n"/>
      <c r="AC1415" s="195" t="n"/>
      <c r="AD1415" s="25" t="n"/>
      <c r="AE1415" s="25" t="n"/>
      <c r="AG1415" s="25" t="n"/>
      <c r="AH1415" s="25" t="n"/>
      <c r="AI1415" s="394" t="n"/>
      <c r="AM1415" s="48" t="n"/>
      <c r="AN1415" s="48" t="n"/>
      <c r="AO1415" s="48" t="n"/>
    </row>
    <row r="1416">
      <c r="M1416" s="25" t="n"/>
      <c r="Q1416" s="25" t="n"/>
      <c r="U1416" s="194" t="n"/>
      <c r="AA1416" s="25" t="n"/>
      <c r="AB1416" s="25" t="n"/>
      <c r="AC1416" s="195" t="n"/>
      <c r="AD1416" s="25" t="n"/>
      <c r="AE1416" s="25" t="n"/>
      <c r="AG1416" s="25" t="n"/>
      <c r="AH1416" s="25" t="n"/>
      <c r="AI1416" s="394" t="n"/>
      <c r="AM1416" s="48" t="n"/>
      <c r="AN1416" s="48" t="n"/>
      <c r="AO1416" s="48" t="n"/>
    </row>
    <row r="1417">
      <c r="M1417" s="25" t="n"/>
      <c r="Q1417" s="25" t="n"/>
      <c r="U1417" s="194" t="n"/>
      <c r="AA1417" s="25" t="n"/>
      <c r="AB1417" s="25" t="n"/>
      <c r="AC1417" s="195" t="n"/>
      <c r="AD1417" s="25" t="n"/>
      <c r="AE1417" s="25" t="n"/>
      <c r="AG1417" s="25" t="n"/>
      <c r="AH1417" s="25" t="n"/>
      <c r="AI1417" s="394" t="n"/>
      <c r="AM1417" s="48" t="n"/>
      <c r="AN1417" s="48" t="n"/>
      <c r="AO1417" s="48" t="n"/>
    </row>
    <row r="1418">
      <c r="M1418" s="25" t="n"/>
      <c r="Q1418" s="25" t="n"/>
      <c r="U1418" s="194" t="n"/>
      <c r="AA1418" s="25" t="n"/>
      <c r="AB1418" s="25" t="n"/>
      <c r="AC1418" s="195" t="n"/>
      <c r="AD1418" s="25" t="n"/>
      <c r="AE1418" s="25" t="n"/>
      <c r="AG1418" s="25" t="n"/>
      <c r="AH1418" s="25" t="n"/>
      <c r="AI1418" s="394" t="n"/>
      <c r="AM1418" s="48" t="n"/>
      <c r="AN1418" s="48" t="n"/>
      <c r="AO1418" s="48" t="n"/>
    </row>
    <row r="1419">
      <c r="M1419" s="25" t="n"/>
      <c r="Q1419" s="25" t="n"/>
      <c r="U1419" s="194" t="n"/>
      <c r="AA1419" s="25" t="n"/>
      <c r="AB1419" s="25" t="n"/>
      <c r="AC1419" s="195" t="n"/>
      <c r="AD1419" s="25" t="n"/>
      <c r="AE1419" s="25" t="n"/>
      <c r="AG1419" s="25" t="n"/>
      <c r="AH1419" s="25" t="n"/>
      <c r="AI1419" s="394" t="n"/>
      <c r="AM1419" s="48" t="n"/>
      <c r="AN1419" s="48" t="n"/>
      <c r="AO1419" s="48" t="n"/>
    </row>
    <row r="1420">
      <c r="M1420" s="25" t="n"/>
      <c r="Q1420" s="25" t="n"/>
      <c r="U1420" s="194" t="n"/>
      <c r="AA1420" s="25" t="n"/>
      <c r="AB1420" s="25" t="n"/>
      <c r="AC1420" s="195" t="n"/>
      <c r="AD1420" s="25" t="n"/>
      <c r="AE1420" s="25" t="n"/>
      <c r="AG1420" s="25" t="n"/>
      <c r="AH1420" s="25" t="n"/>
      <c r="AI1420" s="394" t="n"/>
      <c r="AM1420" s="48" t="n"/>
      <c r="AN1420" s="48" t="n"/>
      <c r="AO1420" s="48" t="n"/>
    </row>
    <row r="1421">
      <c r="M1421" s="25" t="n"/>
      <c r="Q1421" s="25" t="n"/>
      <c r="U1421" s="194" t="n"/>
      <c r="AA1421" s="25" t="n"/>
      <c r="AB1421" s="25" t="n"/>
      <c r="AC1421" s="195" t="n"/>
      <c r="AD1421" s="25" t="n"/>
      <c r="AE1421" s="25" t="n"/>
      <c r="AG1421" s="25" t="n"/>
      <c r="AH1421" s="25" t="n"/>
      <c r="AI1421" s="394" t="n"/>
      <c r="AM1421" s="48" t="n"/>
      <c r="AN1421" s="48" t="n"/>
      <c r="AO1421" s="48" t="n"/>
    </row>
    <row r="1422">
      <c r="M1422" s="25" t="n"/>
      <c r="Q1422" s="25" t="n"/>
      <c r="U1422" s="194" t="n"/>
      <c r="AA1422" s="25" t="n"/>
      <c r="AB1422" s="25" t="n"/>
      <c r="AC1422" s="195" t="n"/>
      <c r="AD1422" s="25" t="n"/>
      <c r="AE1422" s="25" t="n"/>
      <c r="AG1422" s="25" t="n"/>
      <c r="AH1422" s="25" t="n"/>
      <c r="AI1422" s="394" t="n"/>
      <c r="AM1422" s="48" t="n"/>
      <c r="AN1422" s="48" t="n"/>
      <c r="AO1422" s="48" t="n"/>
    </row>
    <row r="1423">
      <c r="M1423" s="25" t="n"/>
      <c r="Q1423" s="25" t="n"/>
      <c r="U1423" s="194" t="n"/>
      <c r="AA1423" s="25" t="n"/>
      <c r="AB1423" s="25" t="n"/>
      <c r="AC1423" s="195" t="n"/>
      <c r="AD1423" s="25" t="n"/>
      <c r="AE1423" s="25" t="n"/>
      <c r="AG1423" s="25" t="n"/>
      <c r="AH1423" s="25" t="n"/>
      <c r="AI1423" s="394" t="n"/>
      <c r="AM1423" s="48" t="n"/>
      <c r="AN1423" s="48" t="n"/>
      <c r="AO1423" s="48" t="n"/>
    </row>
    <row r="1424">
      <c r="M1424" s="25" t="n"/>
      <c r="Q1424" s="25" t="n"/>
      <c r="U1424" s="194" t="n"/>
      <c r="AA1424" s="25" t="n"/>
      <c r="AB1424" s="25" t="n"/>
      <c r="AC1424" s="195" t="n"/>
      <c r="AD1424" s="25" t="n"/>
      <c r="AE1424" s="25" t="n"/>
      <c r="AG1424" s="25" t="n"/>
      <c r="AH1424" s="25" t="n"/>
      <c r="AI1424" s="394" t="n"/>
      <c r="AM1424" s="48" t="n"/>
      <c r="AN1424" s="48" t="n"/>
      <c r="AO1424" s="48" t="n"/>
    </row>
    <row r="1425">
      <c r="M1425" s="25" t="n"/>
      <c r="Q1425" s="25" t="n"/>
      <c r="U1425" s="194" t="n"/>
      <c r="AA1425" s="25" t="n"/>
      <c r="AB1425" s="25" t="n"/>
      <c r="AC1425" s="195" t="n"/>
      <c r="AD1425" s="25" t="n"/>
      <c r="AE1425" s="25" t="n"/>
      <c r="AG1425" s="25" t="n"/>
      <c r="AH1425" s="25" t="n"/>
      <c r="AI1425" s="394" t="n"/>
      <c r="AM1425" s="48" t="n"/>
      <c r="AN1425" s="48" t="n"/>
      <c r="AO1425" s="48" t="n"/>
    </row>
    <row r="1426">
      <c r="M1426" s="25" t="n"/>
      <c r="Q1426" s="25" t="n"/>
      <c r="U1426" s="194" t="n"/>
      <c r="AA1426" s="25" t="n"/>
      <c r="AB1426" s="25" t="n"/>
      <c r="AC1426" s="195" t="n"/>
      <c r="AD1426" s="25" t="n"/>
      <c r="AE1426" s="25" t="n"/>
      <c r="AG1426" s="25" t="n"/>
      <c r="AH1426" s="25" t="n"/>
      <c r="AI1426" s="394" t="n"/>
      <c r="AM1426" s="48" t="n"/>
      <c r="AN1426" s="48" t="n"/>
      <c r="AO1426" s="48" t="n"/>
    </row>
    <row r="1427">
      <c r="M1427" s="25" t="n"/>
      <c r="Q1427" s="25" t="n"/>
      <c r="U1427" s="194" t="n"/>
      <c r="AA1427" s="25" t="n"/>
      <c r="AB1427" s="25" t="n"/>
      <c r="AC1427" s="195" t="n"/>
      <c r="AD1427" s="25" t="n"/>
      <c r="AE1427" s="25" t="n"/>
      <c r="AG1427" s="25" t="n"/>
      <c r="AH1427" s="25" t="n"/>
      <c r="AI1427" s="394" t="n"/>
      <c r="AM1427" s="48" t="n"/>
      <c r="AN1427" s="48" t="n"/>
      <c r="AO1427" s="48" t="n"/>
    </row>
    <row r="1428">
      <c r="M1428" s="25" t="n"/>
      <c r="Q1428" s="25" t="n"/>
      <c r="U1428" s="194" t="n"/>
      <c r="AA1428" s="25" t="n"/>
      <c r="AB1428" s="25" t="n"/>
      <c r="AC1428" s="195" t="n"/>
      <c r="AD1428" s="25" t="n"/>
      <c r="AE1428" s="25" t="n"/>
      <c r="AG1428" s="25" t="n"/>
      <c r="AH1428" s="25" t="n"/>
      <c r="AI1428" s="394" t="n"/>
      <c r="AM1428" s="48" t="n"/>
      <c r="AN1428" s="48" t="n"/>
      <c r="AO1428" s="48" t="n"/>
    </row>
    <row r="1429">
      <c r="M1429" s="25" t="n"/>
      <c r="Q1429" s="25" t="n"/>
      <c r="U1429" s="194" t="n"/>
      <c r="AA1429" s="25" t="n"/>
      <c r="AB1429" s="25" t="n"/>
      <c r="AC1429" s="195" t="n"/>
      <c r="AD1429" s="25" t="n"/>
      <c r="AE1429" s="25" t="n"/>
      <c r="AG1429" s="25" t="n"/>
      <c r="AH1429" s="25" t="n"/>
      <c r="AI1429" s="394" t="n"/>
      <c r="AM1429" s="48" t="n"/>
      <c r="AN1429" s="48" t="n"/>
      <c r="AO1429" s="48" t="n"/>
    </row>
    <row r="1430">
      <c r="M1430" s="25" t="n"/>
      <c r="Q1430" s="25" t="n"/>
      <c r="U1430" s="194" t="n"/>
      <c r="AA1430" s="25" t="n"/>
      <c r="AB1430" s="25" t="n"/>
      <c r="AC1430" s="195" t="n"/>
      <c r="AD1430" s="25" t="n"/>
      <c r="AE1430" s="25" t="n"/>
      <c r="AG1430" s="25" t="n"/>
      <c r="AH1430" s="25" t="n"/>
      <c r="AI1430" s="394" t="n"/>
      <c r="AM1430" s="48" t="n"/>
      <c r="AN1430" s="48" t="n"/>
      <c r="AO1430" s="48" t="n"/>
    </row>
    <row r="1431">
      <c r="M1431" s="25" t="n"/>
      <c r="Q1431" s="25" t="n"/>
      <c r="U1431" s="194" t="n"/>
      <c r="AA1431" s="25" t="n"/>
      <c r="AB1431" s="25" t="n"/>
      <c r="AC1431" s="195" t="n"/>
      <c r="AD1431" s="25" t="n"/>
      <c r="AE1431" s="25" t="n"/>
      <c r="AG1431" s="25" t="n"/>
      <c r="AH1431" s="25" t="n"/>
      <c r="AI1431" s="394" t="n"/>
      <c r="AM1431" s="48" t="n"/>
      <c r="AN1431" s="48" t="n"/>
      <c r="AO1431" s="48" t="n"/>
    </row>
    <row r="1432">
      <c r="M1432" s="25" t="n"/>
      <c r="Q1432" s="25" t="n"/>
      <c r="U1432" s="194" t="n"/>
      <c r="AA1432" s="25" t="n"/>
      <c r="AB1432" s="25" t="n"/>
      <c r="AC1432" s="195" t="n"/>
      <c r="AD1432" s="25" t="n"/>
      <c r="AE1432" s="25" t="n"/>
      <c r="AG1432" s="25" t="n"/>
      <c r="AH1432" s="25" t="n"/>
      <c r="AI1432" s="394" t="n"/>
      <c r="AM1432" s="48" t="n"/>
      <c r="AN1432" s="48" t="n"/>
      <c r="AO1432" s="48" t="n"/>
    </row>
    <row r="1433">
      <c r="M1433" s="25" t="n"/>
      <c r="Q1433" s="25" t="n"/>
      <c r="U1433" s="194" t="n"/>
      <c r="AA1433" s="25" t="n"/>
      <c r="AB1433" s="25" t="n"/>
      <c r="AC1433" s="195" t="n"/>
      <c r="AD1433" s="25" t="n"/>
      <c r="AE1433" s="25" t="n"/>
      <c r="AG1433" s="25" t="n"/>
      <c r="AH1433" s="25" t="n"/>
      <c r="AI1433" s="394" t="n"/>
      <c r="AM1433" s="48" t="n"/>
      <c r="AN1433" s="48" t="n"/>
      <c r="AO1433" s="48" t="n"/>
    </row>
    <row r="1434">
      <c r="M1434" s="25" t="n"/>
      <c r="Q1434" s="25" t="n"/>
      <c r="U1434" s="194" t="n"/>
      <c r="AA1434" s="25" t="n"/>
      <c r="AB1434" s="25" t="n"/>
      <c r="AC1434" s="195" t="n"/>
      <c r="AD1434" s="25" t="n"/>
      <c r="AE1434" s="25" t="n"/>
      <c r="AG1434" s="25" t="n"/>
      <c r="AH1434" s="25" t="n"/>
      <c r="AI1434" s="394" t="n"/>
      <c r="AM1434" s="48" t="n"/>
      <c r="AN1434" s="48" t="n"/>
      <c r="AO1434" s="48" t="n"/>
    </row>
    <row r="1435">
      <c r="M1435" s="25" t="n"/>
      <c r="Q1435" s="25" t="n"/>
      <c r="U1435" s="194" t="n"/>
      <c r="AA1435" s="25" t="n"/>
      <c r="AB1435" s="25" t="n"/>
      <c r="AC1435" s="195" t="n"/>
      <c r="AD1435" s="25" t="n"/>
      <c r="AE1435" s="25" t="n"/>
      <c r="AG1435" s="25" t="n"/>
      <c r="AH1435" s="25" t="n"/>
      <c r="AI1435" s="394" t="n"/>
      <c r="AM1435" s="48" t="n"/>
      <c r="AN1435" s="48" t="n"/>
      <c r="AO1435" s="48" t="n"/>
    </row>
    <row r="1436">
      <c r="M1436" s="25" t="n"/>
      <c r="Q1436" s="25" t="n"/>
      <c r="U1436" s="194" t="n"/>
      <c r="AA1436" s="25" t="n"/>
      <c r="AB1436" s="25" t="n"/>
      <c r="AC1436" s="195" t="n"/>
      <c r="AD1436" s="25" t="n"/>
      <c r="AE1436" s="25" t="n"/>
      <c r="AG1436" s="25" t="n"/>
      <c r="AH1436" s="25" t="n"/>
      <c r="AI1436" s="394" t="n"/>
      <c r="AM1436" s="48" t="n"/>
      <c r="AN1436" s="48" t="n"/>
      <c r="AO1436" s="48" t="n"/>
    </row>
    <row r="1437">
      <c r="M1437" s="25" t="n"/>
      <c r="Q1437" s="25" t="n"/>
      <c r="U1437" s="194" t="n"/>
      <c r="AA1437" s="25" t="n"/>
      <c r="AB1437" s="25" t="n"/>
      <c r="AC1437" s="195" t="n"/>
      <c r="AD1437" s="25" t="n"/>
      <c r="AE1437" s="25" t="n"/>
      <c r="AG1437" s="25" t="n"/>
      <c r="AH1437" s="25" t="n"/>
      <c r="AI1437" s="394" t="n"/>
      <c r="AM1437" s="48" t="n"/>
      <c r="AN1437" s="48" t="n"/>
      <c r="AO1437" s="48" t="n"/>
    </row>
    <row r="1438">
      <c r="M1438" s="25" t="n"/>
      <c r="Q1438" s="25" t="n"/>
      <c r="U1438" s="194" t="n"/>
      <c r="AA1438" s="25" t="n"/>
      <c r="AB1438" s="25" t="n"/>
      <c r="AC1438" s="195" t="n"/>
      <c r="AD1438" s="25" t="n"/>
      <c r="AE1438" s="25" t="n"/>
      <c r="AG1438" s="25" t="n"/>
      <c r="AH1438" s="25" t="n"/>
      <c r="AI1438" s="394" t="n"/>
      <c r="AM1438" s="48" t="n"/>
      <c r="AN1438" s="48" t="n"/>
      <c r="AO1438" s="48" t="n"/>
    </row>
    <row r="1439">
      <c r="M1439" s="25" t="n"/>
      <c r="Q1439" s="25" t="n"/>
      <c r="U1439" s="194" t="n"/>
      <c r="AA1439" s="25" t="n"/>
      <c r="AB1439" s="25" t="n"/>
      <c r="AC1439" s="195" t="n"/>
      <c r="AD1439" s="25" t="n"/>
      <c r="AE1439" s="25" t="n"/>
      <c r="AG1439" s="25" t="n"/>
      <c r="AH1439" s="25" t="n"/>
      <c r="AI1439" s="394" t="n"/>
      <c r="AM1439" s="48" t="n"/>
      <c r="AN1439" s="48" t="n"/>
      <c r="AO1439" s="48" t="n"/>
    </row>
    <row r="1440">
      <c r="M1440" s="25" t="n"/>
      <c r="Q1440" s="25" t="n"/>
      <c r="U1440" s="194" t="n"/>
      <c r="AA1440" s="25" t="n"/>
      <c r="AB1440" s="25" t="n"/>
      <c r="AC1440" s="195" t="n"/>
      <c r="AD1440" s="25" t="n"/>
      <c r="AE1440" s="25" t="n"/>
      <c r="AG1440" s="25" t="n"/>
      <c r="AH1440" s="25" t="n"/>
      <c r="AI1440" s="394" t="n"/>
      <c r="AM1440" s="48" t="n"/>
      <c r="AN1440" s="48" t="n"/>
      <c r="AO1440" s="48" t="n"/>
    </row>
    <row r="1441">
      <c r="M1441" s="25" t="n"/>
      <c r="Q1441" s="25" t="n"/>
      <c r="U1441" s="194" t="n"/>
      <c r="AA1441" s="25" t="n"/>
      <c r="AB1441" s="25" t="n"/>
      <c r="AC1441" s="195" t="n"/>
      <c r="AD1441" s="25" t="n"/>
      <c r="AE1441" s="25" t="n"/>
      <c r="AG1441" s="25" t="n"/>
      <c r="AH1441" s="25" t="n"/>
      <c r="AI1441" s="394" t="n"/>
      <c r="AM1441" s="48" t="n"/>
      <c r="AN1441" s="48" t="n"/>
      <c r="AO1441" s="48" t="n"/>
    </row>
    <row r="1442">
      <c r="M1442" s="25" t="n"/>
      <c r="Q1442" s="25" t="n"/>
      <c r="U1442" s="194" t="n"/>
      <c r="AA1442" s="25" t="n"/>
      <c r="AB1442" s="25" t="n"/>
      <c r="AC1442" s="195" t="n"/>
      <c r="AD1442" s="25" t="n"/>
      <c r="AE1442" s="25" t="n"/>
      <c r="AG1442" s="25" t="n"/>
      <c r="AH1442" s="25" t="n"/>
      <c r="AI1442" s="394" t="n"/>
      <c r="AM1442" s="48" t="n"/>
      <c r="AN1442" s="48" t="n"/>
      <c r="AO1442" s="48" t="n"/>
    </row>
    <row r="1443">
      <c r="M1443" s="25" t="n"/>
      <c r="Q1443" s="25" t="n"/>
      <c r="U1443" s="194" t="n"/>
      <c r="AA1443" s="25" t="n"/>
      <c r="AB1443" s="25" t="n"/>
      <c r="AC1443" s="195" t="n"/>
      <c r="AD1443" s="25" t="n"/>
      <c r="AE1443" s="25" t="n"/>
      <c r="AG1443" s="25" t="n"/>
      <c r="AH1443" s="25" t="n"/>
      <c r="AI1443" s="394" t="n"/>
      <c r="AM1443" s="48" t="n"/>
      <c r="AN1443" s="48" t="n"/>
      <c r="AO1443" s="48" t="n"/>
    </row>
    <row r="1444">
      <c r="M1444" s="25" t="n"/>
      <c r="Q1444" s="25" t="n"/>
      <c r="U1444" s="194" t="n"/>
      <c r="AA1444" s="25" t="n"/>
      <c r="AB1444" s="25" t="n"/>
      <c r="AC1444" s="195" t="n"/>
      <c r="AD1444" s="25" t="n"/>
      <c r="AE1444" s="25" t="n"/>
      <c r="AG1444" s="25" t="n"/>
      <c r="AH1444" s="25" t="n"/>
      <c r="AI1444" s="394" t="n"/>
      <c r="AM1444" s="48" t="n"/>
      <c r="AN1444" s="48" t="n"/>
      <c r="AO1444" s="48" t="n"/>
    </row>
    <row r="1445">
      <c r="M1445" s="25" t="n"/>
      <c r="Q1445" s="25" t="n"/>
      <c r="U1445" s="194" t="n"/>
      <c r="AA1445" s="25" t="n"/>
      <c r="AB1445" s="25" t="n"/>
      <c r="AC1445" s="195" t="n"/>
      <c r="AD1445" s="25" t="n"/>
      <c r="AE1445" s="25" t="n"/>
      <c r="AG1445" s="25" t="n"/>
      <c r="AH1445" s="25" t="n"/>
      <c r="AI1445" s="394" t="n"/>
      <c r="AM1445" s="48" t="n"/>
      <c r="AN1445" s="48" t="n"/>
      <c r="AO1445" s="48" t="n"/>
    </row>
    <row r="1446">
      <c r="M1446" s="25" t="n"/>
      <c r="Q1446" s="25" t="n"/>
      <c r="U1446" s="194" t="n"/>
      <c r="AA1446" s="25" t="n"/>
      <c r="AB1446" s="25" t="n"/>
      <c r="AC1446" s="195" t="n"/>
      <c r="AD1446" s="25" t="n"/>
      <c r="AE1446" s="25" t="n"/>
      <c r="AG1446" s="25" t="n"/>
      <c r="AH1446" s="25" t="n"/>
      <c r="AI1446" s="394" t="n"/>
      <c r="AM1446" s="48" t="n"/>
      <c r="AN1446" s="48" t="n"/>
      <c r="AO1446" s="48" t="n"/>
    </row>
    <row r="1447">
      <c r="M1447" s="25" t="n"/>
      <c r="Q1447" s="25" t="n"/>
      <c r="U1447" s="194" t="n"/>
      <c r="AA1447" s="25" t="n"/>
      <c r="AB1447" s="25" t="n"/>
      <c r="AC1447" s="195" t="n"/>
      <c r="AD1447" s="25" t="n"/>
      <c r="AE1447" s="25" t="n"/>
      <c r="AG1447" s="25" t="n"/>
      <c r="AH1447" s="25" t="n"/>
      <c r="AI1447" s="394" t="n"/>
      <c r="AM1447" s="48" t="n"/>
      <c r="AN1447" s="48" t="n"/>
      <c r="AO1447" s="48" t="n"/>
    </row>
    <row r="1448">
      <c r="M1448" s="25" t="n"/>
      <c r="Q1448" s="25" t="n"/>
      <c r="U1448" s="194" t="n"/>
      <c r="AA1448" s="25" t="n"/>
      <c r="AB1448" s="25" t="n"/>
      <c r="AC1448" s="195" t="n"/>
      <c r="AD1448" s="25" t="n"/>
      <c r="AE1448" s="25" t="n"/>
      <c r="AG1448" s="25" t="n"/>
      <c r="AH1448" s="25" t="n"/>
      <c r="AI1448" s="394" t="n"/>
      <c r="AM1448" s="48" t="n"/>
      <c r="AN1448" s="48" t="n"/>
      <c r="AO1448" s="48" t="n"/>
    </row>
    <row r="1449">
      <c r="M1449" s="25" t="n"/>
      <c r="Q1449" s="25" t="n"/>
      <c r="U1449" s="194" t="n"/>
      <c r="AA1449" s="25" t="n"/>
      <c r="AB1449" s="25" t="n"/>
      <c r="AC1449" s="195" t="n"/>
      <c r="AD1449" s="25" t="n"/>
      <c r="AE1449" s="25" t="n"/>
      <c r="AG1449" s="25" t="n"/>
      <c r="AH1449" s="25" t="n"/>
      <c r="AI1449" s="394" t="n"/>
      <c r="AM1449" s="48" t="n"/>
      <c r="AN1449" s="48" t="n"/>
      <c r="AO1449" s="48" t="n"/>
    </row>
    <row r="1450">
      <c r="M1450" s="25" t="n"/>
      <c r="Q1450" s="25" t="n"/>
      <c r="U1450" s="194" t="n"/>
      <c r="AA1450" s="25" t="n"/>
      <c r="AB1450" s="25" t="n"/>
      <c r="AC1450" s="195" t="n"/>
      <c r="AD1450" s="25" t="n"/>
      <c r="AE1450" s="25" t="n"/>
      <c r="AG1450" s="25" t="n"/>
      <c r="AH1450" s="25" t="n"/>
      <c r="AI1450" s="394" t="n"/>
      <c r="AM1450" s="48" t="n"/>
      <c r="AN1450" s="48" t="n"/>
      <c r="AO1450" s="48" t="n"/>
    </row>
    <row r="1451">
      <c r="M1451" s="25" t="n"/>
      <c r="Q1451" s="25" t="n"/>
      <c r="U1451" s="194" t="n"/>
      <c r="AA1451" s="25" t="n"/>
      <c r="AB1451" s="25" t="n"/>
      <c r="AC1451" s="195" t="n"/>
      <c r="AD1451" s="25" t="n"/>
      <c r="AE1451" s="25" t="n"/>
      <c r="AG1451" s="25" t="n"/>
      <c r="AH1451" s="25" t="n"/>
      <c r="AI1451" s="394" t="n"/>
      <c r="AM1451" s="48" t="n"/>
      <c r="AN1451" s="48" t="n"/>
      <c r="AO1451" s="48" t="n"/>
    </row>
    <row r="1452">
      <c r="M1452" s="25" t="n"/>
      <c r="Q1452" s="25" t="n"/>
      <c r="U1452" s="194" t="n"/>
      <c r="AA1452" s="25" t="n"/>
      <c r="AB1452" s="25" t="n"/>
      <c r="AC1452" s="195" t="n"/>
      <c r="AD1452" s="25" t="n"/>
      <c r="AE1452" s="25" t="n"/>
      <c r="AG1452" s="25" t="n"/>
      <c r="AH1452" s="25" t="n"/>
      <c r="AI1452" s="394" t="n"/>
      <c r="AM1452" s="48" t="n"/>
      <c r="AN1452" s="48" t="n"/>
      <c r="AO1452" s="48" t="n"/>
    </row>
    <row r="1453">
      <c r="M1453" s="25" t="n"/>
      <c r="Q1453" s="25" t="n"/>
      <c r="U1453" s="194" t="n"/>
      <c r="AA1453" s="25" t="n"/>
      <c r="AB1453" s="25" t="n"/>
      <c r="AC1453" s="195" t="n"/>
      <c r="AD1453" s="25" t="n"/>
      <c r="AE1453" s="25" t="n"/>
      <c r="AG1453" s="25" t="n"/>
      <c r="AH1453" s="25" t="n"/>
      <c r="AI1453" s="394" t="n"/>
      <c r="AM1453" s="48" t="n"/>
      <c r="AN1453" s="48" t="n"/>
      <c r="AO1453" s="48" t="n"/>
    </row>
    <row r="1454">
      <c r="M1454" s="25" t="n"/>
      <c r="Q1454" s="25" t="n"/>
      <c r="U1454" s="194" t="n"/>
      <c r="AA1454" s="25" t="n"/>
      <c r="AB1454" s="25" t="n"/>
      <c r="AC1454" s="195" t="n"/>
      <c r="AD1454" s="25" t="n"/>
      <c r="AE1454" s="25" t="n"/>
      <c r="AG1454" s="25" t="n"/>
      <c r="AH1454" s="25" t="n"/>
      <c r="AI1454" s="394" t="n"/>
      <c r="AM1454" s="48" t="n"/>
      <c r="AN1454" s="48" t="n"/>
      <c r="AO1454" s="48" t="n"/>
    </row>
    <row r="1455">
      <c r="M1455" s="25" t="n"/>
      <c r="Q1455" s="25" t="n"/>
      <c r="U1455" s="194" t="n"/>
      <c r="AA1455" s="25" t="n"/>
      <c r="AB1455" s="25" t="n"/>
      <c r="AC1455" s="195" t="n"/>
      <c r="AD1455" s="25" t="n"/>
      <c r="AE1455" s="25" t="n"/>
      <c r="AG1455" s="25" t="n"/>
      <c r="AH1455" s="25" t="n"/>
      <c r="AI1455" s="394" t="n"/>
      <c r="AM1455" s="48" t="n"/>
      <c r="AN1455" s="48" t="n"/>
      <c r="AO1455" s="48" t="n"/>
    </row>
    <row r="1456">
      <c r="M1456" s="25" t="n"/>
      <c r="Q1456" s="25" t="n"/>
      <c r="U1456" s="194" t="n"/>
      <c r="AA1456" s="25" t="n"/>
      <c r="AB1456" s="25" t="n"/>
      <c r="AC1456" s="195" t="n"/>
      <c r="AD1456" s="25" t="n"/>
      <c r="AE1456" s="25" t="n"/>
      <c r="AG1456" s="25" t="n"/>
      <c r="AH1456" s="25" t="n"/>
      <c r="AI1456" s="394" t="n"/>
      <c r="AM1456" s="48" t="n"/>
      <c r="AN1456" s="48" t="n"/>
      <c r="AO1456" s="48" t="n"/>
    </row>
    <row r="1457">
      <c r="M1457" s="25" t="n"/>
      <c r="Q1457" s="25" t="n"/>
      <c r="U1457" s="194" t="n"/>
      <c r="AA1457" s="25" t="n"/>
      <c r="AB1457" s="25" t="n"/>
      <c r="AC1457" s="195" t="n"/>
      <c r="AD1457" s="25" t="n"/>
      <c r="AE1457" s="25" t="n"/>
      <c r="AG1457" s="25" t="n"/>
      <c r="AH1457" s="25" t="n"/>
      <c r="AI1457" s="394" t="n"/>
      <c r="AM1457" s="48" t="n"/>
      <c r="AN1457" s="48" t="n"/>
      <c r="AO1457" s="48" t="n"/>
    </row>
    <row r="1458">
      <c r="M1458" s="25" t="n"/>
      <c r="Q1458" s="25" t="n"/>
      <c r="U1458" s="194" t="n"/>
      <c r="AA1458" s="25" t="n"/>
      <c r="AB1458" s="25" t="n"/>
      <c r="AC1458" s="195" t="n"/>
      <c r="AD1458" s="25" t="n"/>
      <c r="AE1458" s="25" t="n"/>
      <c r="AG1458" s="25" t="n"/>
      <c r="AH1458" s="25" t="n"/>
      <c r="AI1458" s="394" t="n"/>
      <c r="AM1458" s="48" t="n"/>
      <c r="AN1458" s="48" t="n"/>
      <c r="AO1458" s="48" t="n"/>
    </row>
    <row r="1459">
      <c r="M1459" s="25" t="n"/>
      <c r="Q1459" s="25" t="n"/>
      <c r="U1459" s="194" t="n"/>
      <c r="AA1459" s="25" t="n"/>
      <c r="AB1459" s="25" t="n"/>
      <c r="AC1459" s="195" t="n"/>
      <c r="AD1459" s="25" t="n"/>
      <c r="AE1459" s="25" t="n"/>
      <c r="AG1459" s="25" t="n"/>
      <c r="AH1459" s="25" t="n"/>
      <c r="AI1459" s="394" t="n"/>
      <c r="AM1459" s="48" t="n"/>
      <c r="AN1459" s="48" t="n"/>
      <c r="AO1459" s="48" t="n"/>
    </row>
    <row r="1460">
      <c r="M1460" s="25" t="n"/>
      <c r="Q1460" s="25" t="n"/>
      <c r="U1460" s="194" t="n"/>
      <c r="AA1460" s="25" t="n"/>
      <c r="AB1460" s="25" t="n"/>
      <c r="AC1460" s="195" t="n"/>
      <c r="AD1460" s="25" t="n"/>
      <c r="AE1460" s="25" t="n"/>
      <c r="AG1460" s="25" t="n"/>
      <c r="AH1460" s="25" t="n"/>
      <c r="AI1460" s="394" t="n"/>
      <c r="AM1460" s="48" t="n"/>
      <c r="AN1460" s="48" t="n"/>
      <c r="AO1460" s="48" t="n"/>
    </row>
    <row r="1461">
      <c r="M1461" s="25" t="n"/>
      <c r="Q1461" s="25" t="n"/>
      <c r="U1461" s="194" t="n"/>
      <c r="AA1461" s="25" t="n"/>
      <c r="AB1461" s="25" t="n"/>
      <c r="AC1461" s="195" t="n"/>
      <c r="AD1461" s="25" t="n"/>
      <c r="AE1461" s="25" t="n"/>
      <c r="AG1461" s="25" t="n"/>
      <c r="AH1461" s="25" t="n"/>
      <c r="AI1461" s="394" t="n"/>
      <c r="AM1461" s="48" t="n"/>
      <c r="AN1461" s="48" t="n"/>
      <c r="AO1461" s="48" t="n"/>
    </row>
    <row r="1462">
      <c r="M1462" s="25" t="n"/>
      <c r="Q1462" s="25" t="n"/>
      <c r="U1462" s="194" t="n"/>
      <c r="AA1462" s="25" t="n"/>
      <c r="AB1462" s="25" t="n"/>
      <c r="AC1462" s="195" t="n"/>
      <c r="AD1462" s="25" t="n"/>
      <c r="AE1462" s="25" t="n"/>
      <c r="AG1462" s="25" t="n"/>
      <c r="AH1462" s="25" t="n"/>
      <c r="AI1462" s="394" t="n"/>
      <c r="AM1462" s="48" t="n"/>
      <c r="AN1462" s="48" t="n"/>
      <c r="AO1462" s="48" t="n"/>
    </row>
    <row r="1463">
      <c r="M1463" s="25" t="n"/>
      <c r="Q1463" s="25" t="n"/>
      <c r="U1463" s="194" t="n"/>
      <c r="AA1463" s="25" t="n"/>
      <c r="AB1463" s="25" t="n"/>
      <c r="AC1463" s="195" t="n"/>
      <c r="AD1463" s="25" t="n"/>
      <c r="AE1463" s="25" t="n"/>
      <c r="AG1463" s="25" t="n"/>
      <c r="AH1463" s="25" t="n"/>
      <c r="AI1463" s="394" t="n"/>
      <c r="AM1463" s="48" t="n"/>
      <c r="AN1463" s="48" t="n"/>
      <c r="AO1463" s="48" t="n"/>
    </row>
    <row r="1464">
      <c r="M1464" s="25" t="n"/>
      <c r="Q1464" s="25" t="n"/>
      <c r="U1464" s="194" t="n"/>
      <c r="AA1464" s="25" t="n"/>
      <c r="AB1464" s="25" t="n"/>
      <c r="AC1464" s="195" t="n"/>
      <c r="AD1464" s="25" t="n"/>
      <c r="AE1464" s="25" t="n"/>
      <c r="AG1464" s="25" t="n"/>
      <c r="AH1464" s="25" t="n"/>
      <c r="AI1464" s="394" t="n"/>
      <c r="AM1464" s="48" t="n"/>
      <c r="AN1464" s="48" t="n"/>
      <c r="AO1464" s="48" t="n"/>
    </row>
    <row r="1465">
      <c r="M1465" s="25" t="n"/>
      <c r="Q1465" s="25" t="n"/>
      <c r="U1465" s="194" t="n"/>
      <c r="AA1465" s="25" t="n"/>
      <c r="AB1465" s="25" t="n"/>
      <c r="AC1465" s="195" t="n"/>
      <c r="AD1465" s="25" t="n"/>
      <c r="AE1465" s="25" t="n"/>
      <c r="AG1465" s="25" t="n"/>
      <c r="AH1465" s="25" t="n"/>
      <c r="AI1465" s="394" t="n"/>
      <c r="AM1465" s="48" t="n"/>
      <c r="AN1465" s="48" t="n"/>
      <c r="AO1465" s="48" t="n"/>
    </row>
    <row r="1466">
      <c r="M1466" s="25" t="n"/>
      <c r="Q1466" s="25" t="n"/>
      <c r="U1466" s="194" t="n"/>
      <c r="AA1466" s="25" t="n"/>
      <c r="AB1466" s="25" t="n"/>
      <c r="AC1466" s="195" t="n"/>
      <c r="AD1466" s="25" t="n"/>
      <c r="AE1466" s="25" t="n"/>
      <c r="AG1466" s="25" t="n"/>
      <c r="AH1466" s="25" t="n"/>
      <c r="AI1466" s="394" t="n"/>
      <c r="AM1466" s="48" t="n"/>
      <c r="AN1466" s="48" t="n"/>
      <c r="AO1466" s="48" t="n"/>
    </row>
    <row r="1467">
      <c r="M1467" s="25" t="n"/>
      <c r="Q1467" s="25" t="n"/>
      <c r="U1467" s="194" t="n"/>
      <c r="AA1467" s="25" t="n"/>
      <c r="AB1467" s="25" t="n"/>
      <c r="AC1467" s="195" t="n"/>
      <c r="AD1467" s="25" t="n"/>
      <c r="AE1467" s="25" t="n"/>
      <c r="AG1467" s="25" t="n"/>
      <c r="AH1467" s="25" t="n"/>
      <c r="AI1467" s="394" t="n"/>
      <c r="AM1467" s="48" t="n"/>
      <c r="AN1467" s="48" t="n"/>
      <c r="AO1467" s="48" t="n"/>
    </row>
    <row r="1468">
      <c r="M1468" s="25" t="n"/>
      <c r="Q1468" s="25" t="n"/>
      <c r="U1468" s="194" t="n"/>
      <c r="AA1468" s="25" t="n"/>
      <c r="AB1468" s="25" t="n"/>
      <c r="AC1468" s="195" t="n"/>
      <c r="AD1468" s="25" t="n"/>
      <c r="AE1468" s="25" t="n"/>
      <c r="AG1468" s="25" t="n"/>
      <c r="AH1468" s="25" t="n"/>
      <c r="AI1468" s="394" t="n"/>
      <c r="AM1468" s="48" t="n"/>
      <c r="AN1468" s="48" t="n"/>
      <c r="AO1468" s="48" t="n"/>
    </row>
    <row r="1469">
      <c r="M1469" s="25" t="n"/>
      <c r="Q1469" s="25" t="n"/>
      <c r="U1469" s="194" t="n"/>
      <c r="AA1469" s="25" t="n"/>
      <c r="AB1469" s="25" t="n"/>
      <c r="AC1469" s="195" t="n"/>
      <c r="AD1469" s="25" t="n"/>
      <c r="AE1469" s="25" t="n"/>
      <c r="AG1469" s="25" t="n"/>
      <c r="AH1469" s="25" t="n"/>
      <c r="AI1469" s="394" t="n"/>
      <c r="AM1469" s="48" t="n"/>
      <c r="AN1469" s="48" t="n"/>
      <c r="AO1469" s="48" t="n"/>
    </row>
    <row r="1470">
      <c r="M1470" s="25" t="n"/>
      <c r="Q1470" s="25" t="n"/>
      <c r="U1470" s="194" t="n"/>
      <c r="AA1470" s="25" t="n"/>
      <c r="AB1470" s="25" t="n"/>
      <c r="AC1470" s="195" t="n"/>
      <c r="AD1470" s="25" t="n"/>
      <c r="AE1470" s="25" t="n"/>
      <c r="AG1470" s="25" t="n"/>
      <c r="AH1470" s="25" t="n"/>
      <c r="AI1470" s="394" t="n"/>
      <c r="AM1470" s="48" t="n"/>
      <c r="AN1470" s="48" t="n"/>
      <c r="AO1470" s="48" t="n"/>
    </row>
    <row r="1471">
      <c r="M1471" s="25" t="n"/>
      <c r="Q1471" s="25" t="n"/>
      <c r="U1471" s="194" t="n"/>
      <c r="AA1471" s="25" t="n"/>
      <c r="AB1471" s="25" t="n"/>
      <c r="AC1471" s="195" t="n"/>
      <c r="AD1471" s="25" t="n"/>
      <c r="AE1471" s="25" t="n"/>
      <c r="AG1471" s="25" t="n"/>
      <c r="AH1471" s="25" t="n"/>
      <c r="AI1471" s="394" t="n"/>
      <c r="AM1471" s="48" t="n"/>
      <c r="AN1471" s="48" t="n"/>
      <c r="AO1471" s="48" t="n"/>
    </row>
    <row r="1472">
      <c r="M1472" s="25" t="n"/>
      <c r="Q1472" s="25" t="n"/>
      <c r="U1472" s="194" t="n"/>
      <c r="AA1472" s="25" t="n"/>
      <c r="AB1472" s="25" t="n"/>
      <c r="AC1472" s="195" t="n"/>
      <c r="AD1472" s="25" t="n"/>
      <c r="AE1472" s="25" t="n"/>
      <c r="AG1472" s="25" t="n"/>
      <c r="AH1472" s="25" t="n"/>
      <c r="AI1472" s="394" t="n"/>
      <c r="AM1472" s="48" t="n"/>
      <c r="AN1472" s="48" t="n"/>
      <c r="AO1472" s="48" t="n"/>
    </row>
    <row r="1473">
      <c r="M1473" s="25" t="n"/>
      <c r="Q1473" s="25" t="n"/>
      <c r="U1473" s="194" t="n"/>
      <c r="AA1473" s="25" t="n"/>
      <c r="AB1473" s="25" t="n"/>
      <c r="AC1473" s="195" t="n"/>
      <c r="AD1473" s="25" t="n"/>
      <c r="AE1473" s="25" t="n"/>
      <c r="AG1473" s="25" t="n"/>
      <c r="AH1473" s="25" t="n"/>
      <c r="AI1473" s="394" t="n"/>
      <c r="AM1473" s="48" t="n"/>
      <c r="AN1473" s="48" t="n"/>
      <c r="AO1473" s="48" t="n"/>
    </row>
    <row r="1474">
      <c r="M1474" s="25" t="n"/>
      <c r="O1474" s="90" t="n"/>
      <c r="Q1474" s="25" t="n"/>
      <c r="U1474" s="194" t="n"/>
      <c r="AA1474" s="25" t="n"/>
      <c r="AB1474" s="25" t="n"/>
      <c r="AC1474" s="195" t="n"/>
      <c r="AD1474" s="25" t="n"/>
      <c r="AE1474" s="25" t="n"/>
      <c r="AG1474" s="25" t="n"/>
      <c r="AH1474" s="25" t="n"/>
      <c r="AI1474" s="394" t="n"/>
      <c r="AM1474" s="48" t="n"/>
      <c r="AN1474" s="48" t="n"/>
      <c r="AO1474" s="48" t="n"/>
    </row>
    <row r="1475">
      <c r="M1475" s="25" t="n"/>
      <c r="Q1475" s="25" t="n"/>
      <c r="U1475" s="194" t="n"/>
      <c r="AA1475" s="25" t="n"/>
      <c r="AB1475" s="25" t="n"/>
      <c r="AC1475" s="195" t="n"/>
      <c r="AD1475" s="25" t="n"/>
      <c r="AE1475" s="25" t="n"/>
      <c r="AG1475" s="25" t="n"/>
      <c r="AH1475" s="25" t="n"/>
      <c r="AI1475" s="394" t="n"/>
      <c r="AM1475" s="48" t="n"/>
      <c r="AN1475" s="48" t="n"/>
      <c r="AO1475" s="48" t="n"/>
    </row>
    <row r="1476">
      <c r="M1476" s="25" t="n"/>
      <c r="Q1476" s="25" t="n"/>
      <c r="U1476" s="194" t="n"/>
      <c r="AA1476" s="25" t="n"/>
      <c r="AB1476" s="25" t="n"/>
      <c r="AC1476" s="195" t="n"/>
      <c r="AD1476" s="25" t="n"/>
      <c r="AE1476" s="25" t="n"/>
      <c r="AG1476" s="25" t="n"/>
      <c r="AH1476" s="25" t="n"/>
      <c r="AI1476" s="394" t="n"/>
      <c r="AM1476" s="48" t="n"/>
      <c r="AN1476" s="48" t="n"/>
      <c r="AO1476" s="48" t="n"/>
    </row>
    <row r="1477">
      <c r="M1477" s="25" t="n"/>
      <c r="Q1477" s="25" t="n"/>
      <c r="U1477" s="194" t="n"/>
      <c r="AA1477" s="25" t="n"/>
      <c r="AB1477" s="25" t="n"/>
      <c r="AC1477" s="195" t="n"/>
      <c r="AD1477" s="25" t="n"/>
      <c r="AE1477" s="25" t="n"/>
      <c r="AG1477" s="25" t="n"/>
      <c r="AH1477" s="25" t="n"/>
      <c r="AI1477" s="394" t="n"/>
      <c r="AM1477" s="48" t="n"/>
      <c r="AN1477" s="48" t="n"/>
      <c r="AO1477" s="48" t="n"/>
    </row>
    <row r="1478">
      <c r="M1478" s="25" t="n"/>
      <c r="Q1478" s="25" t="n"/>
      <c r="U1478" s="194" t="n"/>
      <c r="AA1478" s="25" t="n"/>
      <c r="AB1478" s="25" t="n"/>
      <c r="AC1478" s="195" t="n"/>
      <c r="AD1478" s="25" t="n"/>
      <c r="AE1478" s="25" t="n"/>
      <c r="AG1478" s="25" t="n"/>
      <c r="AH1478" s="25" t="n"/>
      <c r="AI1478" s="394" t="n"/>
      <c r="AM1478" s="48" t="n"/>
      <c r="AN1478" s="48" t="n"/>
      <c r="AO1478" s="48" t="n"/>
    </row>
    <row r="1479">
      <c r="M1479" s="25" t="n"/>
      <c r="Q1479" s="25" t="n"/>
      <c r="U1479" s="194" t="n"/>
      <c r="AA1479" s="25" t="n"/>
      <c r="AB1479" s="25" t="n"/>
      <c r="AC1479" s="195" t="n"/>
      <c r="AD1479" s="25" t="n"/>
      <c r="AE1479" s="25" t="n"/>
      <c r="AG1479" s="25" t="n"/>
      <c r="AH1479" s="25" t="n"/>
      <c r="AI1479" s="394" t="n"/>
      <c r="AM1479" s="48" t="n"/>
      <c r="AN1479" s="48" t="n"/>
      <c r="AO1479" s="48" t="n"/>
    </row>
    <row r="1480">
      <c r="M1480" s="25" t="n"/>
      <c r="Q1480" s="25" t="n"/>
      <c r="U1480" s="194" t="n"/>
      <c r="AA1480" s="25" t="n"/>
      <c r="AB1480" s="25" t="n"/>
      <c r="AC1480" s="195" t="n"/>
      <c r="AD1480" s="25" t="n"/>
      <c r="AE1480" s="25" t="n"/>
      <c r="AG1480" s="25" t="n"/>
      <c r="AH1480" s="25" t="n"/>
      <c r="AI1480" s="394" t="n"/>
      <c r="AM1480" s="48" t="n"/>
      <c r="AN1480" s="48" t="n"/>
      <c r="AO1480" s="48" t="n"/>
    </row>
    <row r="1481">
      <c r="M1481" s="25" t="n"/>
      <c r="Q1481" s="25" t="n"/>
      <c r="U1481" s="194" t="n"/>
      <c r="AA1481" s="25" t="n"/>
      <c r="AB1481" s="25" t="n"/>
      <c r="AC1481" s="195" t="n"/>
      <c r="AD1481" s="25" t="n"/>
      <c r="AE1481" s="25" t="n"/>
      <c r="AG1481" s="25" t="n"/>
      <c r="AH1481" s="25" t="n"/>
      <c r="AI1481" s="394" t="n"/>
      <c r="AM1481" s="48" t="n"/>
      <c r="AN1481" s="48" t="n"/>
      <c r="AO1481" s="48" t="n"/>
    </row>
    <row r="1482">
      <c r="M1482" s="25" t="n"/>
      <c r="Q1482" s="25" t="n"/>
      <c r="U1482" s="194" t="n"/>
      <c r="AA1482" s="25" t="n"/>
      <c r="AB1482" s="25" t="n"/>
      <c r="AC1482" s="195" t="n"/>
      <c r="AD1482" s="25" t="n"/>
      <c r="AE1482" s="25" t="n"/>
      <c r="AG1482" s="25" t="n"/>
      <c r="AH1482" s="25" t="n"/>
      <c r="AI1482" s="394" t="n"/>
      <c r="AM1482" s="48" t="n"/>
      <c r="AN1482" s="48" t="n"/>
      <c r="AO1482" s="48" t="n"/>
    </row>
    <row r="1483">
      <c r="M1483" s="25" t="n"/>
      <c r="Q1483" s="25" t="n"/>
      <c r="U1483" s="194" t="n"/>
      <c r="AA1483" s="25" t="n"/>
      <c r="AB1483" s="25" t="n"/>
      <c r="AC1483" s="195" t="n"/>
      <c r="AD1483" s="25" t="n"/>
      <c r="AE1483" s="25" t="n"/>
      <c r="AG1483" s="25" t="n"/>
      <c r="AH1483" s="25" t="n"/>
      <c r="AI1483" s="394" t="n"/>
      <c r="AM1483" s="48" t="n"/>
      <c r="AN1483" s="48" t="n"/>
      <c r="AO1483" s="48" t="n"/>
    </row>
    <row r="1484">
      <c r="M1484" s="25" t="n"/>
      <c r="Q1484" s="25" t="n"/>
      <c r="U1484" s="194" t="n"/>
      <c r="AA1484" s="25" t="n"/>
      <c r="AB1484" s="25" t="n"/>
      <c r="AC1484" s="195" t="n"/>
      <c r="AD1484" s="25" t="n"/>
      <c r="AE1484" s="25" t="n"/>
      <c r="AG1484" s="25" t="n"/>
      <c r="AH1484" s="25" t="n"/>
      <c r="AI1484" s="394" t="n"/>
      <c r="AM1484" s="48" t="n"/>
      <c r="AN1484" s="48" t="n"/>
      <c r="AO1484" s="48" t="n"/>
    </row>
    <row r="1485">
      <c r="M1485" s="25" t="n"/>
      <c r="Q1485" s="25" t="n"/>
      <c r="U1485" s="194" t="n"/>
      <c r="AA1485" s="25" t="n"/>
      <c r="AB1485" s="25" t="n"/>
      <c r="AC1485" s="195" t="n"/>
      <c r="AD1485" s="25" t="n"/>
      <c r="AE1485" s="25" t="n"/>
      <c r="AG1485" s="25" t="n"/>
      <c r="AH1485" s="25" t="n"/>
      <c r="AI1485" s="394" t="n"/>
      <c r="AM1485" s="48" t="n"/>
      <c r="AN1485" s="48" t="n"/>
      <c r="AO1485" s="48" t="n"/>
    </row>
    <row r="1486">
      <c r="M1486" s="25" t="n"/>
      <c r="Q1486" s="25" t="n"/>
      <c r="U1486" s="194" t="n"/>
      <c r="AA1486" s="25" t="n"/>
      <c r="AB1486" s="25" t="n"/>
      <c r="AC1486" s="195" t="n"/>
      <c r="AD1486" s="25" t="n"/>
      <c r="AE1486" s="25" t="n"/>
      <c r="AG1486" s="25" t="n"/>
      <c r="AH1486" s="25" t="n"/>
      <c r="AI1486" s="394" t="n"/>
      <c r="AM1486" s="48" t="n"/>
      <c r="AN1486" s="48" t="n"/>
      <c r="AO1486" s="48" t="n"/>
    </row>
    <row r="1487">
      <c r="M1487" s="25" t="n"/>
      <c r="Q1487" s="25" t="n"/>
      <c r="U1487" s="194" t="n"/>
      <c r="AA1487" s="25" t="n"/>
      <c r="AB1487" s="25" t="n"/>
      <c r="AC1487" s="195" t="n"/>
      <c r="AD1487" s="25" t="n"/>
      <c r="AE1487" s="25" t="n"/>
      <c r="AG1487" s="25" t="n"/>
      <c r="AH1487" s="25" t="n"/>
      <c r="AI1487" s="394" t="n"/>
      <c r="AM1487" s="48" t="n"/>
      <c r="AN1487" s="48" t="n"/>
      <c r="AO1487" s="48" t="n"/>
    </row>
    <row r="1488">
      <c r="M1488" s="25" t="n"/>
      <c r="Q1488" s="25" t="n"/>
      <c r="U1488" s="194" t="n"/>
      <c r="AA1488" s="25" t="n"/>
      <c r="AB1488" s="25" t="n"/>
      <c r="AC1488" s="195" t="n"/>
      <c r="AD1488" s="25" t="n"/>
      <c r="AE1488" s="25" t="n"/>
      <c r="AG1488" s="25" t="n"/>
      <c r="AH1488" s="25" t="n"/>
      <c r="AI1488" s="394" t="n"/>
      <c r="AM1488" s="48" t="n"/>
      <c r="AN1488" s="48" t="n"/>
      <c r="AO1488" s="48" t="n"/>
    </row>
    <row r="1489">
      <c r="M1489" s="25" t="n"/>
      <c r="Q1489" s="25" t="n"/>
      <c r="U1489" s="194" t="n"/>
      <c r="AA1489" s="25" t="n"/>
      <c r="AB1489" s="25" t="n"/>
      <c r="AC1489" s="195" t="n"/>
      <c r="AD1489" s="25" t="n"/>
      <c r="AE1489" s="25" t="n"/>
      <c r="AG1489" s="25" t="n"/>
      <c r="AH1489" s="25" t="n"/>
      <c r="AI1489" s="394" t="n"/>
      <c r="AM1489" s="48" t="n"/>
      <c r="AN1489" s="48" t="n"/>
      <c r="AO1489" s="48" t="n"/>
    </row>
    <row r="1490">
      <c r="M1490" s="25" t="n"/>
      <c r="Q1490" s="25" t="n"/>
      <c r="U1490" s="194" t="n"/>
      <c r="AA1490" s="25" t="n"/>
      <c r="AB1490" s="25" t="n"/>
      <c r="AC1490" s="195" t="n"/>
      <c r="AD1490" s="25" t="n"/>
      <c r="AE1490" s="25" t="n"/>
      <c r="AG1490" s="25" t="n"/>
      <c r="AH1490" s="25" t="n"/>
      <c r="AI1490" s="394" t="n"/>
      <c r="AM1490" s="48" t="n"/>
      <c r="AN1490" s="48" t="n"/>
      <c r="AO1490" s="48" t="n"/>
    </row>
    <row r="1491">
      <c r="M1491" s="25" t="n"/>
      <c r="Q1491" s="25" t="n"/>
      <c r="U1491" s="194" t="n"/>
      <c r="AA1491" s="25" t="n"/>
      <c r="AB1491" s="25" t="n"/>
      <c r="AC1491" s="195" t="n"/>
      <c r="AD1491" s="25" t="n"/>
      <c r="AE1491" s="25" t="n"/>
      <c r="AG1491" s="25" t="n"/>
      <c r="AH1491" s="25" t="n"/>
      <c r="AI1491" s="394" t="n"/>
      <c r="AM1491" s="48" t="n"/>
      <c r="AN1491" s="48" t="n"/>
      <c r="AO1491" s="48" t="n"/>
    </row>
    <row r="1492">
      <c r="M1492" s="25" t="n"/>
      <c r="Q1492" s="25" t="n"/>
      <c r="U1492" s="194" t="n"/>
      <c r="AA1492" s="25" t="n"/>
      <c r="AB1492" s="25" t="n"/>
      <c r="AC1492" s="195" t="n"/>
      <c r="AD1492" s="25" t="n"/>
      <c r="AE1492" s="25" t="n"/>
      <c r="AG1492" s="25" t="n"/>
      <c r="AH1492" s="25" t="n"/>
      <c r="AI1492" s="394" t="n"/>
      <c r="AM1492" s="48" t="n"/>
      <c r="AN1492" s="48" t="n"/>
      <c r="AO1492" s="48" t="n"/>
    </row>
    <row r="1493">
      <c r="M1493" s="25" t="n"/>
      <c r="Q1493" s="25" t="n"/>
      <c r="U1493" s="194" t="n"/>
      <c r="AA1493" s="25" t="n"/>
      <c r="AB1493" s="25" t="n"/>
      <c r="AC1493" s="195" t="n"/>
      <c r="AD1493" s="25" t="n"/>
      <c r="AE1493" s="25" t="n"/>
      <c r="AG1493" s="25" t="n"/>
      <c r="AH1493" s="25" t="n"/>
      <c r="AI1493" s="394" t="n"/>
      <c r="AM1493" s="48" t="n"/>
      <c r="AN1493" s="48" t="n"/>
      <c r="AO1493" s="48" t="n"/>
    </row>
    <row r="1494">
      <c r="M1494" s="25" t="n"/>
      <c r="Q1494" s="25" t="n"/>
      <c r="U1494" s="194" t="n"/>
      <c r="AA1494" s="25" t="n"/>
      <c r="AB1494" s="25" t="n"/>
      <c r="AC1494" s="195" t="n"/>
      <c r="AD1494" s="25" t="n"/>
      <c r="AE1494" s="25" t="n"/>
      <c r="AG1494" s="25" t="n"/>
      <c r="AH1494" s="25" t="n"/>
      <c r="AI1494" s="394" t="n"/>
      <c r="AM1494" s="48" t="n"/>
      <c r="AN1494" s="48" t="n"/>
      <c r="AO1494" s="48" t="n"/>
    </row>
    <row r="1495">
      <c r="M1495" s="25" t="n"/>
      <c r="Q1495" s="25" t="n"/>
      <c r="U1495" s="194" t="n"/>
      <c r="AA1495" s="25" t="n"/>
      <c r="AB1495" s="25" t="n"/>
      <c r="AC1495" s="195" t="n"/>
      <c r="AD1495" s="25" t="n"/>
      <c r="AE1495" s="25" t="n"/>
      <c r="AG1495" s="25" t="n"/>
      <c r="AH1495" s="25" t="n"/>
      <c r="AI1495" s="394" t="n"/>
      <c r="AM1495" s="48" t="n"/>
      <c r="AN1495" s="48" t="n"/>
      <c r="AO1495" s="48" t="n"/>
    </row>
    <row r="1496">
      <c r="M1496" s="25" t="n"/>
      <c r="Q1496" s="25" t="n"/>
      <c r="U1496" s="194" t="n"/>
      <c r="AA1496" s="25" t="n"/>
      <c r="AB1496" s="25" t="n"/>
      <c r="AC1496" s="195" t="n"/>
      <c r="AD1496" s="25" t="n"/>
      <c r="AE1496" s="25" t="n"/>
      <c r="AG1496" s="25" t="n"/>
      <c r="AH1496" s="25" t="n"/>
      <c r="AI1496" s="394" t="n"/>
      <c r="AM1496" s="48" t="n"/>
      <c r="AN1496" s="48" t="n"/>
      <c r="AO1496" s="48" t="n"/>
    </row>
    <row r="1497">
      <c r="M1497" s="25" t="n"/>
      <c r="Q1497" s="25" t="n"/>
      <c r="U1497" s="194" t="n"/>
      <c r="AA1497" s="25" t="n"/>
      <c r="AB1497" s="25" t="n"/>
      <c r="AC1497" s="195" t="n"/>
      <c r="AD1497" s="25" t="n"/>
      <c r="AE1497" s="25" t="n"/>
      <c r="AG1497" s="25" t="n"/>
      <c r="AH1497" s="25" t="n"/>
      <c r="AI1497" s="394" t="n"/>
      <c r="AM1497" s="48" t="n"/>
      <c r="AN1497" s="48" t="n"/>
      <c r="AO1497" s="48" t="n"/>
    </row>
    <row r="1498">
      <c r="M1498" s="25" t="n"/>
      <c r="Q1498" s="25" t="n"/>
      <c r="U1498" s="194" t="n"/>
      <c r="AA1498" s="25" t="n"/>
      <c r="AB1498" s="25" t="n"/>
      <c r="AC1498" s="195" t="n"/>
      <c r="AD1498" s="25" t="n"/>
      <c r="AE1498" s="25" t="n"/>
      <c r="AG1498" s="25" t="n"/>
      <c r="AH1498" s="25" t="n"/>
      <c r="AI1498" s="394" t="n"/>
      <c r="AM1498" s="48" t="n"/>
      <c r="AN1498" s="48" t="n"/>
      <c r="AO1498" s="48" t="n"/>
    </row>
    <row r="1499">
      <c r="M1499" s="25" t="n"/>
      <c r="Q1499" s="25" t="n"/>
      <c r="U1499" s="194" t="n"/>
      <c r="AA1499" s="25" t="n"/>
      <c r="AB1499" s="25" t="n"/>
      <c r="AC1499" s="195" t="n"/>
      <c r="AD1499" s="25" t="n"/>
      <c r="AE1499" s="25" t="n"/>
      <c r="AG1499" s="25" t="n"/>
      <c r="AH1499" s="25" t="n"/>
      <c r="AI1499" s="394" t="n"/>
      <c r="AM1499" s="48" t="n"/>
      <c r="AN1499" s="48" t="n"/>
      <c r="AO1499" s="48" t="n"/>
    </row>
    <row r="1500">
      <c r="M1500" s="25" t="n"/>
      <c r="Q1500" s="25" t="n"/>
      <c r="U1500" s="194" t="n"/>
      <c r="AA1500" s="25" t="n"/>
      <c r="AB1500" s="25" t="n"/>
      <c r="AC1500" s="195" t="n"/>
      <c r="AD1500" s="25" t="n"/>
      <c r="AE1500" s="25" t="n"/>
      <c r="AG1500" s="25" t="n"/>
      <c r="AH1500" s="25" t="n"/>
      <c r="AI1500" s="394" t="n"/>
      <c r="AM1500" s="48" t="n"/>
      <c r="AN1500" s="48" t="n"/>
      <c r="AO1500" s="48" t="n"/>
    </row>
    <row r="1501">
      <c r="M1501" s="25" t="n"/>
      <c r="Q1501" s="25" t="n"/>
      <c r="U1501" s="194" t="n"/>
      <c r="AA1501" s="25" t="n"/>
      <c r="AB1501" s="25" t="n"/>
      <c r="AC1501" s="195" t="n"/>
      <c r="AD1501" s="25" t="n"/>
      <c r="AE1501" s="25" t="n"/>
      <c r="AG1501" s="25" t="n"/>
      <c r="AH1501" s="25" t="n"/>
      <c r="AI1501" s="394" t="n"/>
      <c r="AM1501" s="48" t="n"/>
      <c r="AN1501" s="48" t="n"/>
      <c r="AO1501" s="48" t="n"/>
    </row>
    <row r="1502">
      <c r="M1502" s="25" t="n"/>
      <c r="Q1502" s="25" t="n"/>
      <c r="U1502" s="194" t="n"/>
      <c r="AA1502" s="25" t="n"/>
      <c r="AB1502" s="25" t="n"/>
      <c r="AC1502" s="195" t="n"/>
      <c r="AD1502" s="25" t="n"/>
      <c r="AE1502" s="25" t="n"/>
      <c r="AG1502" s="25" t="n"/>
      <c r="AH1502" s="25" t="n"/>
      <c r="AI1502" s="394" t="n"/>
      <c r="AM1502" s="48" t="n"/>
      <c r="AN1502" s="48" t="n"/>
      <c r="AO1502" s="48" t="n"/>
    </row>
    <row r="1503">
      <c r="M1503" s="25" t="n"/>
      <c r="Q1503" s="25" t="n"/>
      <c r="U1503" s="194" t="n"/>
      <c r="AA1503" s="25" t="n"/>
      <c r="AB1503" s="25" t="n"/>
      <c r="AC1503" s="195" t="n"/>
      <c r="AD1503" s="25" t="n"/>
      <c r="AE1503" s="25" t="n"/>
      <c r="AG1503" s="25" t="n"/>
      <c r="AH1503" s="25" t="n"/>
      <c r="AI1503" s="394" t="n"/>
      <c r="AM1503" s="48" t="n"/>
      <c r="AN1503" s="48" t="n"/>
      <c r="AO1503" s="48" t="n"/>
    </row>
    <row r="1504">
      <c r="M1504" s="25" t="n"/>
      <c r="Q1504" s="25" t="n"/>
      <c r="U1504" s="194" t="n"/>
      <c r="AA1504" s="25" t="n"/>
      <c r="AB1504" s="25" t="n"/>
      <c r="AC1504" s="195" t="n"/>
      <c r="AD1504" s="25" t="n"/>
      <c r="AE1504" s="25" t="n"/>
      <c r="AG1504" s="25" t="n"/>
      <c r="AH1504" s="25" t="n"/>
      <c r="AI1504" s="394" t="n"/>
      <c r="AM1504" s="48" t="n"/>
      <c r="AN1504" s="48" t="n"/>
      <c r="AO1504" s="48" t="n"/>
    </row>
    <row r="1505">
      <c r="M1505" s="25" t="n"/>
      <c r="Q1505" s="25" t="n"/>
      <c r="U1505" s="194" t="n"/>
      <c r="AA1505" s="25" t="n"/>
      <c r="AB1505" s="25" t="n"/>
      <c r="AC1505" s="195" t="n"/>
      <c r="AD1505" s="25" t="n"/>
      <c r="AE1505" s="25" t="n"/>
      <c r="AG1505" s="25" t="n"/>
      <c r="AH1505" s="25" t="n"/>
      <c r="AI1505" s="394" t="n"/>
      <c r="AM1505" s="48" t="n"/>
      <c r="AN1505" s="48" t="n"/>
      <c r="AO1505" s="48" t="n"/>
    </row>
    <row r="1506">
      <c r="M1506" s="25" t="n"/>
      <c r="Q1506" s="25" t="n"/>
      <c r="U1506" s="194" t="n"/>
      <c r="AA1506" s="25" t="n"/>
      <c r="AB1506" s="25" t="n"/>
      <c r="AC1506" s="195" t="n"/>
      <c r="AD1506" s="25" t="n"/>
      <c r="AE1506" s="25" t="n"/>
      <c r="AG1506" s="25" t="n"/>
      <c r="AH1506" s="25" t="n"/>
      <c r="AI1506" s="394" t="n"/>
      <c r="AM1506" s="48" t="n"/>
      <c r="AN1506" s="48" t="n"/>
      <c r="AO1506" s="48" t="n"/>
    </row>
    <row r="1507">
      <c r="M1507" s="25" t="n"/>
      <c r="Q1507" s="25" t="n"/>
      <c r="U1507" s="194" t="n"/>
      <c r="AA1507" s="25" t="n"/>
      <c r="AB1507" s="25" t="n"/>
      <c r="AC1507" s="195" t="n"/>
      <c r="AD1507" s="25" t="n"/>
      <c r="AE1507" s="25" t="n"/>
      <c r="AG1507" s="25" t="n"/>
      <c r="AH1507" s="25" t="n"/>
      <c r="AI1507" s="394" t="n"/>
      <c r="AM1507" s="48" t="n"/>
      <c r="AN1507" s="48" t="n"/>
      <c r="AO1507" s="48" t="n"/>
    </row>
    <row r="1508">
      <c r="M1508" s="25" t="n"/>
      <c r="Q1508" s="25" t="n"/>
      <c r="U1508" s="194" t="n"/>
      <c r="AA1508" s="25" t="n"/>
      <c r="AB1508" s="25" t="n"/>
      <c r="AC1508" s="195" t="n"/>
      <c r="AD1508" s="25" t="n"/>
      <c r="AE1508" s="25" t="n"/>
      <c r="AG1508" s="25" t="n"/>
      <c r="AH1508" s="25" t="n"/>
      <c r="AI1508" s="394" t="n"/>
      <c r="AM1508" s="48" t="n"/>
      <c r="AN1508" s="48" t="n"/>
      <c r="AO1508" s="48" t="n"/>
    </row>
    <row r="1509">
      <c r="M1509" s="25" t="n"/>
      <c r="Q1509" s="25" t="n"/>
      <c r="U1509" s="194" t="n"/>
      <c r="AA1509" s="25" t="n"/>
      <c r="AB1509" s="25" t="n"/>
      <c r="AC1509" s="195" t="n"/>
      <c r="AD1509" s="25" t="n"/>
      <c r="AE1509" s="25" t="n"/>
      <c r="AG1509" s="25" t="n"/>
      <c r="AH1509" s="25" t="n"/>
      <c r="AI1509" s="394" t="n"/>
      <c r="AM1509" s="48" t="n"/>
      <c r="AN1509" s="48" t="n"/>
      <c r="AO1509" s="48" t="n"/>
    </row>
    <row r="1510">
      <c r="M1510" s="25" t="n"/>
      <c r="Q1510" s="25" t="n"/>
      <c r="U1510" s="194" t="n"/>
      <c r="AA1510" s="25" t="n"/>
      <c r="AB1510" s="25" t="n"/>
      <c r="AC1510" s="195" t="n"/>
      <c r="AD1510" s="25" t="n"/>
      <c r="AE1510" s="25" t="n"/>
      <c r="AG1510" s="25" t="n"/>
      <c r="AH1510" s="25" t="n"/>
      <c r="AI1510" s="394" t="n"/>
      <c r="AM1510" s="48" t="n"/>
      <c r="AN1510" s="48" t="n"/>
      <c r="AO1510" s="48" t="n"/>
    </row>
    <row r="1511">
      <c r="M1511" s="25" t="n"/>
      <c r="Q1511" s="25" t="n"/>
      <c r="U1511" s="194" t="n"/>
      <c r="AA1511" s="25" t="n"/>
      <c r="AB1511" s="25" t="n"/>
      <c r="AC1511" s="195" t="n"/>
      <c r="AD1511" s="25" t="n"/>
      <c r="AE1511" s="25" t="n"/>
      <c r="AG1511" s="25" t="n"/>
      <c r="AH1511" s="25" t="n"/>
      <c r="AI1511" s="394" t="n"/>
      <c r="AM1511" s="48" t="n"/>
      <c r="AN1511" s="48" t="n"/>
      <c r="AO1511" s="48" t="n"/>
    </row>
    <row r="1512">
      <c r="M1512" s="25" t="n"/>
      <c r="Q1512" s="25" t="n"/>
      <c r="U1512" s="194" t="n"/>
      <c r="AA1512" s="25" t="n"/>
      <c r="AB1512" s="25" t="n"/>
      <c r="AC1512" s="195" t="n"/>
      <c r="AD1512" s="25" t="n"/>
      <c r="AE1512" s="25" t="n"/>
      <c r="AG1512" s="25" t="n"/>
      <c r="AH1512" s="25" t="n"/>
      <c r="AI1512" s="394" t="n"/>
      <c r="AM1512" s="48" t="n"/>
      <c r="AN1512" s="48" t="n"/>
      <c r="AO1512" s="48" t="n"/>
    </row>
    <row r="1513">
      <c r="M1513" s="25" t="n"/>
      <c r="Q1513" s="25" t="n"/>
      <c r="U1513" s="194" t="n"/>
      <c r="AA1513" s="25" t="n"/>
      <c r="AB1513" s="25" t="n"/>
      <c r="AC1513" s="195" t="n"/>
      <c r="AD1513" s="25" t="n"/>
      <c r="AE1513" s="25" t="n"/>
      <c r="AG1513" s="25" t="n"/>
      <c r="AH1513" s="25" t="n"/>
      <c r="AI1513" s="394" t="n"/>
      <c r="AM1513" s="48" t="n"/>
      <c r="AN1513" s="48" t="n"/>
      <c r="AO1513" s="48" t="n"/>
    </row>
    <row r="1514">
      <c r="M1514" s="25" t="n"/>
      <c r="Q1514" s="25" t="n"/>
      <c r="U1514" s="194" t="n"/>
      <c r="AA1514" s="25" t="n"/>
      <c r="AB1514" s="25" t="n"/>
      <c r="AC1514" s="195" t="n"/>
      <c r="AD1514" s="25" t="n"/>
      <c r="AE1514" s="25" t="n"/>
      <c r="AG1514" s="25" t="n"/>
      <c r="AH1514" s="25" t="n"/>
      <c r="AI1514" s="394" t="n"/>
      <c r="AM1514" s="48" t="n"/>
      <c r="AN1514" s="48" t="n"/>
      <c r="AO1514" s="48" t="n"/>
    </row>
    <row r="1515">
      <c r="M1515" s="25" t="n"/>
      <c r="Q1515" s="25" t="n"/>
      <c r="U1515" s="194" t="n"/>
      <c r="AA1515" s="25" t="n"/>
      <c r="AB1515" s="25" t="n"/>
      <c r="AC1515" s="195" t="n"/>
      <c r="AD1515" s="25" t="n"/>
      <c r="AE1515" s="25" t="n"/>
      <c r="AG1515" s="25" t="n"/>
      <c r="AH1515" s="25" t="n"/>
      <c r="AI1515" s="394" t="n"/>
      <c r="AM1515" s="48" t="n"/>
      <c r="AN1515" s="48" t="n"/>
      <c r="AO1515" s="48" t="n"/>
    </row>
    <row r="1516">
      <c r="M1516" s="25" t="n"/>
      <c r="Q1516" s="25" t="n"/>
      <c r="U1516" s="194" t="n"/>
      <c r="AA1516" s="25" t="n"/>
      <c r="AB1516" s="25" t="n"/>
      <c r="AC1516" s="195" t="n"/>
      <c r="AD1516" s="25" t="n"/>
      <c r="AE1516" s="25" t="n"/>
      <c r="AG1516" s="25" t="n"/>
      <c r="AH1516" s="25" t="n"/>
      <c r="AI1516" s="394" t="n"/>
      <c r="AM1516" s="48" t="n"/>
      <c r="AN1516" s="48" t="n"/>
      <c r="AO1516" s="48" t="n"/>
    </row>
    <row r="1517">
      <c r="M1517" s="25" t="n"/>
      <c r="Q1517" s="25" t="n"/>
      <c r="U1517" s="194" t="n"/>
      <c r="AA1517" s="25" t="n"/>
      <c r="AB1517" s="25" t="n"/>
      <c r="AC1517" s="195" t="n"/>
      <c r="AD1517" s="25" t="n"/>
      <c r="AE1517" s="25" t="n"/>
      <c r="AG1517" s="25" t="n"/>
      <c r="AH1517" s="25" t="n"/>
      <c r="AI1517" s="394" t="n"/>
      <c r="AM1517" s="48" t="n"/>
      <c r="AN1517" s="48" t="n"/>
      <c r="AO1517" s="48" t="n"/>
    </row>
    <row r="1518">
      <c r="M1518" s="25" t="n"/>
      <c r="Q1518" s="25" t="n"/>
      <c r="U1518" s="194" t="n"/>
      <c r="AA1518" s="25" t="n"/>
      <c r="AB1518" s="25" t="n"/>
      <c r="AC1518" s="195" t="n"/>
      <c r="AD1518" s="25" t="n"/>
      <c r="AE1518" s="25" t="n"/>
      <c r="AG1518" s="25" t="n"/>
      <c r="AH1518" s="25" t="n"/>
      <c r="AI1518" s="394" t="n"/>
      <c r="AM1518" s="48" t="n"/>
      <c r="AN1518" s="48" t="n"/>
      <c r="AO1518" s="48" t="n"/>
    </row>
    <row r="1519">
      <c r="M1519" s="25" t="n"/>
      <c r="Q1519" s="25" t="n"/>
      <c r="U1519" s="194" t="n"/>
      <c r="AA1519" s="25" t="n"/>
      <c r="AB1519" s="25" t="n"/>
      <c r="AC1519" s="195" t="n"/>
      <c r="AD1519" s="25" t="n"/>
      <c r="AE1519" s="25" t="n"/>
      <c r="AG1519" s="25" t="n"/>
      <c r="AH1519" s="25" t="n"/>
      <c r="AI1519" s="394" t="n"/>
      <c r="AM1519" s="48" t="n"/>
      <c r="AN1519" s="48" t="n"/>
      <c r="AO1519" s="48" t="n"/>
    </row>
    <row r="1520">
      <c r="M1520" s="25" t="n"/>
      <c r="Q1520" s="25" t="n"/>
      <c r="U1520" s="194" t="n"/>
      <c r="AA1520" s="25" t="n"/>
      <c r="AB1520" s="25" t="n"/>
      <c r="AC1520" s="195" t="n"/>
      <c r="AD1520" s="25" t="n"/>
      <c r="AE1520" s="25" t="n"/>
      <c r="AG1520" s="25" t="n"/>
      <c r="AH1520" s="25" t="n"/>
      <c r="AI1520" s="394" t="n"/>
      <c r="AM1520" s="48" t="n"/>
      <c r="AN1520" s="48" t="n"/>
      <c r="AO1520" s="48" t="n"/>
    </row>
    <row r="1521">
      <c r="M1521" s="25" t="n"/>
      <c r="Q1521" s="25" t="n"/>
      <c r="U1521" s="194" t="n"/>
      <c r="AA1521" s="25" t="n"/>
      <c r="AB1521" s="25" t="n"/>
      <c r="AC1521" s="195" t="n"/>
      <c r="AD1521" s="25" t="n"/>
      <c r="AE1521" s="25" t="n"/>
      <c r="AG1521" s="25" t="n"/>
      <c r="AH1521" s="25" t="n"/>
      <c r="AI1521" s="394" t="n"/>
      <c r="AM1521" s="48" t="n"/>
      <c r="AN1521" s="48" t="n"/>
      <c r="AO1521" s="48" t="n"/>
    </row>
    <row r="1522">
      <c r="M1522" s="25" t="n"/>
      <c r="Q1522" s="25" t="n"/>
      <c r="U1522" s="194" t="n"/>
      <c r="AA1522" s="25" t="n"/>
      <c r="AB1522" s="25" t="n"/>
      <c r="AC1522" s="195" t="n"/>
      <c r="AD1522" s="25" t="n"/>
      <c r="AE1522" s="25" t="n"/>
      <c r="AG1522" s="25" t="n"/>
      <c r="AH1522" s="25" t="n"/>
      <c r="AI1522" s="394" t="n"/>
      <c r="AM1522" s="48" t="n"/>
      <c r="AN1522" s="48" t="n"/>
      <c r="AO1522" s="48" t="n"/>
    </row>
    <row r="1523">
      <c r="M1523" s="25" t="n"/>
      <c r="Q1523" s="25" t="n"/>
      <c r="U1523" s="194" t="n"/>
      <c r="AA1523" s="25" t="n"/>
      <c r="AB1523" s="25" t="n"/>
      <c r="AC1523" s="195" t="n"/>
      <c r="AD1523" s="25" t="n"/>
      <c r="AE1523" s="25" t="n"/>
      <c r="AG1523" s="25" t="n"/>
      <c r="AH1523" s="25" t="n"/>
      <c r="AI1523" s="394" t="n"/>
      <c r="AM1523" s="48" t="n"/>
      <c r="AN1523" s="48" t="n"/>
      <c r="AO1523" s="48" t="n"/>
    </row>
    <row r="1524">
      <c r="M1524" s="25" t="n"/>
      <c r="Q1524" s="25" t="n"/>
      <c r="U1524" s="194" t="n"/>
      <c r="AA1524" s="25" t="n"/>
      <c r="AB1524" s="25" t="n"/>
      <c r="AC1524" s="195" t="n"/>
      <c r="AD1524" s="25" t="n"/>
      <c r="AE1524" s="25" t="n"/>
      <c r="AG1524" s="25" t="n"/>
      <c r="AH1524" s="25" t="n"/>
      <c r="AI1524" s="394" t="n"/>
      <c r="AM1524" s="48" t="n"/>
      <c r="AN1524" s="48" t="n"/>
      <c r="AO1524" s="48" t="n"/>
    </row>
    <row r="1525">
      <c r="M1525" s="25" t="n"/>
      <c r="Q1525" s="25" t="n"/>
      <c r="U1525" s="194" t="n"/>
      <c r="AA1525" s="25" t="n"/>
      <c r="AB1525" s="25" t="n"/>
      <c r="AC1525" s="195" t="n"/>
      <c r="AD1525" s="25" t="n"/>
      <c r="AE1525" s="25" t="n"/>
      <c r="AG1525" s="25" t="n"/>
      <c r="AH1525" s="25" t="n"/>
      <c r="AI1525" s="394" t="n"/>
      <c r="AM1525" s="48" t="n"/>
      <c r="AN1525" s="48" t="n"/>
      <c r="AO1525" s="48" t="n"/>
    </row>
    <row r="1526">
      <c r="M1526" s="25" t="n"/>
      <c r="Q1526" s="25" t="n"/>
      <c r="U1526" s="194" t="n"/>
      <c r="AA1526" s="25" t="n"/>
      <c r="AB1526" s="25" t="n"/>
      <c r="AC1526" s="195" t="n"/>
      <c r="AD1526" s="25" t="n"/>
      <c r="AE1526" s="25" t="n"/>
      <c r="AG1526" s="25" t="n"/>
      <c r="AH1526" s="25" t="n"/>
      <c r="AI1526" s="394" t="n"/>
      <c r="AM1526" s="48" t="n"/>
      <c r="AN1526" s="48" t="n"/>
      <c r="AO1526" s="48" t="n"/>
    </row>
    <row r="1527">
      <c r="M1527" s="25" t="n"/>
      <c r="Q1527" s="25" t="n"/>
      <c r="U1527" s="194" t="n"/>
      <c r="AA1527" s="25" t="n"/>
      <c r="AB1527" s="25" t="n"/>
      <c r="AC1527" s="195" t="n"/>
      <c r="AD1527" s="25" t="n"/>
      <c r="AE1527" s="25" t="n"/>
      <c r="AG1527" s="25" t="n"/>
      <c r="AH1527" s="25" t="n"/>
      <c r="AI1527" s="394" t="n"/>
      <c r="AM1527" s="48" t="n"/>
      <c r="AN1527" s="48" t="n"/>
      <c r="AO1527" s="48" t="n"/>
    </row>
    <row r="1528">
      <c r="M1528" s="25" t="n"/>
      <c r="Q1528" s="25" t="n"/>
      <c r="U1528" s="194" t="n"/>
      <c r="AA1528" s="25" t="n"/>
      <c r="AB1528" s="25" t="n"/>
      <c r="AC1528" s="195" t="n"/>
      <c r="AD1528" s="25" t="n"/>
      <c r="AE1528" s="25" t="n"/>
      <c r="AG1528" s="25" t="n"/>
      <c r="AH1528" s="25" t="n"/>
      <c r="AI1528" s="394" t="n"/>
      <c r="AM1528" s="48" t="n"/>
      <c r="AN1528" s="48" t="n"/>
      <c r="AO1528" s="48" t="n"/>
    </row>
    <row r="1529">
      <c r="M1529" s="25" t="n"/>
      <c r="Q1529" s="25" t="n"/>
      <c r="U1529" s="194" t="n"/>
      <c r="AA1529" s="25" t="n"/>
      <c r="AB1529" s="25" t="n"/>
      <c r="AC1529" s="195" t="n"/>
      <c r="AD1529" s="25" t="n"/>
      <c r="AE1529" s="25" t="n"/>
      <c r="AG1529" s="25" t="n"/>
      <c r="AH1529" s="25" t="n"/>
      <c r="AI1529" s="394" t="n"/>
      <c r="AM1529" s="48" t="n"/>
      <c r="AN1529" s="48" t="n"/>
      <c r="AO1529" s="48" t="n"/>
    </row>
    <row r="1530">
      <c r="M1530" s="25" t="n"/>
      <c r="Q1530" s="25" t="n"/>
      <c r="U1530" s="194" t="n"/>
      <c r="AA1530" s="25" t="n"/>
      <c r="AB1530" s="25" t="n"/>
      <c r="AC1530" s="195" t="n"/>
      <c r="AD1530" s="25" t="n"/>
      <c r="AE1530" s="25" t="n"/>
      <c r="AG1530" s="25" t="n"/>
      <c r="AH1530" s="25" t="n"/>
      <c r="AI1530" s="394" t="n"/>
      <c r="AM1530" s="48" t="n"/>
      <c r="AN1530" s="48" t="n"/>
      <c r="AO1530" s="48" t="n"/>
    </row>
    <row r="1531">
      <c r="M1531" s="25" t="n"/>
      <c r="Q1531" s="25" t="n"/>
      <c r="U1531" s="194" t="n"/>
      <c r="AA1531" s="25" t="n"/>
      <c r="AB1531" s="25" t="n"/>
      <c r="AC1531" s="195" t="n"/>
      <c r="AD1531" s="25" t="n"/>
      <c r="AE1531" s="25" t="n"/>
      <c r="AG1531" s="25" t="n"/>
      <c r="AH1531" s="25" t="n"/>
      <c r="AI1531" s="394" t="n"/>
      <c r="AM1531" s="48" t="n"/>
      <c r="AN1531" s="48" t="n"/>
      <c r="AO1531" s="48" t="n"/>
    </row>
    <row r="1532">
      <c r="M1532" s="25" t="n"/>
      <c r="Q1532" s="25" t="n"/>
      <c r="U1532" s="194" t="n"/>
      <c r="AA1532" s="25" t="n"/>
      <c r="AB1532" s="25" t="n"/>
      <c r="AC1532" s="195" t="n"/>
      <c r="AD1532" s="25" t="n"/>
      <c r="AE1532" s="25" t="n"/>
      <c r="AG1532" s="25" t="n"/>
      <c r="AH1532" s="25" t="n"/>
      <c r="AI1532" s="394" t="n"/>
      <c r="AM1532" s="48" t="n"/>
      <c r="AN1532" s="48" t="n"/>
      <c r="AO1532" s="48" t="n"/>
    </row>
    <row r="1533">
      <c r="M1533" s="25" t="n"/>
      <c r="Q1533" s="25" t="n"/>
      <c r="U1533" s="194" t="n"/>
      <c r="AA1533" s="25" t="n"/>
      <c r="AB1533" s="25" t="n"/>
      <c r="AC1533" s="195" t="n"/>
      <c r="AD1533" s="25" t="n"/>
      <c r="AE1533" s="25" t="n"/>
      <c r="AG1533" s="25" t="n"/>
      <c r="AH1533" s="25" t="n"/>
      <c r="AI1533" s="394" t="n"/>
      <c r="AM1533" s="48" t="n"/>
      <c r="AN1533" s="48" t="n"/>
      <c r="AO1533" s="48" t="n"/>
    </row>
    <row r="1534">
      <c r="M1534" s="25" t="n"/>
      <c r="Q1534" s="25" t="n"/>
      <c r="U1534" s="194" t="n"/>
      <c r="AA1534" s="25" t="n"/>
      <c r="AB1534" s="25" t="n"/>
      <c r="AC1534" s="195" t="n"/>
      <c r="AD1534" s="25" t="n"/>
      <c r="AE1534" s="25" t="n"/>
      <c r="AG1534" s="25" t="n"/>
      <c r="AH1534" s="25" t="n"/>
      <c r="AI1534" s="394" t="n"/>
      <c r="AM1534" s="48" t="n"/>
      <c r="AN1534" s="48" t="n"/>
      <c r="AO1534" s="48" t="n"/>
    </row>
    <row r="1535">
      <c r="M1535" s="25" t="n"/>
      <c r="Q1535" s="25" t="n"/>
      <c r="U1535" s="194" t="n"/>
      <c r="AA1535" s="25" t="n"/>
      <c r="AB1535" s="25" t="n"/>
      <c r="AC1535" s="195" t="n"/>
      <c r="AD1535" s="25" t="n"/>
      <c r="AE1535" s="25" t="n"/>
      <c r="AG1535" s="25" t="n"/>
      <c r="AH1535" s="25" t="n"/>
      <c r="AI1535" s="394" t="n"/>
      <c r="AM1535" s="48" t="n"/>
      <c r="AN1535" s="48" t="n"/>
      <c r="AO1535" s="48" t="n"/>
    </row>
    <row r="1536">
      <c r="M1536" s="25" t="n"/>
      <c r="Q1536" s="25" t="n"/>
      <c r="U1536" s="194" t="n"/>
      <c r="AA1536" s="25" t="n"/>
      <c r="AB1536" s="25" t="n"/>
      <c r="AC1536" s="195" t="n"/>
      <c r="AD1536" s="25" t="n"/>
      <c r="AE1536" s="25" t="n"/>
      <c r="AG1536" s="25" t="n"/>
      <c r="AH1536" s="25" t="n"/>
      <c r="AI1536" s="394" t="n"/>
      <c r="AM1536" s="48" t="n"/>
      <c r="AN1536" s="48" t="n"/>
      <c r="AO1536" s="48" t="n"/>
    </row>
    <row r="1537">
      <c r="M1537" s="25" t="n"/>
      <c r="Q1537" s="25" t="n"/>
      <c r="U1537" s="194" t="n"/>
      <c r="AA1537" s="25" t="n"/>
      <c r="AB1537" s="25" t="n"/>
      <c r="AC1537" s="195" t="n"/>
      <c r="AD1537" s="25" t="n"/>
      <c r="AE1537" s="25" t="n"/>
      <c r="AG1537" s="25" t="n"/>
      <c r="AH1537" s="25" t="n"/>
      <c r="AI1537" s="394" t="n"/>
      <c r="AM1537" s="48" t="n"/>
      <c r="AN1537" s="48" t="n"/>
      <c r="AO1537" s="48" t="n"/>
    </row>
    <row r="1538">
      <c r="M1538" s="25" t="n"/>
      <c r="Q1538" s="25" t="n"/>
      <c r="U1538" s="194" t="n"/>
      <c r="AA1538" s="25" t="n"/>
      <c r="AB1538" s="25" t="n"/>
      <c r="AC1538" s="195" t="n"/>
      <c r="AD1538" s="25" t="n"/>
      <c r="AE1538" s="25" t="n"/>
      <c r="AG1538" s="25" t="n"/>
      <c r="AH1538" s="25" t="n"/>
      <c r="AI1538" s="394" t="n"/>
      <c r="AM1538" s="48" t="n"/>
      <c r="AN1538" s="48" t="n"/>
      <c r="AO1538" s="48" t="n"/>
    </row>
    <row r="1539">
      <c r="M1539" s="25" t="n"/>
      <c r="Q1539" s="25" t="n"/>
      <c r="U1539" s="194" t="n"/>
      <c r="AA1539" s="25" t="n"/>
      <c r="AB1539" s="25" t="n"/>
      <c r="AC1539" s="195" t="n"/>
      <c r="AD1539" s="25" t="n"/>
      <c r="AE1539" s="25" t="n"/>
      <c r="AG1539" s="25" t="n"/>
      <c r="AH1539" s="25" t="n"/>
      <c r="AI1539" s="394" t="n"/>
      <c r="AM1539" s="48" t="n"/>
      <c r="AN1539" s="48" t="n"/>
      <c r="AO1539" s="48" t="n"/>
    </row>
    <row r="1540">
      <c r="M1540" s="25" t="n"/>
      <c r="Q1540" s="25" t="n"/>
      <c r="U1540" s="194" t="n"/>
      <c r="AA1540" s="25" t="n"/>
      <c r="AB1540" s="25" t="n"/>
      <c r="AC1540" s="195" t="n"/>
      <c r="AD1540" s="25" t="n"/>
      <c r="AE1540" s="25" t="n"/>
      <c r="AG1540" s="25" t="n"/>
      <c r="AH1540" s="25" t="n"/>
      <c r="AI1540" s="394" t="n"/>
      <c r="AM1540" s="48" t="n"/>
      <c r="AN1540" s="48" t="n"/>
      <c r="AO1540" s="48" t="n"/>
    </row>
    <row r="1541">
      <c r="M1541" s="25" t="n"/>
      <c r="Q1541" s="25" t="n"/>
      <c r="U1541" s="194" t="n"/>
      <c r="AA1541" s="25" t="n"/>
      <c r="AB1541" s="25" t="n"/>
      <c r="AC1541" s="195" t="n"/>
      <c r="AD1541" s="25" t="n"/>
      <c r="AE1541" s="25" t="n"/>
      <c r="AG1541" s="25" t="n"/>
      <c r="AH1541" s="25" t="n"/>
      <c r="AI1541" s="394" t="n"/>
      <c r="AM1541" s="48" t="n"/>
      <c r="AN1541" s="48" t="n"/>
      <c r="AO1541" s="48" t="n"/>
    </row>
    <row r="1542">
      <c r="M1542" s="25" t="n"/>
      <c r="Q1542" s="25" t="n"/>
      <c r="U1542" s="194" t="n"/>
      <c r="AA1542" s="25" t="n"/>
      <c r="AB1542" s="25" t="n"/>
      <c r="AC1542" s="195" t="n"/>
      <c r="AD1542" s="25" t="n"/>
      <c r="AE1542" s="25" t="n"/>
      <c r="AG1542" s="25" t="n"/>
      <c r="AH1542" s="25" t="n"/>
      <c r="AI1542" s="394" t="n"/>
      <c r="AM1542" s="48" t="n"/>
      <c r="AN1542" s="48" t="n"/>
      <c r="AO1542" s="48" t="n"/>
    </row>
    <row r="1543">
      <c r="M1543" s="25" t="n"/>
      <c r="Q1543" s="25" t="n"/>
      <c r="U1543" s="194" t="n"/>
      <c r="AA1543" s="25" t="n"/>
      <c r="AB1543" s="25" t="n"/>
      <c r="AC1543" s="195" t="n"/>
      <c r="AD1543" s="25" t="n"/>
      <c r="AE1543" s="25" t="n"/>
      <c r="AG1543" s="25" t="n"/>
      <c r="AH1543" s="25" t="n"/>
      <c r="AI1543" s="394" t="n"/>
      <c r="AM1543" s="48" t="n"/>
      <c r="AN1543" s="48" t="n"/>
      <c r="AO1543" s="48" t="n"/>
    </row>
    <row r="1544">
      <c r="M1544" s="25" t="n"/>
      <c r="Q1544" s="25" t="n"/>
      <c r="U1544" s="194" t="n"/>
      <c r="AA1544" s="25" t="n"/>
      <c r="AB1544" s="25" t="n"/>
      <c r="AC1544" s="195" t="n"/>
      <c r="AD1544" s="25" t="n"/>
      <c r="AE1544" s="25" t="n"/>
      <c r="AG1544" s="25" t="n"/>
      <c r="AH1544" s="25" t="n"/>
      <c r="AI1544" s="394" t="n"/>
      <c r="AM1544" s="48" t="n"/>
      <c r="AN1544" s="48" t="n"/>
      <c r="AO1544" s="48" t="n"/>
    </row>
    <row r="1545">
      <c r="M1545" s="25" t="n"/>
      <c r="Q1545" s="25" t="n"/>
      <c r="U1545" s="194" t="n"/>
      <c r="AA1545" s="25" t="n"/>
      <c r="AB1545" s="25" t="n"/>
      <c r="AC1545" s="195" t="n"/>
      <c r="AD1545" s="25" t="n"/>
      <c r="AE1545" s="25" t="n"/>
      <c r="AG1545" s="25" t="n"/>
      <c r="AH1545" s="25" t="n"/>
      <c r="AI1545" s="394" t="n"/>
      <c r="AM1545" s="48" t="n"/>
      <c r="AN1545" s="48" t="n"/>
      <c r="AO1545" s="48" t="n"/>
    </row>
    <row r="1546">
      <c r="M1546" s="25" t="n"/>
      <c r="Q1546" s="25" t="n"/>
      <c r="U1546" s="194" t="n"/>
      <c r="AA1546" s="25" t="n"/>
      <c r="AB1546" s="25" t="n"/>
      <c r="AC1546" s="195" t="n"/>
      <c r="AD1546" s="25" t="n"/>
      <c r="AE1546" s="25" t="n"/>
      <c r="AG1546" s="25" t="n"/>
      <c r="AH1546" s="25" t="n"/>
      <c r="AI1546" s="394" t="n"/>
      <c r="AM1546" s="48" t="n"/>
      <c r="AN1546" s="48" t="n"/>
      <c r="AO1546" s="48" t="n"/>
    </row>
    <row r="1547">
      <c r="M1547" s="25" t="n"/>
      <c r="Q1547" s="25" t="n"/>
      <c r="U1547" s="194" t="n"/>
      <c r="AA1547" s="25" t="n"/>
      <c r="AB1547" s="25" t="n"/>
      <c r="AC1547" s="195" t="n"/>
      <c r="AD1547" s="25" t="n"/>
      <c r="AE1547" s="25" t="n"/>
      <c r="AG1547" s="25" t="n"/>
      <c r="AH1547" s="25" t="n"/>
      <c r="AI1547" s="394" t="n"/>
      <c r="AM1547" s="48" t="n"/>
      <c r="AN1547" s="48" t="n"/>
      <c r="AO1547" s="48" t="n"/>
    </row>
    <row r="1548">
      <c r="M1548" s="25" t="n"/>
      <c r="Q1548" s="25" t="n"/>
      <c r="U1548" s="194" t="n"/>
      <c r="AA1548" s="25" t="n"/>
      <c r="AB1548" s="25" t="n"/>
      <c r="AC1548" s="195" t="n"/>
      <c r="AD1548" s="25" t="n"/>
      <c r="AE1548" s="25" t="n"/>
      <c r="AG1548" s="25" t="n"/>
      <c r="AH1548" s="25" t="n"/>
      <c r="AI1548" s="394" t="n"/>
      <c r="AM1548" s="48" t="n"/>
      <c r="AN1548" s="48" t="n"/>
      <c r="AO1548" s="48" t="n"/>
    </row>
    <row r="1549">
      <c r="M1549" s="25" t="n"/>
      <c r="Q1549" s="25" t="n"/>
      <c r="U1549" s="194" t="n"/>
      <c r="AA1549" s="25" t="n"/>
      <c r="AB1549" s="25" t="n"/>
      <c r="AC1549" s="195" t="n"/>
      <c r="AD1549" s="25" t="n"/>
      <c r="AE1549" s="25" t="n"/>
      <c r="AG1549" s="25" t="n"/>
      <c r="AH1549" s="25" t="n"/>
      <c r="AI1549" s="394" t="n"/>
      <c r="AM1549" s="48" t="n"/>
      <c r="AN1549" s="48" t="n"/>
      <c r="AO1549" s="48" t="n"/>
    </row>
    <row r="1550">
      <c r="M1550" s="25" t="n"/>
      <c r="Q1550" s="25" t="n"/>
      <c r="U1550" s="194" t="n"/>
      <c r="AA1550" s="25" t="n"/>
      <c r="AB1550" s="25" t="n"/>
      <c r="AC1550" s="195" t="n"/>
      <c r="AD1550" s="25" t="n"/>
      <c r="AE1550" s="25" t="n"/>
      <c r="AG1550" s="25" t="n"/>
      <c r="AH1550" s="25" t="n"/>
      <c r="AI1550" s="394" t="n"/>
      <c r="AM1550" s="48" t="n"/>
      <c r="AN1550" s="48" t="n"/>
      <c r="AO1550" s="48" t="n"/>
    </row>
    <row r="1551">
      <c r="M1551" s="25" t="n"/>
      <c r="Q1551" s="25" t="n"/>
      <c r="U1551" s="194" t="n"/>
      <c r="AA1551" s="25" t="n"/>
      <c r="AB1551" s="25" t="n"/>
      <c r="AC1551" s="195" t="n"/>
      <c r="AD1551" s="25" t="n"/>
      <c r="AE1551" s="25" t="n"/>
      <c r="AG1551" s="25" t="n"/>
      <c r="AH1551" s="25" t="n"/>
      <c r="AI1551" s="394" t="n"/>
      <c r="AM1551" s="48" t="n"/>
      <c r="AN1551" s="48" t="n"/>
      <c r="AO1551" s="48" t="n"/>
    </row>
    <row r="1552">
      <c r="M1552" s="25" t="n"/>
      <c r="Q1552" s="25" t="n"/>
      <c r="U1552" s="194" t="n"/>
      <c r="AA1552" s="25" t="n"/>
      <c r="AB1552" s="25" t="n"/>
      <c r="AC1552" s="195" t="n"/>
      <c r="AD1552" s="25" t="n"/>
      <c r="AE1552" s="25" t="n"/>
      <c r="AG1552" s="25" t="n"/>
      <c r="AH1552" s="25" t="n"/>
      <c r="AI1552" s="394" t="n"/>
      <c r="AM1552" s="48" t="n"/>
      <c r="AN1552" s="48" t="n"/>
      <c r="AO1552" s="48" t="n"/>
    </row>
    <row r="1553">
      <c r="M1553" s="25" t="n"/>
      <c r="Q1553" s="25" t="n"/>
      <c r="U1553" s="194" t="n"/>
      <c r="AA1553" s="25" t="n"/>
      <c r="AB1553" s="25" t="n"/>
      <c r="AC1553" s="195" t="n"/>
      <c r="AD1553" s="25" t="n"/>
      <c r="AE1553" s="25" t="n"/>
      <c r="AG1553" s="25" t="n"/>
      <c r="AH1553" s="25" t="n"/>
      <c r="AI1553" s="394" t="n"/>
      <c r="AM1553" s="48" t="n"/>
      <c r="AN1553" s="48" t="n"/>
      <c r="AO1553" s="48" t="n"/>
    </row>
    <row r="1554">
      <c r="M1554" s="25" t="n"/>
      <c r="Q1554" s="25" t="n"/>
      <c r="U1554" s="194" t="n"/>
      <c r="AA1554" s="25" t="n"/>
      <c r="AB1554" s="25" t="n"/>
      <c r="AC1554" s="195" t="n"/>
      <c r="AD1554" s="25" t="n"/>
      <c r="AE1554" s="25" t="n"/>
      <c r="AG1554" s="25" t="n"/>
      <c r="AH1554" s="25" t="n"/>
      <c r="AI1554" s="394" t="n"/>
      <c r="AM1554" s="48" t="n"/>
      <c r="AN1554" s="48" t="n"/>
      <c r="AO1554" s="48" t="n"/>
    </row>
    <row r="1555">
      <c r="M1555" s="25" t="n"/>
      <c r="Q1555" s="25" t="n"/>
      <c r="U1555" s="194" t="n"/>
      <c r="AA1555" s="25" t="n"/>
      <c r="AB1555" s="25" t="n"/>
      <c r="AC1555" s="195" t="n"/>
      <c r="AD1555" s="25" t="n"/>
      <c r="AE1555" s="25" t="n"/>
      <c r="AG1555" s="25" t="n"/>
      <c r="AH1555" s="25" t="n"/>
      <c r="AI1555" s="394" t="n"/>
      <c r="AM1555" s="48" t="n"/>
      <c r="AN1555" s="48" t="n"/>
      <c r="AO1555" s="48" t="n"/>
    </row>
    <row r="1556">
      <c r="M1556" s="25" t="n"/>
      <c r="Q1556" s="25" t="n"/>
      <c r="U1556" s="194" t="n"/>
      <c r="AA1556" s="25" t="n"/>
      <c r="AB1556" s="25" t="n"/>
      <c r="AC1556" s="195" t="n"/>
      <c r="AD1556" s="25" t="n"/>
      <c r="AE1556" s="25" t="n"/>
      <c r="AG1556" s="25" t="n"/>
      <c r="AH1556" s="25" t="n"/>
      <c r="AI1556" s="394" t="n"/>
      <c r="AM1556" s="48" t="n"/>
      <c r="AN1556" s="48" t="n"/>
      <c r="AO1556" s="48" t="n"/>
    </row>
    <row r="1557">
      <c r="M1557" s="25" t="n"/>
      <c r="Q1557" s="25" t="n"/>
      <c r="U1557" s="194" t="n"/>
      <c r="AA1557" s="25" t="n"/>
      <c r="AB1557" s="25" t="n"/>
      <c r="AC1557" s="195" t="n"/>
      <c r="AD1557" s="25" t="n"/>
      <c r="AE1557" s="25" t="n"/>
      <c r="AG1557" s="25" t="n"/>
      <c r="AH1557" s="25" t="n"/>
      <c r="AI1557" s="394" t="n"/>
      <c r="AM1557" s="48" t="n"/>
      <c r="AN1557" s="48" t="n"/>
      <c r="AO1557" s="48" t="n"/>
    </row>
    <row r="1558">
      <c r="M1558" s="25" t="n"/>
      <c r="Q1558" s="25" t="n"/>
      <c r="U1558" s="194" t="n"/>
      <c r="AA1558" s="25" t="n"/>
      <c r="AB1558" s="25" t="n"/>
      <c r="AC1558" s="195" t="n"/>
      <c r="AD1558" s="25" t="n"/>
      <c r="AE1558" s="25" t="n"/>
      <c r="AG1558" s="25" t="n"/>
      <c r="AH1558" s="25" t="n"/>
      <c r="AI1558" s="394" t="n"/>
      <c r="AM1558" s="48" t="n"/>
      <c r="AN1558" s="48" t="n"/>
      <c r="AO1558" s="48" t="n"/>
    </row>
    <row r="1559">
      <c r="M1559" s="25" t="n"/>
      <c r="Q1559" s="25" t="n"/>
      <c r="U1559" s="194" t="n"/>
      <c r="AA1559" s="25" t="n"/>
      <c r="AB1559" s="25" t="n"/>
      <c r="AC1559" s="195" t="n"/>
      <c r="AD1559" s="25" t="n"/>
      <c r="AE1559" s="25" t="n"/>
      <c r="AG1559" s="25" t="n"/>
      <c r="AH1559" s="25" t="n"/>
      <c r="AI1559" s="394" t="n"/>
      <c r="AM1559" s="48" t="n"/>
      <c r="AN1559" s="48" t="n"/>
      <c r="AO1559" s="48" t="n"/>
    </row>
    <row r="1560">
      <c r="M1560" s="25" t="n"/>
      <c r="Q1560" s="25" t="n"/>
      <c r="U1560" s="194" t="n"/>
      <c r="AA1560" s="25" t="n"/>
      <c r="AB1560" s="25" t="n"/>
      <c r="AC1560" s="195" t="n"/>
      <c r="AD1560" s="25" t="n"/>
      <c r="AE1560" s="25" t="n"/>
      <c r="AG1560" s="25" t="n"/>
      <c r="AH1560" s="25" t="n"/>
      <c r="AI1560" s="394" t="n"/>
      <c r="AM1560" s="48" t="n"/>
      <c r="AN1560" s="48" t="n"/>
      <c r="AO1560" s="48" t="n"/>
    </row>
    <row r="1561">
      <c r="M1561" s="25" t="n"/>
      <c r="Q1561" s="25" t="n"/>
      <c r="U1561" s="194" t="n"/>
      <c r="AA1561" s="25" t="n"/>
      <c r="AB1561" s="25" t="n"/>
      <c r="AC1561" s="195" t="n"/>
      <c r="AD1561" s="25" t="n"/>
      <c r="AE1561" s="25" t="n"/>
      <c r="AG1561" s="25" t="n"/>
      <c r="AH1561" s="25" t="n"/>
      <c r="AI1561" s="394" t="n"/>
      <c r="AM1561" s="48" t="n"/>
      <c r="AN1561" s="48" t="n"/>
      <c r="AO1561" s="48" t="n"/>
    </row>
    <row r="1562">
      <c r="M1562" s="25" t="n"/>
      <c r="Q1562" s="25" t="n"/>
      <c r="U1562" s="194" t="n"/>
      <c r="AA1562" s="25" t="n"/>
      <c r="AB1562" s="25" t="n"/>
      <c r="AC1562" s="195" t="n"/>
      <c r="AD1562" s="25" t="n"/>
      <c r="AE1562" s="25" t="n"/>
      <c r="AG1562" s="25" t="n"/>
      <c r="AH1562" s="25" t="n"/>
      <c r="AI1562" s="394" t="n"/>
      <c r="AM1562" s="48" t="n"/>
      <c r="AN1562" s="48" t="n"/>
      <c r="AO1562" s="48" t="n"/>
    </row>
    <row r="1563">
      <c r="M1563" s="25" t="n"/>
      <c r="Q1563" s="25" t="n"/>
      <c r="U1563" s="194" t="n"/>
      <c r="AA1563" s="25" t="n"/>
      <c r="AB1563" s="25" t="n"/>
      <c r="AC1563" s="195" t="n"/>
      <c r="AD1563" s="25" t="n"/>
      <c r="AE1563" s="25" t="n"/>
      <c r="AG1563" s="25" t="n"/>
      <c r="AH1563" s="25" t="n"/>
      <c r="AI1563" s="394" t="n"/>
      <c r="AM1563" s="48" t="n"/>
      <c r="AN1563" s="48" t="n"/>
      <c r="AO1563" s="48" t="n"/>
    </row>
    <row r="1564">
      <c r="M1564" s="25" t="n"/>
      <c r="Q1564" s="25" t="n"/>
      <c r="U1564" s="194" t="n"/>
      <c r="AA1564" s="25" t="n"/>
      <c r="AB1564" s="25" t="n"/>
      <c r="AC1564" s="195" t="n"/>
      <c r="AD1564" s="25" t="n"/>
      <c r="AE1564" s="25" t="n"/>
      <c r="AG1564" s="25" t="n"/>
      <c r="AH1564" s="25" t="n"/>
      <c r="AI1564" s="394" t="n"/>
      <c r="AM1564" s="48" t="n"/>
      <c r="AN1564" s="48" t="n"/>
      <c r="AO1564" s="48" t="n"/>
    </row>
    <row r="1565">
      <c r="M1565" s="25" t="n"/>
      <c r="Q1565" s="25" t="n"/>
      <c r="U1565" s="194" t="n"/>
      <c r="AA1565" s="25" t="n"/>
      <c r="AB1565" s="25" t="n"/>
      <c r="AC1565" s="195" t="n"/>
      <c r="AD1565" s="25" t="n"/>
      <c r="AE1565" s="25" t="n"/>
      <c r="AG1565" s="25" t="n"/>
      <c r="AH1565" s="25" t="n"/>
      <c r="AI1565" s="394" t="n"/>
      <c r="AM1565" s="48" t="n"/>
      <c r="AN1565" s="48" t="n"/>
      <c r="AO1565" s="48" t="n"/>
    </row>
    <row r="1566">
      <c r="M1566" s="25" t="n"/>
      <c r="Q1566" s="25" t="n"/>
      <c r="U1566" s="194" t="n"/>
      <c r="AA1566" s="25" t="n"/>
      <c r="AB1566" s="25" t="n"/>
      <c r="AC1566" s="195" t="n"/>
      <c r="AD1566" s="25" t="n"/>
      <c r="AE1566" s="25" t="n"/>
      <c r="AG1566" s="25" t="n"/>
      <c r="AH1566" s="25" t="n"/>
      <c r="AI1566" s="394" t="n"/>
      <c r="AM1566" s="48" t="n"/>
      <c r="AN1566" s="48" t="n"/>
      <c r="AO1566" s="48" t="n"/>
    </row>
    <row r="1567">
      <c r="M1567" s="25" t="n"/>
      <c r="Q1567" s="25" t="n"/>
      <c r="U1567" s="194" t="n"/>
      <c r="AA1567" s="25" t="n"/>
      <c r="AB1567" s="25" t="n"/>
      <c r="AC1567" s="195" t="n"/>
      <c r="AD1567" s="25" t="n"/>
      <c r="AE1567" s="25" t="n"/>
      <c r="AG1567" s="25" t="n"/>
      <c r="AH1567" s="25" t="n"/>
      <c r="AI1567" s="394" t="n"/>
      <c r="AM1567" s="48" t="n"/>
      <c r="AN1567" s="48" t="n"/>
      <c r="AO1567" s="48" t="n"/>
    </row>
    <row r="1568">
      <c r="M1568" s="25" t="n"/>
      <c r="Q1568" s="25" t="n"/>
      <c r="U1568" s="194" t="n"/>
      <c r="AA1568" s="25" t="n"/>
      <c r="AB1568" s="25" t="n"/>
      <c r="AC1568" s="195" t="n"/>
      <c r="AD1568" s="25" t="n"/>
      <c r="AE1568" s="25" t="n"/>
      <c r="AG1568" s="25" t="n"/>
      <c r="AH1568" s="25" t="n"/>
      <c r="AI1568" s="394" t="n"/>
      <c r="AM1568" s="48" t="n"/>
      <c r="AN1568" s="48" t="n"/>
      <c r="AO1568" s="48" t="n"/>
    </row>
    <row r="1569">
      <c r="M1569" s="25" t="n"/>
      <c r="Q1569" s="25" t="n"/>
      <c r="U1569" s="194" t="n"/>
      <c r="AA1569" s="25" t="n"/>
      <c r="AB1569" s="25" t="n"/>
      <c r="AC1569" s="195" t="n"/>
      <c r="AD1569" s="25" t="n"/>
      <c r="AE1569" s="25" t="n"/>
      <c r="AG1569" s="25" t="n"/>
      <c r="AH1569" s="25" t="n"/>
      <c r="AI1569" s="394" t="n"/>
      <c r="AM1569" s="48" t="n"/>
      <c r="AN1569" s="48" t="n"/>
      <c r="AO1569" s="48" t="n"/>
    </row>
    <row r="1570">
      <c r="M1570" s="25" t="n"/>
      <c r="Q1570" s="25" t="n"/>
      <c r="U1570" s="194" t="n"/>
      <c r="AA1570" s="25" t="n"/>
      <c r="AB1570" s="25" t="n"/>
      <c r="AC1570" s="195" t="n"/>
      <c r="AD1570" s="25" t="n"/>
      <c r="AE1570" s="25" t="n"/>
      <c r="AG1570" s="25" t="n"/>
      <c r="AH1570" s="25" t="n"/>
      <c r="AI1570" s="394" t="n"/>
      <c r="AM1570" s="48" t="n"/>
      <c r="AN1570" s="48" t="n"/>
      <c r="AO1570" s="48" t="n"/>
    </row>
    <row r="1571">
      <c r="M1571" s="25" t="n"/>
      <c r="Q1571" s="25" t="n"/>
      <c r="U1571" s="194" t="n"/>
      <c r="AA1571" s="25" t="n"/>
      <c r="AB1571" s="25" t="n"/>
      <c r="AC1571" s="195" t="n"/>
      <c r="AD1571" s="25" t="n"/>
      <c r="AE1571" s="25" t="n"/>
      <c r="AG1571" s="25" t="n"/>
      <c r="AH1571" s="25" t="n"/>
      <c r="AI1571" s="394" t="n"/>
      <c r="AM1571" s="48" t="n"/>
      <c r="AN1571" s="48" t="n"/>
      <c r="AO1571" s="48" t="n"/>
    </row>
    <row r="1572">
      <c r="M1572" s="25" t="n"/>
      <c r="Q1572" s="25" t="n"/>
      <c r="U1572" s="194" t="n"/>
      <c r="AA1572" s="25" t="n"/>
      <c r="AB1572" s="25" t="n"/>
      <c r="AC1572" s="195" t="n"/>
      <c r="AD1572" s="25" t="n"/>
      <c r="AE1572" s="25" t="n"/>
      <c r="AG1572" s="25" t="n"/>
      <c r="AH1572" s="25" t="n"/>
      <c r="AI1572" s="394" t="n"/>
      <c r="AM1572" s="48" t="n"/>
      <c r="AN1572" s="48" t="n"/>
      <c r="AO1572" s="48" t="n"/>
    </row>
    <row r="1573">
      <c r="M1573" s="25" t="n"/>
      <c r="Q1573" s="25" t="n"/>
      <c r="U1573" s="194" t="n"/>
      <c r="AA1573" s="25" t="n"/>
      <c r="AB1573" s="25" t="n"/>
      <c r="AC1573" s="195" t="n"/>
      <c r="AD1573" s="25" t="n"/>
      <c r="AE1573" s="25" t="n"/>
      <c r="AG1573" s="25" t="n"/>
      <c r="AH1573" s="25" t="n"/>
      <c r="AI1573" s="394" t="n"/>
      <c r="AM1573" s="48" t="n"/>
      <c r="AN1573" s="48" t="n"/>
      <c r="AO1573" s="48" t="n"/>
    </row>
    <row r="1574">
      <c r="M1574" s="25" t="n"/>
      <c r="Q1574" s="25" t="n"/>
      <c r="U1574" s="194" t="n"/>
      <c r="AA1574" s="25" t="n"/>
      <c r="AB1574" s="25" t="n"/>
      <c r="AC1574" s="195" t="n"/>
      <c r="AD1574" s="25" t="n"/>
      <c r="AE1574" s="25" t="n"/>
      <c r="AG1574" s="25" t="n"/>
      <c r="AH1574" s="25" t="n"/>
      <c r="AI1574" s="394" t="n"/>
      <c r="AM1574" s="48" t="n"/>
      <c r="AN1574" s="48" t="n"/>
      <c r="AO1574" s="48" t="n"/>
    </row>
    <row r="1575">
      <c r="M1575" s="25" t="n"/>
      <c r="Q1575" s="25" t="n"/>
      <c r="U1575" s="194" t="n"/>
      <c r="AA1575" s="25" t="n"/>
      <c r="AB1575" s="25" t="n"/>
      <c r="AC1575" s="195" t="n"/>
      <c r="AD1575" s="25" t="n"/>
      <c r="AE1575" s="25" t="n"/>
      <c r="AG1575" s="25" t="n"/>
      <c r="AH1575" s="25" t="n"/>
      <c r="AI1575" s="394" t="n"/>
      <c r="AM1575" s="48" t="n"/>
      <c r="AN1575" s="48" t="n"/>
      <c r="AO1575" s="48" t="n"/>
    </row>
    <row r="1576">
      <c r="M1576" s="25" t="n"/>
      <c r="Q1576" s="25" t="n"/>
      <c r="U1576" s="194" t="n"/>
      <c r="AA1576" s="25" t="n"/>
      <c r="AB1576" s="25" t="n"/>
      <c r="AC1576" s="195" t="n"/>
      <c r="AD1576" s="25" t="n"/>
      <c r="AE1576" s="25" t="n"/>
      <c r="AG1576" s="25" t="n"/>
      <c r="AH1576" s="25" t="n"/>
      <c r="AI1576" s="394" t="n"/>
      <c r="AM1576" s="48" t="n"/>
      <c r="AN1576" s="48" t="n"/>
      <c r="AO1576" s="48" t="n"/>
    </row>
    <row r="1577">
      <c r="M1577" s="25" t="n"/>
      <c r="Q1577" s="25" t="n"/>
      <c r="U1577" s="194" t="n"/>
      <c r="AA1577" s="25" t="n"/>
      <c r="AB1577" s="25" t="n"/>
      <c r="AC1577" s="195" t="n"/>
      <c r="AD1577" s="25" t="n"/>
      <c r="AE1577" s="25" t="n"/>
      <c r="AG1577" s="25" t="n"/>
      <c r="AH1577" s="25" t="n"/>
      <c r="AI1577" s="394" t="n"/>
      <c r="AM1577" s="48" t="n"/>
      <c r="AN1577" s="48" t="n"/>
      <c r="AO1577" s="48" t="n"/>
    </row>
    <row r="1578">
      <c r="M1578" s="25" t="n"/>
      <c r="Q1578" s="25" t="n"/>
      <c r="U1578" s="194" t="n"/>
      <c r="AA1578" s="25" t="n"/>
      <c r="AB1578" s="25" t="n"/>
      <c r="AC1578" s="195" t="n"/>
      <c r="AD1578" s="25" t="n"/>
      <c r="AE1578" s="25" t="n"/>
      <c r="AG1578" s="25" t="n"/>
      <c r="AH1578" s="25" t="n"/>
      <c r="AI1578" s="394" t="n"/>
      <c r="AM1578" s="48" t="n"/>
      <c r="AN1578" s="48" t="n"/>
      <c r="AO1578" s="48" t="n"/>
    </row>
    <row r="1579">
      <c r="M1579" s="25" t="n"/>
      <c r="Q1579" s="25" t="n"/>
      <c r="U1579" s="194" t="n"/>
      <c r="AA1579" s="25" t="n"/>
      <c r="AB1579" s="25" t="n"/>
      <c r="AC1579" s="195" t="n"/>
      <c r="AD1579" s="25" t="n"/>
      <c r="AE1579" s="25" t="n"/>
      <c r="AG1579" s="25" t="n"/>
      <c r="AH1579" s="25" t="n"/>
      <c r="AI1579" s="394" t="n"/>
      <c r="AM1579" s="48" t="n"/>
      <c r="AN1579" s="48" t="n"/>
      <c r="AO1579" s="48" t="n"/>
    </row>
    <row r="1580">
      <c r="M1580" s="25" t="n"/>
      <c r="Q1580" s="25" t="n"/>
      <c r="U1580" s="194" t="n"/>
      <c r="AA1580" s="25" t="n"/>
      <c r="AB1580" s="25" t="n"/>
      <c r="AC1580" s="195" t="n"/>
      <c r="AD1580" s="25" t="n"/>
      <c r="AE1580" s="25" t="n"/>
      <c r="AG1580" s="25" t="n"/>
      <c r="AH1580" s="25" t="n"/>
      <c r="AI1580" s="394" t="n"/>
      <c r="AM1580" s="48" t="n"/>
      <c r="AN1580" s="48" t="n"/>
      <c r="AO1580" s="48" t="n"/>
    </row>
    <row r="1581">
      <c r="M1581" s="25" t="n"/>
      <c r="Q1581" s="25" t="n"/>
      <c r="U1581" s="194" t="n"/>
      <c r="AA1581" s="25" t="n"/>
      <c r="AB1581" s="25" t="n"/>
      <c r="AC1581" s="195" t="n"/>
      <c r="AD1581" s="25" t="n"/>
      <c r="AE1581" s="25" t="n"/>
      <c r="AG1581" s="25" t="n"/>
      <c r="AH1581" s="25" t="n"/>
      <c r="AI1581" s="394" t="n"/>
      <c r="AM1581" s="48" t="n"/>
      <c r="AN1581" s="48" t="n"/>
      <c r="AO1581" s="48" t="n"/>
    </row>
    <row r="1582">
      <c r="M1582" s="25" t="n"/>
      <c r="Q1582" s="25" t="n"/>
      <c r="U1582" s="194" t="n"/>
      <c r="AA1582" s="25" t="n"/>
      <c r="AB1582" s="25" t="n"/>
      <c r="AC1582" s="195" t="n"/>
      <c r="AD1582" s="25" t="n"/>
      <c r="AE1582" s="25" t="n"/>
      <c r="AG1582" s="25" t="n"/>
      <c r="AH1582" s="25" t="n"/>
      <c r="AI1582" s="394" t="n"/>
      <c r="AM1582" s="48" t="n"/>
      <c r="AN1582" s="48" t="n"/>
      <c r="AO1582" s="48" t="n"/>
    </row>
    <row r="1583">
      <c r="M1583" s="25" t="n"/>
      <c r="Q1583" s="25" t="n"/>
      <c r="U1583" s="194" t="n"/>
      <c r="AA1583" s="25" t="n"/>
      <c r="AB1583" s="25" t="n"/>
      <c r="AC1583" s="195" t="n"/>
      <c r="AD1583" s="25" t="n"/>
      <c r="AE1583" s="25" t="n"/>
      <c r="AG1583" s="25" t="n"/>
      <c r="AH1583" s="25" t="n"/>
      <c r="AI1583" s="394" t="n"/>
      <c r="AM1583" s="48" t="n"/>
      <c r="AN1583" s="48" t="n"/>
      <c r="AO1583" s="48" t="n"/>
    </row>
    <row r="1584">
      <c r="M1584" s="25" t="n"/>
      <c r="Q1584" s="25" t="n"/>
      <c r="U1584" s="194" t="n"/>
      <c r="AA1584" s="25" t="n"/>
      <c r="AB1584" s="25" t="n"/>
      <c r="AC1584" s="195" t="n"/>
      <c r="AD1584" s="25" t="n"/>
      <c r="AE1584" s="25" t="n"/>
      <c r="AG1584" s="25" t="n"/>
      <c r="AH1584" s="25" t="n"/>
      <c r="AI1584" s="394" t="n"/>
      <c r="AM1584" s="48" t="n"/>
      <c r="AN1584" s="48" t="n"/>
      <c r="AO1584" s="48" t="n"/>
    </row>
    <row r="1585">
      <c r="M1585" s="25" t="n"/>
      <c r="Q1585" s="25" t="n"/>
      <c r="U1585" s="194" t="n"/>
      <c r="AA1585" s="25" t="n"/>
      <c r="AB1585" s="25" t="n"/>
      <c r="AC1585" s="195" t="n"/>
      <c r="AD1585" s="25" t="n"/>
      <c r="AE1585" s="25" t="n"/>
      <c r="AG1585" s="25" t="n"/>
      <c r="AH1585" s="25" t="n"/>
      <c r="AI1585" s="394" t="n"/>
      <c r="AM1585" s="48" t="n"/>
      <c r="AN1585" s="48" t="n"/>
      <c r="AO1585" s="48" t="n"/>
    </row>
    <row r="1586">
      <c r="M1586" s="25" t="n"/>
      <c r="Q1586" s="25" t="n"/>
      <c r="U1586" s="194" t="n"/>
      <c r="AA1586" s="25" t="n"/>
      <c r="AB1586" s="25" t="n"/>
      <c r="AC1586" s="195" t="n"/>
      <c r="AD1586" s="25" t="n"/>
      <c r="AE1586" s="25" t="n"/>
      <c r="AG1586" s="25" t="n"/>
      <c r="AH1586" s="25" t="n"/>
      <c r="AI1586" s="394" t="n"/>
      <c r="AM1586" s="48" t="n"/>
      <c r="AN1586" s="48" t="n"/>
      <c r="AO1586" s="48" t="n"/>
    </row>
    <row r="1587">
      <c r="M1587" s="25" t="n"/>
      <c r="Q1587" s="25" t="n"/>
      <c r="U1587" s="194" t="n"/>
      <c r="AA1587" s="25" t="n"/>
      <c r="AB1587" s="25" t="n"/>
      <c r="AC1587" s="195" t="n"/>
      <c r="AD1587" s="25" t="n"/>
      <c r="AE1587" s="25" t="n"/>
      <c r="AG1587" s="25" t="n"/>
      <c r="AH1587" s="25" t="n"/>
      <c r="AI1587" s="394" t="n"/>
      <c r="AM1587" s="48" t="n"/>
      <c r="AN1587" s="48" t="n"/>
      <c r="AO1587" s="48" t="n"/>
    </row>
    <row r="1588">
      <c r="M1588" s="25" t="n"/>
      <c r="Q1588" s="25" t="n"/>
      <c r="U1588" s="194" t="n"/>
      <c r="AA1588" s="25" t="n"/>
      <c r="AB1588" s="25" t="n"/>
      <c r="AC1588" s="195" t="n"/>
      <c r="AD1588" s="25" t="n"/>
      <c r="AE1588" s="25" t="n"/>
      <c r="AG1588" s="25" t="n"/>
      <c r="AH1588" s="25" t="n"/>
      <c r="AI1588" s="394" t="n"/>
      <c r="AM1588" s="48" t="n"/>
      <c r="AN1588" s="48" t="n"/>
      <c r="AO1588" s="48" t="n"/>
    </row>
    <row r="1589">
      <c r="M1589" s="25" t="n"/>
      <c r="Q1589" s="25" t="n"/>
      <c r="U1589" s="194" t="n"/>
      <c r="AA1589" s="25" t="n"/>
      <c r="AB1589" s="25" t="n"/>
      <c r="AC1589" s="195" t="n"/>
      <c r="AD1589" s="25" t="n"/>
      <c r="AE1589" s="25" t="n"/>
      <c r="AG1589" s="25" t="n"/>
      <c r="AH1589" s="25" t="n"/>
      <c r="AI1589" s="394" t="n"/>
      <c r="AM1589" s="48" t="n"/>
      <c r="AN1589" s="48" t="n"/>
      <c r="AO1589" s="48" t="n"/>
    </row>
    <row r="1590">
      <c r="M1590" s="25" t="n"/>
      <c r="Q1590" s="25" t="n"/>
      <c r="U1590" s="194" t="n"/>
      <c r="AA1590" s="25" t="n"/>
      <c r="AB1590" s="25" t="n"/>
      <c r="AC1590" s="195" t="n"/>
      <c r="AD1590" s="25" t="n"/>
      <c r="AE1590" s="25" t="n"/>
      <c r="AG1590" s="25" t="n"/>
      <c r="AH1590" s="25" t="n"/>
      <c r="AI1590" s="394" t="n"/>
      <c r="AM1590" s="48" t="n"/>
      <c r="AN1590" s="48" t="n"/>
      <c r="AO1590" s="48" t="n"/>
    </row>
    <row r="1591">
      <c r="M1591" s="25" t="n"/>
      <c r="Q1591" s="25" t="n"/>
      <c r="U1591" s="194" t="n"/>
      <c r="AA1591" s="25" t="n"/>
      <c r="AB1591" s="25" t="n"/>
      <c r="AC1591" s="195" t="n"/>
      <c r="AD1591" s="25" t="n"/>
      <c r="AE1591" s="25" t="n"/>
      <c r="AG1591" s="25" t="n"/>
      <c r="AH1591" s="25" t="n"/>
      <c r="AI1591" s="394" t="n"/>
      <c r="AM1591" s="48" t="n"/>
      <c r="AN1591" s="48" t="n"/>
      <c r="AO1591" s="48" t="n"/>
    </row>
    <row r="1592">
      <c r="M1592" s="25" t="n"/>
      <c r="Q1592" s="25" t="n"/>
      <c r="U1592" s="194" t="n"/>
      <c r="AA1592" s="25" t="n"/>
      <c r="AB1592" s="25" t="n"/>
      <c r="AC1592" s="195" t="n"/>
      <c r="AD1592" s="25" t="n"/>
      <c r="AE1592" s="25" t="n"/>
      <c r="AG1592" s="25" t="n"/>
      <c r="AH1592" s="25" t="n"/>
      <c r="AI1592" s="394" t="n"/>
      <c r="AM1592" s="48" t="n"/>
      <c r="AN1592" s="48" t="n"/>
      <c r="AO1592" s="48" t="n"/>
    </row>
    <row r="1593">
      <c r="M1593" s="25" t="n"/>
      <c r="Q1593" s="25" t="n"/>
      <c r="U1593" s="194" t="n"/>
      <c r="AA1593" s="25" t="n"/>
      <c r="AB1593" s="25" t="n"/>
      <c r="AC1593" s="195" t="n"/>
      <c r="AD1593" s="25" t="n"/>
      <c r="AE1593" s="25" t="n"/>
      <c r="AG1593" s="25" t="n"/>
      <c r="AH1593" s="25" t="n"/>
      <c r="AI1593" s="394" t="n"/>
      <c r="AM1593" s="48" t="n"/>
      <c r="AN1593" s="48" t="n"/>
      <c r="AO1593" s="48" t="n"/>
    </row>
    <row r="1594">
      <c r="M1594" s="25" t="n"/>
      <c r="Q1594" s="25" t="n"/>
      <c r="U1594" s="194" t="n"/>
      <c r="AA1594" s="25" t="n"/>
      <c r="AB1594" s="25" t="n"/>
      <c r="AC1594" s="195" t="n"/>
      <c r="AD1594" s="25" t="n"/>
      <c r="AE1594" s="25" t="n"/>
      <c r="AG1594" s="25" t="n"/>
      <c r="AH1594" s="25" t="n"/>
      <c r="AI1594" s="394" t="n"/>
      <c r="AM1594" s="48" t="n"/>
      <c r="AN1594" s="48" t="n"/>
      <c r="AO1594" s="48" t="n"/>
    </row>
    <row r="1595">
      <c r="M1595" s="25" t="n"/>
      <c r="Q1595" s="25" t="n"/>
      <c r="U1595" s="194" t="n"/>
      <c r="AA1595" s="25" t="n"/>
      <c r="AB1595" s="25" t="n"/>
      <c r="AC1595" s="195" t="n"/>
      <c r="AD1595" s="25" t="n"/>
      <c r="AE1595" s="25" t="n"/>
      <c r="AG1595" s="25" t="n"/>
      <c r="AH1595" s="25" t="n"/>
      <c r="AI1595" s="394" t="n"/>
      <c r="AM1595" s="48" t="n"/>
      <c r="AN1595" s="48" t="n"/>
      <c r="AO1595" s="48" t="n"/>
    </row>
    <row r="1596">
      <c r="M1596" s="25" t="n"/>
      <c r="Q1596" s="25" t="n"/>
      <c r="U1596" s="194" t="n"/>
      <c r="AA1596" s="25" t="n"/>
      <c r="AB1596" s="25" t="n"/>
      <c r="AC1596" s="195" t="n"/>
      <c r="AD1596" s="25" t="n"/>
      <c r="AE1596" s="25" t="n"/>
      <c r="AG1596" s="25" t="n"/>
      <c r="AH1596" s="25" t="n"/>
      <c r="AI1596" s="394" t="n"/>
      <c r="AM1596" s="48" t="n"/>
      <c r="AN1596" s="48" t="n"/>
      <c r="AO1596" s="48" t="n"/>
    </row>
    <row r="1597">
      <c r="M1597" s="25" t="n"/>
      <c r="Q1597" s="25" t="n"/>
      <c r="U1597" s="194" t="n"/>
      <c r="AA1597" s="25" t="n"/>
      <c r="AB1597" s="25" t="n"/>
      <c r="AC1597" s="195" t="n"/>
      <c r="AD1597" s="25" t="n"/>
      <c r="AE1597" s="25" t="n"/>
      <c r="AG1597" s="25" t="n"/>
      <c r="AH1597" s="25" t="n"/>
      <c r="AI1597" s="394" t="n"/>
      <c r="AM1597" s="48" t="n"/>
      <c r="AN1597" s="48" t="n"/>
      <c r="AO1597" s="48" t="n"/>
    </row>
    <row r="1598">
      <c r="M1598" s="25" t="n"/>
      <c r="Q1598" s="25" t="n"/>
      <c r="U1598" s="194" t="n"/>
      <c r="AA1598" s="25" t="n"/>
      <c r="AB1598" s="25" t="n"/>
      <c r="AC1598" s="195" t="n"/>
      <c r="AD1598" s="25" t="n"/>
      <c r="AE1598" s="25" t="n"/>
      <c r="AG1598" s="25" t="n"/>
      <c r="AH1598" s="25" t="n"/>
      <c r="AI1598" s="394" t="n"/>
      <c r="AM1598" s="48" t="n"/>
      <c r="AN1598" s="48" t="n"/>
      <c r="AO1598" s="48" t="n"/>
    </row>
    <row r="1599">
      <c r="M1599" s="25" t="n"/>
      <c r="Q1599" s="25" t="n"/>
      <c r="U1599" s="194" t="n"/>
      <c r="AA1599" s="25" t="n"/>
      <c r="AB1599" s="25" t="n"/>
      <c r="AC1599" s="195" t="n"/>
      <c r="AD1599" s="25" t="n"/>
      <c r="AE1599" s="25" t="n"/>
      <c r="AG1599" s="25" t="n"/>
      <c r="AH1599" s="25" t="n"/>
      <c r="AI1599" s="394" t="n"/>
      <c r="AM1599" s="48" t="n"/>
      <c r="AN1599" s="48" t="n"/>
      <c r="AO1599" s="48" t="n"/>
    </row>
    <row r="1600">
      <c r="M1600" s="25" t="n"/>
      <c r="Q1600" s="25" t="n"/>
      <c r="U1600" s="194" t="n"/>
      <c r="AA1600" s="25" t="n"/>
      <c r="AB1600" s="25" t="n"/>
      <c r="AC1600" s="195" t="n"/>
      <c r="AD1600" s="25" t="n"/>
      <c r="AE1600" s="25" t="n"/>
      <c r="AG1600" s="25" t="n"/>
      <c r="AH1600" s="25" t="n"/>
      <c r="AI1600" s="394" t="n"/>
      <c r="AM1600" s="48" t="n"/>
      <c r="AN1600" s="48" t="n"/>
      <c r="AO1600" s="48" t="n"/>
    </row>
    <row r="1601">
      <c r="M1601" s="25" t="n"/>
      <c r="Q1601" s="25" t="n"/>
      <c r="U1601" s="194" t="n"/>
      <c r="AA1601" s="25" t="n"/>
      <c r="AB1601" s="25" t="n"/>
      <c r="AC1601" s="195" t="n"/>
      <c r="AD1601" s="25" t="n"/>
      <c r="AE1601" s="25" t="n"/>
      <c r="AG1601" s="25" t="n"/>
      <c r="AH1601" s="25" t="n"/>
      <c r="AI1601" s="394" t="n"/>
      <c r="AM1601" s="48" t="n"/>
      <c r="AN1601" s="48" t="n"/>
      <c r="AO1601" s="48" t="n"/>
    </row>
    <row r="1602">
      <c r="M1602" s="25" t="n"/>
      <c r="Q1602" s="25" t="n"/>
      <c r="U1602" s="194" t="n"/>
      <c r="AA1602" s="25" t="n"/>
      <c r="AB1602" s="25" t="n"/>
      <c r="AC1602" s="195" t="n"/>
      <c r="AD1602" s="25" t="n"/>
      <c r="AE1602" s="25" t="n"/>
      <c r="AG1602" s="25" t="n"/>
      <c r="AH1602" s="25" t="n"/>
      <c r="AI1602" s="394" t="n"/>
      <c r="AM1602" s="48" t="n"/>
      <c r="AN1602" s="48" t="n"/>
      <c r="AO1602" s="48" t="n"/>
    </row>
    <row r="1603">
      <c r="M1603" s="25" t="n"/>
      <c r="Q1603" s="25" t="n"/>
      <c r="U1603" s="194" t="n"/>
      <c r="AA1603" s="25" t="n"/>
      <c r="AB1603" s="25" t="n"/>
      <c r="AC1603" s="195" t="n"/>
      <c r="AD1603" s="25" t="n"/>
      <c r="AE1603" s="25" t="n"/>
      <c r="AG1603" s="25" t="n"/>
      <c r="AH1603" s="25" t="n"/>
      <c r="AI1603" s="394" t="n"/>
      <c r="AM1603" s="48" t="n"/>
      <c r="AN1603" s="48" t="n"/>
      <c r="AO1603" s="48" t="n"/>
    </row>
    <row r="1604">
      <c r="M1604" s="25" t="n"/>
      <c r="Q1604" s="25" t="n"/>
      <c r="U1604" s="194" t="n"/>
      <c r="AA1604" s="25" t="n"/>
      <c r="AB1604" s="25" t="n"/>
      <c r="AC1604" s="195" t="n"/>
      <c r="AD1604" s="25" t="n"/>
      <c r="AE1604" s="25" t="n"/>
      <c r="AG1604" s="25" t="n"/>
      <c r="AH1604" s="25" t="n"/>
      <c r="AI1604" s="394" t="n"/>
      <c r="AM1604" s="48" t="n"/>
      <c r="AN1604" s="48" t="n"/>
      <c r="AO1604" s="48" t="n"/>
    </row>
    <row r="1605">
      <c r="M1605" s="25" t="n"/>
      <c r="Q1605" s="25" t="n"/>
      <c r="U1605" s="194" t="n"/>
      <c r="AA1605" s="25" t="n"/>
      <c r="AB1605" s="25" t="n"/>
      <c r="AC1605" s="195" t="n"/>
      <c r="AD1605" s="25" t="n"/>
      <c r="AE1605" s="25" t="n"/>
      <c r="AG1605" s="25" t="n"/>
      <c r="AH1605" s="25" t="n"/>
      <c r="AI1605" s="394" t="n"/>
      <c r="AM1605" s="48" t="n"/>
      <c r="AN1605" s="48" t="n"/>
      <c r="AO1605" s="48" t="n"/>
    </row>
    <row r="1606">
      <c r="M1606" s="25" t="n"/>
      <c r="Q1606" s="25" t="n"/>
      <c r="U1606" s="194" t="n"/>
      <c r="AA1606" s="25" t="n"/>
      <c r="AB1606" s="25" t="n"/>
      <c r="AC1606" s="195" t="n"/>
      <c r="AD1606" s="25" t="n"/>
      <c r="AE1606" s="25" t="n"/>
      <c r="AG1606" s="25" t="n"/>
      <c r="AH1606" s="25" t="n"/>
      <c r="AI1606" s="394" t="n"/>
      <c r="AM1606" s="48" t="n"/>
      <c r="AN1606" s="48" t="n"/>
      <c r="AO1606" s="48" t="n"/>
    </row>
    <row r="1607">
      <c r="M1607" s="25" t="n"/>
      <c r="Q1607" s="25" t="n"/>
      <c r="U1607" s="194" t="n"/>
      <c r="AA1607" s="25" t="n"/>
      <c r="AB1607" s="25" t="n"/>
      <c r="AC1607" s="195" t="n"/>
      <c r="AD1607" s="25" t="n"/>
      <c r="AE1607" s="25" t="n"/>
      <c r="AG1607" s="25" t="n"/>
      <c r="AH1607" s="25" t="n"/>
      <c r="AI1607" s="394" t="n"/>
      <c r="AM1607" s="48" t="n"/>
      <c r="AN1607" s="48" t="n"/>
      <c r="AO1607" s="48" t="n"/>
    </row>
    <row r="1608">
      <c r="M1608" s="25" t="n"/>
      <c r="Q1608" s="25" t="n"/>
      <c r="U1608" s="194" t="n"/>
      <c r="AA1608" s="25" t="n"/>
      <c r="AB1608" s="25" t="n"/>
      <c r="AC1608" s="195" t="n"/>
      <c r="AD1608" s="25" t="n"/>
      <c r="AE1608" s="25" t="n"/>
      <c r="AG1608" s="25" t="n"/>
      <c r="AH1608" s="25" t="n"/>
      <c r="AI1608" s="394" t="n"/>
      <c r="AM1608" s="48" t="n"/>
      <c r="AN1608" s="48" t="n"/>
      <c r="AO1608" s="48" t="n"/>
    </row>
    <row r="1609">
      <c r="M1609" s="25" t="n"/>
      <c r="Q1609" s="25" t="n"/>
      <c r="U1609" s="194" t="n"/>
      <c r="AA1609" s="25" t="n"/>
      <c r="AB1609" s="25" t="n"/>
      <c r="AC1609" s="195" t="n"/>
      <c r="AD1609" s="25" t="n"/>
      <c r="AE1609" s="25" t="n"/>
      <c r="AG1609" s="25" t="n"/>
      <c r="AH1609" s="25" t="n"/>
      <c r="AI1609" s="394" t="n"/>
      <c r="AM1609" s="48" t="n"/>
      <c r="AN1609" s="48" t="n"/>
      <c r="AO1609" s="48" t="n"/>
    </row>
    <row r="1610">
      <c r="M1610" s="25" t="n"/>
      <c r="Q1610" s="25" t="n"/>
      <c r="U1610" s="194" t="n"/>
      <c r="AA1610" s="25" t="n"/>
      <c r="AB1610" s="25" t="n"/>
      <c r="AC1610" s="195" t="n"/>
      <c r="AD1610" s="25" t="n"/>
      <c r="AE1610" s="25" t="n"/>
      <c r="AG1610" s="25" t="n"/>
      <c r="AH1610" s="25" t="n"/>
      <c r="AI1610" s="394" t="n"/>
      <c r="AM1610" s="48" t="n"/>
      <c r="AN1610" s="48" t="n"/>
      <c r="AO1610" s="48" t="n"/>
    </row>
    <row r="1611">
      <c r="M1611" s="25" t="n"/>
      <c r="Q1611" s="25" t="n"/>
      <c r="U1611" s="194" t="n"/>
      <c r="AA1611" s="25" t="n"/>
      <c r="AB1611" s="25" t="n"/>
      <c r="AC1611" s="195" t="n"/>
      <c r="AD1611" s="25" t="n"/>
      <c r="AE1611" s="25" t="n"/>
      <c r="AG1611" s="25" t="n"/>
      <c r="AH1611" s="25" t="n"/>
      <c r="AI1611" s="394" t="n"/>
      <c r="AM1611" s="48" t="n"/>
      <c r="AN1611" s="48" t="n"/>
      <c r="AO1611" s="48" t="n"/>
    </row>
    <row r="1612">
      <c r="M1612" s="25" t="n"/>
      <c r="Q1612" s="25" t="n"/>
      <c r="U1612" s="194" t="n"/>
      <c r="AA1612" s="25" t="n"/>
      <c r="AB1612" s="25" t="n"/>
      <c r="AC1612" s="195" t="n"/>
      <c r="AD1612" s="25" t="n"/>
      <c r="AE1612" s="25" t="n"/>
      <c r="AG1612" s="25" t="n"/>
      <c r="AH1612" s="25" t="n"/>
      <c r="AI1612" s="394" t="n"/>
      <c r="AM1612" s="48" t="n"/>
      <c r="AN1612" s="48" t="n"/>
      <c r="AO1612" s="48" t="n"/>
    </row>
    <row r="1613">
      <c r="M1613" s="25" t="n"/>
      <c r="Q1613" s="25" t="n"/>
      <c r="U1613" s="194" t="n"/>
      <c r="AA1613" s="25" t="n"/>
      <c r="AB1613" s="25" t="n"/>
      <c r="AC1613" s="195" t="n"/>
      <c r="AD1613" s="25" t="n"/>
      <c r="AE1613" s="25" t="n"/>
      <c r="AG1613" s="25" t="n"/>
      <c r="AH1613" s="25" t="n"/>
      <c r="AI1613" s="394" t="n"/>
      <c r="AM1613" s="48" t="n"/>
      <c r="AN1613" s="48" t="n"/>
      <c r="AO1613" s="48" t="n"/>
    </row>
    <row r="1614">
      <c r="M1614" s="25" t="n"/>
      <c r="Q1614" s="25" t="n"/>
      <c r="U1614" s="194" t="n"/>
      <c r="AA1614" s="25" t="n"/>
      <c r="AB1614" s="25" t="n"/>
      <c r="AC1614" s="195" t="n"/>
      <c r="AD1614" s="25" t="n"/>
      <c r="AE1614" s="25" t="n"/>
      <c r="AG1614" s="25" t="n"/>
      <c r="AH1614" s="25" t="n"/>
      <c r="AI1614" s="394" t="n"/>
      <c r="AM1614" s="48" t="n"/>
      <c r="AN1614" s="48" t="n"/>
      <c r="AO1614" s="48" t="n"/>
    </row>
    <row r="1615">
      <c r="M1615" s="25" t="n"/>
      <c r="Q1615" s="25" t="n"/>
      <c r="U1615" s="194" t="n"/>
      <c r="AA1615" s="25" t="n"/>
      <c r="AB1615" s="25" t="n"/>
      <c r="AC1615" s="195" t="n"/>
      <c r="AD1615" s="25" t="n"/>
      <c r="AE1615" s="25" t="n"/>
      <c r="AG1615" s="25" t="n"/>
      <c r="AH1615" s="25" t="n"/>
      <c r="AI1615" s="394" t="n"/>
      <c r="AM1615" s="48" t="n"/>
      <c r="AN1615" s="48" t="n"/>
      <c r="AO1615" s="48" t="n"/>
    </row>
    <row r="1616">
      <c r="M1616" s="25" t="n"/>
      <c r="Q1616" s="25" t="n"/>
      <c r="U1616" s="194" t="n"/>
      <c r="AA1616" s="25" t="n"/>
      <c r="AB1616" s="25" t="n"/>
      <c r="AC1616" s="195" t="n"/>
      <c r="AD1616" s="25" t="n"/>
      <c r="AE1616" s="25" t="n"/>
      <c r="AG1616" s="25" t="n"/>
      <c r="AH1616" s="25" t="n"/>
      <c r="AI1616" s="394" t="n"/>
      <c r="AM1616" s="48" t="n"/>
      <c r="AN1616" s="48" t="n"/>
      <c r="AO1616" s="48" t="n"/>
    </row>
    <row r="1617">
      <c r="M1617" s="25" t="n"/>
      <c r="Q1617" s="25" t="n"/>
      <c r="U1617" s="194" t="n"/>
      <c r="AA1617" s="25" t="n"/>
      <c r="AB1617" s="25" t="n"/>
      <c r="AC1617" s="195" t="n"/>
      <c r="AD1617" s="25" t="n"/>
      <c r="AE1617" s="25" t="n"/>
      <c r="AG1617" s="25" t="n"/>
      <c r="AH1617" s="25" t="n"/>
      <c r="AI1617" s="394" t="n"/>
      <c r="AM1617" s="48" t="n"/>
      <c r="AN1617" s="48" t="n"/>
      <c r="AO1617" s="48" t="n"/>
    </row>
    <row r="1618">
      <c r="M1618" s="25" t="n"/>
      <c r="Q1618" s="25" t="n"/>
      <c r="U1618" s="194" t="n"/>
      <c r="AA1618" s="25" t="n"/>
      <c r="AB1618" s="25" t="n"/>
      <c r="AC1618" s="195" t="n"/>
      <c r="AD1618" s="25" t="n"/>
      <c r="AE1618" s="25" t="n"/>
      <c r="AG1618" s="25" t="n"/>
      <c r="AH1618" s="25" t="n"/>
      <c r="AI1618" s="394" t="n"/>
      <c r="AM1618" s="48" t="n"/>
      <c r="AN1618" s="48" t="n"/>
      <c r="AO1618" s="48" t="n"/>
    </row>
    <row r="1619">
      <c r="M1619" s="25" t="n"/>
      <c r="Q1619" s="25" t="n"/>
      <c r="U1619" s="194" t="n"/>
      <c r="AA1619" s="25" t="n"/>
      <c r="AB1619" s="25" t="n"/>
      <c r="AC1619" s="195" t="n"/>
      <c r="AD1619" s="25" t="n"/>
      <c r="AE1619" s="25" t="n"/>
      <c r="AG1619" s="25" t="n"/>
      <c r="AH1619" s="25" t="n"/>
      <c r="AI1619" s="394" t="n"/>
      <c r="AM1619" s="48" t="n"/>
      <c r="AN1619" s="48" t="n"/>
      <c r="AO1619" s="48" t="n"/>
    </row>
    <row r="1620">
      <c r="M1620" s="25" t="n"/>
      <c r="Q1620" s="25" t="n"/>
      <c r="U1620" s="194" t="n"/>
      <c r="AA1620" s="25" t="n"/>
      <c r="AB1620" s="25" t="n"/>
      <c r="AC1620" s="195" t="n"/>
      <c r="AD1620" s="25" t="n"/>
      <c r="AE1620" s="25" t="n"/>
      <c r="AG1620" s="25" t="n"/>
      <c r="AH1620" s="25" t="n"/>
      <c r="AI1620" s="394" t="n"/>
      <c r="AM1620" s="48" t="n"/>
      <c r="AN1620" s="48" t="n"/>
      <c r="AO1620" s="48" t="n"/>
    </row>
    <row r="1621">
      <c r="M1621" s="25" t="n"/>
      <c r="Q1621" s="25" t="n"/>
      <c r="U1621" s="194" t="n"/>
      <c r="AA1621" s="25" t="n"/>
      <c r="AB1621" s="25" t="n"/>
      <c r="AC1621" s="195" t="n"/>
      <c r="AD1621" s="25" t="n"/>
      <c r="AE1621" s="25" t="n"/>
      <c r="AG1621" s="25" t="n"/>
      <c r="AH1621" s="25" t="n"/>
      <c r="AI1621" s="394" t="n"/>
      <c r="AM1621" s="48" t="n"/>
      <c r="AN1621" s="48" t="n"/>
      <c r="AO1621" s="48" t="n"/>
    </row>
    <row r="1622">
      <c r="M1622" s="25" t="n"/>
      <c r="Q1622" s="25" t="n"/>
      <c r="U1622" s="194" t="n"/>
      <c r="AA1622" s="25" t="n"/>
      <c r="AB1622" s="25" t="n"/>
      <c r="AC1622" s="195" t="n"/>
      <c r="AD1622" s="25" t="n"/>
      <c r="AE1622" s="25" t="n"/>
      <c r="AG1622" s="25" t="n"/>
      <c r="AH1622" s="25" t="n"/>
      <c r="AI1622" s="394" t="n"/>
      <c r="AM1622" s="48" t="n"/>
      <c r="AN1622" s="48" t="n"/>
      <c r="AO1622" s="48" t="n"/>
    </row>
    <row r="1623">
      <c r="M1623" s="25" t="n"/>
      <c r="Q1623" s="25" t="n"/>
      <c r="U1623" s="194" t="n"/>
      <c r="AA1623" s="25" t="n"/>
      <c r="AB1623" s="25" t="n"/>
      <c r="AC1623" s="195" t="n"/>
      <c r="AD1623" s="25" t="n"/>
      <c r="AE1623" s="25" t="n"/>
      <c r="AG1623" s="25" t="n"/>
      <c r="AH1623" s="25" t="n"/>
      <c r="AI1623" s="394" t="n"/>
      <c r="AM1623" s="48" t="n"/>
      <c r="AN1623" s="48" t="n"/>
      <c r="AO1623" s="48" t="n"/>
    </row>
    <row r="1624">
      <c r="M1624" s="25" t="n"/>
      <c r="Q1624" s="25" t="n"/>
      <c r="U1624" s="194" t="n"/>
      <c r="AA1624" s="25" t="n"/>
      <c r="AB1624" s="25" t="n"/>
      <c r="AC1624" s="195" t="n"/>
      <c r="AD1624" s="25" t="n"/>
      <c r="AE1624" s="25" t="n"/>
      <c r="AG1624" s="25" t="n"/>
      <c r="AH1624" s="25" t="n"/>
      <c r="AI1624" s="394" t="n"/>
      <c r="AM1624" s="48" t="n"/>
      <c r="AN1624" s="48" t="n"/>
      <c r="AO1624" s="48" t="n"/>
    </row>
    <row r="1625">
      <c r="M1625" s="25" t="n"/>
      <c r="Q1625" s="25" t="n"/>
      <c r="U1625" s="194" t="n"/>
      <c r="AA1625" s="25" t="n"/>
      <c r="AB1625" s="25" t="n"/>
      <c r="AC1625" s="195" t="n"/>
      <c r="AD1625" s="25" t="n"/>
      <c r="AE1625" s="25" t="n"/>
      <c r="AG1625" s="25" t="n"/>
      <c r="AH1625" s="25" t="n"/>
      <c r="AI1625" s="394" t="n"/>
      <c r="AM1625" s="48" t="n"/>
      <c r="AN1625" s="48" t="n"/>
      <c r="AO1625" s="48" t="n"/>
    </row>
    <row r="1626">
      <c r="M1626" s="25" t="n"/>
      <c r="Q1626" s="25" t="n"/>
      <c r="U1626" s="194" t="n"/>
      <c r="AA1626" s="25" t="n"/>
      <c r="AB1626" s="25" t="n"/>
      <c r="AC1626" s="195" t="n"/>
      <c r="AD1626" s="25" t="n"/>
      <c r="AE1626" s="25" t="n"/>
      <c r="AG1626" s="25" t="n"/>
      <c r="AH1626" s="25" t="n"/>
      <c r="AI1626" s="394" t="n"/>
      <c r="AM1626" s="48" t="n"/>
      <c r="AN1626" s="48" t="n"/>
      <c r="AO1626" s="48" t="n"/>
    </row>
    <row r="1627">
      <c r="M1627" s="25" t="n"/>
      <c r="Q1627" s="25" t="n"/>
      <c r="U1627" s="194" t="n"/>
      <c r="AA1627" s="25" t="n"/>
      <c r="AB1627" s="25" t="n"/>
      <c r="AC1627" s="195" t="n"/>
      <c r="AD1627" s="25" t="n"/>
      <c r="AE1627" s="25" t="n"/>
      <c r="AG1627" s="25" t="n"/>
      <c r="AH1627" s="25" t="n"/>
      <c r="AI1627" s="394" t="n"/>
      <c r="AM1627" s="48" t="n"/>
      <c r="AN1627" s="48" t="n"/>
      <c r="AO1627" s="48" t="n"/>
    </row>
    <row r="1628">
      <c r="M1628" s="25" t="n"/>
      <c r="Q1628" s="25" t="n"/>
      <c r="U1628" s="194" t="n"/>
      <c r="AA1628" s="25" t="n"/>
      <c r="AB1628" s="25" t="n"/>
      <c r="AC1628" s="195" t="n"/>
      <c r="AD1628" s="25" t="n"/>
      <c r="AE1628" s="25" t="n"/>
      <c r="AG1628" s="25" t="n"/>
      <c r="AH1628" s="25" t="n"/>
      <c r="AI1628" s="394" t="n"/>
      <c r="AM1628" s="48" t="n"/>
      <c r="AN1628" s="48" t="n"/>
      <c r="AO1628" s="48" t="n"/>
    </row>
    <row r="1629">
      <c r="M1629" s="25" t="n"/>
      <c r="Q1629" s="25" t="n"/>
      <c r="U1629" s="194" t="n"/>
      <c r="AA1629" s="25" t="n"/>
      <c r="AB1629" s="25" t="n"/>
      <c r="AC1629" s="195" t="n"/>
      <c r="AD1629" s="25" t="n"/>
      <c r="AE1629" s="25" t="n"/>
      <c r="AG1629" s="25" t="n"/>
      <c r="AH1629" s="25" t="n"/>
      <c r="AI1629" s="394" t="n"/>
      <c r="AM1629" s="48" t="n"/>
      <c r="AN1629" s="48" t="n"/>
      <c r="AO1629" s="48" t="n"/>
    </row>
    <row r="1630">
      <c r="M1630" s="25" t="n"/>
      <c r="Q1630" s="25" t="n"/>
      <c r="U1630" s="194" t="n"/>
      <c r="AA1630" s="25" t="n"/>
      <c r="AB1630" s="25" t="n"/>
      <c r="AC1630" s="195" t="n"/>
      <c r="AD1630" s="25" t="n"/>
      <c r="AE1630" s="25" t="n"/>
      <c r="AG1630" s="25" t="n"/>
      <c r="AH1630" s="25" t="n"/>
      <c r="AI1630" s="394" t="n"/>
      <c r="AM1630" s="48" t="n"/>
      <c r="AN1630" s="48" t="n"/>
      <c r="AO1630" s="48" t="n"/>
    </row>
    <row r="1631">
      <c r="M1631" s="25" t="n"/>
      <c r="Q1631" s="25" t="n"/>
      <c r="U1631" s="194" t="n"/>
      <c r="AA1631" s="25" t="n"/>
      <c r="AB1631" s="25" t="n"/>
      <c r="AC1631" s="195" t="n"/>
      <c r="AD1631" s="25" t="n"/>
      <c r="AE1631" s="25" t="n"/>
      <c r="AG1631" s="25" t="n"/>
      <c r="AH1631" s="25" t="n"/>
      <c r="AI1631" s="394" t="n"/>
      <c r="AM1631" s="48" t="n"/>
      <c r="AN1631" s="48" t="n"/>
      <c r="AO1631" s="48" t="n"/>
    </row>
    <row r="1632">
      <c r="M1632" s="25" t="n"/>
      <c r="Q1632" s="25" t="n"/>
      <c r="U1632" s="194" t="n"/>
      <c r="AA1632" s="25" t="n"/>
      <c r="AB1632" s="25" t="n"/>
      <c r="AC1632" s="195" t="n"/>
      <c r="AD1632" s="25" t="n"/>
      <c r="AE1632" s="25" t="n"/>
      <c r="AG1632" s="25" t="n"/>
      <c r="AH1632" s="25" t="n"/>
      <c r="AI1632" s="394" t="n"/>
      <c r="AM1632" s="48" t="n"/>
      <c r="AN1632" s="48" t="n"/>
      <c r="AO1632" s="48" t="n"/>
    </row>
    <row r="1633">
      <c r="M1633" s="25" t="n"/>
      <c r="Q1633" s="25" t="n"/>
      <c r="U1633" s="194" t="n"/>
      <c r="AA1633" s="25" t="n"/>
      <c r="AB1633" s="25" t="n"/>
      <c r="AC1633" s="195" t="n"/>
      <c r="AD1633" s="25" t="n"/>
      <c r="AE1633" s="25" t="n"/>
      <c r="AG1633" s="25" t="n"/>
      <c r="AH1633" s="25" t="n"/>
      <c r="AI1633" s="394" t="n"/>
      <c r="AM1633" s="48" t="n"/>
      <c r="AN1633" s="48" t="n"/>
      <c r="AO1633" s="48" t="n"/>
    </row>
    <row r="1634">
      <c r="M1634" s="25" t="n"/>
      <c r="Q1634" s="25" t="n"/>
      <c r="U1634" s="194" t="n"/>
      <c r="AA1634" s="25" t="n"/>
      <c r="AB1634" s="25" t="n"/>
      <c r="AC1634" s="195" t="n"/>
      <c r="AD1634" s="25" t="n"/>
      <c r="AE1634" s="25" t="n"/>
      <c r="AG1634" s="25" t="n"/>
      <c r="AH1634" s="25" t="n"/>
      <c r="AI1634" s="394" t="n"/>
      <c r="AM1634" s="48" t="n"/>
      <c r="AN1634" s="48" t="n"/>
      <c r="AO1634" s="48" t="n"/>
    </row>
    <row r="1635">
      <c r="M1635" s="25" t="n"/>
      <c r="Q1635" s="25" t="n"/>
      <c r="U1635" s="194" t="n"/>
      <c r="AA1635" s="25" t="n"/>
      <c r="AB1635" s="25" t="n"/>
      <c r="AC1635" s="195" t="n"/>
      <c r="AD1635" s="25" t="n"/>
      <c r="AE1635" s="25" t="n"/>
      <c r="AG1635" s="25" t="n"/>
      <c r="AH1635" s="25" t="n"/>
      <c r="AI1635" s="394" t="n"/>
      <c r="AM1635" s="48" t="n"/>
      <c r="AN1635" s="48" t="n"/>
      <c r="AO1635" s="48" t="n"/>
    </row>
    <row r="1636">
      <c r="M1636" s="25" t="n"/>
      <c r="Q1636" s="25" t="n"/>
      <c r="U1636" s="194" t="n"/>
      <c r="AA1636" s="25" t="n"/>
      <c r="AB1636" s="25" t="n"/>
      <c r="AC1636" s="195" t="n"/>
      <c r="AD1636" s="25" t="n"/>
      <c r="AE1636" s="25" t="n"/>
      <c r="AG1636" s="25" t="n"/>
      <c r="AH1636" s="25" t="n"/>
      <c r="AI1636" s="394" t="n"/>
      <c r="AM1636" s="48" t="n"/>
      <c r="AN1636" s="48" t="n"/>
      <c r="AO1636" s="48" t="n"/>
    </row>
    <row r="1637">
      <c r="M1637" s="25" t="n"/>
      <c r="Q1637" s="25" t="n"/>
      <c r="U1637" s="194" t="n"/>
      <c r="AA1637" s="25" t="n"/>
      <c r="AB1637" s="25" t="n"/>
      <c r="AC1637" s="195" t="n"/>
      <c r="AD1637" s="25" t="n"/>
      <c r="AE1637" s="25" t="n"/>
      <c r="AG1637" s="25" t="n"/>
      <c r="AH1637" s="25" t="n"/>
      <c r="AI1637" s="394" t="n"/>
      <c r="AM1637" s="48" t="n"/>
      <c r="AN1637" s="48" t="n"/>
      <c r="AO1637" s="48" t="n"/>
    </row>
    <row r="1638">
      <c r="M1638" s="25" t="n"/>
      <c r="Q1638" s="25" t="n"/>
      <c r="U1638" s="194" t="n"/>
      <c r="AA1638" s="25" t="n"/>
      <c r="AB1638" s="25" t="n"/>
      <c r="AC1638" s="195" t="n"/>
      <c r="AD1638" s="25" t="n"/>
      <c r="AE1638" s="25" t="n"/>
      <c r="AG1638" s="25" t="n"/>
      <c r="AH1638" s="25" t="n"/>
      <c r="AI1638" s="394" t="n"/>
      <c r="AM1638" s="48" t="n"/>
      <c r="AN1638" s="48" t="n"/>
      <c r="AO1638" s="48" t="n"/>
    </row>
    <row r="1639">
      <c r="M1639" s="25" t="n"/>
      <c r="Q1639" s="25" t="n"/>
      <c r="U1639" s="194" t="n"/>
      <c r="AA1639" s="25" t="n"/>
      <c r="AB1639" s="25" t="n"/>
      <c r="AC1639" s="195" t="n"/>
      <c r="AD1639" s="25" t="n"/>
      <c r="AE1639" s="25" t="n"/>
      <c r="AG1639" s="25" t="n"/>
      <c r="AH1639" s="25" t="n"/>
      <c r="AI1639" s="394" t="n"/>
      <c r="AM1639" s="48" t="n"/>
      <c r="AN1639" s="48" t="n"/>
      <c r="AO1639" s="48" t="n"/>
    </row>
    <row r="1640">
      <c r="M1640" s="25" t="n"/>
      <c r="Q1640" s="25" t="n"/>
      <c r="U1640" s="194" t="n"/>
      <c r="AA1640" s="25" t="n"/>
      <c r="AB1640" s="25" t="n"/>
      <c r="AC1640" s="195" t="n"/>
      <c r="AD1640" s="25" t="n"/>
      <c r="AE1640" s="25" t="n"/>
      <c r="AG1640" s="25" t="n"/>
      <c r="AH1640" s="25" t="n"/>
      <c r="AI1640" s="394" t="n"/>
      <c r="AM1640" s="48" t="n"/>
      <c r="AN1640" s="48" t="n"/>
      <c r="AO1640" s="48" t="n"/>
    </row>
    <row r="1641">
      <c r="M1641" s="25" t="n"/>
      <c r="Q1641" s="25" t="n"/>
      <c r="U1641" s="194" t="n"/>
      <c r="AA1641" s="25" t="n"/>
      <c r="AB1641" s="25" t="n"/>
      <c r="AC1641" s="195" t="n"/>
      <c r="AD1641" s="25" t="n"/>
      <c r="AE1641" s="25" t="n"/>
      <c r="AG1641" s="25" t="n"/>
      <c r="AH1641" s="25" t="n"/>
      <c r="AI1641" s="394" t="n"/>
      <c r="AM1641" s="48" t="n"/>
      <c r="AN1641" s="48" t="n"/>
      <c r="AO1641" s="48" t="n"/>
    </row>
    <row r="1642">
      <c r="M1642" s="25" t="n"/>
      <c r="Q1642" s="25" t="n"/>
      <c r="U1642" s="194" t="n"/>
      <c r="AA1642" s="25" t="n"/>
      <c r="AB1642" s="25" t="n"/>
      <c r="AC1642" s="195" t="n"/>
      <c r="AD1642" s="25" t="n"/>
      <c r="AE1642" s="25" t="n"/>
      <c r="AG1642" s="25" t="n"/>
      <c r="AH1642" s="25" t="n"/>
      <c r="AI1642" s="394" t="n"/>
      <c r="AM1642" s="48" t="n"/>
      <c r="AN1642" s="48" t="n"/>
      <c r="AO1642" s="48" t="n"/>
    </row>
    <row r="1643">
      <c r="M1643" s="25" t="n"/>
      <c r="Q1643" s="25" t="n"/>
      <c r="U1643" s="194" t="n"/>
      <c r="AA1643" s="25" t="n"/>
      <c r="AB1643" s="25" t="n"/>
      <c r="AC1643" s="195" t="n"/>
      <c r="AD1643" s="25" t="n"/>
      <c r="AE1643" s="25" t="n"/>
      <c r="AG1643" s="25" t="n"/>
      <c r="AH1643" s="25" t="n"/>
      <c r="AI1643" s="394" t="n"/>
      <c r="AM1643" s="48" t="n"/>
      <c r="AN1643" s="48" t="n"/>
      <c r="AO1643" s="48" t="n"/>
    </row>
    <row r="1644">
      <c r="M1644" s="25" t="n"/>
      <c r="Q1644" s="25" t="n"/>
      <c r="U1644" s="194" t="n"/>
      <c r="AA1644" s="25" t="n"/>
      <c r="AB1644" s="25" t="n"/>
      <c r="AC1644" s="195" t="n"/>
      <c r="AD1644" s="25" t="n"/>
      <c r="AE1644" s="25" t="n"/>
      <c r="AG1644" s="25" t="n"/>
      <c r="AH1644" s="25" t="n"/>
      <c r="AI1644" s="394" t="n"/>
      <c r="AM1644" s="48" t="n"/>
      <c r="AN1644" s="48" t="n"/>
      <c r="AO1644" s="48" t="n"/>
    </row>
    <row r="1645">
      <c r="M1645" s="25" t="n"/>
      <c r="Q1645" s="25" t="n"/>
      <c r="U1645" s="194" t="n"/>
      <c r="AA1645" s="25" t="n"/>
      <c r="AB1645" s="25" t="n"/>
      <c r="AC1645" s="195" t="n"/>
      <c r="AD1645" s="25" t="n"/>
      <c r="AE1645" s="25" t="n"/>
      <c r="AG1645" s="25" t="n"/>
      <c r="AH1645" s="25" t="n"/>
      <c r="AI1645" s="394" t="n"/>
      <c r="AM1645" s="48" t="n"/>
      <c r="AN1645" s="48" t="n"/>
      <c r="AO1645" s="48" t="n"/>
    </row>
    <row r="1646">
      <c r="M1646" s="25" t="n"/>
      <c r="Q1646" s="25" t="n"/>
      <c r="U1646" s="194" t="n"/>
      <c r="AA1646" s="25" t="n"/>
      <c r="AB1646" s="25" t="n"/>
      <c r="AC1646" s="195" t="n"/>
      <c r="AD1646" s="25" t="n"/>
      <c r="AE1646" s="25" t="n"/>
      <c r="AG1646" s="25" t="n"/>
      <c r="AH1646" s="25" t="n"/>
      <c r="AI1646" s="394" t="n"/>
      <c r="AM1646" s="48" t="n"/>
      <c r="AN1646" s="48" t="n"/>
      <c r="AO1646" s="48" t="n"/>
    </row>
    <row r="1647">
      <c r="M1647" s="25" t="n"/>
      <c r="Q1647" s="25" t="n"/>
      <c r="U1647" s="194" t="n"/>
      <c r="AA1647" s="25" t="n"/>
      <c r="AB1647" s="25" t="n"/>
      <c r="AC1647" s="195" t="n"/>
      <c r="AD1647" s="25" t="n"/>
      <c r="AE1647" s="25" t="n"/>
      <c r="AG1647" s="25" t="n"/>
      <c r="AH1647" s="25" t="n"/>
      <c r="AI1647" s="394" t="n"/>
      <c r="AM1647" s="48" t="n"/>
      <c r="AN1647" s="48" t="n"/>
      <c r="AO1647" s="48" t="n"/>
    </row>
    <row r="1648">
      <c r="M1648" s="25" t="n"/>
      <c r="Q1648" s="25" t="n"/>
      <c r="U1648" s="194" t="n"/>
      <c r="AA1648" s="25" t="n"/>
      <c r="AB1648" s="25" t="n"/>
      <c r="AC1648" s="195" t="n"/>
      <c r="AD1648" s="25" t="n"/>
      <c r="AE1648" s="25" t="n"/>
      <c r="AG1648" s="25" t="n"/>
      <c r="AH1648" s="25" t="n"/>
      <c r="AI1648" s="394" t="n"/>
      <c r="AM1648" s="48" t="n"/>
      <c r="AN1648" s="48" t="n"/>
      <c r="AO1648" s="48" t="n"/>
    </row>
    <row r="1649">
      <c r="M1649" s="25" t="n"/>
      <c r="Q1649" s="25" t="n"/>
      <c r="U1649" s="194" t="n"/>
      <c r="AA1649" s="25" t="n"/>
      <c r="AB1649" s="25" t="n"/>
      <c r="AC1649" s="195" t="n"/>
      <c r="AD1649" s="25" t="n"/>
      <c r="AE1649" s="25" t="n"/>
      <c r="AG1649" s="25" t="n"/>
      <c r="AH1649" s="25" t="n"/>
      <c r="AI1649" s="394" t="n"/>
      <c r="AM1649" s="48" t="n"/>
      <c r="AN1649" s="48" t="n"/>
      <c r="AO1649" s="48" t="n"/>
    </row>
    <row r="1650">
      <c r="M1650" s="25" t="n"/>
      <c r="Q1650" s="25" t="n"/>
      <c r="U1650" s="194" t="n"/>
      <c r="AA1650" s="25" t="n"/>
      <c r="AB1650" s="25" t="n"/>
      <c r="AC1650" s="195" t="n"/>
      <c r="AD1650" s="25" t="n"/>
      <c r="AE1650" s="25" t="n"/>
      <c r="AG1650" s="25" t="n"/>
      <c r="AH1650" s="25" t="n"/>
      <c r="AI1650" s="394" t="n"/>
      <c r="AM1650" s="48" t="n"/>
      <c r="AN1650" s="48" t="n"/>
      <c r="AO1650" s="48" t="n"/>
    </row>
    <row r="1651">
      <c r="M1651" s="25" t="n"/>
      <c r="Q1651" s="25" t="n"/>
      <c r="U1651" s="194" t="n"/>
      <c r="AA1651" s="25" t="n"/>
      <c r="AB1651" s="25" t="n"/>
      <c r="AC1651" s="195" t="n"/>
      <c r="AD1651" s="25" t="n"/>
      <c r="AE1651" s="25" t="n"/>
      <c r="AG1651" s="25" t="n"/>
      <c r="AH1651" s="25" t="n"/>
      <c r="AI1651" s="394" t="n"/>
      <c r="AM1651" s="48" t="n"/>
      <c r="AN1651" s="48" t="n"/>
      <c r="AO1651" s="48" t="n"/>
    </row>
    <row r="1652">
      <c r="M1652" s="25" t="n"/>
      <c r="Q1652" s="25" t="n"/>
      <c r="U1652" s="194" t="n"/>
      <c r="AA1652" s="25" t="n"/>
      <c r="AB1652" s="25" t="n"/>
      <c r="AC1652" s="195" t="n"/>
      <c r="AD1652" s="25" t="n"/>
      <c r="AE1652" s="25" t="n"/>
      <c r="AG1652" s="25" t="n"/>
      <c r="AH1652" s="25" t="n"/>
      <c r="AI1652" s="394" t="n"/>
      <c r="AM1652" s="48" t="n"/>
      <c r="AN1652" s="48" t="n"/>
      <c r="AO1652" s="48" t="n"/>
    </row>
    <row r="1653">
      <c r="M1653" s="25" t="n"/>
      <c r="Q1653" s="25" t="n"/>
      <c r="U1653" s="194" t="n"/>
      <c r="AA1653" s="25" t="n"/>
      <c r="AB1653" s="25" t="n"/>
      <c r="AC1653" s="195" t="n"/>
      <c r="AD1653" s="25" t="n"/>
      <c r="AE1653" s="25" t="n"/>
      <c r="AG1653" s="25" t="n"/>
      <c r="AH1653" s="25" t="n"/>
      <c r="AI1653" s="394" t="n"/>
      <c r="AM1653" s="48" t="n"/>
      <c r="AN1653" s="48" t="n"/>
      <c r="AO1653" s="48" t="n"/>
    </row>
    <row r="1654">
      <c r="M1654" s="25" t="n"/>
      <c r="Q1654" s="25" t="n"/>
      <c r="U1654" s="194" t="n"/>
      <c r="AA1654" s="25" t="n"/>
      <c r="AB1654" s="25" t="n"/>
      <c r="AC1654" s="195" t="n"/>
      <c r="AD1654" s="25" t="n"/>
      <c r="AE1654" s="25" t="n"/>
      <c r="AG1654" s="25" t="n"/>
      <c r="AH1654" s="25" t="n"/>
      <c r="AI1654" s="394" t="n"/>
      <c r="AM1654" s="48" t="n"/>
      <c r="AN1654" s="48" t="n"/>
      <c r="AO1654" s="48" t="n"/>
    </row>
    <row r="1655">
      <c r="M1655" s="25" t="n"/>
      <c r="Q1655" s="25" t="n"/>
      <c r="U1655" s="194" t="n"/>
      <c r="AA1655" s="25" t="n"/>
      <c r="AB1655" s="25" t="n"/>
      <c r="AC1655" s="195" t="n"/>
      <c r="AD1655" s="25" t="n"/>
      <c r="AE1655" s="25" t="n"/>
      <c r="AG1655" s="25" t="n"/>
      <c r="AH1655" s="25" t="n"/>
      <c r="AI1655" s="394" t="n"/>
      <c r="AM1655" s="48" t="n"/>
      <c r="AN1655" s="48" t="n"/>
      <c r="AO1655" s="48" t="n"/>
    </row>
    <row r="1656">
      <c r="M1656" s="25" t="n"/>
      <c r="Q1656" s="25" t="n"/>
      <c r="U1656" s="194" t="n"/>
      <c r="AA1656" s="25" t="n"/>
      <c r="AB1656" s="25" t="n"/>
      <c r="AC1656" s="195" t="n"/>
      <c r="AD1656" s="25" t="n"/>
      <c r="AE1656" s="25" t="n"/>
      <c r="AG1656" s="25" t="n"/>
      <c r="AH1656" s="25" t="n"/>
      <c r="AI1656" s="394" t="n"/>
      <c r="AM1656" s="48" t="n"/>
      <c r="AN1656" s="48" t="n"/>
      <c r="AO1656" s="48" t="n"/>
    </row>
    <row r="1657">
      <c r="M1657" s="25" t="n"/>
      <c r="Q1657" s="25" t="n"/>
      <c r="U1657" s="194" t="n"/>
      <c r="AA1657" s="25" t="n"/>
      <c r="AB1657" s="25" t="n"/>
      <c r="AC1657" s="195" t="n"/>
      <c r="AD1657" s="25" t="n"/>
      <c r="AE1657" s="25" t="n"/>
      <c r="AG1657" s="25" t="n"/>
      <c r="AH1657" s="25" t="n"/>
      <c r="AI1657" s="394" t="n"/>
      <c r="AM1657" s="48" t="n"/>
      <c r="AN1657" s="48" t="n"/>
      <c r="AO1657" s="48" t="n"/>
    </row>
    <row r="1658">
      <c r="M1658" s="25" t="n"/>
      <c r="Q1658" s="25" t="n"/>
      <c r="U1658" s="194" t="n"/>
      <c r="AA1658" s="25" t="n"/>
      <c r="AB1658" s="25" t="n"/>
      <c r="AC1658" s="195" t="n"/>
      <c r="AD1658" s="25" t="n"/>
      <c r="AE1658" s="25" t="n"/>
      <c r="AG1658" s="25" t="n"/>
      <c r="AH1658" s="25" t="n"/>
      <c r="AI1658" s="394" t="n"/>
      <c r="AM1658" s="48" t="n"/>
      <c r="AN1658" s="48" t="n"/>
      <c r="AO1658" s="48" t="n"/>
    </row>
    <row r="1659">
      <c r="M1659" s="25" t="n"/>
      <c r="Q1659" s="25" t="n"/>
      <c r="U1659" s="194" t="n"/>
      <c r="AA1659" s="25" t="n"/>
      <c r="AB1659" s="25" t="n"/>
      <c r="AC1659" s="195" t="n"/>
      <c r="AD1659" s="25" t="n"/>
      <c r="AE1659" s="25" t="n"/>
      <c r="AG1659" s="25" t="n"/>
      <c r="AH1659" s="25" t="n"/>
      <c r="AI1659" s="394" t="n"/>
      <c r="AM1659" s="48" t="n"/>
      <c r="AN1659" s="48" t="n"/>
      <c r="AO1659" s="48" t="n"/>
    </row>
    <row r="1660">
      <c r="M1660" s="25" t="n"/>
      <c r="Q1660" s="25" t="n"/>
      <c r="U1660" s="194" t="n"/>
      <c r="AA1660" s="25" t="n"/>
      <c r="AB1660" s="25" t="n"/>
      <c r="AC1660" s="195" t="n"/>
      <c r="AD1660" s="25" t="n"/>
      <c r="AE1660" s="25" t="n"/>
      <c r="AG1660" s="25" t="n"/>
      <c r="AH1660" s="25" t="n"/>
      <c r="AI1660" s="394" t="n"/>
      <c r="AM1660" s="48" t="n"/>
      <c r="AN1660" s="48" t="n"/>
      <c r="AO1660" s="48" t="n"/>
    </row>
    <row r="1661">
      <c r="M1661" s="25" t="n"/>
      <c r="Q1661" s="25" t="n"/>
      <c r="U1661" s="194" t="n"/>
      <c r="AA1661" s="25" t="n"/>
      <c r="AB1661" s="25" t="n"/>
      <c r="AC1661" s="195" t="n"/>
      <c r="AD1661" s="25" t="n"/>
      <c r="AE1661" s="25" t="n"/>
      <c r="AG1661" s="25" t="n"/>
      <c r="AH1661" s="25" t="n"/>
      <c r="AI1661" s="394" t="n"/>
      <c r="AM1661" s="48" t="n"/>
      <c r="AN1661" s="48" t="n"/>
      <c r="AO1661" s="48" t="n"/>
    </row>
    <row r="1662">
      <c r="M1662" s="25" t="n"/>
      <c r="Q1662" s="25" t="n"/>
      <c r="U1662" s="194" t="n"/>
      <c r="AA1662" s="25" t="n"/>
      <c r="AB1662" s="25" t="n"/>
      <c r="AC1662" s="195" t="n"/>
      <c r="AD1662" s="25" t="n"/>
      <c r="AE1662" s="25" t="n"/>
      <c r="AG1662" s="25" t="n"/>
      <c r="AH1662" s="25" t="n"/>
      <c r="AI1662" s="394" t="n"/>
      <c r="AM1662" s="48" t="n"/>
      <c r="AN1662" s="48" t="n"/>
      <c r="AO1662" s="48" t="n"/>
    </row>
    <row r="1663">
      <c r="M1663" s="25" t="n"/>
      <c r="Q1663" s="25" t="n"/>
      <c r="U1663" s="194" t="n"/>
      <c r="AA1663" s="25" t="n"/>
      <c r="AB1663" s="25" t="n"/>
      <c r="AC1663" s="195" t="n"/>
      <c r="AD1663" s="25" t="n"/>
      <c r="AE1663" s="25" t="n"/>
      <c r="AG1663" s="25" t="n"/>
      <c r="AH1663" s="25" t="n"/>
      <c r="AI1663" s="394" t="n"/>
      <c r="AM1663" s="48" t="n"/>
      <c r="AN1663" s="48" t="n"/>
      <c r="AO1663" s="48" t="n"/>
    </row>
    <row r="1664">
      <c r="M1664" s="25" t="n"/>
      <c r="Q1664" s="25" t="n"/>
      <c r="U1664" s="194" t="n"/>
      <c r="AA1664" s="25" t="n"/>
      <c r="AB1664" s="25" t="n"/>
      <c r="AC1664" s="195" t="n"/>
      <c r="AD1664" s="25" t="n"/>
      <c r="AE1664" s="25" t="n"/>
      <c r="AG1664" s="25" t="n"/>
      <c r="AH1664" s="25" t="n"/>
      <c r="AI1664" s="394" t="n"/>
      <c r="AM1664" s="48" t="n"/>
      <c r="AN1664" s="48" t="n"/>
      <c r="AO1664" s="48" t="n"/>
    </row>
    <row r="1665">
      <c r="M1665" s="25" t="n"/>
      <c r="Q1665" s="25" t="n"/>
      <c r="U1665" s="194" t="n"/>
      <c r="AA1665" s="25" t="n"/>
      <c r="AB1665" s="25" t="n"/>
      <c r="AC1665" s="195" t="n"/>
      <c r="AD1665" s="25" t="n"/>
      <c r="AE1665" s="25" t="n"/>
      <c r="AG1665" s="25" t="n"/>
      <c r="AH1665" s="25" t="n"/>
      <c r="AI1665" s="394" t="n"/>
      <c r="AM1665" s="48" t="n"/>
      <c r="AN1665" s="48" t="n"/>
      <c r="AO1665" s="48" t="n"/>
    </row>
    <row r="1666">
      <c r="M1666" s="25" t="n"/>
      <c r="Q1666" s="25" t="n"/>
      <c r="U1666" s="194" t="n"/>
      <c r="AA1666" s="25" t="n"/>
      <c r="AB1666" s="25" t="n"/>
      <c r="AC1666" s="195" t="n"/>
      <c r="AD1666" s="25" t="n"/>
      <c r="AE1666" s="25" t="n"/>
      <c r="AG1666" s="25" t="n"/>
      <c r="AH1666" s="25" t="n"/>
      <c r="AI1666" s="394" t="n"/>
      <c r="AM1666" s="48" t="n"/>
      <c r="AN1666" s="48" t="n"/>
      <c r="AO1666" s="48" t="n"/>
    </row>
    <row r="1667">
      <c r="M1667" s="25" t="n"/>
      <c r="Q1667" s="25" t="n"/>
      <c r="U1667" s="194" t="n"/>
      <c r="AA1667" s="25" t="n"/>
      <c r="AB1667" s="25" t="n"/>
      <c r="AC1667" s="195" t="n"/>
      <c r="AD1667" s="25" t="n"/>
      <c r="AE1667" s="25" t="n"/>
      <c r="AG1667" s="25" t="n"/>
      <c r="AH1667" s="25" t="n"/>
      <c r="AI1667" s="394" t="n"/>
      <c r="AM1667" s="48" t="n"/>
      <c r="AN1667" s="48" t="n"/>
      <c r="AO1667" s="48" t="n"/>
    </row>
    <row r="1668">
      <c r="M1668" s="25" t="n"/>
      <c r="Q1668" s="25" t="n"/>
      <c r="U1668" s="194" t="n"/>
      <c r="AA1668" s="25" t="n"/>
      <c r="AB1668" s="25" t="n"/>
      <c r="AC1668" s="195" t="n"/>
      <c r="AD1668" s="25" t="n"/>
      <c r="AE1668" s="25" t="n"/>
      <c r="AG1668" s="25" t="n"/>
      <c r="AH1668" s="25" t="n"/>
      <c r="AI1668" s="394" t="n"/>
      <c r="AM1668" s="48" t="n"/>
      <c r="AN1668" s="48" t="n"/>
      <c r="AO1668" s="48" t="n"/>
    </row>
    <row r="1669">
      <c r="M1669" s="25" t="n"/>
      <c r="Q1669" s="25" t="n"/>
      <c r="U1669" s="194" t="n"/>
      <c r="AA1669" s="25" t="n"/>
      <c r="AB1669" s="25" t="n"/>
      <c r="AC1669" s="195" t="n"/>
      <c r="AD1669" s="25" t="n"/>
      <c r="AE1669" s="25" t="n"/>
      <c r="AG1669" s="25" t="n"/>
      <c r="AH1669" s="25" t="n"/>
      <c r="AI1669" s="394" t="n"/>
      <c r="AM1669" s="48" t="n"/>
      <c r="AN1669" s="48" t="n"/>
      <c r="AO1669" s="48" t="n"/>
    </row>
    <row r="1670">
      <c r="M1670" s="25" t="n"/>
      <c r="Q1670" s="25" t="n"/>
      <c r="U1670" s="194" t="n"/>
      <c r="AA1670" s="25" t="n"/>
      <c r="AB1670" s="25" t="n"/>
      <c r="AC1670" s="195" t="n"/>
      <c r="AD1670" s="25" t="n"/>
      <c r="AE1670" s="25" t="n"/>
      <c r="AG1670" s="25" t="n"/>
      <c r="AH1670" s="25" t="n"/>
      <c r="AI1670" s="394" t="n"/>
      <c r="AM1670" s="48" t="n"/>
      <c r="AN1670" s="48" t="n"/>
      <c r="AO1670" s="48" t="n"/>
    </row>
    <row r="1671">
      <c r="M1671" s="25" t="n"/>
      <c r="Q1671" s="25" t="n"/>
      <c r="U1671" s="194" t="n"/>
      <c r="AA1671" s="25" t="n"/>
      <c r="AB1671" s="25" t="n"/>
      <c r="AC1671" s="195" t="n"/>
      <c r="AD1671" s="25" t="n"/>
      <c r="AE1671" s="25" t="n"/>
      <c r="AG1671" s="25" t="n"/>
      <c r="AH1671" s="25" t="n"/>
      <c r="AI1671" s="394" t="n"/>
      <c r="AM1671" s="48" t="n"/>
      <c r="AN1671" s="48" t="n"/>
      <c r="AO1671" s="48" t="n"/>
    </row>
    <row r="1672">
      <c r="M1672" s="25" t="n"/>
      <c r="Q1672" s="25" t="n"/>
      <c r="U1672" s="194" t="n"/>
      <c r="AA1672" s="25" t="n"/>
      <c r="AB1672" s="25" t="n"/>
      <c r="AC1672" s="195" t="n"/>
      <c r="AD1672" s="25" t="n"/>
      <c r="AE1672" s="25" t="n"/>
      <c r="AG1672" s="25" t="n"/>
      <c r="AH1672" s="25" t="n"/>
      <c r="AI1672" s="394" t="n"/>
      <c r="AM1672" s="48" t="n"/>
      <c r="AN1672" s="48" t="n"/>
      <c r="AO1672" s="48" t="n"/>
    </row>
    <row r="1673">
      <c r="M1673" s="25" t="n"/>
      <c r="Q1673" s="25" t="n"/>
      <c r="U1673" s="194" t="n"/>
      <c r="AA1673" s="25" t="n"/>
      <c r="AB1673" s="25" t="n"/>
      <c r="AC1673" s="195" t="n"/>
      <c r="AD1673" s="25" t="n"/>
      <c r="AE1673" s="25" t="n"/>
      <c r="AG1673" s="25" t="n"/>
      <c r="AH1673" s="25" t="n"/>
      <c r="AI1673" s="394" t="n"/>
      <c r="AM1673" s="48" t="n"/>
      <c r="AN1673" s="48" t="n"/>
      <c r="AO1673" s="48" t="n"/>
    </row>
    <row r="1674">
      <c r="M1674" s="25" t="n"/>
      <c r="Q1674" s="25" t="n"/>
      <c r="U1674" s="194" t="n"/>
      <c r="AA1674" s="25" t="n"/>
      <c r="AB1674" s="25" t="n"/>
      <c r="AC1674" s="195" t="n"/>
      <c r="AD1674" s="25" t="n"/>
      <c r="AE1674" s="25" t="n"/>
      <c r="AG1674" s="25" t="n"/>
      <c r="AH1674" s="25" t="n"/>
      <c r="AI1674" s="394" t="n"/>
      <c r="AM1674" s="48" t="n"/>
      <c r="AN1674" s="48" t="n"/>
      <c r="AO1674" s="48" t="n"/>
    </row>
    <row r="1675">
      <c r="M1675" s="25" t="n"/>
      <c r="Q1675" s="25" t="n"/>
      <c r="U1675" s="194" t="n"/>
      <c r="AA1675" s="25" t="n"/>
      <c r="AB1675" s="25" t="n"/>
      <c r="AC1675" s="195" t="n"/>
      <c r="AD1675" s="25" t="n"/>
      <c r="AE1675" s="25" t="n"/>
      <c r="AG1675" s="25" t="n"/>
      <c r="AH1675" s="25" t="n"/>
      <c r="AI1675" s="394" t="n"/>
      <c r="AM1675" s="48" t="n"/>
      <c r="AN1675" s="48" t="n"/>
      <c r="AO1675" s="48" t="n"/>
    </row>
    <row r="1676">
      <c r="M1676" s="25" t="n"/>
      <c r="Q1676" s="25" t="n"/>
      <c r="U1676" s="194" t="n"/>
      <c r="AA1676" s="25" t="n"/>
      <c r="AB1676" s="25" t="n"/>
      <c r="AC1676" s="195" t="n"/>
      <c r="AD1676" s="25" t="n"/>
      <c r="AE1676" s="25" t="n"/>
      <c r="AG1676" s="25" t="n"/>
      <c r="AH1676" s="25" t="n"/>
      <c r="AI1676" s="394" t="n"/>
      <c r="AM1676" s="48" t="n"/>
      <c r="AN1676" s="48" t="n"/>
      <c r="AO1676" s="48" t="n"/>
    </row>
    <row r="1677">
      <c r="M1677" s="25" t="n"/>
      <c r="Q1677" s="25" t="n"/>
      <c r="U1677" s="194" t="n"/>
      <c r="AA1677" s="25" t="n"/>
      <c r="AB1677" s="25" t="n"/>
      <c r="AC1677" s="195" t="n"/>
      <c r="AD1677" s="25" t="n"/>
      <c r="AE1677" s="25" t="n"/>
      <c r="AG1677" s="25" t="n"/>
      <c r="AH1677" s="25" t="n"/>
      <c r="AI1677" s="394" t="n"/>
      <c r="AM1677" s="48" t="n"/>
      <c r="AN1677" s="48" t="n"/>
      <c r="AO1677" s="48" t="n"/>
    </row>
    <row r="1678">
      <c r="M1678" s="25" t="n"/>
      <c r="Q1678" s="25" t="n"/>
      <c r="U1678" s="194" t="n"/>
      <c r="AA1678" s="25" t="n"/>
      <c r="AB1678" s="25" t="n"/>
      <c r="AC1678" s="195" t="n"/>
      <c r="AD1678" s="25" t="n"/>
      <c r="AE1678" s="25" t="n"/>
      <c r="AG1678" s="25" t="n"/>
      <c r="AH1678" s="25" t="n"/>
      <c r="AI1678" s="394" t="n"/>
      <c r="AM1678" s="48" t="n"/>
      <c r="AN1678" s="48" t="n"/>
      <c r="AO1678" s="48" t="n"/>
    </row>
    <row r="1679">
      <c r="M1679" s="25" t="n"/>
      <c r="Q1679" s="25" t="n"/>
      <c r="U1679" s="194" t="n"/>
      <c r="AA1679" s="25" t="n"/>
      <c r="AB1679" s="25" t="n"/>
      <c r="AC1679" s="195" t="n"/>
      <c r="AD1679" s="25" t="n"/>
      <c r="AE1679" s="25" t="n"/>
      <c r="AG1679" s="25" t="n"/>
      <c r="AH1679" s="25" t="n"/>
      <c r="AI1679" s="394" t="n"/>
      <c r="AM1679" s="48" t="n"/>
      <c r="AN1679" s="48" t="n"/>
      <c r="AO1679" s="48" t="n"/>
    </row>
    <row r="1680">
      <c r="M1680" s="25" t="n"/>
      <c r="Q1680" s="25" t="n"/>
      <c r="U1680" s="194" t="n"/>
      <c r="AA1680" s="25" t="n"/>
      <c r="AB1680" s="25" t="n"/>
      <c r="AC1680" s="195" t="n"/>
      <c r="AD1680" s="25" t="n"/>
      <c r="AE1680" s="25" t="n"/>
      <c r="AG1680" s="25" t="n"/>
      <c r="AH1680" s="25" t="n"/>
      <c r="AI1680" s="394" t="n"/>
      <c r="AM1680" s="48" t="n"/>
      <c r="AN1680" s="48" t="n"/>
      <c r="AO1680" s="48" t="n"/>
    </row>
    <row r="1681">
      <c r="M1681" s="25" t="n"/>
      <c r="Q1681" s="25" t="n"/>
      <c r="U1681" s="194" t="n"/>
      <c r="AA1681" s="25" t="n"/>
      <c r="AB1681" s="25" t="n"/>
      <c r="AC1681" s="195" t="n"/>
      <c r="AD1681" s="25" t="n"/>
      <c r="AE1681" s="25" t="n"/>
      <c r="AG1681" s="25" t="n"/>
      <c r="AH1681" s="25" t="n"/>
      <c r="AI1681" s="394" t="n"/>
      <c r="AM1681" s="48" t="n"/>
      <c r="AN1681" s="48" t="n"/>
      <c r="AO1681" s="48" t="n"/>
    </row>
    <row r="1682">
      <c r="M1682" s="25" t="n"/>
      <c r="Q1682" s="25" t="n"/>
      <c r="U1682" s="194" t="n"/>
      <c r="AA1682" s="25" t="n"/>
      <c r="AB1682" s="25" t="n"/>
      <c r="AC1682" s="195" t="n"/>
      <c r="AD1682" s="25" t="n"/>
      <c r="AE1682" s="25" t="n"/>
      <c r="AG1682" s="25" t="n"/>
      <c r="AH1682" s="25" t="n"/>
      <c r="AI1682" s="394" t="n"/>
      <c r="AM1682" s="48" t="n"/>
      <c r="AN1682" s="48" t="n"/>
      <c r="AO1682" s="48" t="n"/>
    </row>
    <row r="1683">
      <c r="M1683" s="25" t="n"/>
      <c r="Q1683" s="25" t="n"/>
      <c r="U1683" s="194" t="n"/>
      <c r="AA1683" s="25" t="n"/>
      <c r="AB1683" s="25" t="n"/>
      <c r="AC1683" s="195" t="n"/>
      <c r="AD1683" s="25" t="n"/>
      <c r="AE1683" s="25" t="n"/>
      <c r="AG1683" s="25" t="n"/>
      <c r="AH1683" s="25" t="n"/>
      <c r="AI1683" s="394" t="n"/>
      <c r="AM1683" s="48" t="n"/>
      <c r="AN1683" s="48" t="n"/>
      <c r="AO1683" s="48" t="n"/>
    </row>
    <row r="1684">
      <c r="M1684" s="25" t="n"/>
      <c r="Q1684" s="25" t="n"/>
      <c r="U1684" s="194" t="n"/>
      <c r="AA1684" s="25" t="n"/>
      <c r="AB1684" s="25" t="n"/>
      <c r="AC1684" s="195" t="n"/>
      <c r="AD1684" s="25" t="n"/>
      <c r="AE1684" s="25" t="n"/>
      <c r="AG1684" s="25" t="n"/>
      <c r="AH1684" s="25" t="n"/>
      <c r="AI1684" s="394" t="n"/>
      <c r="AM1684" s="48" t="n"/>
      <c r="AN1684" s="48" t="n"/>
      <c r="AO1684" s="48" t="n"/>
    </row>
    <row r="1685">
      <c r="M1685" s="25" t="n"/>
      <c r="Q1685" s="25" t="n"/>
      <c r="U1685" s="194" t="n"/>
      <c r="AA1685" s="25" t="n"/>
      <c r="AB1685" s="25" t="n"/>
      <c r="AC1685" s="195" t="n"/>
      <c r="AD1685" s="25" t="n"/>
      <c r="AE1685" s="25" t="n"/>
      <c r="AG1685" s="25" t="n"/>
      <c r="AH1685" s="25" t="n"/>
      <c r="AI1685" s="394" t="n"/>
      <c r="AM1685" s="48" t="n"/>
      <c r="AN1685" s="48" t="n"/>
      <c r="AO1685" s="48" t="n"/>
    </row>
    <row r="1686">
      <c r="M1686" s="25" t="n"/>
      <c r="Q1686" s="25" t="n"/>
      <c r="U1686" s="194" t="n"/>
      <c r="AA1686" s="25" t="n"/>
      <c r="AB1686" s="25" t="n"/>
      <c r="AC1686" s="195" t="n"/>
      <c r="AD1686" s="25" t="n"/>
      <c r="AE1686" s="25" t="n"/>
      <c r="AG1686" s="25" t="n"/>
      <c r="AH1686" s="25" t="n"/>
      <c r="AI1686" s="394" t="n"/>
      <c r="AM1686" s="48" t="n"/>
      <c r="AN1686" s="48" t="n"/>
      <c r="AO1686" s="48" t="n"/>
    </row>
    <row r="1687">
      <c r="M1687" s="25" t="n"/>
      <c r="Q1687" s="25" t="n"/>
      <c r="U1687" s="194" t="n"/>
      <c r="AA1687" s="25" t="n"/>
      <c r="AB1687" s="25" t="n"/>
      <c r="AC1687" s="195" t="n"/>
      <c r="AD1687" s="25" t="n"/>
      <c r="AE1687" s="25" t="n"/>
      <c r="AG1687" s="25" t="n"/>
      <c r="AH1687" s="25" t="n"/>
      <c r="AI1687" s="394" t="n"/>
      <c r="AM1687" s="48" t="n"/>
      <c r="AN1687" s="48" t="n"/>
      <c r="AO1687" s="48" t="n"/>
    </row>
    <row r="1688">
      <c r="M1688" s="25" t="n"/>
      <c r="Q1688" s="25" t="n"/>
      <c r="U1688" s="194" t="n"/>
      <c r="AA1688" s="25" t="n"/>
      <c r="AB1688" s="25" t="n"/>
      <c r="AC1688" s="195" t="n"/>
      <c r="AD1688" s="25" t="n"/>
      <c r="AE1688" s="25" t="n"/>
      <c r="AG1688" s="25" t="n"/>
      <c r="AH1688" s="25" t="n"/>
      <c r="AI1688" s="394" t="n"/>
      <c r="AM1688" s="48" t="n"/>
      <c r="AN1688" s="48" t="n"/>
      <c r="AO1688" s="48" t="n"/>
    </row>
    <row r="1689">
      <c r="M1689" s="25" t="n"/>
      <c r="Q1689" s="25" t="n"/>
      <c r="U1689" s="194" t="n"/>
      <c r="AA1689" s="25" t="n"/>
      <c r="AB1689" s="25" t="n"/>
      <c r="AC1689" s="195" t="n"/>
      <c r="AD1689" s="25" t="n"/>
      <c r="AE1689" s="25" t="n"/>
      <c r="AG1689" s="25" t="n"/>
      <c r="AH1689" s="25" t="n"/>
      <c r="AI1689" s="394" t="n"/>
      <c r="AM1689" s="48" t="n"/>
      <c r="AN1689" s="48" t="n"/>
      <c r="AO1689" s="48" t="n"/>
    </row>
    <row r="1690">
      <c r="M1690" s="25" t="n"/>
      <c r="Q1690" s="25" t="n"/>
      <c r="U1690" s="194" t="n"/>
      <c r="AA1690" s="25" t="n"/>
      <c r="AB1690" s="25" t="n"/>
      <c r="AC1690" s="195" t="n"/>
      <c r="AD1690" s="25" t="n"/>
      <c r="AE1690" s="25" t="n"/>
      <c r="AG1690" s="25" t="n"/>
      <c r="AH1690" s="25" t="n"/>
      <c r="AI1690" s="394" t="n"/>
      <c r="AM1690" s="48" t="n"/>
      <c r="AN1690" s="48" t="n"/>
      <c r="AO1690" s="48" t="n"/>
    </row>
    <row r="1691">
      <c r="M1691" s="25" t="n"/>
      <c r="Q1691" s="25" t="n"/>
      <c r="U1691" s="194" t="n"/>
      <c r="AA1691" s="25" t="n"/>
      <c r="AB1691" s="25" t="n"/>
      <c r="AC1691" s="195" t="n"/>
      <c r="AD1691" s="25" t="n"/>
      <c r="AE1691" s="25" t="n"/>
      <c r="AG1691" s="25" t="n"/>
      <c r="AH1691" s="25" t="n"/>
      <c r="AI1691" s="394" t="n"/>
      <c r="AM1691" s="48" t="n"/>
      <c r="AN1691" s="48" t="n"/>
      <c r="AO1691" s="48" t="n"/>
    </row>
    <row r="1692">
      <c r="M1692" s="25" t="n"/>
      <c r="Q1692" s="25" t="n"/>
      <c r="U1692" s="194" t="n"/>
      <c r="AA1692" s="25" t="n"/>
      <c r="AB1692" s="25" t="n"/>
      <c r="AC1692" s="195" t="n"/>
      <c r="AD1692" s="25" t="n"/>
      <c r="AE1692" s="25" t="n"/>
      <c r="AG1692" s="25" t="n"/>
      <c r="AH1692" s="25" t="n"/>
      <c r="AI1692" s="394" t="n"/>
      <c r="AM1692" s="48" t="n"/>
      <c r="AN1692" s="48" t="n"/>
      <c r="AO1692" s="48" t="n"/>
    </row>
    <row r="1693">
      <c r="M1693" s="25" t="n"/>
      <c r="Q1693" s="25" t="n"/>
      <c r="U1693" s="194" t="n"/>
      <c r="AA1693" s="25" t="n"/>
      <c r="AB1693" s="25" t="n"/>
      <c r="AC1693" s="195" t="n"/>
      <c r="AD1693" s="25" t="n"/>
      <c r="AE1693" s="25" t="n"/>
      <c r="AG1693" s="25" t="n"/>
      <c r="AH1693" s="25" t="n"/>
      <c r="AI1693" s="394" t="n"/>
      <c r="AM1693" s="48" t="n"/>
      <c r="AN1693" s="48" t="n"/>
      <c r="AO1693" s="48" t="n"/>
    </row>
    <row r="1694">
      <c r="M1694" s="25" t="n"/>
      <c r="Q1694" s="25" t="n"/>
      <c r="U1694" s="194" t="n"/>
      <c r="AA1694" s="25" t="n"/>
      <c r="AB1694" s="25" t="n"/>
      <c r="AC1694" s="195" t="n"/>
      <c r="AD1694" s="25" t="n"/>
      <c r="AE1694" s="25" t="n"/>
      <c r="AG1694" s="25" t="n"/>
      <c r="AH1694" s="25" t="n"/>
      <c r="AI1694" s="394" t="n"/>
      <c r="AM1694" s="48" t="n"/>
      <c r="AN1694" s="48" t="n"/>
      <c r="AO1694" s="48" t="n"/>
    </row>
    <row r="1695">
      <c r="M1695" s="25" t="n"/>
      <c r="Q1695" s="25" t="n"/>
      <c r="U1695" s="194" t="n"/>
      <c r="AA1695" s="25" t="n"/>
      <c r="AB1695" s="25" t="n"/>
      <c r="AC1695" s="195" t="n"/>
      <c r="AD1695" s="25" t="n"/>
      <c r="AE1695" s="25" t="n"/>
      <c r="AG1695" s="25" t="n"/>
      <c r="AH1695" s="25" t="n"/>
      <c r="AI1695" s="394" t="n"/>
      <c r="AM1695" s="48" t="n"/>
      <c r="AN1695" s="48" t="n"/>
      <c r="AO1695" s="48" t="n"/>
    </row>
    <row r="1696">
      <c r="M1696" s="25" t="n"/>
      <c r="Q1696" s="25" t="n"/>
      <c r="U1696" s="194" t="n"/>
      <c r="AA1696" s="25" t="n"/>
      <c r="AB1696" s="25" t="n"/>
      <c r="AC1696" s="195" t="n"/>
      <c r="AD1696" s="25" t="n"/>
      <c r="AE1696" s="25" t="n"/>
      <c r="AG1696" s="25" t="n"/>
      <c r="AH1696" s="25" t="n"/>
      <c r="AI1696" s="394" t="n"/>
      <c r="AM1696" s="48" t="n"/>
      <c r="AN1696" s="48" t="n"/>
      <c r="AO1696" s="48" t="n"/>
    </row>
    <row r="1697">
      <c r="M1697" s="25" t="n"/>
      <c r="Q1697" s="25" t="n"/>
      <c r="U1697" s="194" t="n"/>
      <c r="AA1697" s="25" t="n"/>
      <c r="AB1697" s="25" t="n"/>
      <c r="AC1697" s="195" t="n"/>
      <c r="AD1697" s="25" t="n"/>
      <c r="AE1697" s="25" t="n"/>
      <c r="AG1697" s="25" t="n"/>
      <c r="AH1697" s="25" t="n"/>
      <c r="AI1697" s="394" t="n"/>
      <c r="AM1697" s="48" t="n"/>
      <c r="AN1697" s="48" t="n"/>
      <c r="AO1697" s="48" t="n"/>
    </row>
    <row r="1698">
      <c r="M1698" s="25" t="n"/>
      <c r="Q1698" s="25" t="n"/>
      <c r="U1698" s="194" t="n"/>
      <c r="AA1698" s="25" t="n"/>
      <c r="AB1698" s="25" t="n"/>
      <c r="AC1698" s="195" t="n"/>
      <c r="AD1698" s="25" t="n"/>
      <c r="AE1698" s="25" t="n"/>
      <c r="AG1698" s="25" t="n"/>
      <c r="AH1698" s="25" t="n"/>
      <c r="AI1698" s="394" t="n"/>
      <c r="AM1698" s="48" t="n"/>
      <c r="AN1698" s="48" t="n"/>
      <c r="AO1698" s="48" t="n"/>
    </row>
    <row r="1699">
      <c r="M1699" s="25" t="n"/>
      <c r="Q1699" s="25" t="n"/>
      <c r="U1699" s="194" t="n"/>
      <c r="AA1699" s="25" t="n"/>
      <c r="AB1699" s="25" t="n"/>
      <c r="AC1699" s="195" t="n"/>
      <c r="AD1699" s="25" t="n"/>
      <c r="AE1699" s="25" t="n"/>
      <c r="AG1699" s="25" t="n"/>
      <c r="AH1699" s="25" t="n"/>
      <c r="AI1699" s="394" t="n"/>
      <c r="AM1699" s="48" t="n"/>
      <c r="AN1699" s="48" t="n"/>
      <c r="AO1699" s="48" t="n"/>
    </row>
    <row r="1700">
      <c r="M1700" s="25" t="n"/>
      <c r="Q1700" s="25" t="n"/>
      <c r="U1700" s="194" t="n"/>
      <c r="AA1700" s="25" t="n"/>
      <c r="AB1700" s="25" t="n"/>
      <c r="AC1700" s="195" t="n"/>
      <c r="AD1700" s="25" t="n"/>
      <c r="AE1700" s="25" t="n"/>
      <c r="AG1700" s="25" t="n"/>
      <c r="AH1700" s="25" t="n"/>
      <c r="AI1700" s="394" t="n"/>
      <c r="AM1700" s="48" t="n"/>
      <c r="AN1700" s="48" t="n"/>
      <c r="AO1700" s="48" t="n"/>
    </row>
    <row r="1701">
      <c r="M1701" s="25" t="n"/>
      <c r="Q1701" s="25" t="n"/>
      <c r="U1701" s="194" t="n"/>
      <c r="AA1701" s="25" t="n"/>
      <c r="AB1701" s="25" t="n"/>
      <c r="AC1701" s="195" t="n"/>
      <c r="AD1701" s="25" t="n"/>
      <c r="AE1701" s="25" t="n"/>
      <c r="AG1701" s="25" t="n"/>
      <c r="AH1701" s="25" t="n"/>
      <c r="AI1701" s="394" t="n"/>
      <c r="AM1701" s="48" t="n"/>
      <c r="AN1701" s="48" t="n"/>
      <c r="AO1701" s="48" t="n"/>
    </row>
    <row r="1702">
      <c r="M1702" s="25" t="n"/>
      <c r="Q1702" s="25" t="n"/>
      <c r="U1702" s="194" t="n"/>
      <c r="AA1702" s="25" t="n"/>
      <c r="AB1702" s="25" t="n"/>
      <c r="AC1702" s="195" t="n"/>
      <c r="AD1702" s="25" t="n"/>
      <c r="AE1702" s="25" t="n"/>
      <c r="AG1702" s="25" t="n"/>
      <c r="AH1702" s="25" t="n"/>
      <c r="AI1702" s="394" t="n"/>
      <c r="AM1702" s="48" t="n"/>
      <c r="AN1702" s="48" t="n"/>
      <c r="AO1702" s="48" t="n"/>
    </row>
    <row r="1703">
      <c r="M1703" s="25" t="n"/>
      <c r="Q1703" s="25" t="n"/>
      <c r="U1703" s="194" t="n"/>
      <c r="AA1703" s="25" t="n"/>
      <c r="AB1703" s="25" t="n"/>
      <c r="AC1703" s="195" t="n"/>
      <c r="AD1703" s="25" t="n"/>
      <c r="AE1703" s="25" t="n"/>
      <c r="AG1703" s="25" t="n"/>
      <c r="AH1703" s="25" t="n"/>
      <c r="AI1703" s="394" t="n"/>
      <c r="AM1703" s="48" t="n"/>
      <c r="AN1703" s="48" t="n"/>
      <c r="AO1703" s="48" t="n"/>
    </row>
    <row r="1704">
      <c r="M1704" s="25" t="n"/>
      <c r="Q1704" s="25" t="n"/>
      <c r="U1704" s="194" t="n"/>
      <c r="AA1704" s="25" t="n"/>
      <c r="AB1704" s="25" t="n"/>
      <c r="AC1704" s="195" t="n"/>
      <c r="AD1704" s="25" t="n"/>
      <c r="AE1704" s="25" t="n"/>
      <c r="AG1704" s="25" t="n"/>
      <c r="AH1704" s="25" t="n"/>
      <c r="AI1704" s="394" t="n"/>
      <c r="AM1704" s="48" t="n"/>
      <c r="AN1704" s="48" t="n"/>
      <c r="AO1704" s="48" t="n"/>
    </row>
    <row r="1705">
      <c r="M1705" s="25" t="n"/>
      <c r="Q1705" s="25" t="n"/>
      <c r="U1705" s="194" t="n"/>
      <c r="AA1705" s="25" t="n"/>
      <c r="AB1705" s="25" t="n"/>
      <c r="AC1705" s="195" t="n"/>
      <c r="AD1705" s="25" t="n"/>
      <c r="AE1705" s="25" t="n"/>
      <c r="AG1705" s="25" t="n"/>
      <c r="AH1705" s="25" t="n"/>
      <c r="AI1705" s="394" t="n"/>
      <c r="AM1705" s="48" t="n"/>
      <c r="AN1705" s="48" t="n"/>
      <c r="AO1705" s="48" t="n"/>
    </row>
    <row r="1706">
      <c r="M1706" s="25" t="n"/>
      <c r="Q1706" s="25" t="n"/>
      <c r="U1706" s="194" t="n"/>
      <c r="AA1706" s="25" t="n"/>
      <c r="AB1706" s="25" t="n"/>
      <c r="AC1706" s="195" t="n"/>
      <c r="AD1706" s="25" t="n"/>
      <c r="AE1706" s="25" t="n"/>
      <c r="AG1706" s="25" t="n"/>
      <c r="AH1706" s="25" t="n"/>
      <c r="AI1706" s="394" t="n"/>
      <c r="AM1706" s="48" t="n"/>
      <c r="AN1706" s="48" t="n"/>
      <c r="AO1706" s="48" t="n"/>
    </row>
    <row r="1707">
      <c r="M1707" s="25" t="n"/>
      <c r="Q1707" s="25" t="n"/>
      <c r="U1707" s="194" t="n"/>
      <c r="AA1707" s="25" t="n"/>
      <c r="AB1707" s="25" t="n"/>
      <c r="AC1707" s="195" t="n"/>
      <c r="AD1707" s="25" t="n"/>
      <c r="AE1707" s="25" t="n"/>
      <c r="AG1707" s="25" t="n"/>
      <c r="AH1707" s="25" t="n"/>
      <c r="AI1707" s="394" t="n"/>
      <c r="AM1707" s="48" t="n"/>
      <c r="AN1707" s="48" t="n"/>
      <c r="AO1707" s="48" t="n"/>
    </row>
    <row r="1708">
      <c r="M1708" s="25" t="n"/>
      <c r="Q1708" s="25" t="n"/>
      <c r="U1708" s="194" t="n"/>
      <c r="AA1708" s="25" t="n"/>
      <c r="AB1708" s="25" t="n"/>
      <c r="AC1708" s="195" t="n"/>
      <c r="AD1708" s="25" t="n"/>
      <c r="AE1708" s="25" t="n"/>
      <c r="AG1708" s="25" t="n"/>
      <c r="AH1708" s="25" t="n"/>
      <c r="AI1708" s="394" t="n"/>
      <c r="AM1708" s="48" t="n"/>
      <c r="AN1708" s="48" t="n"/>
      <c r="AO1708" s="48" t="n"/>
    </row>
    <row r="1709">
      <c r="M1709" s="25" t="n"/>
      <c r="Q1709" s="25" t="n"/>
      <c r="U1709" s="194" t="n"/>
      <c r="AA1709" s="25" t="n"/>
      <c r="AB1709" s="25" t="n"/>
      <c r="AC1709" s="195" t="n"/>
      <c r="AD1709" s="25" t="n"/>
      <c r="AE1709" s="25" t="n"/>
      <c r="AG1709" s="25" t="n"/>
      <c r="AH1709" s="25" t="n"/>
      <c r="AI1709" s="394" t="n"/>
      <c r="AM1709" s="48" t="n"/>
      <c r="AN1709" s="48" t="n"/>
      <c r="AO1709" s="48" t="n"/>
    </row>
    <row r="1710">
      <c r="M1710" s="25" t="n"/>
      <c r="Q1710" s="25" t="n"/>
      <c r="U1710" s="194" t="n"/>
      <c r="AA1710" s="25" t="n"/>
      <c r="AB1710" s="25" t="n"/>
      <c r="AC1710" s="195" t="n"/>
      <c r="AD1710" s="25" t="n"/>
      <c r="AE1710" s="25" t="n"/>
      <c r="AG1710" s="25" t="n"/>
      <c r="AH1710" s="25" t="n"/>
      <c r="AI1710" s="394" t="n"/>
      <c r="AM1710" s="48" t="n"/>
      <c r="AN1710" s="48" t="n"/>
      <c r="AO1710" s="48" t="n"/>
    </row>
    <row r="1711">
      <c r="M1711" s="25" t="n"/>
      <c r="Q1711" s="25" t="n"/>
      <c r="U1711" s="194" t="n"/>
      <c r="AA1711" s="25" t="n"/>
      <c r="AB1711" s="25" t="n"/>
      <c r="AC1711" s="195" t="n"/>
      <c r="AD1711" s="25" t="n"/>
      <c r="AE1711" s="25" t="n"/>
      <c r="AG1711" s="25" t="n"/>
      <c r="AH1711" s="25" t="n"/>
      <c r="AI1711" s="394" t="n"/>
      <c r="AM1711" s="48" t="n"/>
      <c r="AN1711" s="48" t="n"/>
      <c r="AO1711" s="48" t="n"/>
    </row>
    <row r="1712">
      <c r="M1712" s="25" t="n"/>
      <c r="Q1712" s="25" t="n"/>
      <c r="U1712" s="194" t="n"/>
      <c r="AA1712" s="25" t="n"/>
      <c r="AB1712" s="25" t="n"/>
      <c r="AC1712" s="195" t="n"/>
      <c r="AD1712" s="25" t="n"/>
      <c r="AE1712" s="25" t="n"/>
      <c r="AG1712" s="25" t="n"/>
      <c r="AH1712" s="25" t="n"/>
      <c r="AI1712" s="394" t="n"/>
      <c r="AM1712" s="48" t="n"/>
      <c r="AN1712" s="48" t="n"/>
      <c r="AO1712" s="48" t="n"/>
    </row>
    <row r="1713">
      <c r="M1713" s="25" t="n"/>
      <c r="Q1713" s="25" t="n"/>
      <c r="U1713" s="194" t="n"/>
      <c r="AA1713" s="25" t="n"/>
      <c r="AB1713" s="25" t="n"/>
      <c r="AC1713" s="195" t="n"/>
      <c r="AD1713" s="25" t="n"/>
      <c r="AE1713" s="25" t="n"/>
      <c r="AG1713" s="25" t="n"/>
      <c r="AH1713" s="25" t="n"/>
      <c r="AI1713" s="394" t="n"/>
      <c r="AM1713" s="48" t="n"/>
      <c r="AN1713" s="48" t="n"/>
      <c r="AO1713" s="48" t="n"/>
    </row>
    <row r="1714">
      <c r="M1714" s="25" t="n"/>
      <c r="Q1714" s="25" t="n"/>
      <c r="U1714" s="194" t="n"/>
      <c r="AA1714" s="25" t="n"/>
      <c r="AB1714" s="25" t="n"/>
      <c r="AC1714" s="195" t="n"/>
      <c r="AD1714" s="25" t="n"/>
      <c r="AE1714" s="25" t="n"/>
      <c r="AG1714" s="25" t="n"/>
      <c r="AH1714" s="25" t="n"/>
      <c r="AI1714" s="394" t="n"/>
      <c r="AM1714" s="48" t="n"/>
      <c r="AN1714" s="48" t="n"/>
      <c r="AO1714" s="48" t="n"/>
    </row>
    <row r="1715">
      <c r="M1715" s="25" t="n"/>
      <c r="Q1715" s="25" t="n"/>
      <c r="U1715" s="194" t="n"/>
      <c r="AA1715" s="25" t="n"/>
      <c r="AB1715" s="25" t="n"/>
      <c r="AC1715" s="195" t="n"/>
      <c r="AD1715" s="25" t="n"/>
      <c r="AE1715" s="25" t="n"/>
      <c r="AG1715" s="25" t="n"/>
      <c r="AH1715" s="25" t="n"/>
      <c r="AI1715" s="394" t="n"/>
      <c r="AM1715" s="48" t="n"/>
      <c r="AN1715" s="48" t="n"/>
      <c r="AO1715" s="48" t="n"/>
    </row>
    <row r="1716">
      <c r="M1716" s="25" t="n"/>
      <c r="Q1716" s="25" t="n"/>
      <c r="U1716" s="194" t="n"/>
      <c r="AA1716" s="25" t="n"/>
      <c r="AB1716" s="25" t="n"/>
      <c r="AC1716" s="195" t="n"/>
      <c r="AD1716" s="25" t="n"/>
      <c r="AE1716" s="25" t="n"/>
      <c r="AG1716" s="25" t="n"/>
      <c r="AH1716" s="25" t="n"/>
      <c r="AI1716" s="394" t="n"/>
      <c r="AM1716" s="48" t="n"/>
      <c r="AN1716" s="48" t="n"/>
      <c r="AO1716" s="48" t="n"/>
    </row>
    <row r="1717">
      <c r="M1717" s="25" t="n"/>
      <c r="Q1717" s="25" t="n"/>
      <c r="U1717" s="194" t="n"/>
      <c r="AA1717" s="25" t="n"/>
      <c r="AB1717" s="25" t="n"/>
      <c r="AC1717" s="195" t="n"/>
      <c r="AD1717" s="25" t="n"/>
      <c r="AE1717" s="25" t="n"/>
      <c r="AG1717" s="25" t="n"/>
      <c r="AH1717" s="25" t="n"/>
      <c r="AI1717" s="394" t="n"/>
      <c r="AM1717" s="48" t="n"/>
      <c r="AN1717" s="48" t="n"/>
      <c r="AO1717" s="48" t="n"/>
    </row>
    <row r="1718">
      <c r="M1718" s="25" t="n"/>
      <c r="Q1718" s="25" t="n"/>
      <c r="U1718" s="194" t="n"/>
      <c r="AA1718" s="25" t="n"/>
      <c r="AB1718" s="25" t="n"/>
      <c r="AC1718" s="195" t="n"/>
      <c r="AD1718" s="25" t="n"/>
      <c r="AE1718" s="25" t="n"/>
      <c r="AG1718" s="25" t="n"/>
      <c r="AH1718" s="25" t="n"/>
      <c r="AI1718" s="394" t="n"/>
      <c r="AM1718" s="48" t="n"/>
      <c r="AN1718" s="48" t="n"/>
      <c r="AO1718" s="48" t="n"/>
    </row>
    <row r="1719">
      <c r="M1719" s="25" t="n"/>
      <c r="Q1719" s="25" t="n"/>
      <c r="U1719" s="194" t="n"/>
      <c r="AA1719" s="25" t="n"/>
      <c r="AB1719" s="25" t="n"/>
      <c r="AC1719" s="195" t="n"/>
      <c r="AD1719" s="25" t="n"/>
      <c r="AE1719" s="25" t="n"/>
      <c r="AG1719" s="25" t="n"/>
      <c r="AH1719" s="25" t="n"/>
      <c r="AI1719" s="394" t="n"/>
      <c r="AM1719" s="48" t="n"/>
      <c r="AN1719" s="48" t="n"/>
      <c r="AO1719" s="48" t="n"/>
    </row>
    <row r="1720">
      <c r="M1720" s="25" t="n"/>
      <c r="Q1720" s="25" t="n"/>
      <c r="U1720" s="194" t="n"/>
      <c r="AA1720" s="25" t="n"/>
      <c r="AB1720" s="25" t="n"/>
      <c r="AC1720" s="195" t="n"/>
      <c r="AD1720" s="25" t="n"/>
      <c r="AE1720" s="25" t="n"/>
      <c r="AG1720" s="25" t="n"/>
      <c r="AH1720" s="25" t="n"/>
      <c r="AI1720" s="394" t="n"/>
      <c r="AM1720" s="48" t="n"/>
      <c r="AN1720" s="48" t="n"/>
      <c r="AO1720" s="48" t="n"/>
    </row>
    <row r="1721">
      <c r="M1721" s="25" t="n"/>
      <c r="Q1721" s="25" t="n"/>
      <c r="U1721" s="194" t="n"/>
      <c r="AA1721" s="25" t="n"/>
      <c r="AB1721" s="25" t="n"/>
      <c r="AC1721" s="195" t="n"/>
      <c r="AD1721" s="25" t="n"/>
      <c r="AE1721" s="25" t="n"/>
      <c r="AG1721" s="25" t="n"/>
      <c r="AH1721" s="25" t="n"/>
      <c r="AI1721" s="394" t="n"/>
      <c r="AM1721" s="48" t="n"/>
      <c r="AN1721" s="48" t="n"/>
      <c r="AO1721" s="48" t="n"/>
    </row>
    <row r="1722">
      <c r="M1722" s="25" t="n"/>
      <c r="Q1722" s="25" t="n"/>
      <c r="U1722" s="194" t="n"/>
      <c r="AA1722" s="25" t="n"/>
      <c r="AB1722" s="25" t="n"/>
      <c r="AC1722" s="195" t="n"/>
      <c r="AD1722" s="25" t="n"/>
      <c r="AE1722" s="25" t="n"/>
      <c r="AG1722" s="25" t="n"/>
      <c r="AH1722" s="25" t="n"/>
      <c r="AI1722" s="394" t="n"/>
      <c r="AM1722" s="48" t="n"/>
      <c r="AN1722" s="48" t="n"/>
      <c r="AO1722" s="48" t="n"/>
    </row>
    <row r="1723">
      <c r="M1723" s="25" t="n"/>
      <c r="Q1723" s="25" t="n"/>
      <c r="U1723" s="194" t="n"/>
      <c r="AA1723" s="25" t="n"/>
      <c r="AB1723" s="25" t="n"/>
      <c r="AC1723" s="195" t="n"/>
      <c r="AD1723" s="25" t="n"/>
      <c r="AE1723" s="25" t="n"/>
      <c r="AG1723" s="25" t="n"/>
      <c r="AH1723" s="25" t="n"/>
      <c r="AI1723" s="394" t="n"/>
      <c r="AM1723" s="48" t="n"/>
      <c r="AN1723" s="48" t="n"/>
      <c r="AO1723" s="48" t="n"/>
    </row>
    <row r="1724">
      <c r="M1724" s="25" t="n"/>
      <c r="Q1724" s="25" t="n"/>
      <c r="U1724" s="194" t="n"/>
      <c r="AA1724" s="25" t="n"/>
      <c r="AB1724" s="25" t="n"/>
      <c r="AC1724" s="195" t="n"/>
      <c r="AD1724" s="25" t="n"/>
      <c r="AE1724" s="25" t="n"/>
      <c r="AG1724" s="25" t="n"/>
      <c r="AH1724" s="25" t="n"/>
      <c r="AI1724" s="394" t="n"/>
      <c r="AM1724" s="48" t="n"/>
      <c r="AN1724" s="48" t="n"/>
      <c r="AO1724" s="48" t="n"/>
    </row>
    <row r="1725">
      <c r="M1725" s="25" t="n"/>
      <c r="Q1725" s="25" t="n"/>
      <c r="U1725" s="194" t="n"/>
      <c r="AA1725" s="25" t="n"/>
      <c r="AB1725" s="25" t="n"/>
      <c r="AC1725" s="195" t="n"/>
      <c r="AD1725" s="25" t="n"/>
      <c r="AE1725" s="25" t="n"/>
      <c r="AG1725" s="25" t="n"/>
      <c r="AH1725" s="25" t="n"/>
      <c r="AI1725" s="394" t="n"/>
      <c r="AM1725" s="48" t="n"/>
      <c r="AN1725" s="48" t="n"/>
      <c r="AO1725" s="48" t="n"/>
    </row>
    <row r="1726">
      <c r="M1726" s="25" t="n"/>
      <c r="Q1726" s="25" t="n"/>
      <c r="U1726" s="194" t="n"/>
      <c r="AA1726" s="25" t="n"/>
      <c r="AB1726" s="25" t="n"/>
      <c r="AC1726" s="195" t="n"/>
      <c r="AD1726" s="25" t="n"/>
      <c r="AE1726" s="25" t="n"/>
      <c r="AG1726" s="25" t="n"/>
      <c r="AH1726" s="25" t="n"/>
      <c r="AI1726" s="394" t="n"/>
      <c r="AM1726" s="48" t="n"/>
      <c r="AN1726" s="48" t="n"/>
      <c r="AO1726" s="48" t="n"/>
    </row>
    <row r="1727">
      <c r="M1727" s="25" t="n"/>
      <c r="Q1727" s="25" t="n"/>
      <c r="U1727" s="194" t="n"/>
      <c r="AA1727" s="25" t="n"/>
      <c r="AB1727" s="25" t="n"/>
      <c r="AC1727" s="195" t="n"/>
      <c r="AD1727" s="25" t="n"/>
      <c r="AE1727" s="25" t="n"/>
      <c r="AG1727" s="25" t="n"/>
      <c r="AH1727" s="25" t="n"/>
      <c r="AI1727" s="394" t="n"/>
      <c r="AM1727" s="48" t="n"/>
      <c r="AN1727" s="48" t="n"/>
      <c r="AO1727" s="48" t="n"/>
    </row>
    <row r="1728">
      <c r="M1728" s="25" t="n"/>
      <c r="Q1728" s="25" t="n"/>
      <c r="U1728" s="194" t="n"/>
      <c r="AA1728" s="25" t="n"/>
      <c r="AB1728" s="25" t="n"/>
      <c r="AC1728" s="195" t="n"/>
      <c r="AD1728" s="25" t="n"/>
      <c r="AE1728" s="25" t="n"/>
      <c r="AG1728" s="25" t="n"/>
      <c r="AH1728" s="25" t="n"/>
      <c r="AI1728" s="394" t="n"/>
      <c r="AM1728" s="48" t="n"/>
      <c r="AN1728" s="48" t="n"/>
      <c r="AO1728" s="48" t="n"/>
    </row>
    <row r="1729">
      <c r="M1729" s="25" t="n"/>
      <c r="Q1729" s="25" t="n"/>
      <c r="U1729" s="194" t="n"/>
      <c r="AA1729" s="25" t="n"/>
      <c r="AB1729" s="25" t="n"/>
      <c r="AC1729" s="195" t="n"/>
      <c r="AD1729" s="25" t="n"/>
      <c r="AE1729" s="25" t="n"/>
      <c r="AG1729" s="25" t="n"/>
      <c r="AH1729" s="25" t="n"/>
      <c r="AI1729" s="394" t="n"/>
      <c r="AM1729" s="48" t="n"/>
      <c r="AN1729" s="48" t="n"/>
      <c r="AO1729" s="48" t="n"/>
    </row>
    <row r="1730">
      <c r="M1730" s="25" t="n"/>
      <c r="Q1730" s="25" t="n"/>
      <c r="U1730" s="194" t="n"/>
      <c r="AA1730" s="25" t="n"/>
      <c r="AB1730" s="25" t="n"/>
      <c r="AC1730" s="195" t="n"/>
      <c r="AD1730" s="25" t="n"/>
      <c r="AE1730" s="25" t="n"/>
      <c r="AG1730" s="25" t="n"/>
      <c r="AH1730" s="25" t="n"/>
      <c r="AI1730" s="394" t="n"/>
      <c r="AM1730" s="48" t="n"/>
      <c r="AN1730" s="48" t="n"/>
      <c r="AO1730" s="48" t="n"/>
    </row>
    <row r="1731">
      <c r="M1731" s="25" t="n"/>
      <c r="Q1731" s="25" t="n"/>
      <c r="U1731" s="194" t="n"/>
      <c r="AA1731" s="25" t="n"/>
      <c r="AB1731" s="25" t="n"/>
      <c r="AC1731" s="195" t="n"/>
      <c r="AD1731" s="25" t="n"/>
      <c r="AE1731" s="25" t="n"/>
      <c r="AG1731" s="25" t="n"/>
      <c r="AH1731" s="25" t="n"/>
      <c r="AI1731" s="394" t="n"/>
      <c r="AM1731" s="48" t="n"/>
      <c r="AN1731" s="48" t="n"/>
      <c r="AO1731" s="48" t="n"/>
    </row>
    <row r="1732">
      <c r="M1732" s="25" t="n"/>
      <c r="Q1732" s="25" t="n"/>
      <c r="U1732" s="194" t="n"/>
      <c r="AA1732" s="25" t="n"/>
      <c r="AB1732" s="25" t="n"/>
      <c r="AC1732" s="195" t="n"/>
      <c r="AD1732" s="25" t="n"/>
      <c r="AE1732" s="25" t="n"/>
      <c r="AG1732" s="25" t="n"/>
      <c r="AH1732" s="25" t="n"/>
      <c r="AI1732" s="394" t="n"/>
      <c r="AM1732" s="48" t="n"/>
      <c r="AN1732" s="48" t="n"/>
      <c r="AO1732" s="48" t="n"/>
    </row>
    <row r="1733">
      <c r="M1733" s="25" t="n"/>
      <c r="Q1733" s="25" t="n"/>
      <c r="U1733" s="194" t="n"/>
      <c r="AA1733" s="25" t="n"/>
      <c r="AB1733" s="25" t="n"/>
      <c r="AC1733" s="195" t="n"/>
      <c r="AD1733" s="25" t="n"/>
      <c r="AE1733" s="25" t="n"/>
      <c r="AG1733" s="25" t="n"/>
      <c r="AH1733" s="25" t="n"/>
      <c r="AI1733" s="394" t="n"/>
      <c r="AM1733" s="48" t="n"/>
      <c r="AN1733" s="48" t="n"/>
      <c r="AO1733" s="48" t="n"/>
    </row>
    <row r="1734">
      <c r="M1734" s="25" t="n"/>
      <c r="Q1734" s="25" t="n"/>
      <c r="U1734" s="194" t="n"/>
      <c r="AA1734" s="25" t="n"/>
      <c r="AB1734" s="25" t="n"/>
      <c r="AC1734" s="195" t="n"/>
      <c r="AD1734" s="25" t="n"/>
      <c r="AE1734" s="25" t="n"/>
      <c r="AG1734" s="25" t="n"/>
      <c r="AH1734" s="25" t="n"/>
      <c r="AI1734" s="394" t="n"/>
      <c r="AM1734" s="48" t="n"/>
      <c r="AN1734" s="48" t="n"/>
      <c r="AO1734" s="48" t="n"/>
    </row>
    <row r="1735">
      <c r="M1735" s="25" t="n"/>
      <c r="Q1735" s="25" t="n"/>
      <c r="U1735" s="194" t="n"/>
      <c r="AA1735" s="25" t="n"/>
      <c r="AB1735" s="25" t="n"/>
      <c r="AC1735" s="195" t="n"/>
      <c r="AD1735" s="25" t="n"/>
      <c r="AE1735" s="25" t="n"/>
      <c r="AG1735" s="25" t="n"/>
      <c r="AH1735" s="25" t="n"/>
      <c r="AI1735" s="394" t="n"/>
      <c r="AM1735" s="48" t="n"/>
      <c r="AN1735" s="48" t="n"/>
      <c r="AO1735" s="48" t="n"/>
    </row>
    <row r="1736">
      <c r="M1736" s="25" t="n"/>
      <c r="Q1736" s="25" t="n"/>
      <c r="U1736" s="194" t="n"/>
      <c r="AA1736" s="25" t="n"/>
      <c r="AB1736" s="25" t="n"/>
      <c r="AC1736" s="195" t="n"/>
      <c r="AD1736" s="25" t="n"/>
      <c r="AE1736" s="25" t="n"/>
      <c r="AG1736" s="25" t="n"/>
      <c r="AH1736" s="25" t="n"/>
      <c r="AI1736" s="394" t="n"/>
      <c r="AM1736" s="48" t="n"/>
      <c r="AN1736" s="48" t="n"/>
      <c r="AO1736" s="48" t="n"/>
    </row>
    <row r="1737">
      <c r="M1737" s="25" t="n"/>
      <c r="Q1737" s="25" t="n"/>
      <c r="U1737" s="194" t="n"/>
      <c r="AA1737" s="25" t="n"/>
      <c r="AB1737" s="25" t="n"/>
      <c r="AC1737" s="195" t="n"/>
      <c r="AD1737" s="25" t="n"/>
      <c r="AE1737" s="25" t="n"/>
      <c r="AG1737" s="25" t="n"/>
      <c r="AH1737" s="25" t="n"/>
      <c r="AI1737" s="394" t="n"/>
      <c r="AM1737" s="48" t="n"/>
      <c r="AN1737" s="48" t="n"/>
      <c r="AO1737" s="48" t="n"/>
    </row>
    <row r="1738">
      <c r="M1738" s="25" t="n"/>
      <c r="Q1738" s="25" t="n"/>
      <c r="U1738" s="194" t="n"/>
      <c r="AA1738" s="25" t="n"/>
      <c r="AB1738" s="25" t="n"/>
      <c r="AC1738" s="195" t="n"/>
      <c r="AD1738" s="25" t="n"/>
      <c r="AE1738" s="25" t="n"/>
      <c r="AG1738" s="25" t="n"/>
      <c r="AH1738" s="25" t="n"/>
      <c r="AI1738" s="394" t="n"/>
      <c r="AM1738" s="48" t="n"/>
      <c r="AN1738" s="48" t="n"/>
      <c r="AO1738" s="48" t="n"/>
    </row>
    <row r="1739">
      <c r="M1739" s="25" t="n"/>
      <c r="Q1739" s="25" t="n"/>
      <c r="U1739" s="194" t="n"/>
      <c r="AA1739" s="25" t="n"/>
      <c r="AB1739" s="25" t="n"/>
      <c r="AC1739" s="195" t="n"/>
      <c r="AD1739" s="25" t="n"/>
      <c r="AE1739" s="25" t="n"/>
      <c r="AG1739" s="25" t="n"/>
      <c r="AH1739" s="25" t="n"/>
      <c r="AI1739" s="394" t="n"/>
      <c r="AM1739" s="48" t="n"/>
      <c r="AN1739" s="48" t="n"/>
      <c r="AO1739" s="48" t="n"/>
    </row>
    <row r="1740">
      <c r="M1740" s="25" t="n"/>
      <c r="Q1740" s="25" t="n"/>
      <c r="U1740" s="194" t="n"/>
      <c r="AA1740" s="25" t="n"/>
      <c r="AB1740" s="25" t="n"/>
      <c r="AC1740" s="195" t="n"/>
      <c r="AD1740" s="25" t="n"/>
      <c r="AE1740" s="25" t="n"/>
      <c r="AG1740" s="25" t="n"/>
      <c r="AH1740" s="25" t="n"/>
      <c r="AI1740" s="394" t="n"/>
      <c r="AM1740" s="48" t="n"/>
      <c r="AN1740" s="48" t="n"/>
      <c r="AO1740" s="48" t="n"/>
    </row>
    <row r="1741">
      <c r="M1741" s="25" t="n"/>
      <c r="Q1741" s="25" t="n"/>
      <c r="U1741" s="194" t="n"/>
      <c r="AA1741" s="25" t="n"/>
      <c r="AB1741" s="25" t="n"/>
      <c r="AC1741" s="195" t="n"/>
      <c r="AD1741" s="25" t="n"/>
      <c r="AE1741" s="25" t="n"/>
      <c r="AG1741" s="25" t="n"/>
      <c r="AH1741" s="25" t="n"/>
      <c r="AI1741" s="394" t="n"/>
      <c r="AM1741" s="48" t="n"/>
      <c r="AN1741" s="48" t="n"/>
      <c r="AO1741" s="48" t="n"/>
    </row>
    <row r="1742">
      <c r="M1742" s="25" t="n"/>
      <c r="Q1742" s="25" t="n"/>
      <c r="U1742" s="194" t="n"/>
      <c r="AA1742" s="25" t="n"/>
      <c r="AB1742" s="25" t="n"/>
      <c r="AC1742" s="195" t="n"/>
      <c r="AD1742" s="25" t="n"/>
      <c r="AE1742" s="25" t="n"/>
      <c r="AG1742" s="25" t="n"/>
      <c r="AH1742" s="25" t="n"/>
      <c r="AI1742" s="394" t="n"/>
      <c r="AM1742" s="48" t="n"/>
      <c r="AN1742" s="48" t="n"/>
      <c r="AO1742" s="48" t="n"/>
    </row>
    <row r="1743">
      <c r="M1743" s="25" t="n"/>
      <c r="Q1743" s="25" t="n"/>
      <c r="U1743" s="194" t="n"/>
      <c r="AA1743" s="25" t="n"/>
      <c r="AB1743" s="25" t="n"/>
      <c r="AC1743" s="195" t="n"/>
      <c r="AD1743" s="25" t="n"/>
      <c r="AE1743" s="25" t="n"/>
      <c r="AG1743" s="25" t="n"/>
      <c r="AH1743" s="25" t="n"/>
      <c r="AI1743" s="394" t="n"/>
      <c r="AM1743" s="48" t="n"/>
      <c r="AN1743" s="48" t="n"/>
      <c r="AO1743" s="48" t="n"/>
    </row>
    <row r="1744">
      <c r="M1744" s="25" t="n"/>
      <c r="Q1744" s="25" t="n"/>
      <c r="U1744" s="194" t="n"/>
      <c r="AA1744" s="25" t="n"/>
      <c r="AB1744" s="25" t="n"/>
      <c r="AC1744" s="195" t="n"/>
      <c r="AD1744" s="25" t="n"/>
      <c r="AE1744" s="25" t="n"/>
      <c r="AG1744" s="25" t="n"/>
      <c r="AH1744" s="25" t="n"/>
      <c r="AI1744" s="394" t="n"/>
      <c r="AM1744" s="48" t="n"/>
      <c r="AN1744" s="48" t="n"/>
      <c r="AO1744" s="48" t="n"/>
    </row>
    <row r="1745">
      <c r="M1745" s="25" t="n"/>
      <c r="Q1745" s="25" t="n"/>
      <c r="U1745" s="194" t="n"/>
      <c r="AA1745" s="25" t="n"/>
      <c r="AB1745" s="25" t="n"/>
      <c r="AC1745" s="195" t="n"/>
      <c r="AD1745" s="25" t="n"/>
      <c r="AE1745" s="25" t="n"/>
      <c r="AG1745" s="25" t="n"/>
      <c r="AH1745" s="25" t="n"/>
      <c r="AI1745" s="394" t="n"/>
      <c r="AM1745" s="48" t="n"/>
      <c r="AN1745" s="48" t="n"/>
      <c r="AO1745" s="48" t="n"/>
    </row>
    <row r="1746">
      <c r="M1746" s="25" t="n"/>
      <c r="Q1746" s="25" t="n"/>
      <c r="U1746" s="194" t="n"/>
      <c r="AA1746" s="25" t="n"/>
      <c r="AB1746" s="25" t="n"/>
      <c r="AC1746" s="195" t="n"/>
      <c r="AD1746" s="25" t="n"/>
      <c r="AE1746" s="25" t="n"/>
      <c r="AG1746" s="25" t="n"/>
      <c r="AH1746" s="25" t="n"/>
      <c r="AI1746" s="394" t="n"/>
      <c r="AM1746" s="48" t="n"/>
      <c r="AN1746" s="48" t="n"/>
      <c r="AO1746" s="48" t="n"/>
    </row>
    <row r="1747">
      <c r="M1747" s="25" t="n"/>
      <c r="Q1747" s="25" t="n"/>
      <c r="U1747" s="194" t="n"/>
      <c r="AA1747" s="25" t="n"/>
      <c r="AB1747" s="25" t="n"/>
      <c r="AC1747" s="195" t="n"/>
      <c r="AD1747" s="25" t="n"/>
      <c r="AE1747" s="25" t="n"/>
      <c r="AG1747" s="25" t="n"/>
      <c r="AH1747" s="25" t="n"/>
      <c r="AI1747" s="394" t="n"/>
      <c r="AM1747" s="48" t="n"/>
      <c r="AN1747" s="48" t="n"/>
      <c r="AO1747" s="48" t="n"/>
    </row>
    <row r="1748">
      <c r="M1748" s="25" t="n"/>
      <c r="Q1748" s="25" t="n"/>
      <c r="U1748" s="194" t="n"/>
      <c r="AA1748" s="25" t="n"/>
      <c r="AB1748" s="25" t="n"/>
      <c r="AC1748" s="195" t="n"/>
      <c r="AD1748" s="25" t="n"/>
      <c r="AE1748" s="25" t="n"/>
      <c r="AG1748" s="25" t="n"/>
      <c r="AH1748" s="25" t="n"/>
      <c r="AI1748" s="394" t="n"/>
      <c r="AM1748" s="48" t="n"/>
      <c r="AN1748" s="48" t="n"/>
      <c r="AO1748" s="48" t="n"/>
    </row>
    <row r="1749">
      <c r="M1749" s="25" t="n"/>
      <c r="Q1749" s="25" t="n"/>
      <c r="U1749" s="194" t="n"/>
      <c r="AA1749" s="25" t="n"/>
      <c r="AB1749" s="25" t="n"/>
      <c r="AC1749" s="195" t="n"/>
      <c r="AD1749" s="25" t="n"/>
      <c r="AE1749" s="25" t="n"/>
      <c r="AG1749" s="25" t="n"/>
      <c r="AH1749" s="25" t="n"/>
      <c r="AI1749" s="394" t="n"/>
      <c r="AM1749" s="48" t="n"/>
      <c r="AN1749" s="48" t="n"/>
      <c r="AO1749" s="48" t="n"/>
    </row>
    <row r="1750">
      <c r="M1750" s="25" t="n"/>
      <c r="Q1750" s="25" t="n"/>
      <c r="U1750" s="194" t="n"/>
      <c r="AA1750" s="25" t="n"/>
      <c r="AB1750" s="25" t="n"/>
      <c r="AC1750" s="195" t="n"/>
      <c r="AD1750" s="25" t="n"/>
      <c r="AE1750" s="25" t="n"/>
      <c r="AG1750" s="25" t="n"/>
      <c r="AH1750" s="25" t="n"/>
      <c r="AI1750" s="394" t="n"/>
      <c r="AM1750" s="48" t="n"/>
      <c r="AN1750" s="48" t="n"/>
      <c r="AO1750" s="48" t="n"/>
    </row>
    <row r="1751">
      <c r="M1751" s="25" t="n"/>
      <c r="Q1751" s="25" t="n"/>
      <c r="U1751" s="194" t="n"/>
      <c r="AA1751" s="25" t="n"/>
      <c r="AB1751" s="25" t="n"/>
      <c r="AC1751" s="195" t="n"/>
      <c r="AD1751" s="25" t="n"/>
      <c r="AE1751" s="25" t="n"/>
      <c r="AG1751" s="25" t="n"/>
      <c r="AH1751" s="25" t="n"/>
      <c r="AI1751" s="394" t="n"/>
      <c r="AM1751" s="48" t="n"/>
      <c r="AN1751" s="48" t="n"/>
      <c r="AO1751" s="48" t="n"/>
    </row>
    <row r="1752">
      <c r="M1752" s="25" t="n"/>
      <c r="Q1752" s="25" t="n"/>
      <c r="U1752" s="194" t="n"/>
      <c r="AA1752" s="25" t="n"/>
      <c r="AB1752" s="25" t="n"/>
      <c r="AC1752" s="195" t="n"/>
      <c r="AD1752" s="25" t="n"/>
      <c r="AE1752" s="25" t="n"/>
      <c r="AG1752" s="25" t="n"/>
      <c r="AH1752" s="25" t="n"/>
      <c r="AI1752" s="394" t="n"/>
      <c r="AM1752" s="48" t="n"/>
      <c r="AN1752" s="48" t="n"/>
      <c r="AO1752" s="48" t="n"/>
    </row>
    <row r="1753">
      <c r="M1753" s="25" t="n"/>
      <c r="Q1753" s="25" t="n"/>
      <c r="U1753" s="194" t="n"/>
      <c r="AA1753" s="25" t="n"/>
      <c r="AB1753" s="25" t="n"/>
      <c r="AC1753" s="195" t="n"/>
      <c r="AD1753" s="25" t="n"/>
      <c r="AE1753" s="25" t="n"/>
      <c r="AG1753" s="25" t="n"/>
      <c r="AH1753" s="25" t="n"/>
      <c r="AI1753" s="394" t="n"/>
      <c r="AM1753" s="48" t="n"/>
      <c r="AN1753" s="48" t="n"/>
      <c r="AO1753" s="48" t="n"/>
    </row>
    <row r="1754">
      <c r="M1754" s="25" t="n"/>
      <c r="Q1754" s="25" t="n"/>
      <c r="U1754" s="194" t="n"/>
      <c r="AA1754" s="25" t="n"/>
      <c r="AB1754" s="25" t="n"/>
      <c r="AC1754" s="195" t="n"/>
      <c r="AD1754" s="25" t="n"/>
      <c r="AE1754" s="25" t="n"/>
      <c r="AG1754" s="25" t="n"/>
      <c r="AH1754" s="25" t="n"/>
      <c r="AI1754" s="394" t="n"/>
      <c r="AM1754" s="48" t="n"/>
      <c r="AN1754" s="48" t="n"/>
      <c r="AO1754" s="48" t="n"/>
    </row>
    <row r="1755">
      <c r="M1755" s="25" t="n"/>
      <c r="Q1755" s="25" t="n"/>
      <c r="U1755" s="194" t="n"/>
      <c r="AA1755" s="25" t="n"/>
      <c r="AB1755" s="25" t="n"/>
      <c r="AC1755" s="195" t="n"/>
      <c r="AD1755" s="25" t="n"/>
      <c r="AE1755" s="25" t="n"/>
      <c r="AG1755" s="25" t="n"/>
      <c r="AH1755" s="25" t="n"/>
      <c r="AI1755" s="394" t="n"/>
      <c r="AM1755" s="48" t="n"/>
      <c r="AN1755" s="48" t="n"/>
      <c r="AO1755" s="48" t="n"/>
    </row>
    <row r="1756">
      <c r="M1756" s="25" t="n"/>
      <c r="Q1756" s="25" t="n"/>
      <c r="U1756" s="194" t="n"/>
      <c r="AA1756" s="25" t="n"/>
      <c r="AB1756" s="25" t="n"/>
      <c r="AC1756" s="195" t="n"/>
      <c r="AD1756" s="25" t="n"/>
      <c r="AE1756" s="25" t="n"/>
      <c r="AG1756" s="25" t="n"/>
      <c r="AH1756" s="25" t="n"/>
      <c r="AI1756" s="394" t="n"/>
      <c r="AM1756" s="48" t="n"/>
      <c r="AN1756" s="48" t="n"/>
      <c r="AO1756" s="48" t="n"/>
    </row>
    <row r="1757">
      <c r="M1757" s="25" t="n"/>
      <c r="Q1757" s="25" t="n"/>
      <c r="U1757" s="194" t="n"/>
      <c r="AA1757" s="25" t="n"/>
      <c r="AB1757" s="25" t="n"/>
      <c r="AC1757" s="195" t="n"/>
      <c r="AD1757" s="25" t="n"/>
      <c r="AE1757" s="25" t="n"/>
      <c r="AG1757" s="25" t="n"/>
      <c r="AH1757" s="25" t="n"/>
      <c r="AI1757" s="394" t="n"/>
      <c r="AM1757" s="48" t="n"/>
      <c r="AN1757" s="48" t="n"/>
      <c r="AO1757" s="48" t="n"/>
    </row>
    <row r="1758">
      <c r="M1758" s="25" t="n"/>
      <c r="Q1758" s="25" t="n"/>
      <c r="U1758" s="194" t="n"/>
      <c r="AA1758" s="25" t="n"/>
      <c r="AB1758" s="25" t="n"/>
      <c r="AC1758" s="195" t="n"/>
      <c r="AD1758" s="25" t="n"/>
      <c r="AE1758" s="25" t="n"/>
      <c r="AG1758" s="25" t="n"/>
      <c r="AH1758" s="25" t="n"/>
      <c r="AI1758" s="394" t="n"/>
      <c r="AM1758" s="48" t="n"/>
      <c r="AN1758" s="48" t="n"/>
      <c r="AO1758" s="48" t="n"/>
    </row>
    <row r="1759">
      <c r="M1759" s="25" t="n"/>
      <c r="Q1759" s="25" t="n"/>
      <c r="U1759" s="194" t="n"/>
      <c r="AA1759" s="25" t="n"/>
      <c r="AB1759" s="25" t="n"/>
      <c r="AC1759" s="195" t="n"/>
      <c r="AD1759" s="25" t="n"/>
      <c r="AE1759" s="25" t="n"/>
      <c r="AG1759" s="25" t="n"/>
      <c r="AH1759" s="25" t="n"/>
      <c r="AI1759" s="394" t="n"/>
      <c r="AM1759" s="48" t="n"/>
      <c r="AN1759" s="48" t="n"/>
      <c r="AO1759" s="48" t="n"/>
    </row>
    <row r="1760">
      <c r="M1760" s="25" t="n"/>
      <c r="Q1760" s="25" t="n"/>
      <c r="U1760" s="194" t="n"/>
      <c r="AA1760" s="25" t="n"/>
      <c r="AB1760" s="25" t="n"/>
      <c r="AC1760" s="195" t="n"/>
      <c r="AD1760" s="25" t="n"/>
      <c r="AE1760" s="25" t="n"/>
      <c r="AG1760" s="25" t="n"/>
      <c r="AH1760" s="25" t="n"/>
      <c r="AI1760" s="394" t="n"/>
      <c r="AM1760" s="48" t="n"/>
      <c r="AN1760" s="48" t="n"/>
      <c r="AO1760" s="48" t="n"/>
    </row>
    <row r="1761">
      <c r="M1761" s="25" t="n"/>
      <c r="Q1761" s="25" t="n"/>
      <c r="U1761" s="194" t="n"/>
      <c r="AA1761" s="25" t="n"/>
      <c r="AB1761" s="25" t="n"/>
      <c r="AC1761" s="195" t="n"/>
      <c r="AD1761" s="25" t="n"/>
      <c r="AE1761" s="25" t="n"/>
      <c r="AG1761" s="25" t="n"/>
      <c r="AH1761" s="25" t="n"/>
      <c r="AI1761" s="394" t="n"/>
      <c r="AM1761" s="48" t="n"/>
      <c r="AN1761" s="48" t="n"/>
      <c r="AO1761" s="48" t="n"/>
    </row>
    <row r="1762">
      <c r="M1762" s="25" t="n"/>
      <c r="Q1762" s="25" t="n"/>
      <c r="U1762" s="194" t="n"/>
      <c r="AA1762" s="25" t="n"/>
      <c r="AB1762" s="25" t="n"/>
      <c r="AC1762" s="195" t="n"/>
      <c r="AD1762" s="25" t="n"/>
      <c r="AE1762" s="25" t="n"/>
      <c r="AG1762" s="25" t="n"/>
      <c r="AH1762" s="25" t="n"/>
      <c r="AI1762" s="394" t="n"/>
      <c r="AM1762" s="48" t="n"/>
      <c r="AN1762" s="48" t="n"/>
      <c r="AO1762" s="48" t="n"/>
    </row>
    <row r="1763">
      <c r="M1763" s="25" t="n"/>
      <c r="Q1763" s="25" t="n"/>
      <c r="U1763" s="194" t="n"/>
      <c r="AA1763" s="25" t="n"/>
      <c r="AB1763" s="25" t="n"/>
      <c r="AC1763" s="195" t="n"/>
      <c r="AD1763" s="25" t="n"/>
      <c r="AE1763" s="25" t="n"/>
      <c r="AG1763" s="25" t="n"/>
      <c r="AH1763" s="25" t="n"/>
      <c r="AI1763" s="394" t="n"/>
      <c r="AM1763" s="48" t="n"/>
      <c r="AN1763" s="48" t="n"/>
      <c r="AO1763" s="48" t="n"/>
    </row>
    <row r="1764">
      <c r="M1764" s="25" t="n"/>
      <c r="Q1764" s="25" t="n"/>
      <c r="U1764" s="194" t="n"/>
      <c r="AA1764" s="25" t="n"/>
      <c r="AB1764" s="25" t="n"/>
      <c r="AC1764" s="195" t="n"/>
      <c r="AD1764" s="25" t="n"/>
      <c r="AE1764" s="25" t="n"/>
      <c r="AG1764" s="25" t="n"/>
      <c r="AH1764" s="25" t="n"/>
      <c r="AI1764" s="394" t="n"/>
      <c r="AM1764" s="48" t="n"/>
      <c r="AN1764" s="48" t="n"/>
      <c r="AO1764" s="48" t="n"/>
    </row>
    <row r="1765">
      <c r="M1765" s="25" t="n"/>
      <c r="Q1765" s="25" t="n"/>
      <c r="U1765" s="194" t="n"/>
      <c r="AA1765" s="25" t="n"/>
      <c r="AB1765" s="25" t="n"/>
      <c r="AC1765" s="195" t="n"/>
      <c r="AD1765" s="25" t="n"/>
      <c r="AE1765" s="25" t="n"/>
      <c r="AG1765" s="25" t="n"/>
      <c r="AH1765" s="25" t="n"/>
      <c r="AI1765" s="394" t="n"/>
      <c r="AM1765" s="48" t="n"/>
      <c r="AN1765" s="48" t="n"/>
      <c r="AO1765" s="48" t="n"/>
    </row>
    <row r="1766">
      <c r="M1766" s="25" t="n"/>
      <c r="Q1766" s="25" t="n"/>
      <c r="U1766" s="194" t="n"/>
      <c r="AA1766" s="25" t="n"/>
      <c r="AB1766" s="25" t="n"/>
      <c r="AC1766" s="195" t="n"/>
      <c r="AD1766" s="25" t="n"/>
      <c r="AE1766" s="25" t="n"/>
      <c r="AG1766" s="25" t="n"/>
      <c r="AH1766" s="25" t="n"/>
      <c r="AI1766" s="394" t="n"/>
      <c r="AM1766" s="48" t="n"/>
      <c r="AN1766" s="48" t="n"/>
      <c r="AO1766" s="48" t="n"/>
    </row>
    <row r="1767">
      <c r="M1767" s="25" t="n"/>
      <c r="Q1767" s="25" t="n"/>
      <c r="U1767" s="194" t="n"/>
      <c r="AA1767" s="25" t="n"/>
      <c r="AB1767" s="25" t="n"/>
      <c r="AC1767" s="195" t="n"/>
      <c r="AD1767" s="25" t="n"/>
      <c r="AE1767" s="25" t="n"/>
      <c r="AG1767" s="25" t="n"/>
      <c r="AH1767" s="25" t="n"/>
      <c r="AI1767" s="394" t="n"/>
      <c r="AM1767" s="48" t="n"/>
      <c r="AN1767" s="48" t="n"/>
      <c r="AO1767" s="48" t="n"/>
    </row>
    <row r="1768">
      <c r="M1768" s="25" t="n"/>
      <c r="Q1768" s="25" t="n"/>
      <c r="U1768" s="194" t="n"/>
      <c r="AA1768" s="25" t="n"/>
      <c r="AB1768" s="25" t="n"/>
      <c r="AC1768" s="195" t="n"/>
      <c r="AD1768" s="25" t="n"/>
      <c r="AE1768" s="25" t="n"/>
      <c r="AG1768" s="25" t="n"/>
      <c r="AH1768" s="25" t="n"/>
      <c r="AI1768" s="394" t="n"/>
      <c r="AM1768" s="48" t="n"/>
      <c r="AN1768" s="48" t="n"/>
      <c r="AO1768" s="48" t="n"/>
    </row>
    <row r="1769">
      <c r="M1769" s="25" t="n"/>
      <c r="Q1769" s="25" t="n"/>
      <c r="U1769" s="194" t="n"/>
      <c r="AA1769" s="25" t="n"/>
      <c r="AB1769" s="25" t="n"/>
      <c r="AC1769" s="195" t="n"/>
      <c r="AD1769" s="25" t="n"/>
      <c r="AE1769" s="25" t="n"/>
      <c r="AG1769" s="25" t="n"/>
      <c r="AH1769" s="25" t="n"/>
      <c r="AI1769" s="394" t="n"/>
      <c r="AM1769" s="48" t="n"/>
      <c r="AN1769" s="48" t="n"/>
      <c r="AO1769" s="48" t="n"/>
    </row>
    <row r="1770">
      <c r="M1770" s="25" t="n"/>
      <c r="Q1770" s="25" t="n"/>
      <c r="U1770" s="194" t="n"/>
      <c r="AA1770" s="25" t="n"/>
      <c r="AB1770" s="25" t="n"/>
      <c r="AC1770" s="195" t="n"/>
      <c r="AD1770" s="25" t="n"/>
      <c r="AE1770" s="25" t="n"/>
      <c r="AG1770" s="25" t="n"/>
      <c r="AH1770" s="25" t="n"/>
      <c r="AI1770" s="394" t="n"/>
      <c r="AM1770" s="48" t="n"/>
      <c r="AN1770" s="48" t="n"/>
      <c r="AO1770" s="48" t="n"/>
    </row>
    <row r="1771">
      <c r="M1771" s="25" t="n"/>
      <c r="Q1771" s="25" t="n"/>
      <c r="U1771" s="194" t="n"/>
      <c r="AA1771" s="25" t="n"/>
      <c r="AB1771" s="25" t="n"/>
      <c r="AC1771" s="195" t="n"/>
      <c r="AD1771" s="25" t="n"/>
      <c r="AE1771" s="25" t="n"/>
      <c r="AG1771" s="25" t="n"/>
      <c r="AH1771" s="25" t="n"/>
      <c r="AI1771" s="394" t="n"/>
      <c r="AM1771" s="48" t="n"/>
      <c r="AN1771" s="48" t="n"/>
      <c r="AO1771" s="48" t="n"/>
    </row>
    <row r="1772">
      <c r="M1772" s="25" t="n"/>
      <c r="Q1772" s="25" t="n"/>
      <c r="U1772" s="194" t="n"/>
      <c r="AA1772" s="25" t="n"/>
      <c r="AB1772" s="25" t="n"/>
      <c r="AC1772" s="195" t="n"/>
      <c r="AD1772" s="25" t="n"/>
      <c r="AE1772" s="25" t="n"/>
      <c r="AG1772" s="25" t="n"/>
      <c r="AH1772" s="25" t="n"/>
      <c r="AI1772" s="394" t="n"/>
      <c r="AM1772" s="48" t="n"/>
      <c r="AN1772" s="48" t="n"/>
      <c r="AO1772" s="48" t="n"/>
    </row>
    <row r="1773">
      <c r="M1773" s="25" t="n"/>
      <c r="Q1773" s="25" t="n"/>
      <c r="U1773" s="194" t="n"/>
      <c r="AA1773" s="25" t="n"/>
      <c r="AB1773" s="25" t="n"/>
      <c r="AC1773" s="195" t="n"/>
      <c r="AD1773" s="25" t="n"/>
      <c r="AE1773" s="25" t="n"/>
      <c r="AG1773" s="25" t="n"/>
      <c r="AH1773" s="25" t="n"/>
      <c r="AI1773" s="394" t="n"/>
      <c r="AM1773" s="48" t="n"/>
      <c r="AN1773" s="48" t="n"/>
      <c r="AO1773" s="48" t="n"/>
    </row>
    <row r="1774">
      <c r="M1774" s="25" t="n"/>
      <c r="Q1774" s="25" t="n"/>
      <c r="U1774" s="194" t="n"/>
      <c r="AA1774" s="25" t="n"/>
      <c r="AB1774" s="25" t="n"/>
      <c r="AC1774" s="195" t="n"/>
      <c r="AD1774" s="25" t="n"/>
      <c r="AE1774" s="25" t="n"/>
      <c r="AG1774" s="25" t="n"/>
      <c r="AH1774" s="25" t="n"/>
      <c r="AI1774" s="394" t="n"/>
      <c r="AM1774" s="48" t="n"/>
      <c r="AN1774" s="48" t="n"/>
      <c r="AO1774" s="48" t="n"/>
    </row>
    <row r="1775">
      <c r="M1775" s="25" t="n"/>
      <c r="Q1775" s="25" t="n"/>
      <c r="U1775" s="194" t="n"/>
      <c r="AA1775" s="25" t="n"/>
      <c r="AB1775" s="25" t="n"/>
      <c r="AC1775" s="195" t="n"/>
      <c r="AD1775" s="25" t="n"/>
      <c r="AE1775" s="25" t="n"/>
      <c r="AG1775" s="25" t="n"/>
      <c r="AH1775" s="25" t="n"/>
      <c r="AI1775" s="394" t="n"/>
      <c r="AM1775" s="48" t="n"/>
      <c r="AN1775" s="48" t="n"/>
      <c r="AO1775" s="48" t="n"/>
    </row>
    <row r="1776">
      <c r="M1776" s="25" t="n"/>
      <c r="Q1776" s="25" t="n"/>
      <c r="U1776" s="194" t="n"/>
      <c r="AA1776" s="25" t="n"/>
      <c r="AB1776" s="25" t="n"/>
      <c r="AC1776" s="195" t="n"/>
      <c r="AD1776" s="25" t="n"/>
      <c r="AE1776" s="25" t="n"/>
      <c r="AG1776" s="25" t="n"/>
      <c r="AH1776" s="25" t="n"/>
      <c r="AI1776" s="394" t="n"/>
      <c r="AM1776" s="48" t="n"/>
      <c r="AN1776" s="48" t="n"/>
      <c r="AO1776" s="48" t="n"/>
    </row>
    <row r="1777">
      <c r="M1777" s="25" t="n"/>
      <c r="Q1777" s="25" t="n"/>
      <c r="U1777" s="194" t="n"/>
      <c r="AA1777" s="25" t="n"/>
      <c r="AB1777" s="25" t="n"/>
      <c r="AC1777" s="195" t="n"/>
      <c r="AD1777" s="25" t="n"/>
      <c r="AE1777" s="25" t="n"/>
      <c r="AG1777" s="25" t="n"/>
      <c r="AH1777" s="25" t="n"/>
      <c r="AI1777" s="394" t="n"/>
      <c r="AM1777" s="48" t="n"/>
      <c r="AN1777" s="48" t="n"/>
      <c r="AO1777" s="48" t="n"/>
    </row>
    <row r="1778">
      <c r="M1778" s="25" t="n"/>
      <c r="Q1778" s="25" t="n"/>
      <c r="U1778" s="194" t="n"/>
      <c r="AA1778" s="25" t="n"/>
      <c r="AB1778" s="25" t="n"/>
      <c r="AC1778" s="195" t="n"/>
      <c r="AD1778" s="25" t="n"/>
      <c r="AE1778" s="25" t="n"/>
      <c r="AG1778" s="25" t="n"/>
      <c r="AH1778" s="25" t="n"/>
      <c r="AI1778" s="394" t="n"/>
      <c r="AM1778" s="48" t="n"/>
      <c r="AN1778" s="48" t="n"/>
      <c r="AO1778" s="48" t="n"/>
    </row>
    <row r="1779">
      <c r="M1779" s="25" t="n"/>
      <c r="Q1779" s="25" t="n"/>
      <c r="U1779" s="194" t="n"/>
      <c r="AA1779" s="25" t="n"/>
      <c r="AB1779" s="25" t="n"/>
      <c r="AC1779" s="195" t="n"/>
      <c r="AD1779" s="25" t="n"/>
      <c r="AE1779" s="25" t="n"/>
      <c r="AG1779" s="25" t="n"/>
      <c r="AH1779" s="25" t="n"/>
      <c r="AI1779" s="394" t="n"/>
      <c r="AM1779" s="48" t="n"/>
      <c r="AN1779" s="48" t="n"/>
      <c r="AO1779" s="48" t="n"/>
    </row>
    <row r="1780">
      <c r="M1780" s="25" t="n"/>
      <c r="Q1780" s="25" t="n"/>
      <c r="U1780" s="194" t="n"/>
      <c r="AA1780" s="25" t="n"/>
      <c r="AB1780" s="25" t="n"/>
      <c r="AC1780" s="195" t="n"/>
      <c r="AD1780" s="25" t="n"/>
      <c r="AE1780" s="25" t="n"/>
      <c r="AG1780" s="25" t="n"/>
      <c r="AH1780" s="25" t="n"/>
      <c r="AI1780" s="394" t="n"/>
      <c r="AM1780" s="48" t="n"/>
      <c r="AN1780" s="48" t="n"/>
      <c r="AO1780" s="48" t="n"/>
    </row>
    <row r="1781">
      <c r="M1781" s="25" t="n"/>
      <c r="Q1781" s="25" t="n"/>
      <c r="U1781" s="194" t="n"/>
      <c r="AA1781" s="25" t="n"/>
      <c r="AB1781" s="25" t="n"/>
      <c r="AC1781" s="195" t="n"/>
      <c r="AD1781" s="25" t="n"/>
      <c r="AE1781" s="25" t="n"/>
      <c r="AG1781" s="25" t="n"/>
      <c r="AH1781" s="25" t="n"/>
      <c r="AI1781" s="394" t="n"/>
      <c r="AM1781" s="48" t="n"/>
      <c r="AN1781" s="48" t="n"/>
      <c r="AO1781" s="48" t="n"/>
    </row>
    <row r="1782">
      <c r="M1782" s="25" t="n"/>
      <c r="Q1782" s="25" t="n"/>
      <c r="U1782" s="194" t="n"/>
      <c r="AA1782" s="25" t="n"/>
      <c r="AB1782" s="25" t="n"/>
      <c r="AC1782" s="195" t="n"/>
      <c r="AD1782" s="25" t="n"/>
      <c r="AE1782" s="25" t="n"/>
      <c r="AG1782" s="25" t="n"/>
      <c r="AH1782" s="25" t="n"/>
      <c r="AI1782" s="394" t="n"/>
      <c r="AM1782" s="48" t="n"/>
      <c r="AN1782" s="48" t="n"/>
      <c r="AO1782" s="48" t="n"/>
    </row>
    <row r="1783">
      <c r="M1783" s="25" t="n"/>
      <c r="Q1783" s="25" t="n"/>
      <c r="U1783" s="194" t="n"/>
      <c r="AA1783" s="25" t="n"/>
      <c r="AB1783" s="25" t="n"/>
      <c r="AC1783" s="195" t="n"/>
      <c r="AD1783" s="25" t="n"/>
      <c r="AE1783" s="25" t="n"/>
      <c r="AG1783" s="25" t="n"/>
      <c r="AH1783" s="25" t="n"/>
      <c r="AI1783" s="394" t="n"/>
      <c r="AM1783" s="48" t="n"/>
      <c r="AN1783" s="48" t="n"/>
      <c r="AO1783" s="48" t="n"/>
    </row>
    <row r="1784">
      <c r="M1784" s="25" t="n"/>
      <c r="Q1784" s="25" t="n"/>
      <c r="U1784" s="194" t="n"/>
      <c r="AA1784" s="25" t="n"/>
      <c r="AB1784" s="25" t="n"/>
      <c r="AC1784" s="195" t="n"/>
      <c r="AD1784" s="25" t="n"/>
      <c r="AE1784" s="25" t="n"/>
      <c r="AG1784" s="25" t="n"/>
      <c r="AH1784" s="25" t="n"/>
      <c r="AI1784" s="394" t="n"/>
      <c r="AM1784" s="48" t="n"/>
      <c r="AN1784" s="48" t="n"/>
      <c r="AO1784" s="48" t="n"/>
    </row>
    <row r="1785">
      <c r="M1785" s="25" t="n"/>
      <c r="Q1785" s="25" t="n"/>
      <c r="U1785" s="194" t="n"/>
      <c r="AA1785" s="25" t="n"/>
      <c r="AB1785" s="25" t="n"/>
      <c r="AC1785" s="195" t="n"/>
      <c r="AD1785" s="25" t="n"/>
      <c r="AE1785" s="25" t="n"/>
      <c r="AG1785" s="25" t="n"/>
      <c r="AH1785" s="25" t="n"/>
      <c r="AI1785" s="394" t="n"/>
      <c r="AM1785" s="48" t="n"/>
      <c r="AN1785" s="48" t="n"/>
      <c r="AO1785" s="48" t="n"/>
    </row>
    <row r="1786">
      <c r="M1786" s="25" t="n"/>
      <c r="Q1786" s="25" t="n"/>
      <c r="U1786" s="194" t="n"/>
      <c r="AA1786" s="25" t="n"/>
      <c r="AB1786" s="25" t="n"/>
      <c r="AC1786" s="195" t="n"/>
      <c r="AD1786" s="25" t="n"/>
      <c r="AE1786" s="25" t="n"/>
      <c r="AG1786" s="25" t="n"/>
      <c r="AH1786" s="25" t="n"/>
      <c r="AI1786" s="394" t="n"/>
      <c r="AM1786" s="48" t="n"/>
      <c r="AN1786" s="48" t="n"/>
      <c r="AO1786" s="48" t="n"/>
    </row>
    <row r="1787">
      <c r="M1787" s="25" t="n"/>
      <c r="Q1787" s="25" t="n"/>
      <c r="U1787" s="194" t="n"/>
      <c r="AA1787" s="25" t="n"/>
      <c r="AB1787" s="25" t="n"/>
      <c r="AC1787" s="195" t="n"/>
      <c r="AD1787" s="25" t="n"/>
      <c r="AE1787" s="25" t="n"/>
      <c r="AG1787" s="25" t="n"/>
      <c r="AH1787" s="25" t="n"/>
      <c r="AI1787" s="394" t="n"/>
      <c r="AM1787" s="48" t="n"/>
      <c r="AN1787" s="48" t="n"/>
      <c r="AO1787" s="48" t="n"/>
    </row>
    <row r="1788">
      <c r="M1788" s="25" t="n"/>
      <c r="Q1788" s="25" t="n"/>
      <c r="U1788" s="194" t="n"/>
      <c r="AA1788" s="25" t="n"/>
      <c r="AB1788" s="25" t="n"/>
      <c r="AC1788" s="195" t="n"/>
      <c r="AD1788" s="25" t="n"/>
      <c r="AE1788" s="25" t="n"/>
      <c r="AG1788" s="25" t="n"/>
      <c r="AH1788" s="25" t="n"/>
      <c r="AI1788" s="394" t="n"/>
      <c r="AM1788" s="48" t="n"/>
      <c r="AN1788" s="48" t="n"/>
      <c r="AO1788" s="48" t="n"/>
    </row>
    <row r="1789">
      <c r="M1789" s="25" t="n"/>
      <c r="Q1789" s="25" t="n"/>
      <c r="U1789" s="194" t="n"/>
      <c r="AA1789" s="25" t="n"/>
      <c r="AB1789" s="25" t="n"/>
      <c r="AC1789" s="195" t="n"/>
      <c r="AD1789" s="25" t="n"/>
      <c r="AE1789" s="25" t="n"/>
      <c r="AG1789" s="25" t="n"/>
      <c r="AH1789" s="25" t="n"/>
      <c r="AI1789" s="394" t="n"/>
      <c r="AM1789" s="48" t="n"/>
      <c r="AN1789" s="48" t="n"/>
      <c r="AO1789" s="48" t="n"/>
    </row>
    <row r="1790">
      <c r="M1790" s="25" t="n"/>
      <c r="Q1790" s="25" t="n"/>
      <c r="U1790" s="194" t="n"/>
      <c r="AA1790" s="25" t="n"/>
      <c r="AB1790" s="25" t="n"/>
      <c r="AC1790" s="195" t="n"/>
      <c r="AD1790" s="25" t="n"/>
      <c r="AE1790" s="25" t="n"/>
      <c r="AG1790" s="25" t="n"/>
      <c r="AH1790" s="25" t="n"/>
      <c r="AI1790" s="394" t="n"/>
      <c r="AM1790" s="48" t="n"/>
      <c r="AN1790" s="48" t="n"/>
      <c r="AO1790" s="48" t="n"/>
    </row>
    <row r="1791">
      <c r="M1791" s="25" t="n"/>
      <c r="Q1791" s="25" t="n"/>
      <c r="U1791" s="194" t="n"/>
      <c r="AA1791" s="25" t="n"/>
      <c r="AB1791" s="25" t="n"/>
      <c r="AC1791" s="195" t="n"/>
      <c r="AD1791" s="25" t="n"/>
      <c r="AE1791" s="25" t="n"/>
      <c r="AG1791" s="25" t="n"/>
      <c r="AH1791" s="25" t="n"/>
      <c r="AI1791" s="394" t="n"/>
      <c r="AM1791" s="48" t="n"/>
      <c r="AN1791" s="48" t="n"/>
      <c r="AO1791" s="48" t="n"/>
    </row>
    <row r="1792">
      <c r="M1792" s="25" t="n"/>
      <c r="Q1792" s="25" t="n"/>
      <c r="U1792" s="194" t="n"/>
      <c r="AA1792" s="25" t="n"/>
      <c r="AB1792" s="25" t="n"/>
      <c r="AC1792" s="195" t="n"/>
      <c r="AD1792" s="25" t="n"/>
      <c r="AE1792" s="25" t="n"/>
      <c r="AG1792" s="25" t="n"/>
      <c r="AH1792" s="25" t="n"/>
      <c r="AI1792" s="394" t="n"/>
      <c r="AM1792" s="48" t="n"/>
      <c r="AN1792" s="48" t="n"/>
      <c r="AO1792" s="48" t="n"/>
    </row>
    <row r="1793">
      <c r="M1793" s="25" t="n"/>
      <c r="Q1793" s="25" t="n"/>
      <c r="U1793" s="194" t="n"/>
      <c r="AA1793" s="25" t="n"/>
      <c r="AB1793" s="25" t="n"/>
      <c r="AC1793" s="195" t="n"/>
      <c r="AD1793" s="25" t="n"/>
      <c r="AE1793" s="25" t="n"/>
      <c r="AG1793" s="25" t="n"/>
      <c r="AH1793" s="25" t="n"/>
      <c r="AI1793" s="394" t="n"/>
      <c r="AM1793" s="48" t="n"/>
      <c r="AN1793" s="48" t="n"/>
      <c r="AO1793" s="48" t="n"/>
    </row>
    <row r="1794">
      <c r="M1794" s="25" t="n"/>
      <c r="Q1794" s="25" t="n"/>
      <c r="U1794" s="194" t="n"/>
      <c r="AA1794" s="25" t="n"/>
      <c r="AB1794" s="25" t="n"/>
      <c r="AC1794" s="195" t="n"/>
      <c r="AD1794" s="25" t="n"/>
      <c r="AE1794" s="25" t="n"/>
      <c r="AG1794" s="25" t="n"/>
      <c r="AH1794" s="25" t="n"/>
      <c r="AI1794" s="394" t="n"/>
      <c r="AM1794" s="48" t="n"/>
      <c r="AN1794" s="48" t="n"/>
      <c r="AO1794" s="48" t="n"/>
    </row>
    <row r="1795">
      <c r="M1795" s="25" t="n"/>
      <c r="Q1795" s="25" t="n"/>
      <c r="U1795" s="194" t="n"/>
      <c r="AA1795" s="25" t="n"/>
      <c r="AB1795" s="25" t="n"/>
      <c r="AC1795" s="195" t="n"/>
      <c r="AD1795" s="25" t="n"/>
      <c r="AE1795" s="25" t="n"/>
      <c r="AG1795" s="25" t="n"/>
      <c r="AH1795" s="25" t="n"/>
      <c r="AI1795" s="394" t="n"/>
      <c r="AM1795" s="48" t="n"/>
      <c r="AN1795" s="48" t="n"/>
      <c r="AO1795" s="48" t="n"/>
    </row>
    <row r="1796">
      <c r="M1796" s="25" t="n"/>
      <c r="Q1796" s="25" t="n"/>
      <c r="U1796" s="194" t="n"/>
      <c r="AA1796" s="25" t="n"/>
      <c r="AB1796" s="25" t="n"/>
      <c r="AC1796" s="195" t="n"/>
      <c r="AD1796" s="25" t="n"/>
      <c r="AE1796" s="25" t="n"/>
      <c r="AG1796" s="25" t="n"/>
      <c r="AH1796" s="25" t="n"/>
      <c r="AI1796" s="394" t="n"/>
      <c r="AM1796" s="48" t="n"/>
      <c r="AN1796" s="48" t="n"/>
      <c r="AO1796" s="48" t="n"/>
    </row>
    <row r="1797">
      <c r="M1797" s="25" t="n"/>
      <c r="Q1797" s="25" t="n"/>
      <c r="U1797" s="194" t="n"/>
      <c r="AA1797" s="25" t="n"/>
      <c r="AB1797" s="25" t="n"/>
      <c r="AC1797" s="195" t="n"/>
      <c r="AD1797" s="25" t="n"/>
      <c r="AE1797" s="25" t="n"/>
      <c r="AG1797" s="25" t="n"/>
      <c r="AH1797" s="25" t="n"/>
      <c r="AI1797" s="394" t="n"/>
      <c r="AM1797" s="48" t="n"/>
      <c r="AN1797" s="48" t="n"/>
      <c r="AO1797" s="48" t="n"/>
    </row>
    <row r="1798">
      <c r="M1798" s="25" t="n"/>
      <c r="Q1798" s="25" t="n"/>
      <c r="U1798" s="194" t="n"/>
      <c r="AA1798" s="25" t="n"/>
      <c r="AB1798" s="25" t="n"/>
      <c r="AC1798" s="195" t="n"/>
      <c r="AD1798" s="25" t="n"/>
      <c r="AE1798" s="25" t="n"/>
      <c r="AG1798" s="25" t="n"/>
      <c r="AH1798" s="25" t="n"/>
      <c r="AI1798" s="394" t="n"/>
      <c r="AM1798" s="48" t="n"/>
      <c r="AN1798" s="48" t="n"/>
      <c r="AO1798" s="48" t="n"/>
    </row>
    <row r="1799">
      <c r="M1799" s="25" t="n"/>
      <c r="Q1799" s="25" t="n"/>
      <c r="U1799" s="194" t="n"/>
      <c r="AA1799" s="25" t="n"/>
      <c r="AB1799" s="25" t="n"/>
      <c r="AC1799" s="195" t="n"/>
      <c r="AD1799" s="25" t="n"/>
      <c r="AE1799" s="25" t="n"/>
      <c r="AG1799" s="25" t="n"/>
      <c r="AH1799" s="25" t="n"/>
      <c r="AI1799" s="394" t="n"/>
      <c r="AM1799" s="48" t="n"/>
      <c r="AN1799" s="48" t="n"/>
      <c r="AO1799" s="48" t="n"/>
    </row>
    <row r="1800">
      <c r="M1800" s="25" t="n"/>
      <c r="Q1800" s="25" t="n"/>
      <c r="U1800" s="194" t="n"/>
      <c r="AA1800" s="25" t="n"/>
      <c r="AB1800" s="25" t="n"/>
      <c r="AC1800" s="195" t="n"/>
      <c r="AD1800" s="25" t="n"/>
      <c r="AE1800" s="25" t="n"/>
      <c r="AG1800" s="25" t="n"/>
      <c r="AH1800" s="25" t="n"/>
      <c r="AI1800" s="394" t="n"/>
      <c r="AM1800" s="48" t="n"/>
      <c r="AN1800" s="48" t="n"/>
      <c r="AO1800" s="48" t="n"/>
    </row>
    <row r="1801">
      <c r="M1801" s="25" t="n"/>
      <c r="Q1801" s="25" t="n"/>
      <c r="U1801" s="194" t="n"/>
      <c r="AA1801" s="25" t="n"/>
      <c r="AB1801" s="25" t="n"/>
      <c r="AC1801" s="195" t="n"/>
      <c r="AD1801" s="25" t="n"/>
      <c r="AE1801" s="25" t="n"/>
      <c r="AG1801" s="25" t="n"/>
      <c r="AH1801" s="25" t="n"/>
      <c r="AI1801" s="394" t="n"/>
      <c r="AM1801" s="48" t="n"/>
      <c r="AN1801" s="48" t="n"/>
      <c r="AO1801" s="48" t="n"/>
    </row>
    <row r="1802">
      <c r="M1802" s="25" t="n"/>
      <c r="Q1802" s="25" t="n"/>
      <c r="U1802" s="194" t="n"/>
      <c r="AA1802" s="25" t="n"/>
      <c r="AB1802" s="25" t="n"/>
      <c r="AC1802" s="195" t="n"/>
      <c r="AD1802" s="25" t="n"/>
      <c r="AE1802" s="25" t="n"/>
      <c r="AG1802" s="25" t="n"/>
      <c r="AH1802" s="25" t="n"/>
      <c r="AI1802" s="394" t="n"/>
      <c r="AM1802" s="48" t="n"/>
      <c r="AN1802" s="48" t="n"/>
      <c r="AO1802" s="48" t="n"/>
    </row>
    <row r="1803">
      <c r="M1803" s="25" t="n"/>
      <c r="Q1803" s="25" t="n"/>
      <c r="U1803" s="194" t="n"/>
      <c r="AA1803" s="25" t="n"/>
      <c r="AB1803" s="25" t="n"/>
      <c r="AC1803" s="195" t="n"/>
      <c r="AD1803" s="25" t="n"/>
      <c r="AE1803" s="25" t="n"/>
      <c r="AG1803" s="25" t="n"/>
      <c r="AH1803" s="25" t="n"/>
      <c r="AI1803" s="394" t="n"/>
      <c r="AM1803" s="48" t="n"/>
      <c r="AN1803" s="48" t="n"/>
      <c r="AO1803" s="48" t="n"/>
    </row>
    <row r="1804">
      <c r="M1804" s="25" t="n"/>
      <c r="Q1804" s="25" t="n"/>
      <c r="U1804" s="194" t="n"/>
      <c r="AA1804" s="25" t="n"/>
      <c r="AB1804" s="25" t="n"/>
      <c r="AC1804" s="195" t="n"/>
      <c r="AD1804" s="25" t="n"/>
      <c r="AE1804" s="25" t="n"/>
      <c r="AG1804" s="25" t="n"/>
      <c r="AH1804" s="25" t="n"/>
      <c r="AI1804" s="394" t="n"/>
      <c r="AM1804" s="48" t="n"/>
      <c r="AN1804" s="48" t="n"/>
      <c r="AO1804" s="48" t="n"/>
    </row>
    <row r="1805">
      <c r="M1805" s="25" t="n"/>
      <c r="Q1805" s="25" t="n"/>
      <c r="U1805" s="194" t="n"/>
      <c r="AA1805" s="25" t="n"/>
      <c r="AB1805" s="25" t="n"/>
      <c r="AC1805" s="195" t="n"/>
      <c r="AD1805" s="25" t="n"/>
      <c r="AE1805" s="25" t="n"/>
      <c r="AG1805" s="25" t="n"/>
      <c r="AH1805" s="25" t="n"/>
      <c r="AI1805" s="394" t="n"/>
      <c r="AM1805" s="48" t="n"/>
      <c r="AN1805" s="48" t="n"/>
      <c r="AO1805" s="48" t="n"/>
    </row>
    <row r="1806">
      <c r="M1806" s="25" t="n"/>
      <c r="Q1806" s="25" t="n"/>
      <c r="U1806" s="194" t="n"/>
      <c r="AA1806" s="25" t="n"/>
      <c r="AB1806" s="25" t="n"/>
      <c r="AC1806" s="195" t="n"/>
      <c r="AD1806" s="25" t="n"/>
      <c r="AE1806" s="25" t="n"/>
      <c r="AG1806" s="25" t="n"/>
      <c r="AH1806" s="25" t="n"/>
      <c r="AI1806" s="394" t="n"/>
      <c r="AM1806" s="48" t="n"/>
      <c r="AN1806" s="48" t="n"/>
      <c r="AO1806" s="48" t="n"/>
    </row>
    <row r="1807">
      <c r="M1807" s="25" t="n"/>
      <c r="Q1807" s="25" t="n"/>
      <c r="U1807" s="194" t="n"/>
      <c r="AA1807" s="25" t="n"/>
      <c r="AB1807" s="25" t="n"/>
      <c r="AC1807" s="195" t="n"/>
      <c r="AD1807" s="25" t="n"/>
      <c r="AE1807" s="25" t="n"/>
      <c r="AG1807" s="25" t="n"/>
      <c r="AH1807" s="25" t="n"/>
      <c r="AI1807" s="394" t="n"/>
      <c r="AM1807" s="48" t="n"/>
      <c r="AN1807" s="48" t="n"/>
      <c r="AO1807" s="48" t="n"/>
    </row>
    <row r="1808">
      <c r="M1808" s="25" t="n"/>
      <c r="Q1808" s="25" t="n"/>
      <c r="U1808" s="194" t="n"/>
      <c r="AA1808" s="25" t="n"/>
      <c r="AB1808" s="25" t="n"/>
      <c r="AC1808" s="195" t="n"/>
      <c r="AD1808" s="25" t="n"/>
      <c r="AE1808" s="25" t="n"/>
      <c r="AG1808" s="25" t="n"/>
      <c r="AH1808" s="25" t="n"/>
      <c r="AI1808" s="394" t="n"/>
      <c r="AM1808" s="48" t="n"/>
      <c r="AN1808" s="48" t="n"/>
      <c r="AO1808" s="48" t="n"/>
    </row>
    <row r="1809">
      <c r="M1809" s="25" t="n"/>
      <c r="Q1809" s="25" t="n"/>
      <c r="U1809" s="194" t="n"/>
      <c r="AA1809" s="25" t="n"/>
      <c r="AB1809" s="25" t="n"/>
      <c r="AC1809" s="195" t="n"/>
      <c r="AD1809" s="25" t="n"/>
      <c r="AE1809" s="25" t="n"/>
      <c r="AG1809" s="25" t="n"/>
      <c r="AH1809" s="25" t="n"/>
      <c r="AI1809" s="394" t="n"/>
      <c r="AM1809" s="48" t="n"/>
      <c r="AN1809" s="48" t="n"/>
      <c r="AO1809" s="48" t="n"/>
    </row>
    <row r="1810">
      <c r="M1810" s="25" t="n"/>
      <c r="Q1810" s="25" t="n"/>
      <c r="U1810" s="194" t="n"/>
      <c r="AA1810" s="25" t="n"/>
      <c r="AB1810" s="25" t="n"/>
      <c r="AC1810" s="195" t="n"/>
      <c r="AD1810" s="25" t="n"/>
      <c r="AE1810" s="25" t="n"/>
      <c r="AG1810" s="25" t="n"/>
      <c r="AH1810" s="25" t="n"/>
      <c r="AI1810" s="394" t="n"/>
      <c r="AM1810" s="48" t="n"/>
      <c r="AN1810" s="48" t="n"/>
      <c r="AO1810" s="48" t="n"/>
    </row>
    <row r="1811">
      <c r="M1811" s="25" t="n"/>
      <c r="Q1811" s="25" t="n"/>
      <c r="U1811" s="194" t="n"/>
      <c r="AA1811" s="25" t="n"/>
      <c r="AB1811" s="25" t="n"/>
      <c r="AC1811" s="195" t="n"/>
      <c r="AD1811" s="25" t="n"/>
      <c r="AE1811" s="25" t="n"/>
      <c r="AG1811" s="25" t="n"/>
      <c r="AH1811" s="25" t="n"/>
      <c r="AI1811" s="394" t="n"/>
      <c r="AM1811" s="48" t="n"/>
      <c r="AN1811" s="48" t="n"/>
      <c r="AO1811" s="48" t="n"/>
    </row>
    <row r="1812">
      <c r="M1812" s="25" t="n"/>
      <c r="Q1812" s="25" t="n"/>
      <c r="U1812" s="194" t="n"/>
      <c r="AA1812" s="25" t="n"/>
      <c r="AB1812" s="25" t="n"/>
      <c r="AC1812" s="195" t="n"/>
      <c r="AD1812" s="25" t="n"/>
      <c r="AE1812" s="25" t="n"/>
      <c r="AG1812" s="25" t="n"/>
      <c r="AH1812" s="25" t="n"/>
      <c r="AI1812" s="394" t="n"/>
      <c r="AM1812" s="48" t="n"/>
      <c r="AN1812" s="48" t="n"/>
      <c r="AO1812" s="48" t="n"/>
    </row>
    <row r="1813">
      <c r="M1813" s="25" t="n"/>
      <c r="Q1813" s="25" t="n"/>
      <c r="U1813" s="194" t="n"/>
      <c r="AA1813" s="25" t="n"/>
      <c r="AB1813" s="25" t="n"/>
      <c r="AC1813" s="195" t="n"/>
      <c r="AD1813" s="25" t="n"/>
      <c r="AE1813" s="25" t="n"/>
      <c r="AG1813" s="25" t="n"/>
      <c r="AH1813" s="25" t="n"/>
      <c r="AI1813" s="394" t="n"/>
      <c r="AM1813" s="48" t="n"/>
      <c r="AN1813" s="48" t="n"/>
      <c r="AO1813" s="48" t="n"/>
    </row>
    <row r="1814">
      <c r="M1814" s="25" t="n"/>
      <c r="Q1814" s="25" t="n"/>
      <c r="U1814" s="194" t="n"/>
      <c r="AA1814" s="25" t="n"/>
      <c r="AB1814" s="25" t="n"/>
      <c r="AC1814" s="195" t="n"/>
      <c r="AD1814" s="25" t="n"/>
      <c r="AE1814" s="25" t="n"/>
      <c r="AG1814" s="25" t="n"/>
      <c r="AH1814" s="25" t="n"/>
      <c r="AI1814" s="394" t="n"/>
      <c r="AM1814" s="48" t="n"/>
      <c r="AN1814" s="48" t="n"/>
      <c r="AO1814" s="48" t="n"/>
    </row>
    <row r="1815">
      <c r="M1815" s="25" t="n"/>
      <c r="Q1815" s="25" t="n"/>
      <c r="U1815" s="194" t="n"/>
      <c r="AA1815" s="25" t="n"/>
      <c r="AB1815" s="25" t="n"/>
      <c r="AC1815" s="195" t="n"/>
      <c r="AD1815" s="25" t="n"/>
      <c r="AE1815" s="25" t="n"/>
      <c r="AG1815" s="25" t="n"/>
      <c r="AH1815" s="25" t="n"/>
      <c r="AI1815" s="394" t="n"/>
      <c r="AM1815" s="48" t="n"/>
      <c r="AN1815" s="48" t="n"/>
      <c r="AO1815" s="48" t="n"/>
    </row>
    <row r="1816">
      <c r="M1816" s="25" t="n"/>
      <c r="Q1816" s="25" t="n"/>
      <c r="U1816" s="194" t="n"/>
      <c r="AA1816" s="25" t="n"/>
      <c r="AB1816" s="25" t="n"/>
      <c r="AC1816" s="195" t="n"/>
      <c r="AD1816" s="25" t="n"/>
      <c r="AE1816" s="25" t="n"/>
      <c r="AG1816" s="25" t="n"/>
      <c r="AH1816" s="25" t="n"/>
      <c r="AI1816" s="394" t="n"/>
      <c r="AM1816" s="48" t="n"/>
      <c r="AN1816" s="48" t="n"/>
      <c r="AO1816" s="48" t="n"/>
    </row>
    <row r="1817">
      <c r="M1817" s="25" t="n"/>
      <c r="Q1817" s="25" t="n"/>
      <c r="U1817" s="194" t="n"/>
      <c r="AA1817" s="25" t="n"/>
      <c r="AB1817" s="25" t="n"/>
      <c r="AC1817" s="195" t="n"/>
      <c r="AD1817" s="25" t="n"/>
      <c r="AE1817" s="25" t="n"/>
      <c r="AG1817" s="25" t="n"/>
      <c r="AH1817" s="25" t="n"/>
      <c r="AI1817" s="394" t="n"/>
      <c r="AM1817" s="48" t="n"/>
      <c r="AN1817" s="48" t="n"/>
      <c r="AO1817" s="48" t="n"/>
    </row>
    <row r="1818">
      <c r="M1818" s="25" t="n"/>
      <c r="Q1818" s="25" t="n"/>
      <c r="U1818" s="194" t="n"/>
      <c r="AA1818" s="25" t="n"/>
      <c r="AB1818" s="25" t="n"/>
      <c r="AC1818" s="195" t="n"/>
      <c r="AD1818" s="25" t="n"/>
      <c r="AE1818" s="25" t="n"/>
      <c r="AG1818" s="25" t="n"/>
      <c r="AH1818" s="25" t="n"/>
      <c r="AI1818" s="394" t="n"/>
      <c r="AM1818" s="48" t="n"/>
      <c r="AN1818" s="48" t="n"/>
      <c r="AO1818" s="48" t="n"/>
    </row>
    <row r="1819">
      <c r="M1819" s="25" t="n"/>
      <c r="Q1819" s="25" t="n"/>
      <c r="U1819" s="194" t="n"/>
      <c r="AA1819" s="25" t="n"/>
      <c r="AB1819" s="25" t="n"/>
      <c r="AC1819" s="195" t="n"/>
      <c r="AD1819" s="25" t="n"/>
      <c r="AE1819" s="25" t="n"/>
      <c r="AG1819" s="25" t="n"/>
      <c r="AH1819" s="25" t="n"/>
      <c r="AI1819" s="394" t="n"/>
      <c r="AM1819" s="48" t="n"/>
      <c r="AN1819" s="48" t="n"/>
      <c r="AO1819" s="48" t="n"/>
    </row>
    <row r="1820">
      <c r="M1820" s="25" t="n"/>
      <c r="Q1820" s="25" t="n"/>
      <c r="U1820" s="194" t="n"/>
      <c r="AA1820" s="25" t="n"/>
      <c r="AB1820" s="25" t="n"/>
      <c r="AC1820" s="195" t="n"/>
      <c r="AD1820" s="25" t="n"/>
      <c r="AE1820" s="25" t="n"/>
      <c r="AG1820" s="25" t="n"/>
      <c r="AH1820" s="25" t="n"/>
      <c r="AI1820" s="394" t="n"/>
      <c r="AM1820" s="48" t="n"/>
      <c r="AN1820" s="48" t="n"/>
      <c r="AO1820" s="48" t="n"/>
    </row>
    <row r="1821">
      <c r="M1821" s="25" t="n"/>
      <c r="Q1821" s="25" t="n"/>
      <c r="U1821" s="194" t="n"/>
      <c r="AA1821" s="25" t="n"/>
      <c r="AB1821" s="25" t="n"/>
      <c r="AC1821" s="195" t="n"/>
      <c r="AD1821" s="25" t="n"/>
      <c r="AE1821" s="25" t="n"/>
      <c r="AG1821" s="25" t="n"/>
      <c r="AH1821" s="25" t="n"/>
      <c r="AI1821" s="394" t="n"/>
      <c r="AM1821" s="48" t="n"/>
      <c r="AN1821" s="48" t="n"/>
      <c r="AO1821" s="48" t="n"/>
    </row>
    <row r="1822">
      <c r="M1822" s="25" t="n"/>
      <c r="Q1822" s="25" t="n"/>
      <c r="U1822" s="194" t="n"/>
      <c r="AA1822" s="25" t="n"/>
      <c r="AB1822" s="25" t="n"/>
      <c r="AC1822" s="195" t="n"/>
      <c r="AD1822" s="25" t="n"/>
      <c r="AE1822" s="25" t="n"/>
      <c r="AG1822" s="25" t="n"/>
      <c r="AH1822" s="25" t="n"/>
      <c r="AI1822" s="394" t="n"/>
      <c r="AM1822" s="48" t="n"/>
      <c r="AN1822" s="48" t="n"/>
      <c r="AO1822" s="48" t="n"/>
    </row>
    <row r="1823">
      <c r="M1823" s="25" t="n"/>
      <c r="Q1823" s="25" t="n"/>
      <c r="U1823" s="194" t="n"/>
      <c r="AA1823" s="25" t="n"/>
      <c r="AB1823" s="25" t="n"/>
      <c r="AC1823" s="195" t="n"/>
      <c r="AD1823" s="25" t="n"/>
      <c r="AE1823" s="25" t="n"/>
      <c r="AG1823" s="25" t="n"/>
      <c r="AH1823" s="25" t="n"/>
      <c r="AI1823" s="394" t="n"/>
      <c r="AM1823" s="48" t="n"/>
      <c r="AN1823" s="48" t="n"/>
      <c r="AO1823" s="48" t="n"/>
    </row>
    <row r="1824">
      <c r="M1824" s="25" t="n"/>
      <c r="Q1824" s="25" t="n"/>
      <c r="U1824" s="194" t="n"/>
      <c r="AA1824" s="25" t="n"/>
      <c r="AB1824" s="25" t="n"/>
      <c r="AC1824" s="195" t="n"/>
      <c r="AD1824" s="25" t="n"/>
      <c r="AE1824" s="25" t="n"/>
      <c r="AG1824" s="25" t="n"/>
      <c r="AH1824" s="25" t="n"/>
      <c r="AI1824" s="394" t="n"/>
      <c r="AM1824" s="48" t="n"/>
      <c r="AN1824" s="48" t="n"/>
      <c r="AO1824" s="48" t="n"/>
    </row>
    <row r="1825">
      <c r="M1825" s="25" t="n"/>
      <c r="Q1825" s="25" t="n"/>
      <c r="U1825" s="194" t="n"/>
      <c r="AA1825" s="25" t="n"/>
      <c r="AB1825" s="25" t="n"/>
      <c r="AC1825" s="195" t="n"/>
      <c r="AD1825" s="25" t="n"/>
      <c r="AE1825" s="25" t="n"/>
      <c r="AG1825" s="25" t="n"/>
      <c r="AH1825" s="25" t="n"/>
      <c r="AI1825" s="394" t="n"/>
      <c r="AM1825" s="48" t="n"/>
      <c r="AN1825" s="48" t="n"/>
      <c r="AO1825" s="48" t="n"/>
    </row>
    <row r="1826">
      <c r="M1826" s="25" t="n"/>
      <c r="Q1826" s="25" t="n"/>
      <c r="U1826" s="194" t="n"/>
      <c r="AA1826" s="25" t="n"/>
      <c r="AB1826" s="25" t="n"/>
      <c r="AC1826" s="195" t="n"/>
      <c r="AD1826" s="25" t="n"/>
      <c r="AE1826" s="25" t="n"/>
      <c r="AG1826" s="25" t="n"/>
      <c r="AH1826" s="25" t="n"/>
      <c r="AI1826" s="394" t="n"/>
      <c r="AM1826" s="48" t="n"/>
      <c r="AN1826" s="48" t="n"/>
      <c r="AO1826" s="48" t="n"/>
    </row>
    <row r="1827">
      <c r="M1827" s="25" t="n"/>
      <c r="Q1827" s="25" t="n"/>
      <c r="U1827" s="194" t="n"/>
      <c r="AA1827" s="25" t="n"/>
      <c r="AB1827" s="25" t="n"/>
      <c r="AC1827" s="195" t="n"/>
      <c r="AD1827" s="25" t="n"/>
      <c r="AE1827" s="25" t="n"/>
      <c r="AG1827" s="25" t="n"/>
      <c r="AH1827" s="25" t="n"/>
      <c r="AI1827" s="394" t="n"/>
      <c r="AM1827" s="48" t="n"/>
      <c r="AN1827" s="48" t="n"/>
      <c r="AO1827" s="48" t="n"/>
    </row>
    <row r="1828">
      <c r="M1828" s="25" t="n"/>
      <c r="Q1828" s="25" t="n"/>
      <c r="U1828" s="194" t="n"/>
      <c r="AA1828" s="25" t="n"/>
      <c r="AB1828" s="25" t="n"/>
      <c r="AC1828" s="195" t="n"/>
      <c r="AD1828" s="25" t="n"/>
      <c r="AE1828" s="25" t="n"/>
      <c r="AG1828" s="25" t="n"/>
      <c r="AH1828" s="25" t="n"/>
      <c r="AI1828" s="394" t="n"/>
      <c r="AM1828" s="48" t="n"/>
      <c r="AN1828" s="48" t="n"/>
      <c r="AO1828" s="48" t="n"/>
    </row>
    <row r="1829">
      <c r="M1829" s="25" t="n"/>
      <c r="Q1829" s="25" t="n"/>
      <c r="U1829" s="194" t="n"/>
      <c r="AA1829" s="25" t="n"/>
      <c r="AB1829" s="25" t="n"/>
      <c r="AC1829" s="195" t="n"/>
      <c r="AD1829" s="25" t="n"/>
      <c r="AE1829" s="25" t="n"/>
      <c r="AG1829" s="25" t="n"/>
      <c r="AH1829" s="25" t="n"/>
      <c r="AI1829" s="394" t="n"/>
      <c r="AM1829" s="48" t="n"/>
      <c r="AN1829" s="48" t="n"/>
      <c r="AO1829" s="48" t="n"/>
    </row>
    <row r="1830">
      <c r="M1830" s="25" t="n"/>
      <c r="Q1830" s="25" t="n"/>
      <c r="U1830" s="194" t="n"/>
      <c r="AA1830" s="25" t="n"/>
      <c r="AB1830" s="25" t="n"/>
      <c r="AC1830" s="195" t="n"/>
      <c r="AD1830" s="25" t="n"/>
      <c r="AE1830" s="25" t="n"/>
      <c r="AG1830" s="25" t="n"/>
      <c r="AH1830" s="25" t="n"/>
      <c r="AI1830" s="394" t="n"/>
      <c r="AM1830" s="48" t="n"/>
      <c r="AN1830" s="48" t="n"/>
      <c r="AO1830" s="48" t="n"/>
    </row>
    <row r="1831">
      <c r="M1831" s="25" t="n"/>
      <c r="Q1831" s="25" t="n"/>
      <c r="U1831" s="194" t="n"/>
      <c r="AA1831" s="25" t="n"/>
      <c r="AB1831" s="25" t="n"/>
      <c r="AC1831" s="195" t="n"/>
      <c r="AD1831" s="25" t="n"/>
      <c r="AE1831" s="25" t="n"/>
      <c r="AG1831" s="25" t="n"/>
      <c r="AH1831" s="25" t="n"/>
      <c r="AI1831" s="394" t="n"/>
      <c r="AM1831" s="48" t="n"/>
      <c r="AN1831" s="48" t="n"/>
      <c r="AO1831" s="48" t="n"/>
    </row>
    <row r="1832">
      <c r="M1832" s="25" t="n"/>
      <c r="Q1832" s="25" t="n"/>
      <c r="U1832" s="194" t="n"/>
      <c r="AA1832" s="25" t="n"/>
      <c r="AB1832" s="25" t="n"/>
      <c r="AC1832" s="195" t="n"/>
      <c r="AD1832" s="25" t="n"/>
      <c r="AE1832" s="25" t="n"/>
      <c r="AG1832" s="25" t="n"/>
      <c r="AH1832" s="25" t="n"/>
      <c r="AI1832" s="394" t="n"/>
      <c r="AM1832" s="48" t="n"/>
      <c r="AN1832" s="48" t="n"/>
      <c r="AO1832" s="48" t="n"/>
    </row>
    <row r="1833">
      <c r="M1833" s="25" t="n"/>
      <c r="Q1833" s="25" t="n"/>
      <c r="U1833" s="194" t="n"/>
      <c r="AA1833" s="25" t="n"/>
      <c r="AB1833" s="25" t="n"/>
      <c r="AC1833" s="195" t="n"/>
      <c r="AD1833" s="25" t="n"/>
      <c r="AE1833" s="25" t="n"/>
      <c r="AG1833" s="25" t="n"/>
      <c r="AH1833" s="25" t="n"/>
      <c r="AI1833" s="394" t="n"/>
      <c r="AM1833" s="48" t="n"/>
      <c r="AN1833" s="48" t="n"/>
      <c r="AO1833" s="48" t="n"/>
    </row>
    <row r="1834">
      <c r="M1834" s="25" t="n"/>
      <c r="Q1834" s="25" t="n"/>
      <c r="U1834" s="194" t="n"/>
      <c r="AA1834" s="25" t="n"/>
      <c r="AB1834" s="25" t="n"/>
      <c r="AC1834" s="195" t="n"/>
      <c r="AD1834" s="25" t="n"/>
      <c r="AE1834" s="25" t="n"/>
      <c r="AG1834" s="25" t="n"/>
      <c r="AH1834" s="25" t="n"/>
      <c r="AI1834" s="394" t="n"/>
      <c r="AM1834" s="48" t="n"/>
      <c r="AN1834" s="48" t="n"/>
      <c r="AO1834" s="48" t="n"/>
    </row>
    <row r="1835">
      <c r="M1835" s="25" t="n"/>
      <c r="Q1835" s="25" t="n"/>
      <c r="U1835" s="194" t="n"/>
      <c r="AA1835" s="25" t="n"/>
      <c r="AB1835" s="25" t="n"/>
      <c r="AC1835" s="195" t="n"/>
      <c r="AD1835" s="25" t="n"/>
      <c r="AE1835" s="25" t="n"/>
      <c r="AG1835" s="25" t="n"/>
      <c r="AH1835" s="25" t="n"/>
      <c r="AI1835" s="394" t="n"/>
      <c r="AM1835" s="48" t="n"/>
      <c r="AN1835" s="48" t="n"/>
      <c r="AO1835" s="48" t="n"/>
    </row>
    <row r="1836">
      <c r="M1836" s="25" t="n"/>
      <c r="Q1836" s="25" t="n"/>
      <c r="U1836" s="194" t="n"/>
      <c r="AA1836" s="25" t="n"/>
      <c r="AB1836" s="25" t="n"/>
      <c r="AC1836" s="195" t="n"/>
      <c r="AD1836" s="25" t="n"/>
      <c r="AE1836" s="25" t="n"/>
      <c r="AG1836" s="25" t="n"/>
      <c r="AH1836" s="25" t="n"/>
      <c r="AI1836" s="394" t="n"/>
      <c r="AM1836" s="48" t="n"/>
      <c r="AN1836" s="48" t="n"/>
      <c r="AO1836" s="48" t="n"/>
    </row>
    <row r="1837">
      <c r="M1837" s="25" t="n"/>
      <c r="Q1837" s="25" t="n"/>
      <c r="U1837" s="194" t="n"/>
      <c r="AA1837" s="25" t="n"/>
      <c r="AB1837" s="25" t="n"/>
      <c r="AC1837" s="195" t="n"/>
      <c r="AD1837" s="25" t="n"/>
      <c r="AE1837" s="25" t="n"/>
      <c r="AG1837" s="25" t="n"/>
      <c r="AH1837" s="25" t="n"/>
      <c r="AI1837" s="394" t="n"/>
      <c r="AM1837" s="48" t="n"/>
      <c r="AN1837" s="48" t="n"/>
      <c r="AO1837" s="48" t="n"/>
    </row>
    <row r="1838">
      <c r="M1838" s="25" t="n"/>
      <c r="Q1838" s="25" t="n"/>
      <c r="U1838" s="194" t="n"/>
      <c r="AA1838" s="25" t="n"/>
      <c r="AB1838" s="25" t="n"/>
      <c r="AC1838" s="195" t="n"/>
      <c r="AD1838" s="25" t="n"/>
      <c r="AE1838" s="25" t="n"/>
      <c r="AG1838" s="25" t="n"/>
      <c r="AH1838" s="25" t="n"/>
      <c r="AI1838" s="394" t="n"/>
      <c r="AM1838" s="48" t="n"/>
      <c r="AN1838" s="48" t="n"/>
      <c r="AO1838" s="48" t="n"/>
    </row>
    <row r="1839">
      <c r="M1839" s="25" t="n"/>
      <c r="Q1839" s="25" t="n"/>
      <c r="U1839" s="194" t="n"/>
      <c r="AA1839" s="25" t="n"/>
      <c r="AB1839" s="25" t="n"/>
      <c r="AC1839" s="195" t="n"/>
      <c r="AD1839" s="25" t="n"/>
      <c r="AE1839" s="25" t="n"/>
      <c r="AG1839" s="25" t="n"/>
      <c r="AH1839" s="25" t="n"/>
      <c r="AI1839" s="394" t="n"/>
      <c r="AM1839" s="48" t="n"/>
      <c r="AN1839" s="48" t="n"/>
      <c r="AO1839" s="48" t="n"/>
    </row>
    <row r="1840">
      <c r="M1840" s="25" t="n"/>
      <c r="Q1840" s="25" t="n"/>
      <c r="U1840" s="194" t="n"/>
      <c r="AA1840" s="25" t="n"/>
      <c r="AB1840" s="25" t="n"/>
      <c r="AC1840" s="195" t="n"/>
      <c r="AD1840" s="25" t="n"/>
      <c r="AE1840" s="25" t="n"/>
      <c r="AG1840" s="25" t="n"/>
      <c r="AH1840" s="25" t="n"/>
      <c r="AI1840" s="394" t="n"/>
      <c r="AM1840" s="48" t="n"/>
      <c r="AN1840" s="48" t="n"/>
      <c r="AO1840" s="48" t="n"/>
    </row>
    <row r="1841">
      <c r="M1841" s="25" t="n"/>
      <c r="Q1841" s="25" t="n"/>
      <c r="U1841" s="194" t="n"/>
      <c r="AA1841" s="25" t="n"/>
      <c r="AB1841" s="25" t="n"/>
      <c r="AC1841" s="195" t="n"/>
      <c r="AD1841" s="25" t="n"/>
      <c r="AE1841" s="25" t="n"/>
      <c r="AG1841" s="25" t="n"/>
      <c r="AH1841" s="25" t="n"/>
      <c r="AI1841" s="394" t="n"/>
      <c r="AM1841" s="48" t="n"/>
      <c r="AN1841" s="48" t="n"/>
      <c r="AO1841" s="48" t="n"/>
    </row>
    <row r="1842">
      <c r="M1842" s="25" t="n"/>
      <c r="Q1842" s="25" t="n"/>
      <c r="U1842" s="194" t="n"/>
      <c r="AA1842" s="25" t="n"/>
      <c r="AB1842" s="25" t="n"/>
      <c r="AC1842" s="195" t="n"/>
      <c r="AD1842" s="25" t="n"/>
      <c r="AE1842" s="25" t="n"/>
      <c r="AG1842" s="25" t="n"/>
      <c r="AH1842" s="25" t="n"/>
      <c r="AI1842" s="394" t="n"/>
      <c r="AM1842" s="48" t="n"/>
      <c r="AN1842" s="48" t="n"/>
      <c r="AO1842" s="48" t="n"/>
    </row>
    <row r="1843">
      <c r="M1843" s="25" t="n"/>
      <c r="Q1843" s="25" t="n"/>
      <c r="U1843" s="194" t="n"/>
      <c r="AA1843" s="25" t="n"/>
      <c r="AB1843" s="25" t="n"/>
      <c r="AC1843" s="195" t="n"/>
      <c r="AD1843" s="25" t="n"/>
      <c r="AE1843" s="25" t="n"/>
      <c r="AG1843" s="25" t="n"/>
      <c r="AH1843" s="25" t="n"/>
      <c r="AI1843" s="394" t="n"/>
      <c r="AM1843" s="48" t="n"/>
      <c r="AN1843" s="48" t="n"/>
      <c r="AO1843" s="48" t="n"/>
    </row>
    <row r="1844">
      <c r="M1844" s="25" t="n"/>
      <c r="Q1844" s="25" t="n"/>
      <c r="U1844" s="194" t="n"/>
      <c r="AA1844" s="25" t="n"/>
      <c r="AB1844" s="25" t="n"/>
      <c r="AC1844" s="195" t="n"/>
      <c r="AD1844" s="25" t="n"/>
      <c r="AE1844" s="25" t="n"/>
      <c r="AG1844" s="25" t="n"/>
      <c r="AH1844" s="25" t="n"/>
      <c r="AI1844" s="394" t="n"/>
      <c r="AM1844" s="48" t="n"/>
      <c r="AN1844" s="48" t="n"/>
      <c r="AO1844" s="48" t="n"/>
    </row>
    <row r="1845">
      <c r="M1845" s="25" t="n"/>
      <c r="Q1845" s="25" t="n"/>
      <c r="U1845" s="194" t="n"/>
      <c r="AA1845" s="25" t="n"/>
      <c r="AB1845" s="25" t="n"/>
      <c r="AC1845" s="195" t="n"/>
      <c r="AD1845" s="25" t="n"/>
      <c r="AE1845" s="25" t="n"/>
      <c r="AG1845" s="25" t="n"/>
      <c r="AH1845" s="25" t="n"/>
      <c r="AI1845" s="394" t="n"/>
      <c r="AM1845" s="48" t="n"/>
      <c r="AN1845" s="48" t="n"/>
      <c r="AO1845" s="48" t="n"/>
    </row>
    <row r="1846">
      <c r="M1846" s="25" t="n"/>
      <c r="Q1846" s="25" t="n"/>
      <c r="U1846" s="194" t="n"/>
      <c r="AA1846" s="25" t="n"/>
      <c r="AB1846" s="25" t="n"/>
      <c r="AC1846" s="195" t="n"/>
      <c r="AD1846" s="25" t="n"/>
      <c r="AE1846" s="25" t="n"/>
      <c r="AG1846" s="25" t="n"/>
      <c r="AH1846" s="25" t="n"/>
      <c r="AI1846" s="394" t="n"/>
      <c r="AM1846" s="48" t="n"/>
      <c r="AN1846" s="48" t="n"/>
      <c r="AO1846" s="48" t="n"/>
    </row>
    <row r="1847">
      <c r="M1847" s="25" t="n"/>
      <c r="Q1847" s="25" t="n"/>
      <c r="U1847" s="194" t="n"/>
      <c r="AA1847" s="25" t="n"/>
      <c r="AB1847" s="25" t="n"/>
      <c r="AC1847" s="195" t="n"/>
      <c r="AD1847" s="25" t="n"/>
      <c r="AE1847" s="25" t="n"/>
      <c r="AG1847" s="25" t="n"/>
      <c r="AH1847" s="25" t="n"/>
      <c r="AI1847" s="394" t="n"/>
      <c r="AM1847" s="48" t="n"/>
      <c r="AN1847" s="48" t="n"/>
      <c r="AO1847" s="48" t="n"/>
    </row>
    <row r="1848">
      <c r="M1848" s="25" t="n"/>
      <c r="Q1848" s="25" t="n"/>
      <c r="U1848" s="194" t="n"/>
      <c r="AA1848" s="25" t="n"/>
      <c r="AB1848" s="25" t="n"/>
      <c r="AC1848" s="195" t="n"/>
      <c r="AD1848" s="25" t="n"/>
      <c r="AE1848" s="25" t="n"/>
      <c r="AG1848" s="25" t="n"/>
      <c r="AH1848" s="25" t="n"/>
      <c r="AI1848" s="394" t="n"/>
      <c r="AM1848" s="48" t="n"/>
      <c r="AN1848" s="48" t="n"/>
      <c r="AO1848" s="48" t="n"/>
    </row>
    <row r="1849">
      <c r="M1849" s="25" t="n"/>
      <c r="Q1849" s="25" t="n"/>
      <c r="U1849" s="194" t="n"/>
      <c r="AA1849" s="25" t="n"/>
      <c r="AB1849" s="25" t="n"/>
      <c r="AC1849" s="195" t="n"/>
      <c r="AD1849" s="25" t="n"/>
      <c r="AE1849" s="25" t="n"/>
      <c r="AG1849" s="25" t="n"/>
      <c r="AH1849" s="25" t="n"/>
      <c r="AI1849" s="394" t="n"/>
      <c r="AM1849" s="48" t="n"/>
      <c r="AN1849" s="48" t="n"/>
      <c r="AO1849" s="48" t="n"/>
    </row>
    <row r="1850">
      <c r="M1850" s="25" t="n"/>
      <c r="Q1850" s="25" t="n"/>
      <c r="U1850" s="194" t="n"/>
      <c r="AA1850" s="25" t="n"/>
      <c r="AB1850" s="25" t="n"/>
      <c r="AC1850" s="195" t="n"/>
      <c r="AD1850" s="25" t="n"/>
      <c r="AE1850" s="25" t="n"/>
      <c r="AG1850" s="25" t="n"/>
      <c r="AH1850" s="25" t="n"/>
      <c r="AI1850" s="394" t="n"/>
      <c r="AM1850" s="48" t="n"/>
      <c r="AN1850" s="48" t="n"/>
      <c r="AO1850" s="48" t="n"/>
    </row>
    <row r="1851">
      <c r="M1851" s="25" t="n"/>
      <c r="Q1851" s="25" t="n"/>
      <c r="U1851" s="194" t="n"/>
      <c r="AA1851" s="25" t="n"/>
      <c r="AB1851" s="25" t="n"/>
      <c r="AC1851" s="195" t="n"/>
      <c r="AD1851" s="25" t="n"/>
      <c r="AE1851" s="25" t="n"/>
      <c r="AG1851" s="25" t="n"/>
      <c r="AH1851" s="25" t="n"/>
      <c r="AI1851" s="394" t="n"/>
      <c r="AM1851" s="48" t="n"/>
      <c r="AN1851" s="48" t="n"/>
      <c r="AO1851" s="48" t="n"/>
    </row>
    <row r="1852">
      <c r="M1852" s="25" t="n"/>
      <c r="Q1852" s="25" t="n"/>
      <c r="U1852" s="194" t="n"/>
      <c r="AA1852" s="25" t="n"/>
      <c r="AB1852" s="25" t="n"/>
      <c r="AC1852" s="195" t="n"/>
      <c r="AD1852" s="25" t="n"/>
      <c r="AE1852" s="25" t="n"/>
      <c r="AG1852" s="25" t="n"/>
      <c r="AH1852" s="25" t="n"/>
      <c r="AI1852" s="394" t="n"/>
      <c r="AM1852" s="48" t="n"/>
      <c r="AN1852" s="48" t="n"/>
      <c r="AO1852" s="48" t="n"/>
    </row>
    <row r="1853">
      <c r="M1853" s="25" t="n"/>
      <c r="Q1853" s="25" t="n"/>
      <c r="U1853" s="194" t="n"/>
      <c r="AA1853" s="25" t="n"/>
      <c r="AB1853" s="25" t="n"/>
      <c r="AC1853" s="195" t="n"/>
      <c r="AD1853" s="25" t="n"/>
      <c r="AE1853" s="25" t="n"/>
      <c r="AG1853" s="25" t="n"/>
      <c r="AH1853" s="25" t="n"/>
      <c r="AI1853" s="394" t="n"/>
      <c r="AM1853" s="48" t="n"/>
      <c r="AN1853" s="48" t="n"/>
      <c r="AO1853" s="48" t="n"/>
    </row>
    <row r="1854">
      <c r="M1854" s="25" t="n"/>
      <c r="Q1854" s="25" t="n"/>
      <c r="U1854" s="194" t="n"/>
      <c r="AA1854" s="25" t="n"/>
      <c r="AB1854" s="25" t="n"/>
      <c r="AC1854" s="195" t="n"/>
      <c r="AD1854" s="25" t="n"/>
      <c r="AE1854" s="25" t="n"/>
      <c r="AG1854" s="25" t="n"/>
      <c r="AH1854" s="25" t="n"/>
      <c r="AI1854" s="394" t="n"/>
      <c r="AM1854" s="48" t="n"/>
      <c r="AN1854" s="48" t="n"/>
      <c r="AO1854" s="48" t="n"/>
    </row>
    <row r="1855">
      <c r="M1855" s="25" t="n"/>
      <c r="Q1855" s="25" t="n"/>
      <c r="U1855" s="194" t="n"/>
      <c r="AA1855" s="25" t="n"/>
      <c r="AB1855" s="25" t="n"/>
      <c r="AC1855" s="195" t="n"/>
      <c r="AD1855" s="25" t="n"/>
      <c r="AE1855" s="25" t="n"/>
      <c r="AG1855" s="25" t="n"/>
      <c r="AH1855" s="25" t="n"/>
      <c r="AI1855" s="394" t="n"/>
      <c r="AM1855" s="48" t="n"/>
      <c r="AN1855" s="48" t="n"/>
      <c r="AO1855" s="48" t="n"/>
    </row>
    <row r="1856">
      <c r="M1856" s="25" t="n"/>
      <c r="Q1856" s="25" t="n"/>
      <c r="U1856" s="194" t="n"/>
      <c r="AA1856" s="25" t="n"/>
      <c r="AB1856" s="25" t="n"/>
      <c r="AC1856" s="195" t="n"/>
      <c r="AD1856" s="25" t="n"/>
      <c r="AE1856" s="25" t="n"/>
      <c r="AG1856" s="25" t="n"/>
      <c r="AH1856" s="25" t="n"/>
      <c r="AI1856" s="394" t="n"/>
      <c r="AM1856" s="48" t="n"/>
      <c r="AN1856" s="48" t="n"/>
      <c r="AO1856" s="48" t="n"/>
    </row>
    <row r="1857">
      <c r="M1857" s="25" t="n"/>
      <c r="Q1857" s="25" t="n"/>
      <c r="U1857" s="194" t="n"/>
      <c r="AA1857" s="25" t="n"/>
      <c r="AB1857" s="25" t="n"/>
      <c r="AC1857" s="195" t="n"/>
      <c r="AD1857" s="25" t="n"/>
      <c r="AE1857" s="25" t="n"/>
      <c r="AG1857" s="25" t="n"/>
      <c r="AH1857" s="25" t="n"/>
      <c r="AI1857" s="394" t="n"/>
      <c r="AM1857" s="48" t="n"/>
      <c r="AN1857" s="48" t="n"/>
      <c r="AO1857" s="48" t="n"/>
    </row>
    <row r="1858">
      <c r="M1858" s="25" t="n"/>
      <c r="Q1858" s="25" t="n"/>
      <c r="U1858" s="194" t="n"/>
      <c r="AA1858" s="25" t="n"/>
      <c r="AB1858" s="25" t="n"/>
      <c r="AC1858" s="195" t="n"/>
      <c r="AD1858" s="25" t="n"/>
      <c r="AE1858" s="25" t="n"/>
      <c r="AG1858" s="25" t="n"/>
      <c r="AH1858" s="25" t="n"/>
      <c r="AI1858" s="394" t="n"/>
      <c r="AM1858" s="48" t="n"/>
      <c r="AN1858" s="48" t="n"/>
      <c r="AO1858" s="48" t="n"/>
    </row>
    <row r="1859">
      <c r="M1859" s="25" t="n"/>
      <c r="Q1859" s="25" t="n"/>
      <c r="U1859" s="194" t="n"/>
      <c r="AA1859" s="25" t="n"/>
      <c r="AB1859" s="25" t="n"/>
      <c r="AC1859" s="195" t="n"/>
      <c r="AD1859" s="25" t="n"/>
      <c r="AE1859" s="25" t="n"/>
      <c r="AG1859" s="25" t="n"/>
      <c r="AH1859" s="25" t="n"/>
      <c r="AI1859" s="394" t="n"/>
      <c r="AM1859" s="48" t="n"/>
      <c r="AN1859" s="48" t="n"/>
      <c r="AO1859" s="48" t="n"/>
    </row>
    <row r="1860">
      <c r="M1860" s="25" t="n"/>
      <c r="Q1860" s="25" t="n"/>
      <c r="U1860" s="194" t="n"/>
      <c r="AA1860" s="25" t="n"/>
      <c r="AB1860" s="25" t="n"/>
      <c r="AC1860" s="195" t="n"/>
      <c r="AD1860" s="25" t="n"/>
      <c r="AE1860" s="25" t="n"/>
      <c r="AG1860" s="25" t="n"/>
      <c r="AH1860" s="25" t="n"/>
      <c r="AI1860" s="394" t="n"/>
      <c r="AM1860" s="48" t="n"/>
      <c r="AN1860" s="48" t="n"/>
      <c r="AO1860" s="48" t="n"/>
    </row>
    <row r="1861">
      <c r="M1861" s="25" t="n"/>
      <c r="Q1861" s="25" t="n"/>
      <c r="U1861" s="194" t="n"/>
      <c r="AA1861" s="25" t="n"/>
      <c r="AB1861" s="25" t="n"/>
      <c r="AC1861" s="195" t="n"/>
      <c r="AD1861" s="25" t="n"/>
      <c r="AE1861" s="25" t="n"/>
      <c r="AG1861" s="25" t="n"/>
      <c r="AH1861" s="25" t="n"/>
      <c r="AI1861" s="394" t="n"/>
      <c r="AM1861" s="48" t="n"/>
      <c r="AN1861" s="48" t="n"/>
      <c r="AO1861" s="48" t="n"/>
    </row>
    <row r="1862">
      <c r="M1862" s="25" t="n"/>
      <c r="Q1862" s="25" t="n"/>
      <c r="U1862" s="194" t="n"/>
      <c r="AA1862" s="25" t="n"/>
      <c r="AB1862" s="25" t="n"/>
      <c r="AC1862" s="195" t="n"/>
      <c r="AD1862" s="25" t="n"/>
      <c r="AE1862" s="25" t="n"/>
      <c r="AG1862" s="25" t="n"/>
      <c r="AH1862" s="25" t="n"/>
      <c r="AI1862" s="394" t="n"/>
      <c r="AM1862" s="48" t="n"/>
      <c r="AN1862" s="48" t="n"/>
      <c r="AO1862" s="48" t="n"/>
    </row>
    <row r="1863">
      <c r="M1863" s="25" t="n"/>
      <c r="Q1863" s="25" t="n"/>
      <c r="U1863" s="194" t="n"/>
      <c r="AA1863" s="25" t="n"/>
      <c r="AB1863" s="25" t="n"/>
      <c r="AC1863" s="195" t="n"/>
      <c r="AD1863" s="25" t="n"/>
      <c r="AE1863" s="25" t="n"/>
      <c r="AG1863" s="25" t="n"/>
      <c r="AH1863" s="25" t="n"/>
      <c r="AI1863" s="394" t="n"/>
      <c r="AM1863" s="48" t="n"/>
      <c r="AN1863" s="48" t="n"/>
      <c r="AO1863" s="48" t="n"/>
    </row>
    <row r="1864">
      <c r="M1864" s="25" t="n"/>
      <c r="Q1864" s="25" t="n"/>
      <c r="U1864" s="194" t="n"/>
      <c r="AA1864" s="25" t="n"/>
      <c r="AB1864" s="25" t="n"/>
      <c r="AC1864" s="195" t="n"/>
      <c r="AD1864" s="25" t="n"/>
      <c r="AE1864" s="25" t="n"/>
      <c r="AG1864" s="25" t="n"/>
      <c r="AH1864" s="25" t="n"/>
      <c r="AI1864" s="394" t="n"/>
      <c r="AM1864" s="48" t="n"/>
      <c r="AN1864" s="48" t="n"/>
      <c r="AO1864" s="48" t="n"/>
    </row>
    <row r="1865">
      <c r="M1865" s="25" t="n"/>
      <c r="Q1865" s="25" t="n"/>
      <c r="U1865" s="194" t="n"/>
      <c r="AA1865" s="25" t="n"/>
      <c r="AB1865" s="25" t="n"/>
      <c r="AC1865" s="195" t="n"/>
      <c r="AD1865" s="25" t="n"/>
      <c r="AE1865" s="25" t="n"/>
      <c r="AG1865" s="25" t="n"/>
      <c r="AH1865" s="25" t="n"/>
      <c r="AI1865" s="394" t="n"/>
      <c r="AM1865" s="48" t="n"/>
      <c r="AN1865" s="48" t="n"/>
      <c r="AO1865" s="48" t="n"/>
    </row>
    <row r="1866">
      <c r="M1866" s="25" t="n"/>
      <c r="Q1866" s="25" t="n"/>
      <c r="U1866" s="194" t="n"/>
      <c r="AA1866" s="25" t="n"/>
      <c r="AB1866" s="25" t="n"/>
      <c r="AC1866" s="195" t="n"/>
      <c r="AD1866" s="25" t="n"/>
      <c r="AE1866" s="25" t="n"/>
      <c r="AG1866" s="25" t="n"/>
      <c r="AH1866" s="25" t="n"/>
      <c r="AI1866" s="394" t="n"/>
      <c r="AM1866" s="48" t="n"/>
      <c r="AN1866" s="48" t="n"/>
      <c r="AO1866" s="48" t="n"/>
    </row>
    <row r="1867">
      <c r="M1867" s="25" t="n"/>
      <c r="Q1867" s="25" t="n"/>
      <c r="U1867" s="194" t="n"/>
      <c r="AA1867" s="25" t="n"/>
      <c r="AB1867" s="25" t="n"/>
      <c r="AC1867" s="195" t="n"/>
      <c r="AD1867" s="25" t="n"/>
      <c r="AE1867" s="25" t="n"/>
      <c r="AG1867" s="25" t="n"/>
      <c r="AH1867" s="25" t="n"/>
      <c r="AI1867" s="394" t="n"/>
      <c r="AM1867" s="48" t="n"/>
      <c r="AN1867" s="48" t="n"/>
      <c r="AO1867" s="48" t="n"/>
    </row>
    <row r="1868">
      <c r="M1868" s="25" t="n"/>
      <c r="Q1868" s="25" t="n"/>
      <c r="U1868" s="194" t="n"/>
      <c r="AA1868" s="25" t="n"/>
      <c r="AB1868" s="25" t="n"/>
      <c r="AC1868" s="195" t="n"/>
      <c r="AD1868" s="25" t="n"/>
      <c r="AE1868" s="25" t="n"/>
      <c r="AG1868" s="25" t="n"/>
      <c r="AH1868" s="25" t="n"/>
      <c r="AI1868" s="394" t="n"/>
      <c r="AM1868" s="48" t="n"/>
      <c r="AN1868" s="48" t="n"/>
      <c r="AO1868" s="48" t="n"/>
    </row>
    <row r="1869">
      <c r="M1869" s="25" t="n"/>
      <c r="Q1869" s="25" t="n"/>
      <c r="U1869" s="194" t="n"/>
      <c r="AA1869" s="25" t="n"/>
      <c r="AB1869" s="25" t="n"/>
      <c r="AC1869" s="195" t="n"/>
      <c r="AD1869" s="25" t="n"/>
      <c r="AE1869" s="25" t="n"/>
      <c r="AG1869" s="25" t="n"/>
      <c r="AH1869" s="25" t="n"/>
      <c r="AI1869" s="394" t="n"/>
      <c r="AM1869" s="48" t="n"/>
      <c r="AN1869" s="48" t="n"/>
      <c r="AO1869" s="48" t="n"/>
    </row>
    <row r="1870">
      <c r="M1870" s="25" t="n"/>
      <c r="Q1870" s="25" t="n"/>
      <c r="U1870" s="194" t="n"/>
      <c r="AA1870" s="25" t="n"/>
      <c r="AB1870" s="25" t="n"/>
      <c r="AC1870" s="195" t="n"/>
      <c r="AD1870" s="25" t="n"/>
      <c r="AE1870" s="25" t="n"/>
      <c r="AG1870" s="25" t="n"/>
      <c r="AH1870" s="25" t="n"/>
      <c r="AI1870" s="394" t="n"/>
      <c r="AM1870" s="48" t="n"/>
      <c r="AN1870" s="48" t="n"/>
      <c r="AO1870" s="48" t="n"/>
    </row>
    <row r="1871">
      <c r="M1871" s="25" t="n"/>
      <c r="Q1871" s="25" t="n"/>
      <c r="U1871" s="194" t="n"/>
      <c r="AA1871" s="25" t="n"/>
      <c r="AB1871" s="25" t="n"/>
      <c r="AC1871" s="195" t="n"/>
      <c r="AD1871" s="25" t="n"/>
      <c r="AE1871" s="25" t="n"/>
      <c r="AG1871" s="25" t="n"/>
      <c r="AH1871" s="25" t="n"/>
      <c r="AI1871" s="394" t="n"/>
      <c r="AM1871" s="48" t="n"/>
      <c r="AN1871" s="48" t="n"/>
      <c r="AO1871" s="48" t="n"/>
    </row>
    <row r="1872">
      <c r="M1872" s="25" t="n"/>
      <c r="Q1872" s="25" t="n"/>
      <c r="U1872" s="194" t="n"/>
      <c r="AA1872" s="25" t="n"/>
      <c r="AB1872" s="25" t="n"/>
      <c r="AC1872" s="195" t="n"/>
      <c r="AD1872" s="25" t="n"/>
      <c r="AE1872" s="25" t="n"/>
      <c r="AG1872" s="25" t="n"/>
      <c r="AH1872" s="25" t="n"/>
      <c r="AI1872" s="394" t="n"/>
      <c r="AM1872" s="48" t="n"/>
      <c r="AN1872" s="48" t="n"/>
      <c r="AO1872" s="48" t="n"/>
    </row>
    <row r="1873">
      <c r="M1873" s="25" t="n"/>
      <c r="Q1873" s="25" t="n"/>
      <c r="U1873" s="194" t="n"/>
      <c r="AA1873" s="25" t="n"/>
      <c r="AB1873" s="25" t="n"/>
      <c r="AC1873" s="195" t="n"/>
      <c r="AD1873" s="25" t="n"/>
      <c r="AE1873" s="25" t="n"/>
      <c r="AG1873" s="25" t="n"/>
      <c r="AH1873" s="25" t="n"/>
      <c r="AI1873" s="394" t="n"/>
      <c r="AM1873" s="48" t="n"/>
      <c r="AN1873" s="48" t="n"/>
      <c r="AO1873" s="48" t="n"/>
    </row>
    <row r="1874">
      <c r="M1874" s="25" t="n"/>
      <c r="Q1874" s="25" t="n"/>
      <c r="U1874" s="194" t="n"/>
      <c r="AA1874" s="25" t="n"/>
      <c r="AB1874" s="25" t="n"/>
      <c r="AC1874" s="195" t="n"/>
      <c r="AD1874" s="25" t="n"/>
      <c r="AE1874" s="25" t="n"/>
      <c r="AG1874" s="25" t="n"/>
      <c r="AH1874" s="25" t="n"/>
      <c r="AI1874" s="394" t="n"/>
      <c r="AM1874" s="48" t="n"/>
      <c r="AN1874" s="48" t="n"/>
      <c r="AO1874" s="48" t="n"/>
    </row>
    <row r="1875">
      <c r="M1875" s="25" t="n"/>
      <c r="Q1875" s="25" t="n"/>
      <c r="U1875" s="194" t="n"/>
      <c r="AA1875" s="25" t="n"/>
      <c r="AB1875" s="25" t="n"/>
      <c r="AC1875" s="195" t="n"/>
      <c r="AD1875" s="25" t="n"/>
      <c r="AE1875" s="25" t="n"/>
      <c r="AG1875" s="25" t="n"/>
      <c r="AH1875" s="25" t="n"/>
      <c r="AI1875" s="394" t="n"/>
      <c r="AM1875" s="48" t="n"/>
      <c r="AN1875" s="48" t="n"/>
      <c r="AO1875" s="48" t="n"/>
    </row>
    <row r="1876">
      <c r="M1876" s="25" t="n"/>
      <c r="Q1876" s="25" t="n"/>
      <c r="U1876" s="194" t="n"/>
      <c r="AA1876" s="25" t="n"/>
      <c r="AB1876" s="25" t="n"/>
      <c r="AC1876" s="195" t="n"/>
      <c r="AD1876" s="25" t="n"/>
      <c r="AE1876" s="25" t="n"/>
      <c r="AG1876" s="25" t="n"/>
      <c r="AH1876" s="25" t="n"/>
      <c r="AI1876" s="394" t="n"/>
      <c r="AM1876" s="48" t="n"/>
      <c r="AN1876" s="48" t="n"/>
      <c r="AO1876" s="48" t="n"/>
    </row>
    <row r="1877">
      <c r="M1877" s="25" t="n"/>
      <c r="Q1877" s="25" t="n"/>
      <c r="U1877" s="194" t="n"/>
      <c r="AA1877" s="25" t="n"/>
      <c r="AB1877" s="25" t="n"/>
      <c r="AC1877" s="195" t="n"/>
      <c r="AD1877" s="25" t="n"/>
      <c r="AE1877" s="25" t="n"/>
      <c r="AG1877" s="25" t="n"/>
      <c r="AH1877" s="25" t="n"/>
      <c r="AI1877" s="394" t="n"/>
      <c r="AM1877" s="48" t="n"/>
      <c r="AN1877" s="48" t="n"/>
      <c r="AO1877" s="48" t="n"/>
    </row>
    <row r="1878">
      <c r="M1878" s="25" t="n"/>
      <c r="Q1878" s="25" t="n"/>
      <c r="U1878" s="194" t="n"/>
      <c r="AA1878" s="25" t="n"/>
      <c r="AB1878" s="25" t="n"/>
      <c r="AC1878" s="195" t="n"/>
      <c r="AD1878" s="25" t="n"/>
      <c r="AE1878" s="25" t="n"/>
      <c r="AG1878" s="25" t="n"/>
      <c r="AH1878" s="25" t="n"/>
      <c r="AI1878" s="394" t="n"/>
      <c r="AM1878" s="48" t="n"/>
      <c r="AN1878" s="48" t="n"/>
      <c r="AO1878" s="48" t="n"/>
    </row>
    <row r="1879">
      <c r="M1879" s="25" t="n"/>
      <c r="Q1879" s="25" t="n"/>
      <c r="U1879" s="194" t="n"/>
      <c r="AA1879" s="25" t="n"/>
      <c r="AB1879" s="25" t="n"/>
      <c r="AC1879" s="195" t="n"/>
      <c r="AD1879" s="25" t="n"/>
      <c r="AE1879" s="25" t="n"/>
      <c r="AG1879" s="25" t="n"/>
      <c r="AH1879" s="25" t="n"/>
      <c r="AI1879" s="394" t="n"/>
      <c r="AM1879" s="48" t="n"/>
      <c r="AN1879" s="48" t="n"/>
      <c r="AO1879" s="48" t="n"/>
    </row>
    <row r="1880">
      <c r="M1880" s="25" t="n"/>
      <c r="Q1880" s="25" t="n"/>
      <c r="U1880" s="194" t="n"/>
      <c r="AA1880" s="25" t="n"/>
      <c r="AB1880" s="25" t="n"/>
      <c r="AC1880" s="195" t="n"/>
      <c r="AD1880" s="25" t="n"/>
      <c r="AE1880" s="25" t="n"/>
      <c r="AG1880" s="25" t="n"/>
      <c r="AH1880" s="25" t="n"/>
      <c r="AI1880" s="394" t="n"/>
      <c r="AM1880" s="48" t="n"/>
      <c r="AN1880" s="48" t="n"/>
      <c r="AO1880" s="48" t="n"/>
    </row>
    <row r="1881">
      <c r="M1881" s="25" t="n"/>
      <c r="Q1881" s="25" t="n"/>
      <c r="U1881" s="194" t="n"/>
      <c r="AA1881" s="25" t="n"/>
      <c r="AB1881" s="25" t="n"/>
      <c r="AC1881" s="195" t="n"/>
      <c r="AD1881" s="25" t="n"/>
      <c r="AE1881" s="25" t="n"/>
      <c r="AG1881" s="25" t="n"/>
      <c r="AH1881" s="25" t="n"/>
      <c r="AI1881" s="394" t="n"/>
      <c r="AM1881" s="48" t="n"/>
      <c r="AN1881" s="48" t="n"/>
      <c r="AO1881" s="48" t="n"/>
    </row>
    <row r="1882">
      <c r="M1882" s="25" t="n"/>
      <c r="Q1882" s="25" t="n"/>
      <c r="U1882" s="194" t="n"/>
      <c r="AA1882" s="25" t="n"/>
      <c r="AB1882" s="25" t="n"/>
      <c r="AC1882" s="195" t="n"/>
      <c r="AD1882" s="25" t="n"/>
      <c r="AE1882" s="25" t="n"/>
      <c r="AG1882" s="25" t="n"/>
      <c r="AH1882" s="25" t="n"/>
      <c r="AI1882" s="394" t="n"/>
      <c r="AM1882" s="48" t="n"/>
      <c r="AN1882" s="48" t="n"/>
      <c r="AO1882" s="48" t="n"/>
    </row>
    <row r="1883">
      <c r="M1883" s="25" t="n"/>
      <c r="Q1883" s="25" t="n"/>
      <c r="U1883" s="194" t="n"/>
      <c r="AA1883" s="25" t="n"/>
      <c r="AB1883" s="25" t="n"/>
      <c r="AC1883" s="195" t="n"/>
      <c r="AD1883" s="25" t="n"/>
      <c r="AE1883" s="25" t="n"/>
      <c r="AG1883" s="25" t="n"/>
      <c r="AH1883" s="25" t="n"/>
      <c r="AI1883" s="394" t="n"/>
      <c r="AM1883" s="48" t="n"/>
      <c r="AN1883" s="48" t="n"/>
      <c r="AO1883" s="48" t="n"/>
    </row>
    <row r="1884">
      <c r="M1884" s="25" t="n"/>
      <c r="Q1884" s="25" t="n"/>
      <c r="U1884" s="194" t="n"/>
      <c r="AA1884" s="25" t="n"/>
      <c r="AB1884" s="25" t="n"/>
      <c r="AC1884" s="195" t="n"/>
      <c r="AD1884" s="25" t="n"/>
      <c r="AE1884" s="25" t="n"/>
      <c r="AG1884" s="25" t="n"/>
      <c r="AH1884" s="25" t="n"/>
      <c r="AI1884" s="394" t="n"/>
      <c r="AM1884" s="48" t="n"/>
      <c r="AN1884" s="48" t="n"/>
      <c r="AO1884" s="48" t="n"/>
    </row>
    <row r="1885">
      <c r="M1885" s="25" t="n"/>
      <c r="Q1885" s="25" t="n"/>
      <c r="U1885" s="194" t="n"/>
      <c r="AA1885" s="25" t="n"/>
      <c r="AB1885" s="25" t="n"/>
      <c r="AC1885" s="195" t="n"/>
      <c r="AD1885" s="25" t="n"/>
      <c r="AE1885" s="25" t="n"/>
      <c r="AG1885" s="25" t="n"/>
      <c r="AH1885" s="25" t="n"/>
      <c r="AI1885" s="394" t="n"/>
      <c r="AM1885" s="48" t="n"/>
      <c r="AN1885" s="48" t="n"/>
      <c r="AO1885" s="48" t="n"/>
    </row>
    <row r="1886">
      <c r="M1886" s="25" t="n"/>
      <c r="Q1886" s="25" t="n"/>
      <c r="U1886" s="194" t="n"/>
      <c r="AA1886" s="25" t="n"/>
      <c r="AB1886" s="25" t="n"/>
      <c r="AC1886" s="195" t="n"/>
      <c r="AD1886" s="25" t="n"/>
      <c r="AE1886" s="25" t="n"/>
      <c r="AG1886" s="25" t="n"/>
      <c r="AH1886" s="25" t="n"/>
      <c r="AI1886" s="394" t="n"/>
      <c r="AM1886" s="48" t="n"/>
      <c r="AN1886" s="48" t="n"/>
      <c r="AO1886" s="48" t="n"/>
    </row>
    <row r="1887">
      <c r="M1887" s="25" t="n"/>
      <c r="Q1887" s="25" t="n"/>
      <c r="U1887" s="194" t="n"/>
      <c r="AA1887" s="25" t="n"/>
      <c r="AB1887" s="25" t="n"/>
      <c r="AC1887" s="195" t="n"/>
      <c r="AD1887" s="25" t="n"/>
      <c r="AE1887" s="25" t="n"/>
      <c r="AG1887" s="25" t="n"/>
      <c r="AH1887" s="25" t="n"/>
      <c r="AI1887" s="394" t="n"/>
      <c r="AM1887" s="48" t="n"/>
      <c r="AN1887" s="48" t="n"/>
      <c r="AO1887" s="48" t="n"/>
    </row>
    <row r="1888">
      <c r="M1888" s="25" t="n"/>
      <c r="Q1888" s="25" t="n"/>
      <c r="U1888" s="194" t="n"/>
      <c r="AA1888" s="25" t="n"/>
      <c r="AB1888" s="25" t="n"/>
      <c r="AC1888" s="195" t="n"/>
      <c r="AD1888" s="25" t="n"/>
      <c r="AE1888" s="25" t="n"/>
      <c r="AG1888" s="25" t="n"/>
      <c r="AH1888" s="25" t="n"/>
      <c r="AI1888" s="394" t="n"/>
      <c r="AM1888" s="48" t="n"/>
      <c r="AN1888" s="48" t="n"/>
      <c r="AO1888" s="48" t="n"/>
    </row>
    <row r="1889">
      <c r="M1889" s="25" t="n"/>
      <c r="Q1889" s="25" t="n"/>
      <c r="U1889" s="194" t="n"/>
      <c r="AA1889" s="25" t="n"/>
      <c r="AB1889" s="25" t="n"/>
      <c r="AC1889" s="195" t="n"/>
      <c r="AD1889" s="25" t="n"/>
      <c r="AE1889" s="25" t="n"/>
      <c r="AG1889" s="25" t="n"/>
      <c r="AH1889" s="25" t="n"/>
      <c r="AI1889" s="394" t="n"/>
      <c r="AM1889" s="48" t="n"/>
      <c r="AN1889" s="48" t="n"/>
      <c r="AO1889" s="48" t="n"/>
    </row>
    <row r="1890">
      <c r="M1890" s="25" t="n"/>
      <c r="Q1890" s="25" t="n"/>
      <c r="U1890" s="194" t="n"/>
      <c r="AA1890" s="25" t="n"/>
      <c r="AB1890" s="25" t="n"/>
      <c r="AC1890" s="195" t="n"/>
      <c r="AD1890" s="25" t="n"/>
      <c r="AE1890" s="25" t="n"/>
      <c r="AG1890" s="25" t="n"/>
      <c r="AH1890" s="25" t="n"/>
      <c r="AI1890" s="394" t="n"/>
      <c r="AM1890" s="48" t="n"/>
      <c r="AN1890" s="48" t="n"/>
      <c r="AO1890" s="48" t="n"/>
    </row>
    <row r="1891">
      <c r="M1891" s="25" t="n"/>
      <c r="Q1891" s="25" t="n"/>
      <c r="U1891" s="194" t="n"/>
      <c r="AA1891" s="25" t="n"/>
      <c r="AB1891" s="25" t="n"/>
      <c r="AC1891" s="195" t="n"/>
      <c r="AD1891" s="25" t="n"/>
      <c r="AE1891" s="25" t="n"/>
      <c r="AG1891" s="25" t="n"/>
      <c r="AH1891" s="25" t="n"/>
      <c r="AI1891" s="394" t="n"/>
      <c r="AM1891" s="48" t="n"/>
      <c r="AN1891" s="48" t="n"/>
      <c r="AO1891" s="48" t="n"/>
    </row>
    <row r="1892">
      <c r="M1892" s="25" t="n"/>
      <c r="Q1892" s="25" t="n"/>
      <c r="U1892" s="194" t="n"/>
      <c r="AA1892" s="25" t="n"/>
      <c r="AB1892" s="25" t="n"/>
      <c r="AC1892" s="195" t="n"/>
      <c r="AD1892" s="25" t="n"/>
      <c r="AE1892" s="25" t="n"/>
      <c r="AG1892" s="25" t="n"/>
      <c r="AH1892" s="25" t="n"/>
      <c r="AI1892" s="394" t="n"/>
      <c r="AM1892" s="48" t="n"/>
      <c r="AN1892" s="48" t="n"/>
      <c r="AO1892" s="48" t="n"/>
    </row>
    <row r="1893">
      <c r="M1893" s="25" t="n"/>
      <c r="Q1893" s="25" t="n"/>
      <c r="U1893" s="194" t="n"/>
      <c r="AA1893" s="25" t="n"/>
      <c r="AB1893" s="25" t="n"/>
      <c r="AC1893" s="195" t="n"/>
      <c r="AD1893" s="25" t="n"/>
      <c r="AE1893" s="25" t="n"/>
      <c r="AG1893" s="25" t="n"/>
      <c r="AH1893" s="25" t="n"/>
      <c r="AI1893" s="394" t="n"/>
      <c r="AM1893" s="48" t="n"/>
      <c r="AN1893" s="48" t="n"/>
      <c r="AO1893" s="48" t="n"/>
    </row>
    <row r="1894">
      <c r="M1894" s="25" t="n"/>
      <c r="Q1894" s="25" t="n"/>
      <c r="U1894" s="194" t="n"/>
      <c r="AA1894" s="25" t="n"/>
      <c r="AB1894" s="25" t="n"/>
      <c r="AC1894" s="195" t="n"/>
      <c r="AD1894" s="25" t="n"/>
      <c r="AE1894" s="25" t="n"/>
      <c r="AG1894" s="25" t="n"/>
      <c r="AH1894" s="25" t="n"/>
      <c r="AI1894" s="394" t="n"/>
      <c r="AM1894" s="48" t="n"/>
      <c r="AN1894" s="48" t="n"/>
      <c r="AO1894" s="48" t="n"/>
    </row>
    <row r="1895">
      <c r="M1895" s="25" t="n"/>
      <c r="Q1895" s="25" t="n"/>
      <c r="U1895" s="194" t="n"/>
      <c r="AA1895" s="25" t="n"/>
      <c r="AB1895" s="25" t="n"/>
      <c r="AC1895" s="195" t="n"/>
      <c r="AD1895" s="25" t="n"/>
      <c r="AE1895" s="25" t="n"/>
      <c r="AG1895" s="25" t="n"/>
      <c r="AH1895" s="25" t="n"/>
      <c r="AI1895" s="394" t="n"/>
      <c r="AM1895" s="48" t="n"/>
      <c r="AN1895" s="48" t="n"/>
      <c r="AO1895" s="48" t="n"/>
    </row>
    <row r="1896">
      <c r="M1896" s="25" t="n"/>
      <c r="Q1896" s="25" t="n"/>
      <c r="U1896" s="194" t="n"/>
      <c r="AA1896" s="25" t="n"/>
      <c r="AB1896" s="25" t="n"/>
      <c r="AC1896" s="195" t="n"/>
      <c r="AD1896" s="25" t="n"/>
      <c r="AE1896" s="25" t="n"/>
      <c r="AG1896" s="25" t="n"/>
      <c r="AH1896" s="25" t="n"/>
      <c r="AI1896" s="394" t="n"/>
      <c r="AM1896" s="48" t="n"/>
      <c r="AN1896" s="48" t="n"/>
      <c r="AO1896" s="48" t="n"/>
    </row>
    <row r="1897">
      <c r="M1897" s="25" t="n"/>
      <c r="Q1897" s="25" t="n"/>
      <c r="U1897" s="194" t="n"/>
      <c r="AA1897" s="25" t="n"/>
      <c r="AB1897" s="25" t="n"/>
      <c r="AC1897" s="195" t="n"/>
      <c r="AD1897" s="25" t="n"/>
      <c r="AE1897" s="25" t="n"/>
      <c r="AG1897" s="25" t="n"/>
      <c r="AH1897" s="25" t="n"/>
      <c r="AI1897" s="394" t="n"/>
      <c r="AM1897" s="48" t="n"/>
      <c r="AN1897" s="48" t="n"/>
      <c r="AO1897" s="48" t="n"/>
    </row>
    <row r="1898">
      <c r="M1898" s="25" t="n"/>
      <c r="Q1898" s="25" t="n"/>
      <c r="U1898" s="194" t="n"/>
      <c r="AA1898" s="25" t="n"/>
      <c r="AB1898" s="25" t="n"/>
      <c r="AC1898" s="195" t="n"/>
      <c r="AD1898" s="25" t="n"/>
      <c r="AE1898" s="25" t="n"/>
      <c r="AG1898" s="25" t="n"/>
      <c r="AH1898" s="25" t="n"/>
      <c r="AI1898" s="394" t="n"/>
      <c r="AM1898" s="48" t="n"/>
      <c r="AN1898" s="48" t="n"/>
      <c r="AO1898" s="48" t="n"/>
    </row>
    <row r="1899">
      <c r="M1899" s="25" t="n"/>
      <c r="Q1899" s="25" t="n"/>
      <c r="U1899" s="194" t="n"/>
      <c r="AA1899" s="25" t="n"/>
      <c r="AB1899" s="25" t="n"/>
      <c r="AC1899" s="195" t="n"/>
      <c r="AD1899" s="25" t="n"/>
      <c r="AE1899" s="25" t="n"/>
      <c r="AG1899" s="25" t="n"/>
      <c r="AH1899" s="25" t="n"/>
      <c r="AI1899" s="394" t="n"/>
      <c r="AM1899" s="48" t="n"/>
      <c r="AN1899" s="48" t="n"/>
      <c r="AO1899" s="48" t="n"/>
    </row>
    <row r="1900">
      <c r="M1900" s="25" t="n"/>
      <c r="Q1900" s="25" t="n"/>
      <c r="U1900" s="194" t="n"/>
      <c r="AA1900" s="25" t="n"/>
      <c r="AB1900" s="25" t="n"/>
      <c r="AC1900" s="195" t="n"/>
      <c r="AD1900" s="25" t="n"/>
      <c r="AE1900" s="25" t="n"/>
      <c r="AG1900" s="25" t="n"/>
      <c r="AH1900" s="25" t="n"/>
      <c r="AI1900" s="394" t="n"/>
      <c r="AM1900" s="48" t="n"/>
      <c r="AN1900" s="48" t="n"/>
      <c r="AO1900" s="48" t="n"/>
    </row>
    <row r="1901">
      <c r="M1901" s="25" t="n"/>
      <c r="Q1901" s="25" t="n"/>
      <c r="U1901" s="194" t="n"/>
      <c r="AA1901" s="25" t="n"/>
      <c r="AB1901" s="25" t="n"/>
      <c r="AC1901" s="195" t="n"/>
      <c r="AD1901" s="25" t="n"/>
      <c r="AE1901" s="25" t="n"/>
      <c r="AG1901" s="25" t="n"/>
      <c r="AH1901" s="25" t="n"/>
      <c r="AI1901" s="394" t="n"/>
      <c r="AM1901" s="48" t="n"/>
      <c r="AN1901" s="48" t="n"/>
      <c r="AO1901" s="48" t="n"/>
    </row>
    <row r="1902">
      <c r="M1902" s="25" t="n"/>
      <c r="Q1902" s="25" t="n"/>
      <c r="U1902" s="194" t="n"/>
      <c r="AA1902" s="25" t="n"/>
      <c r="AB1902" s="25" t="n"/>
      <c r="AC1902" s="195" t="n"/>
      <c r="AD1902" s="25" t="n"/>
      <c r="AE1902" s="25" t="n"/>
      <c r="AG1902" s="25" t="n"/>
      <c r="AH1902" s="25" t="n"/>
      <c r="AI1902" s="394" t="n"/>
      <c r="AM1902" s="48" t="n"/>
      <c r="AN1902" s="48" t="n"/>
      <c r="AO1902" s="48" t="n"/>
    </row>
    <row r="1903">
      <c r="M1903" s="25" t="n"/>
      <c r="Q1903" s="25" t="n"/>
      <c r="U1903" s="194" t="n"/>
      <c r="AA1903" s="25" t="n"/>
      <c r="AB1903" s="25" t="n"/>
      <c r="AC1903" s="195" t="n"/>
      <c r="AD1903" s="25" t="n"/>
      <c r="AE1903" s="25" t="n"/>
      <c r="AG1903" s="25" t="n"/>
      <c r="AH1903" s="25" t="n"/>
      <c r="AI1903" s="394" t="n"/>
      <c r="AM1903" s="48" t="n"/>
      <c r="AN1903" s="48" t="n"/>
      <c r="AO1903" s="48" t="n"/>
    </row>
    <row r="1904">
      <c r="M1904" s="25" t="n"/>
      <c r="Q1904" s="25" t="n"/>
      <c r="U1904" s="194" t="n"/>
      <c r="AA1904" s="25" t="n"/>
      <c r="AB1904" s="25" t="n"/>
      <c r="AC1904" s="195" t="n"/>
      <c r="AD1904" s="25" t="n"/>
      <c r="AE1904" s="25" t="n"/>
      <c r="AG1904" s="25" t="n"/>
      <c r="AH1904" s="25" t="n"/>
      <c r="AI1904" s="394" t="n"/>
      <c r="AM1904" s="48" t="n"/>
      <c r="AN1904" s="48" t="n"/>
      <c r="AO1904" s="48" t="n"/>
    </row>
    <row r="1905">
      <c r="M1905" s="25" t="n"/>
      <c r="Q1905" s="25" t="n"/>
      <c r="U1905" s="194" t="n"/>
      <c r="AA1905" s="25" t="n"/>
      <c r="AB1905" s="25" t="n"/>
      <c r="AC1905" s="195" t="n"/>
      <c r="AD1905" s="25" t="n"/>
      <c r="AE1905" s="25" t="n"/>
      <c r="AG1905" s="25" t="n"/>
      <c r="AH1905" s="25" t="n"/>
      <c r="AI1905" s="394" t="n"/>
      <c r="AM1905" s="48" t="n"/>
      <c r="AN1905" s="48" t="n"/>
      <c r="AO1905" s="48" t="n"/>
    </row>
    <row r="1906">
      <c r="M1906" s="25" t="n"/>
      <c r="Q1906" s="25" t="n"/>
      <c r="U1906" s="194" t="n"/>
      <c r="AA1906" s="25" t="n"/>
      <c r="AB1906" s="25" t="n"/>
      <c r="AC1906" s="195" t="n"/>
      <c r="AD1906" s="25" t="n"/>
      <c r="AE1906" s="25" t="n"/>
      <c r="AG1906" s="25" t="n"/>
      <c r="AH1906" s="25" t="n"/>
      <c r="AI1906" s="394" t="n"/>
      <c r="AM1906" s="48" t="n"/>
      <c r="AN1906" s="48" t="n"/>
      <c r="AO1906" s="48" t="n"/>
    </row>
    <row r="1907">
      <c r="M1907" s="25" t="n"/>
      <c r="Q1907" s="25" t="n"/>
      <c r="U1907" s="194" t="n"/>
      <c r="AA1907" s="25" t="n"/>
      <c r="AB1907" s="25" t="n"/>
      <c r="AC1907" s="195" t="n"/>
      <c r="AD1907" s="25" t="n"/>
      <c r="AE1907" s="25" t="n"/>
      <c r="AG1907" s="25" t="n"/>
      <c r="AH1907" s="25" t="n"/>
      <c r="AI1907" s="394" t="n"/>
      <c r="AM1907" s="48" t="n"/>
      <c r="AN1907" s="48" t="n"/>
      <c r="AO1907" s="48" t="n"/>
    </row>
    <row r="1908">
      <c r="M1908" s="25" t="n"/>
      <c r="Q1908" s="25" t="n"/>
      <c r="U1908" s="194" t="n"/>
      <c r="AA1908" s="25" t="n"/>
      <c r="AB1908" s="25" t="n"/>
      <c r="AC1908" s="195" t="n"/>
      <c r="AD1908" s="25" t="n"/>
      <c r="AE1908" s="25" t="n"/>
      <c r="AG1908" s="25" t="n"/>
      <c r="AH1908" s="25" t="n"/>
      <c r="AI1908" s="394" t="n"/>
      <c r="AM1908" s="48" t="n"/>
      <c r="AN1908" s="48" t="n"/>
      <c r="AO1908" s="48" t="n"/>
    </row>
    <row r="1909">
      <c r="M1909" s="25" t="n"/>
      <c r="Q1909" s="25" t="n"/>
      <c r="U1909" s="194" t="n"/>
      <c r="AA1909" s="25" t="n"/>
      <c r="AB1909" s="25" t="n"/>
      <c r="AC1909" s="195" t="n"/>
      <c r="AD1909" s="25" t="n"/>
      <c r="AE1909" s="25" t="n"/>
      <c r="AG1909" s="25" t="n"/>
      <c r="AH1909" s="25" t="n"/>
      <c r="AI1909" s="394" t="n"/>
      <c r="AM1909" s="48" t="n"/>
      <c r="AN1909" s="48" t="n"/>
      <c r="AO1909" s="48" t="n"/>
    </row>
    <row r="1910">
      <c r="M1910" s="25" t="n"/>
      <c r="Q1910" s="25" t="n"/>
      <c r="U1910" s="194" t="n"/>
      <c r="AA1910" s="25" t="n"/>
      <c r="AB1910" s="25" t="n"/>
      <c r="AC1910" s="195" t="n"/>
      <c r="AD1910" s="25" t="n"/>
      <c r="AE1910" s="25" t="n"/>
      <c r="AG1910" s="25" t="n"/>
      <c r="AH1910" s="25" t="n"/>
      <c r="AI1910" s="394" t="n"/>
      <c r="AM1910" s="48" t="n"/>
      <c r="AN1910" s="48" t="n"/>
      <c r="AO1910" s="48" t="n"/>
    </row>
    <row r="1911">
      <c r="M1911" s="25" t="n"/>
      <c r="Q1911" s="25" t="n"/>
      <c r="U1911" s="194" t="n"/>
      <c r="AA1911" s="25" t="n"/>
      <c r="AB1911" s="25" t="n"/>
      <c r="AC1911" s="195" t="n"/>
      <c r="AD1911" s="25" t="n"/>
      <c r="AE1911" s="25" t="n"/>
      <c r="AG1911" s="25" t="n"/>
      <c r="AH1911" s="25" t="n"/>
      <c r="AI1911" s="394" t="n"/>
      <c r="AM1911" s="48" t="n"/>
      <c r="AN1911" s="48" t="n"/>
      <c r="AO1911" s="48" t="n"/>
    </row>
    <row r="1912">
      <c r="M1912" s="25" t="n"/>
      <c r="Q1912" s="25" t="n"/>
      <c r="U1912" s="194" t="n"/>
      <c r="AA1912" s="25" t="n"/>
      <c r="AB1912" s="25" t="n"/>
      <c r="AC1912" s="195" t="n"/>
      <c r="AD1912" s="25" t="n"/>
      <c r="AE1912" s="25" t="n"/>
      <c r="AG1912" s="25" t="n"/>
      <c r="AH1912" s="25" t="n"/>
      <c r="AI1912" s="394" t="n"/>
      <c r="AM1912" s="48" t="n"/>
      <c r="AN1912" s="48" t="n"/>
      <c r="AO1912" s="48" t="n"/>
    </row>
    <row r="1913">
      <c r="M1913" s="25" t="n"/>
      <c r="Q1913" s="25" t="n"/>
      <c r="U1913" s="194" t="n"/>
      <c r="AA1913" s="25" t="n"/>
      <c r="AB1913" s="25" t="n"/>
      <c r="AC1913" s="195" t="n"/>
      <c r="AD1913" s="25" t="n"/>
      <c r="AE1913" s="25" t="n"/>
      <c r="AG1913" s="25" t="n"/>
      <c r="AH1913" s="25" t="n"/>
      <c r="AI1913" s="394" t="n"/>
      <c r="AM1913" s="48" t="n"/>
      <c r="AN1913" s="48" t="n"/>
      <c r="AO1913" s="48" t="n"/>
    </row>
    <row r="1914">
      <c r="M1914" s="25" t="n"/>
      <c r="Q1914" s="25" t="n"/>
      <c r="U1914" s="194" t="n"/>
      <c r="AA1914" s="25" t="n"/>
      <c r="AB1914" s="25" t="n"/>
      <c r="AC1914" s="195" t="n"/>
      <c r="AD1914" s="25" t="n"/>
      <c r="AE1914" s="25" t="n"/>
      <c r="AG1914" s="25" t="n"/>
      <c r="AH1914" s="25" t="n"/>
      <c r="AI1914" s="394" t="n"/>
      <c r="AM1914" s="48" t="n"/>
      <c r="AN1914" s="48" t="n"/>
      <c r="AO1914" s="48" t="n"/>
    </row>
    <row r="1915">
      <c r="M1915" s="25" t="n"/>
      <c r="Q1915" s="25" t="n"/>
      <c r="U1915" s="194" t="n"/>
      <c r="AA1915" s="25" t="n"/>
      <c r="AB1915" s="25" t="n"/>
      <c r="AC1915" s="195" t="n"/>
      <c r="AD1915" s="25" t="n"/>
      <c r="AE1915" s="25" t="n"/>
      <c r="AG1915" s="25" t="n"/>
      <c r="AH1915" s="25" t="n"/>
      <c r="AI1915" s="394" t="n"/>
      <c r="AM1915" s="48" t="n"/>
      <c r="AN1915" s="48" t="n"/>
      <c r="AO1915" s="48" t="n"/>
    </row>
    <row r="1916">
      <c r="M1916" s="25" t="n"/>
      <c r="Q1916" s="25" t="n"/>
      <c r="U1916" s="194" t="n"/>
      <c r="AA1916" s="25" t="n"/>
      <c r="AB1916" s="25" t="n"/>
      <c r="AC1916" s="195" t="n"/>
      <c r="AD1916" s="25" t="n"/>
      <c r="AE1916" s="25" t="n"/>
      <c r="AG1916" s="25" t="n"/>
      <c r="AH1916" s="25" t="n"/>
      <c r="AI1916" s="394" t="n"/>
      <c r="AM1916" s="48" t="n"/>
      <c r="AN1916" s="48" t="n"/>
      <c r="AO1916" s="48" t="n"/>
    </row>
    <row r="1917">
      <c r="M1917" s="25" t="n"/>
      <c r="Q1917" s="25" t="n"/>
      <c r="U1917" s="194" t="n"/>
      <c r="AA1917" s="25" t="n"/>
      <c r="AB1917" s="25" t="n"/>
      <c r="AC1917" s="195" t="n"/>
      <c r="AD1917" s="25" t="n"/>
      <c r="AE1917" s="25" t="n"/>
      <c r="AG1917" s="25" t="n"/>
      <c r="AH1917" s="25" t="n"/>
      <c r="AI1917" s="394" t="n"/>
      <c r="AM1917" s="48" t="n"/>
      <c r="AN1917" s="48" t="n"/>
      <c r="AO1917" s="48" t="n"/>
    </row>
    <row r="1918">
      <c r="M1918" s="25" t="n"/>
      <c r="Q1918" s="25" t="n"/>
      <c r="U1918" s="194" t="n"/>
      <c r="AA1918" s="25" t="n"/>
      <c r="AB1918" s="25" t="n"/>
      <c r="AC1918" s="195" t="n"/>
      <c r="AD1918" s="25" t="n"/>
      <c r="AE1918" s="25" t="n"/>
      <c r="AG1918" s="25" t="n"/>
      <c r="AH1918" s="25" t="n"/>
      <c r="AI1918" s="394" t="n"/>
      <c r="AM1918" s="48" t="n"/>
      <c r="AN1918" s="48" t="n"/>
      <c r="AO1918" s="48" t="n"/>
    </row>
    <row r="1919">
      <c r="M1919" s="25" t="n"/>
      <c r="Q1919" s="25" t="n"/>
      <c r="U1919" s="194" t="n"/>
      <c r="AA1919" s="25" t="n"/>
      <c r="AB1919" s="25" t="n"/>
      <c r="AC1919" s="195" t="n"/>
      <c r="AD1919" s="25" t="n"/>
      <c r="AE1919" s="25" t="n"/>
      <c r="AG1919" s="25" t="n"/>
      <c r="AH1919" s="25" t="n"/>
      <c r="AI1919" s="394" t="n"/>
      <c r="AM1919" s="48" t="n"/>
      <c r="AN1919" s="48" t="n"/>
      <c r="AO1919" s="48" t="n"/>
    </row>
    <row r="1920">
      <c r="M1920" s="25" t="n"/>
      <c r="Q1920" s="25" t="n"/>
      <c r="U1920" s="194" t="n"/>
      <c r="AA1920" s="25" t="n"/>
      <c r="AB1920" s="25" t="n"/>
      <c r="AC1920" s="195" t="n"/>
      <c r="AD1920" s="25" t="n"/>
      <c r="AE1920" s="25" t="n"/>
      <c r="AG1920" s="25" t="n"/>
      <c r="AH1920" s="25" t="n"/>
      <c r="AI1920" s="394" t="n"/>
      <c r="AM1920" s="48" t="n"/>
      <c r="AN1920" s="48" t="n"/>
      <c r="AO1920" s="48" t="n"/>
    </row>
    <row r="1921">
      <c r="M1921" s="25" t="n"/>
      <c r="Q1921" s="25" t="n"/>
      <c r="U1921" s="194" t="n"/>
      <c r="AA1921" s="25" t="n"/>
      <c r="AB1921" s="25" t="n"/>
      <c r="AC1921" s="195" t="n"/>
      <c r="AD1921" s="25" t="n"/>
      <c r="AE1921" s="25" t="n"/>
      <c r="AG1921" s="25" t="n"/>
      <c r="AH1921" s="25" t="n"/>
      <c r="AI1921" s="394" t="n"/>
      <c r="AM1921" s="48" t="n"/>
      <c r="AN1921" s="48" t="n"/>
      <c r="AO1921" s="48" t="n"/>
    </row>
    <row r="1922">
      <c r="M1922" s="25" t="n"/>
      <c r="Q1922" s="25" t="n"/>
      <c r="U1922" s="194" t="n"/>
      <c r="AA1922" s="25" t="n"/>
      <c r="AB1922" s="25" t="n"/>
      <c r="AC1922" s="195" t="n"/>
      <c r="AD1922" s="25" t="n"/>
      <c r="AE1922" s="25" t="n"/>
      <c r="AG1922" s="25" t="n"/>
      <c r="AH1922" s="25" t="n"/>
      <c r="AI1922" s="394" t="n"/>
      <c r="AM1922" s="48" t="n"/>
      <c r="AN1922" s="48" t="n"/>
      <c r="AO1922" s="48" t="n"/>
    </row>
    <row r="1923">
      <c r="M1923" s="25" t="n"/>
      <c r="Q1923" s="25" t="n"/>
      <c r="U1923" s="194" t="n"/>
      <c r="AA1923" s="25" t="n"/>
      <c r="AB1923" s="25" t="n"/>
      <c r="AC1923" s="195" t="n"/>
      <c r="AD1923" s="25" t="n"/>
      <c r="AE1923" s="25" t="n"/>
      <c r="AG1923" s="25" t="n"/>
      <c r="AH1923" s="25" t="n"/>
      <c r="AI1923" s="394" t="n"/>
      <c r="AM1923" s="48" t="n"/>
      <c r="AN1923" s="48" t="n"/>
      <c r="AO1923" s="48" t="n"/>
    </row>
    <row r="1924">
      <c r="M1924" s="25" t="n"/>
      <c r="Q1924" s="25" t="n"/>
      <c r="U1924" s="194" t="n"/>
      <c r="AA1924" s="25" t="n"/>
      <c r="AB1924" s="25" t="n"/>
      <c r="AC1924" s="195" t="n"/>
      <c r="AD1924" s="25" t="n"/>
      <c r="AE1924" s="25" t="n"/>
      <c r="AG1924" s="25" t="n"/>
      <c r="AH1924" s="25" t="n"/>
      <c r="AI1924" s="394" t="n"/>
      <c r="AM1924" s="48" t="n"/>
      <c r="AN1924" s="48" t="n"/>
      <c r="AO1924" s="48" t="n"/>
    </row>
    <row r="1925">
      <c r="M1925" s="25" t="n"/>
      <c r="Q1925" s="25" t="n"/>
      <c r="U1925" s="194" t="n"/>
      <c r="AA1925" s="25" t="n"/>
      <c r="AB1925" s="25" t="n"/>
      <c r="AC1925" s="195" t="n"/>
      <c r="AD1925" s="25" t="n"/>
      <c r="AE1925" s="25" t="n"/>
      <c r="AG1925" s="25" t="n"/>
      <c r="AH1925" s="25" t="n"/>
      <c r="AI1925" s="394" t="n"/>
      <c r="AM1925" s="48" t="n"/>
      <c r="AN1925" s="48" t="n"/>
      <c r="AO1925" s="48" t="n"/>
    </row>
    <row r="1926">
      <c r="M1926" s="25" t="n"/>
      <c r="Q1926" s="25" t="n"/>
      <c r="U1926" s="194" t="n"/>
      <c r="AA1926" s="25" t="n"/>
      <c r="AB1926" s="25" t="n"/>
      <c r="AC1926" s="195" t="n"/>
      <c r="AD1926" s="25" t="n"/>
      <c r="AE1926" s="25" t="n"/>
      <c r="AG1926" s="25" t="n"/>
      <c r="AH1926" s="25" t="n"/>
      <c r="AI1926" s="394" t="n"/>
      <c r="AM1926" s="48" t="n"/>
      <c r="AN1926" s="48" t="n"/>
      <c r="AO1926" s="48" t="n"/>
    </row>
    <row r="1927">
      <c r="M1927" s="25" t="n"/>
      <c r="Q1927" s="25" t="n"/>
      <c r="U1927" s="194" t="n"/>
      <c r="AA1927" s="25" t="n"/>
      <c r="AB1927" s="25" t="n"/>
      <c r="AC1927" s="195" t="n"/>
      <c r="AD1927" s="25" t="n"/>
      <c r="AE1927" s="25" t="n"/>
      <c r="AG1927" s="25" t="n"/>
      <c r="AH1927" s="25" t="n"/>
      <c r="AI1927" s="394" t="n"/>
      <c r="AM1927" s="48" t="n"/>
      <c r="AN1927" s="48" t="n"/>
      <c r="AO1927" s="48" t="n"/>
    </row>
    <row r="1928">
      <c r="M1928" s="25" t="n"/>
      <c r="Q1928" s="25" t="n"/>
      <c r="U1928" s="194" t="n"/>
      <c r="AA1928" s="25" t="n"/>
      <c r="AB1928" s="25" t="n"/>
      <c r="AC1928" s="195" t="n"/>
      <c r="AD1928" s="25" t="n"/>
      <c r="AE1928" s="25" t="n"/>
      <c r="AG1928" s="25" t="n"/>
      <c r="AH1928" s="25" t="n"/>
      <c r="AI1928" s="394" t="n"/>
      <c r="AM1928" s="48" t="n"/>
      <c r="AN1928" s="48" t="n"/>
      <c r="AO1928" s="48" t="n"/>
    </row>
    <row r="1929">
      <c r="M1929" s="25" t="n"/>
      <c r="Q1929" s="25" t="n"/>
      <c r="U1929" s="194" t="n"/>
      <c r="AA1929" s="25" t="n"/>
      <c r="AB1929" s="25" t="n"/>
      <c r="AC1929" s="195" t="n"/>
      <c r="AD1929" s="25" t="n"/>
      <c r="AE1929" s="25" t="n"/>
      <c r="AG1929" s="25" t="n"/>
      <c r="AH1929" s="25" t="n"/>
      <c r="AI1929" s="394" t="n"/>
      <c r="AM1929" s="48" t="n"/>
      <c r="AN1929" s="48" t="n"/>
      <c r="AO1929" s="48" t="n"/>
    </row>
    <row r="1930">
      <c r="M1930" s="25" t="n"/>
      <c r="Q1930" s="25" t="n"/>
      <c r="U1930" s="194" t="n"/>
      <c r="AA1930" s="25" t="n"/>
      <c r="AB1930" s="25" t="n"/>
      <c r="AC1930" s="195" t="n"/>
      <c r="AD1930" s="25" t="n"/>
      <c r="AE1930" s="25" t="n"/>
      <c r="AG1930" s="25" t="n"/>
      <c r="AH1930" s="25" t="n"/>
      <c r="AI1930" s="394" t="n"/>
      <c r="AM1930" s="48" t="n"/>
      <c r="AN1930" s="48" t="n"/>
      <c r="AO1930" s="48" t="n"/>
    </row>
    <row r="1931">
      <c r="M1931" s="25" t="n"/>
      <c r="Q1931" s="25" t="n"/>
      <c r="U1931" s="194" t="n"/>
      <c r="AA1931" s="25" t="n"/>
      <c r="AB1931" s="25" t="n"/>
      <c r="AC1931" s="195" t="n"/>
      <c r="AD1931" s="25" t="n"/>
      <c r="AE1931" s="25" t="n"/>
      <c r="AG1931" s="25" t="n"/>
      <c r="AH1931" s="25" t="n"/>
      <c r="AI1931" s="394" t="n"/>
      <c r="AM1931" s="48" t="n"/>
      <c r="AN1931" s="48" t="n"/>
      <c r="AO1931" s="48" t="n"/>
    </row>
    <row r="1932">
      <c r="M1932" s="25" t="n"/>
      <c r="Q1932" s="25" t="n"/>
      <c r="U1932" s="194" t="n"/>
      <c r="AA1932" s="25" t="n"/>
      <c r="AB1932" s="25" t="n"/>
      <c r="AC1932" s="195" t="n"/>
      <c r="AD1932" s="25" t="n"/>
      <c r="AE1932" s="25" t="n"/>
      <c r="AG1932" s="25" t="n"/>
      <c r="AH1932" s="25" t="n"/>
      <c r="AI1932" s="394" t="n"/>
      <c r="AM1932" s="48" t="n"/>
      <c r="AN1932" s="48" t="n"/>
      <c r="AO1932" s="48" t="n"/>
    </row>
    <row r="1933">
      <c r="M1933" s="25" t="n"/>
      <c r="Q1933" s="25" t="n"/>
      <c r="U1933" s="194" t="n"/>
      <c r="AA1933" s="25" t="n"/>
      <c r="AB1933" s="25" t="n"/>
      <c r="AC1933" s="195" t="n"/>
      <c r="AD1933" s="25" t="n"/>
      <c r="AE1933" s="25" t="n"/>
      <c r="AG1933" s="25" t="n"/>
      <c r="AH1933" s="25" t="n"/>
      <c r="AI1933" s="394" t="n"/>
      <c r="AM1933" s="48" t="n"/>
      <c r="AN1933" s="48" t="n"/>
      <c r="AO1933" s="48" t="n"/>
    </row>
    <row r="1934">
      <c r="M1934" s="25" t="n"/>
      <c r="Q1934" s="25" t="n"/>
      <c r="U1934" s="194" t="n"/>
      <c r="AA1934" s="25" t="n"/>
      <c r="AB1934" s="25" t="n"/>
      <c r="AC1934" s="195" t="n"/>
      <c r="AD1934" s="25" t="n"/>
      <c r="AE1934" s="25" t="n"/>
      <c r="AG1934" s="25" t="n"/>
      <c r="AH1934" s="25" t="n"/>
      <c r="AI1934" s="394" t="n"/>
      <c r="AM1934" s="48" t="n"/>
      <c r="AN1934" s="48" t="n"/>
      <c r="AO1934" s="48" t="n"/>
    </row>
    <row r="1935">
      <c r="M1935" s="25" t="n"/>
      <c r="Q1935" s="25" t="n"/>
      <c r="U1935" s="194" t="n"/>
      <c r="AA1935" s="25" t="n"/>
      <c r="AB1935" s="25" t="n"/>
      <c r="AC1935" s="195" t="n"/>
      <c r="AD1935" s="25" t="n"/>
      <c r="AE1935" s="25" t="n"/>
      <c r="AG1935" s="25" t="n"/>
      <c r="AH1935" s="25" t="n"/>
      <c r="AI1935" s="394" t="n"/>
      <c r="AM1935" s="48" t="n"/>
      <c r="AN1935" s="48" t="n"/>
      <c r="AO1935" s="48" t="n"/>
    </row>
    <row r="1936">
      <c r="M1936" s="25" t="n"/>
      <c r="Q1936" s="25" t="n"/>
      <c r="U1936" s="194" t="n"/>
      <c r="AA1936" s="25" t="n"/>
      <c r="AB1936" s="25" t="n"/>
      <c r="AC1936" s="195" t="n"/>
      <c r="AD1936" s="25" t="n"/>
      <c r="AE1936" s="25" t="n"/>
      <c r="AG1936" s="25" t="n"/>
      <c r="AH1936" s="25" t="n"/>
      <c r="AI1936" s="394" t="n"/>
      <c r="AM1936" s="48" t="n"/>
      <c r="AN1936" s="48" t="n"/>
      <c r="AO1936" s="48" t="n"/>
    </row>
    <row r="1937">
      <c r="M1937" s="25" t="n"/>
      <c r="Q1937" s="25" t="n"/>
      <c r="U1937" s="194" t="n"/>
      <c r="AA1937" s="25" t="n"/>
      <c r="AB1937" s="25" t="n"/>
      <c r="AC1937" s="195" t="n"/>
      <c r="AD1937" s="25" t="n"/>
      <c r="AE1937" s="25" t="n"/>
      <c r="AG1937" s="25" t="n"/>
      <c r="AH1937" s="25" t="n"/>
      <c r="AI1937" s="394" t="n"/>
      <c r="AM1937" s="48" t="n"/>
      <c r="AN1937" s="48" t="n"/>
      <c r="AO1937" s="48" t="n"/>
    </row>
    <row r="1938">
      <c r="M1938" s="25" t="n"/>
      <c r="Q1938" s="25" t="n"/>
      <c r="U1938" s="194" t="n"/>
      <c r="AA1938" s="25" t="n"/>
      <c r="AB1938" s="25" t="n"/>
      <c r="AC1938" s="195" t="n"/>
      <c r="AD1938" s="25" t="n"/>
      <c r="AE1938" s="25" t="n"/>
      <c r="AG1938" s="25" t="n"/>
      <c r="AH1938" s="25" t="n"/>
      <c r="AI1938" s="394" t="n"/>
      <c r="AM1938" s="48" t="n"/>
      <c r="AN1938" s="48" t="n"/>
      <c r="AO1938" s="48" t="n"/>
    </row>
    <row r="1939">
      <c r="M1939" s="25" t="n"/>
      <c r="Q1939" s="25" t="n"/>
      <c r="U1939" s="194" t="n"/>
      <c r="AA1939" s="25" t="n"/>
      <c r="AB1939" s="25" t="n"/>
      <c r="AC1939" s="195" t="n"/>
      <c r="AD1939" s="25" t="n"/>
      <c r="AE1939" s="25" t="n"/>
      <c r="AG1939" s="25" t="n"/>
      <c r="AH1939" s="25" t="n"/>
      <c r="AI1939" s="394" t="n"/>
      <c r="AM1939" s="48" t="n"/>
      <c r="AN1939" s="48" t="n"/>
      <c r="AO1939" s="48" t="n"/>
    </row>
    <row r="1940">
      <c r="M1940" s="25" t="n"/>
      <c r="Q1940" s="25" t="n"/>
      <c r="U1940" s="194" t="n"/>
      <c r="AA1940" s="25" t="n"/>
      <c r="AB1940" s="25" t="n"/>
      <c r="AC1940" s="195" t="n"/>
      <c r="AD1940" s="25" t="n"/>
      <c r="AE1940" s="25" t="n"/>
      <c r="AG1940" s="25" t="n"/>
      <c r="AH1940" s="25" t="n"/>
      <c r="AI1940" s="394" t="n"/>
      <c r="AM1940" s="48" t="n"/>
      <c r="AN1940" s="48" t="n"/>
      <c r="AO1940" s="48" t="n"/>
    </row>
    <row r="1941">
      <c r="M1941" s="25" t="n"/>
      <c r="Q1941" s="25" t="n"/>
      <c r="U1941" s="194" t="n"/>
      <c r="AA1941" s="25" t="n"/>
      <c r="AB1941" s="25" t="n"/>
      <c r="AC1941" s="195" t="n"/>
      <c r="AD1941" s="25" t="n"/>
      <c r="AE1941" s="25" t="n"/>
      <c r="AG1941" s="25" t="n"/>
      <c r="AH1941" s="25" t="n"/>
      <c r="AI1941" s="394" t="n"/>
      <c r="AM1941" s="48" t="n"/>
      <c r="AN1941" s="48" t="n"/>
      <c r="AO1941" s="48" t="n"/>
    </row>
    <row r="1942">
      <c r="M1942" s="25" t="n"/>
      <c r="Q1942" s="25" t="n"/>
      <c r="U1942" s="194" t="n"/>
      <c r="AA1942" s="25" t="n"/>
      <c r="AB1942" s="25" t="n"/>
      <c r="AC1942" s="195" t="n"/>
      <c r="AD1942" s="25" t="n"/>
      <c r="AE1942" s="25" t="n"/>
      <c r="AG1942" s="25" t="n"/>
      <c r="AH1942" s="25" t="n"/>
      <c r="AI1942" s="394" t="n"/>
      <c r="AM1942" s="48" t="n"/>
      <c r="AN1942" s="48" t="n"/>
      <c r="AO1942" s="48" t="n"/>
    </row>
    <row r="1943">
      <c r="M1943" s="25" t="n"/>
      <c r="Q1943" s="25" t="n"/>
      <c r="U1943" s="194" t="n"/>
      <c r="AA1943" s="25" t="n"/>
      <c r="AB1943" s="25" t="n"/>
      <c r="AC1943" s="195" t="n"/>
      <c r="AD1943" s="25" t="n"/>
      <c r="AE1943" s="25" t="n"/>
      <c r="AG1943" s="25" t="n"/>
      <c r="AH1943" s="25" t="n"/>
      <c r="AI1943" s="394" t="n"/>
      <c r="AM1943" s="48" t="n"/>
      <c r="AN1943" s="48" t="n"/>
      <c r="AO1943" s="48" t="n"/>
    </row>
    <row r="1944">
      <c r="M1944" s="25" t="n"/>
      <c r="Q1944" s="25" t="n"/>
      <c r="U1944" s="194" t="n"/>
      <c r="AA1944" s="25" t="n"/>
      <c r="AB1944" s="25" t="n"/>
      <c r="AC1944" s="195" t="n"/>
      <c r="AD1944" s="25" t="n"/>
      <c r="AE1944" s="25" t="n"/>
      <c r="AG1944" s="25" t="n"/>
      <c r="AH1944" s="25" t="n"/>
      <c r="AI1944" s="394" t="n"/>
      <c r="AM1944" s="48" t="n"/>
      <c r="AN1944" s="48" t="n"/>
      <c r="AO1944" s="48" t="n"/>
    </row>
    <row r="1945">
      <c r="M1945" s="25" t="n"/>
      <c r="Q1945" s="25" t="n"/>
      <c r="U1945" s="194" t="n"/>
      <c r="AA1945" s="25" t="n"/>
      <c r="AB1945" s="25" t="n"/>
      <c r="AC1945" s="195" t="n"/>
      <c r="AD1945" s="25" t="n"/>
      <c r="AE1945" s="25" t="n"/>
      <c r="AG1945" s="25" t="n"/>
      <c r="AH1945" s="25" t="n"/>
      <c r="AI1945" s="394" t="n"/>
      <c r="AM1945" s="48" t="n"/>
      <c r="AN1945" s="48" t="n"/>
      <c r="AO1945" s="48" t="n"/>
    </row>
    <row r="1946">
      <c r="M1946" s="25" t="n"/>
      <c r="Q1946" s="25" t="n"/>
      <c r="U1946" s="194" t="n"/>
      <c r="AA1946" s="25" t="n"/>
      <c r="AB1946" s="25" t="n"/>
      <c r="AC1946" s="195" t="n"/>
      <c r="AD1946" s="25" t="n"/>
      <c r="AE1946" s="25" t="n"/>
      <c r="AG1946" s="25" t="n"/>
      <c r="AH1946" s="25" t="n"/>
      <c r="AI1946" s="394" t="n"/>
      <c r="AM1946" s="48" t="n"/>
      <c r="AN1946" s="48" t="n"/>
      <c r="AO1946" s="48" t="n"/>
    </row>
    <row r="1947">
      <c r="M1947" s="25" t="n"/>
      <c r="Q1947" s="25" t="n"/>
      <c r="U1947" s="194" t="n"/>
      <c r="AA1947" s="25" t="n"/>
      <c r="AB1947" s="25" t="n"/>
      <c r="AC1947" s="195" t="n"/>
      <c r="AD1947" s="25" t="n"/>
      <c r="AE1947" s="25" t="n"/>
      <c r="AG1947" s="25" t="n"/>
      <c r="AH1947" s="25" t="n"/>
      <c r="AI1947" s="394" t="n"/>
      <c r="AM1947" s="48" t="n"/>
      <c r="AN1947" s="48" t="n"/>
      <c r="AO1947" s="48" t="n"/>
    </row>
    <row r="1948">
      <c r="M1948" s="25" t="n"/>
      <c r="Q1948" s="25" t="n"/>
      <c r="U1948" s="194" t="n"/>
      <c r="AA1948" s="25" t="n"/>
      <c r="AB1948" s="25" t="n"/>
      <c r="AC1948" s="195" t="n"/>
      <c r="AD1948" s="25" t="n"/>
      <c r="AE1948" s="25" t="n"/>
      <c r="AG1948" s="25" t="n"/>
      <c r="AH1948" s="25" t="n"/>
      <c r="AI1948" s="394" t="n"/>
      <c r="AM1948" s="48" t="n"/>
      <c r="AN1948" s="48" t="n"/>
      <c r="AO1948" s="48" t="n"/>
    </row>
    <row r="1949">
      <c r="M1949" s="25" t="n"/>
      <c r="Q1949" s="25" t="n"/>
      <c r="U1949" s="194" t="n"/>
      <c r="AA1949" s="25" t="n"/>
      <c r="AB1949" s="25" t="n"/>
      <c r="AC1949" s="195" t="n"/>
      <c r="AD1949" s="25" t="n"/>
      <c r="AE1949" s="25" t="n"/>
      <c r="AG1949" s="25" t="n"/>
      <c r="AH1949" s="25" t="n"/>
      <c r="AI1949" s="394" t="n"/>
      <c r="AM1949" s="48" t="n"/>
      <c r="AN1949" s="48" t="n"/>
      <c r="AO1949" s="48" t="n"/>
    </row>
    <row r="1950">
      <c r="M1950" s="25" t="n"/>
      <c r="Q1950" s="25" t="n"/>
      <c r="U1950" s="194" t="n"/>
      <c r="AA1950" s="25" t="n"/>
      <c r="AB1950" s="25" t="n"/>
      <c r="AC1950" s="195" t="n"/>
      <c r="AD1950" s="25" t="n"/>
      <c r="AE1950" s="25" t="n"/>
      <c r="AG1950" s="25" t="n"/>
      <c r="AH1950" s="25" t="n"/>
      <c r="AI1950" s="394" t="n"/>
      <c r="AM1950" s="48" t="n"/>
      <c r="AN1950" s="48" t="n"/>
      <c r="AO1950" s="48" t="n"/>
    </row>
    <row r="1951">
      <c r="M1951" s="25" t="n"/>
      <c r="Q1951" s="25" t="n"/>
      <c r="U1951" s="194" t="n"/>
      <c r="AA1951" s="25" t="n"/>
      <c r="AB1951" s="25" t="n"/>
      <c r="AC1951" s="195" t="n"/>
      <c r="AD1951" s="25" t="n"/>
      <c r="AE1951" s="25" t="n"/>
      <c r="AG1951" s="25" t="n"/>
      <c r="AH1951" s="25" t="n"/>
      <c r="AI1951" s="394" t="n"/>
      <c r="AM1951" s="48" t="n"/>
      <c r="AN1951" s="48" t="n"/>
      <c r="AO1951" s="48" t="n"/>
    </row>
    <row r="1952">
      <c r="M1952" s="25" t="n"/>
      <c r="Q1952" s="25" t="n"/>
      <c r="U1952" s="194" t="n"/>
      <c r="AA1952" s="25" t="n"/>
      <c r="AB1952" s="25" t="n"/>
      <c r="AC1952" s="195" t="n"/>
      <c r="AD1952" s="25" t="n"/>
      <c r="AE1952" s="25" t="n"/>
      <c r="AG1952" s="25" t="n"/>
      <c r="AH1952" s="25" t="n"/>
      <c r="AI1952" s="394" t="n"/>
      <c r="AM1952" s="48" t="n"/>
      <c r="AN1952" s="48" t="n"/>
      <c r="AO1952" s="48" t="n"/>
    </row>
    <row r="1953">
      <c r="M1953" s="25" t="n"/>
      <c r="Q1953" s="25" t="n"/>
      <c r="U1953" s="194" t="n"/>
      <c r="AA1953" s="25" t="n"/>
      <c r="AB1953" s="25" t="n"/>
      <c r="AC1953" s="195" t="n"/>
      <c r="AD1953" s="25" t="n"/>
      <c r="AE1953" s="25" t="n"/>
      <c r="AG1953" s="25" t="n"/>
      <c r="AH1953" s="25" t="n"/>
      <c r="AI1953" s="394" t="n"/>
      <c r="AM1953" s="48" t="n"/>
      <c r="AN1953" s="48" t="n"/>
      <c r="AO1953" s="48" t="n"/>
    </row>
    <row r="1954">
      <c r="M1954" s="25" t="n"/>
      <c r="Q1954" s="25" t="n"/>
      <c r="U1954" s="194" t="n"/>
      <c r="AA1954" s="25" t="n"/>
      <c r="AB1954" s="25" t="n"/>
      <c r="AC1954" s="195" t="n"/>
      <c r="AD1954" s="25" t="n"/>
      <c r="AE1954" s="25" t="n"/>
      <c r="AG1954" s="25" t="n"/>
      <c r="AH1954" s="25" t="n"/>
      <c r="AI1954" s="394" t="n"/>
      <c r="AM1954" s="48" t="n"/>
      <c r="AN1954" s="48" t="n"/>
      <c r="AO1954" s="48" t="n"/>
    </row>
    <row r="1955">
      <c r="M1955" s="25" t="n"/>
      <c r="Q1955" s="25" t="n"/>
      <c r="U1955" s="194" t="n"/>
      <c r="AA1955" s="25" t="n"/>
      <c r="AB1955" s="25" t="n"/>
      <c r="AC1955" s="195" t="n"/>
      <c r="AD1955" s="25" t="n"/>
      <c r="AE1955" s="25" t="n"/>
      <c r="AG1955" s="25" t="n"/>
      <c r="AH1955" s="25" t="n"/>
      <c r="AI1955" s="394" t="n"/>
      <c r="AM1955" s="48" t="n"/>
      <c r="AN1955" s="48" t="n"/>
      <c r="AO1955" s="48" t="n"/>
    </row>
    <row r="1956">
      <c r="M1956" s="25" t="n"/>
      <c r="Q1956" s="25" t="n"/>
      <c r="U1956" s="194" t="n"/>
      <c r="AA1956" s="25" t="n"/>
      <c r="AB1956" s="25" t="n"/>
      <c r="AC1956" s="195" t="n"/>
      <c r="AD1956" s="25" t="n"/>
      <c r="AE1956" s="25" t="n"/>
      <c r="AG1956" s="25" t="n"/>
      <c r="AH1956" s="25" t="n"/>
      <c r="AI1956" s="394" t="n"/>
      <c r="AM1956" s="48" t="n"/>
      <c r="AN1956" s="48" t="n"/>
      <c r="AO1956" s="48" t="n"/>
    </row>
    <row r="1957">
      <c r="M1957" s="25" t="n"/>
      <c r="Q1957" s="25" t="n"/>
      <c r="U1957" s="194" t="n"/>
      <c r="AA1957" s="25" t="n"/>
      <c r="AB1957" s="25" t="n"/>
      <c r="AC1957" s="195" t="n"/>
      <c r="AD1957" s="25" t="n"/>
      <c r="AE1957" s="25" t="n"/>
      <c r="AG1957" s="25" t="n"/>
      <c r="AH1957" s="25" t="n"/>
      <c r="AI1957" s="394" t="n"/>
      <c r="AM1957" s="48" t="n"/>
      <c r="AN1957" s="48" t="n"/>
      <c r="AO1957" s="48" t="n"/>
    </row>
    <row r="1958">
      <c r="M1958" s="25" t="n"/>
      <c r="Q1958" s="25" t="n"/>
      <c r="U1958" s="194" t="n"/>
      <c r="AA1958" s="25" t="n"/>
      <c r="AB1958" s="25" t="n"/>
      <c r="AC1958" s="195" t="n"/>
      <c r="AD1958" s="25" t="n"/>
      <c r="AE1958" s="25" t="n"/>
      <c r="AG1958" s="25" t="n"/>
      <c r="AH1958" s="25" t="n"/>
      <c r="AI1958" s="394" t="n"/>
      <c r="AM1958" s="48" t="n"/>
      <c r="AN1958" s="48" t="n"/>
      <c r="AO1958" s="48" t="n"/>
    </row>
    <row r="1959">
      <c r="M1959" s="25" t="n"/>
      <c r="Q1959" s="25" t="n"/>
      <c r="U1959" s="194" t="n"/>
      <c r="AA1959" s="25" t="n"/>
      <c r="AB1959" s="25" t="n"/>
      <c r="AC1959" s="195" t="n"/>
      <c r="AD1959" s="25" t="n"/>
      <c r="AE1959" s="25" t="n"/>
      <c r="AG1959" s="25" t="n"/>
      <c r="AH1959" s="25" t="n"/>
      <c r="AI1959" s="394" t="n"/>
      <c r="AM1959" s="48" t="n"/>
      <c r="AN1959" s="48" t="n"/>
      <c r="AO1959" s="48" t="n"/>
    </row>
    <row r="1960">
      <c r="M1960" s="25" t="n"/>
      <c r="Q1960" s="25" t="n"/>
      <c r="U1960" s="194" t="n"/>
      <c r="AA1960" s="25" t="n"/>
      <c r="AB1960" s="25" t="n"/>
      <c r="AC1960" s="195" t="n"/>
      <c r="AD1960" s="25" t="n"/>
      <c r="AE1960" s="25" t="n"/>
      <c r="AG1960" s="25" t="n"/>
      <c r="AH1960" s="25" t="n"/>
      <c r="AI1960" s="394" t="n"/>
      <c r="AM1960" s="48" t="n"/>
      <c r="AN1960" s="48" t="n"/>
      <c r="AO1960" s="48" t="n"/>
    </row>
    <row r="1961">
      <c r="M1961" s="25" t="n"/>
      <c r="Q1961" s="25" t="n"/>
      <c r="U1961" s="194" t="n"/>
      <c r="AA1961" s="25" t="n"/>
      <c r="AB1961" s="25" t="n"/>
      <c r="AC1961" s="195" t="n"/>
      <c r="AD1961" s="25" t="n"/>
      <c r="AE1961" s="25" t="n"/>
      <c r="AG1961" s="25" t="n"/>
      <c r="AH1961" s="25" t="n"/>
      <c r="AI1961" s="394" t="n"/>
      <c r="AM1961" s="48" t="n"/>
      <c r="AN1961" s="48" t="n"/>
      <c r="AO1961" s="48" t="n"/>
    </row>
    <row r="1962">
      <c r="M1962" s="25" t="n"/>
      <c r="Q1962" s="25" t="n"/>
      <c r="U1962" s="194" t="n"/>
      <c r="AA1962" s="25" t="n"/>
      <c r="AB1962" s="25" t="n"/>
      <c r="AC1962" s="195" t="n"/>
      <c r="AD1962" s="25" t="n"/>
      <c r="AE1962" s="25" t="n"/>
      <c r="AG1962" s="25" t="n"/>
      <c r="AH1962" s="25" t="n"/>
      <c r="AI1962" s="394" t="n"/>
      <c r="AM1962" s="48" t="n"/>
      <c r="AN1962" s="48" t="n"/>
      <c r="AO1962" s="48" t="n"/>
    </row>
    <row r="1963">
      <c r="M1963" s="25" t="n"/>
      <c r="Q1963" s="25" t="n"/>
      <c r="U1963" s="194" t="n"/>
      <c r="AA1963" s="25" t="n"/>
      <c r="AB1963" s="25" t="n"/>
      <c r="AC1963" s="195" t="n"/>
      <c r="AD1963" s="25" t="n"/>
      <c r="AE1963" s="25" t="n"/>
      <c r="AG1963" s="25" t="n"/>
      <c r="AH1963" s="25" t="n"/>
      <c r="AI1963" s="394" t="n"/>
      <c r="AM1963" s="48" t="n"/>
      <c r="AN1963" s="48" t="n"/>
      <c r="AO1963" s="48" t="n"/>
    </row>
    <row r="1964">
      <c r="M1964" s="25" t="n"/>
      <c r="Q1964" s="25" t="n"/>
      <c r="U1964" s="194" t="n"/>
      <c r="AA1964" s="25" t="n"/>
      <c r="AB1964" s="25" t="n"/>
      <c r="AC1964" s="195" t="n"/>
      <c r="AD1964" s="25" t="n"/>
      <c r="AE1964" s="25" t="n"/>
      <c r="AG1964" s="25" t="n"/>
      <c r="AH1964" s="25" t="n"/>
      <c r="AI1964" s="394" t="n"/>
      <c r="AM1964" s="48" t="n"/>
      <c r="AN1964" s="48" t="n"/>
      <c r="AO1964" s="48" t="n"/>
    </row>
    <row r="1965">
      <c r="M1965" s="25" t="n"/>
      <c r="Q1965" s="25" t="n"/>
      <c r="U1965" s="194" t="n"/>
      <c r="AA1965" s="25" t="n"/>
      <c r="AB1965" s="25" t="n"/>
      <c r="AC1965" s="195" t="n"/>
      <c r="AD1965" s="25" t="n"/>
      <c r="AE1965" s="25" t="n"/>
      <c r="AG1965" s="25" t="n"/>
      <c r="AH1965" s="25" t="n"/>
      <c r="AI1965" s="394" t="n"/>
      <c r="AM1965" s="48" t="n"/>
      <c r="AN1965" s="48" t="n"/>
      <c r="AO1965" s="48" t="n"/>
    </row>
    <row r="1966">
      <c r="M1966" s="25" t="n"/>
      <c r="Q1966" s="25" t="n"/>
      <c r="U1966" s="194" t="n"/>
      <c r="AA1966" s="25" t="n"/>
      <c r="AB1966" s="25" t="n"/>
      <c r="AC1966" s="195" t="n"/>
      <c r="AD1966" s="25" t="n"/>
      <c r="AE1966" s="25" t="n"/>
      <c r="AG1966" s="25" t="n"/>
      <c r="AH1966" s="25" t="n"/>
      <c r="AI1966" s="394" t="n"/>
      <c r="AM1966" s="48" t="n"/>
      <c r="AN1966" s="48" t="n"/>
      <c r="AO1966" s="48" t="n"/>
    </row>
    <row r="1967">
      <c r="M1967" s="25" t="n"/>
      <c r="Q1967" s="25" t="n"/>
      <c r="U1967" s="194" t="n"/>
      <c r="AA1967" s="25" t="n"/>
      <c r="AB1967" s="25" t="n"/>
      <c r="AC1967" s="195" t="n"/>
      <c r="AD1967" s="25" t="n"/>
      <c r="AE1967" s="25" t="n"/>
      <c r="AG1967" s="25" t="n"/>
      <c r="AH1967" s="25" t="n"/>
      <c r="AI1967" s="394" t="n"/>
      <c r="AM1967" s="48" t="n"/>
      <c r="AN1967" s="48" t="n"/>
      <c r="AO1967" s="48" t="n"/>
    </row>
    <row r="1968">
      <c r="M1968" s="25" t="n"/>
      <c r="Q1968" s="25" t="n"/>
      <c r="U1968" s="194" t="n"/>
      <c r="AA1968" s="25" t="n"/>
      <c r="AB1968" s="25" t="n"/>
      <c r="AC1968" s="195" t="n"/>
      <c r="AD1968" s="25" t="n"/>
      <c r="AE1968" s="25" t="n"/>
      <c r="AG1968" s="25" t="n"/>
      <c r="AH1968" s="25" t="n"/>
      <c r="AI1968" s="394" t="n"/>
      <c r="AM1968" s="48" t="n"/>
      <c r="AN1968" s="48" t="n"/>
      <c r="AO1968" s="48" t="n"/>
    </row>
    <row r="1969">
      <c r="M1969" s="25" t="n"/>
      <c r="Q1969" s="25" t="n"/>
      <c r="U1969" s="194" t="n"/>
      <c r="AA1969" s="25" t="n"/>
      <c r="AB1969" s="25" t="n"/>
      <c r="AC1969" s="195" t="n"/>
      <c r="AD1969" s="25" t="n"/>
      <c r="AE1969" s="25" t="n"/>
      <c r="AG1969" s="25" t="n"/>
      <c r="AH1969" s="25" t="n"/>
      <c r="AI1969" s="394" t="n"/>
      <c r="AM1969" s="48" t="n"/>
      <c r="AN1969" s="48" t="n"/>
      <c r="AO1969" s="48" t="n"/>
    </row>
    <row r="1970">
      <c r="M1970" s="25" t="n"/>
      <c r="Q1970" s="25" t="n"/>
      <c r="U1970" s="194" t="n"/>
      <c r="AA1970" s="25" t="n"/>
      <c r="AB1970" s="25" t="n"/>
      <c r="AC1970" s="195" t="n"/>
      <c r="AD1970" s="25" t="n"/>
      <c r="AE1970" s="25" t="n"/>
      <c r="AG1970" s="25" t="n"/>
      <c r="AH1970" s="25" t="n"/>
      <c r="AI1970" s="394" t="n"/>
      <c r="AM1970" s="48" t="n"/>
      <c r="AN1970" s="48" t="n"/>
      <c r="AO1970" s="48" t="n"/>
    </row>
    <row r="1971">
      <c r="M1971" s="25" t="n"/>
      <c r="Q1971" s="25" t="n"/>
      <c r="U1971" s="194" t="n"/>
      <c r="AA1971" s="25" t="n"/>
      <c r="AB1971" s="25" t="n"/>
      <c r="AC1971" s="195" t="n"/>
      <c r="AD1971" s="25" t="n"/>
      <c r="AE1971" s="25" t="n"/>
      <c r="AG1971" s="25" t="n"/>
      <c r="AH1971" s="25" t="n"/>
      <c r="AI1971" s="394" t="n"/>
      <c r="AM1971" s="48" t="n"/>
      <c r="AN1971" s="48" t="n"/>
      <c r="AO1971" s="48" t="n"/>
    </row>
    <row r="1972">
      <c r="M1972" s="25" t="n"/>
      <c r="Q1972" s="25" t="n"/>
      <c r="U1972" s="194" t="n"/>
      <c r="AA1972" s="25" t="n"/>
      <c r="AB1972" s="25" t="n"/>
      <c r="AC1972" s="195" t="n"/>
      <c r="AD1972" s="25" t="n"/>
      <c r="AE1972" s="25" t="n"/>
      <c r="AG1972" s="25" t="n"/>
      <c r="AH1972" s="25" t="n"/>
      <c r="AI1972" s="394" t="n"/>
      <c r="AM1972" s="48" t="n"/>
      <c r="AN1972" s="48" t="n"/>
      <c r="AO1972" s="48" t="n"/>
    </row>
    <row r="1973">
      <c r="M1973" s="25" t="n"/>
      <c r="Q1973" s="25" t="n"/>
      <c r="U1973" s="194" t="n"/>
      <c r="AA1973" s="25" t="n"/>
      <c r="AB1973" s="25" t="n"/>
      <c r="AC1973" s="195" t="n"/>
      <c r="AD1973" s="25" t="n"/>
      <c r="AE1973" s="25" t="n"/>
      <c r="AG1973" s="25" t="n"/>
      <c r="AH1973" s="25" t="n"/>
      <c r="AI1973" s="394" t="n"/>
      <c r="AM1973" s="48" t="n"/>
      <c r="AN1973" s="48" t="n"/>
      <c r="AO1973" s="48" t="n"/>
    </row>
    <row r="1974">
      <c r="M1974" s="25" t="n"/>
      <c r="Q1974" s="25" t="n"/>
      <c r="U1974" s="194" t="n"/>
      <c r="AA1974" s="25" t="n"/>
      <c r="AB1974" s="25" t="n"/>
      <c r="AC1974" s="195" t="n"/>
      <c r="AD1974" s="25" t="n"/>
      <c r="AE1974" s="25" t="n"/>
      <c r="AG1974" s="25" t="n"/>
      <c r="AH1974" s="25" t="n"/>
      <c r="AI1974" s="394" t="n"/>
      <c r="AM1974" s="48" t="n"/>
      <c r="AN1974" s="48" t="n"/>
      <c r="AO1974" s="48" t="n"/>
    </row>
    <row r="1975">
      <c r="M1975" s="25" t="n"/>
      <c r="Q1975" s="25" t="n"/>
      <c r="U1975" s="194" t="n"/>
      <c r="AA1975" s="25" t="n"/>
      <c r="AB1975" s="25" t="n"/>
      <c r="AC1975" s="195" t="n"/>
      <c r="AD1975" s="25" t="n"/>
      <c r="AE1975" s="25" t="n"/>
      <c r="AG1975" s="25" t="n"/>
      <c r="AH1975" s="25" t="n"/>
      <c r="AI1975" s="394" t="n"/>
      <c r="AM1975" s="48" t="n"/>
      <c r="AN1975" s="48" t="n"/>
      <c r="AO1975" s="48" t="n"/>
    </row>
    <row r="1976">
      <c r="M1976" s="25" t="n"/>
      <c r="Q1976" s="25" t="n"/>
      <c r="U1976" s="194" t="n"/>
      <c r="AA1976" s="25" t="n"/>
      <c r="AB1976" s="25" t="n"/>
      <c r="AC1976" s="195" t="n"/>
      <c r="AD1976" s="25" t="n"/>
      <c r="AE1976" s="25" t="n"/>
      <c r="AG1976" s="25" t="n"/>
      <c r="AH1976" s="25" t="n"/>
      <c r="AI1976" s="394" t="n"/>
      <c r="AM1976" s="48" t="n"/>
      <c r="AN1976" s="48" t="n"/>
      <c r="AO1976" s="48" t="n"/>
    </row>
    <row r="1977">
      <c r="M1977" s="25" t="n"/>
      <c r="Q1977" s="25" t="n"/>
      <c r="U1977" s="194" t="n"/>
      <c r="AA1977" s="25" t="n"/>
      <c r="AB1977" s="25" t="n"/>
      <c r="AC1977" s="195" t="n"/>
      <c r="AD1977" s="25" t="n"/>
      <c r="AE1977" s="25" t="n"/>
      <c r="AG1977" s="25" t="n"/>
      <c r="AH1977" s="25" t="n"/>
      <c r="AI1977" s="394" t="n"/>
      <c r="AM1977" s="48" t="n"/>
      <c r="AN1977" s="48" t="n"/>
      <c r="AO1977" s="48" t="n"/>
    </row>
    <row r="1978">
      <c r="M1978" s="25" t="n"/>
      <c r="Q1978" s="25" t="n"/>
      <c r="U1978" s="194" t="n"/>
      <c r="AA1978" s="25" t="n"/>
      <c r="AB1978" s="25" t="n"/>
      <c r="AC1978" s="195" t="n"/>
      <c r="AD1978" s="25" t="n"/>
      <c r="AE1978" s="25" t="n"/>
      <c r="AG1978" s="25" t="n"/>
      <c r="AH1978" s="25" t="n"/>
      <c r="AI1978" s="394" t="n"/>
      <c r="AM1978" s="48" t="n"/>
      <c r="AN1978" s="48" t="n"/>
      <c r="AO1978" s="48" t="n"/>
    </row>
    <row r="1979">
      <c r="M1979" s="25" t="n"/>
      <c r="Q1979" s="25" t="n"/>
      <c r="U1979" s="194" t="n"/>
      <c r="AA1979" s="25" t="n"/>
      <c r="AB1979" s="25" t="n"/>
      <c r="AC1979" s="195" t="n"/>
      <c r="AD1979" s="25" t="n"/>
      <c r="AE1979" s="25" t="n"/>
      <c r="AG1979" s="25" t="n"/>
      <c r="AH1979" s="25" t="n"/>
      <c r="AI1979" s="394" t="n"/>
      <c r="AM1979" s="48" t="n"/>
      <c r="AN1979" s="48" t="n"/>
      <c r="AO1979" s="48" t="n"/>
    </row>
    <row r="1980">
      <c r="M1980" s="25" t="n"/>
      <c r="Q1980" s="25" t="n"/>
      <c r="U1980" s="194" t="n"/>
      <c r="AA1980" s="25" t="n"/>
      <c r="AB1980" s="25" t="n"/>
      <c r="AC1980" s="195" t="n"/>
      <c r="AD1980" s="25" t="n"/>
      <c r="AE1980" s="25" t="n"/>
      <c r="AG1980" s="25" t="n"/>
      <c r="AH1980" s="25" t="n"/>
      <c r="AI1980" s="394" t="n"/>
      <c r="AM1980" s="48" t="n"/>
      <c r="AN1980" s="48" t="n"/>
      <c r="AO1980" s="48" t="n"/>
    </row>
    <row r="1981">
      <c r="M1981" s="25" t="n"/>
      <c r="Q1981" s="25" t="n"/>
      <c r="U1981" s="194" t="n"/>
      <c r="AA1981" s="25" t="n"/>
      <c r="AB1981" s="25" t="n"/>
      <c r="AC1981" s="195" t="n"/>
      <c r="AD1981" s="25" t="n"/>
      <c r="AE1981" s="25" t="n"/>
      <c r="AG1981" s="25" t="n"/>
      <c r="AH1981" s="25" t="n"/>
      <c r="AI1981" s="394" t="n"/>
      <c r="AM1981" s="48" t="n"/>
      <c r="AN1981" s="48" t="n"/>
      <c r="AO1981" s="48" t="n"/>
    </row>
    <row r="1982">
      <c r="M1982" s="25" t="n"/>
      <c r="Q1982" s="25" t="n"/>
      <c r="U1982" s="194" t="n"/>
      <c r="AA1982" s="25" t="n"/>
      <c r="AB1982" s="25" t="n"/>
      <c r="AC1982" s="195" t="n"/>
      <c r="AD1982" s="25" t="n"/>
      <c r="AE1982" s="25" t="n"/>
      <c r="AG1982" s="25" t="n"/>
      <c r="AH1982" s="25" t="n"/>
      <c r="AI1982" s="394" t="n"/>
      <c r="AM1982" s="48" t="n"/>
      <c r="AN1982" s="48" t="n"/>
      <c r="AO1982" s="48" t="n"/>
    </row>
    <row r="1983">
      <c r="M1983" s="25" t="n"/>
      <c r="Q1983" s="25" t="n"/>
      <c r="U1983" s="194" t="n"/>
      <c r="AA1983" s="25" t="n"/>
      <c r="AB1983" s="25" t="n"/>
      <c r="AC1983" s="195" t="n"/>
      <c r="AD1983" s="25" t="n"/>
      <c r="AE1983" s="25" t="n"/>
      <c r="AG1983" s="25" t="n"/>
      <c r="AH1983" s="25" t="n"/>
      <c r="AI1983" s="394" t="n"/>
      <c r="AM1983" s="48" t="n"/>
      <c r="AN1983" s="48" t="n"/>
      <c r="AO1983" s="48" t="n"/>
    </row>
    <row r="1984">
      <c r="M1984" s="25" t="n"/>
      <c r="Q1984" s="25" t="n"/>
      <c r="U1984" s="194" t="n"/>
      <c r="AA1984" s="25" t="n"/>
      <c r="AB1984" s="25" t="n"/>
      <c r="AC1984" s="195" t="n"/>
      <c r="AD1984" s="25" t="n"/>
      <c r="AE1984" s="25" t="n"/>
      <c r="AG1984" s="25" t="n"/>
      <c r="AH1984" s="25" t="n"/>
      <c r="AI1984" s="394" t="n"/>
      <c r="AM1984" s="48" t="n"/>
      <c r="AN1984" s="48" t="n"/>
      <c r="AO1984" s="48" t="n"/>
    </row>
    <row r="1985">
      <c r="M1985" s="25" t="n"/>
      <c r="Q1985" s="25" t="n"/>
      <c r="U1985" s="194" t="n"/>
      <c r="AA1985" s="25" t="n"/>
      <c r="AB1985" s="25" t="n"/>
      <c r="AC1985" s="195" t="n"/>
      <c r="AD1985" s="25" t="n"/>
      <c r="AE1985" s="25" t="n"/>
      <c r="AG1985" s="25" t="n"/>
      <c r="AH1985" s="25" t="n"/>
      <c r="AI1985" s="394" t="n"/>
      <c r="AM1985" s="48" t="n"/>
      <c r="AN1985" s="48" t="n"/>
      <c r="AO1985" s="48" t="n"/>
    </row>
    <row r="1986">
      <c r="M1986" s="25" t="n"/>
      <c r="Q1986" s="25" t="n"/>
      <c r="U1986" s="194" t="n"/>
      <c r="AA1986" s="25" t="n"/>
      <c r="AB1986" s="25" t="n"/>
      <c r="AC1986" s="195" t="n"/>
      <c r="AD1986" s="25" t="n"/>
      <c r="AE1986" s="25" t="n"/>
      <c r="AG1986" s="25" t="n"/>
      <c r="AH1986" s="25" t="n"/>
      <c r="AI1986" s="394" t="n"/>
      <c r="AM1986" s="48" t="n"/>
      <c r="AN1986" s="48" t="n"/>
      <c r="AO1986" s="48" t="n"/>
    </row>
    <row r="1987">
      <c r="M1987" s="25" t="n"/>
      <c r="Q1987" s="25" t="n"/>
      <c r="U1987" s="194" t="n"/>
      <c r="AA1987" s="25" t="n"/>
      <c r="AB1987" s="25" t="n"/>
      <c r="AC1987" s="195" t="n"/>
      <c r="AD1987" s="25" t="n"/>
      <c r="AE1987" s="25" t="n"/>
      <c r="AG1987" s="25" t="n"/>
      <c r="AH1987" s="25" t="n"/>
      <c r="AI1987" s="394" t="n"/>
      <c r="AM1987" s="48" t="n"/>
      <c r="AN1987" s="48" t="n"/>
      <c r="AO1987" s="48" t="n"/>
    </row>
    <row r="1988">
      <c r="M1988" s="25" t="n"/>
      <c r="Q1988" s="25" t="n"/>
      <c r="U1988" s="194" t="n"/>
      <c r="AA1988" s="25" t="n"/>
      <c r="AB1988" s="25" t="n"/>
      <c r="AC1988" s="195" t="n"/>
      <c r="AD1988" s="25" t="n"/>
      <c r="AE1988" s="25" t="n"/>
      <c r="AG1988" s="25" t="n"/>
      <c r="AH1988" s="25" t="n"/>
      <c r="AI1988" s="394" t="n"/>
      <c r="AM1988" s="48" t="n"/>
      <c r="AN1988" s="48" t="n"/>
      <c r="AO1988" s="48" t="n"/>
    </row>
    <row r="1989">
      <c r="M1989" s="25" t="n"/>
      <c r="Q1989" s="25" t="n"/>
      <c r="U1989" s="194" t="n"/>
      <c r="AA1989" s="25" t="n"/>
      <c r="AB1989" s="25" t="n"/>
      <c r="AC1989" s="195" t="n"/>
      <c r="AD1989" s="25" t="n"/>
      <c r="AE1989" s="25" t="n"/>
      <c r="AG1989" s="25" t="n"/>
      <c r="AH1989" s="25" t="n"/>
      <c r="AI1989" s="394" t="n"/>
      <c r="AM1989" s="48" t="n"/>
      <c r="AN1989" s="48" t="n"/>
      <c r="AO1989" s="48" t="n"/>
    </row>
    <row r="1990">
      <c r="M1990" s="25" t="n"/>
      <c r="Q1990" s="25" t="n"/>
      <c r="U1990" s="194" t="n"/>
      <c r="AA1990" s="25" t="n"/>
      <c r="AB1990" s="25" t="n"/>
      <c r="AC1990" s="195" t="n"/>
      <c r="AD1990" s="25" t="n"/>
      <c r="AE1990" s="25" t="n"/>
      <c r="AG1990" s="25" t="n"/>
      <c r="AH1990" s="25" t="n"/>
      <c r="AI1990" s="394" t="n"/>
      <c r="AM1990" s="48" t="n"/>
      <c r="AN1990" s="48" t="n"/>
      <c r="AO1990" s="48" t="n"/>
    </row>
    <row r="1991">
      <c r="M1991" s="25" t="n"/>
      <c r="Q1991" s="25" t="n"/>
      <c r="U1991" s="194" t="n"/>
      <c r="AA1991" s="25" t="n"/>
      <c r="AB1991" s="25" t="n"/>
      <c r="AC1991" s="195" t="n"/>
      <c r="AD1991" s="25" t="n"/>
      <c r="AE1991" s="25" t="n"/>
      <c r="AG1991" s="25" t="n"/>
      <c r="AH1991" s="25" t="n"/>
      <c r="AI1991" s="394" t="n"/>
      <c r="AM1991" s="48" t="n"/>
      <c r="AN1991" s="48" t="n"/>
      <c r="AO1991" s="48" t="n"/>
    </row>
    <row r="1992">
      <c r="M1992" s="25" t="n"/>
      <c r="Q1992" s="25" t="n"/>
      <c r="U1992" s="194" t="n"/>
      <c r="AA1992" s="25" t="n"/>
      <c r="AB1992" s="25" t="n"/>
      <c r="AC1992" s="195" t="n"/>
      <c r="AD1992" s="25" t="n"/>
      <c r="AE1992" s="25" t="n"/>
      <c r="AG1992" s="25" t="n"/>
      <c r="AH1992" s="25" t="n"/>
      <c r="AI1992" s="394" t="n"/>
      <c r="AM1992" s="48" t="n"/>
      <c r="AN1992" s="48" t="n"/>
      <c r="AO1992" s="48" t="n"/>
    </row>
    <row r="1993">
      <c r="M1993" s="25" t="n"/>
      <c r="Q1993" s="25" t="n"/>
      <c r="U1993" s="194" t="n"/>
      <c r="AA1993" s="25" t="n"/>
      <c r="AB1993" s="25" t="n"/>
      <c r="AC1993" s="195" t="n"/>
      <c r="AD1993" s="25" t="n"/>
      <c r="AE1993" s="25" t="n"/>
      <c r="AG1993" s="25" t="n"/>
      <c r="AH1993" s="25" t="n"/>
      <c r="AI1993" s="394" t="n"/>
      <c r="AM1993" s="48" t="n"/>
      <c r="AN1993" s="48" t="n"/>
      <c r="AO1993" s="48" t="n"/>
    </row>
    <row r="1994">
      <c r="M1994" s="25" t="n"/>
      <c r="Q1994" s="25" t="n"/>
      <c r="U1994" s="194" t="n"/>
      <c r="AA1994" s="25" t="n"/>
      <c r="AB1994" s="25" t="n"/>
      <c r="AC1994" s="195" t="n"/>
      <c r="AD1994" s="25" t="n"/>
      <c r="AE1994" s="25" t="n"/>
      <c r="AG1994" s="25" t="n"/>
      <c r="AH1994" s="25" t="n"/>
      <c r="AI1994" s="394" t="n"/>
      <c r="AM1994" s="48" t="n"/>
      <c r="AN1994" s="48" t="n"/>
      <c r="AO1994" s="48" t="n"/>
    </row>
    <row r="1995">
      <c r="M1995" s="25" t="n"/>
      <c r="Q1995" s="25" t="n"/>
      <c r="U1995" s="194" t="n"/>
      <c r="AA1995" s="25" t="n"/>
      <c r="AB1995" s="25" t="n"/>
      <c r="AC1995" s="195" t="n"/>
      <c r="AD1995" s="25" t="n"/>
      <c r="AE1995" s="25" t="n"/>
      <c r="AG1995" s="25" t="n"/>
      <c r="AH1995" s="25" t="n"/>
      <c r="AI1995" s="394" t="n"/>
      <c r="AM1995" s="48" t="n"/>
      <c r="AN1995" s="48" t="n"/>
      <c r="AO1995" s="48" t="n"/>
    </row>
    <row r="1996">
      <c r="M1996" s="25" t="n"/>
      <c r="Q1996" s="25" t="n"/>
      <c r="U1996" s="194" t="n"/>
      <c r="AA1996" s="25" t="n"/>
      <c r="AB1996" s="25" t="n"/>
      <c r="AC1996" s="195" t="n"/>
      <c r="AD1996" s="25" t="n"/>
      <c r="AE1996" s="25" t="n"/>
      <c r="AG1996" s="25" t="n"/>
      <c r="AH1996" s="25" t="n"/>
      <c r="AI1996" s="394" t="n"/>
      <c r="AM1996" s="48" t="n"/>
      <c r="AN1996" s="48" t="n"/>
      <c r="AO1996" s="48" t="n"/>
    </row>
    <row r="1997">
      <c r="M1997" s="25" t="n"/>
      <c r="Q1997" s="25" t="n"/>
      <c r="U1997" s="194" t="n"/>
      <c r="AA1997" s="25" t="n"/>
      <c r="AB1997" s="25" t="n"/>
      <c r="AC1997" s="195" t="n"/>
      <c r="AD1997" s="25" t="n"/>
      <c r="AE1997" s="25" t="n"/>
      <c r="AG1997" s="25" t="n"/>
      <c r="AH1997" s="25" t="n"/>
      <c r="AI1997" s="394" t="n"/>
      <c r="AM1997" s="48" t="n"/>
      <c r="AN1997" s="48" t="n"/>
      <c r="AO1997" s="48" t="n"/>
    </row>
    <row r="1998">
      <c r="M1998" s="25" t="n"/>
      <c r="Q1998" s="25" t="n"/>
      <c r="U1998" s="194" t="n"/>
      <c r="AA1998" s="25" t="n"/>
      <c r="AB1998" s="25" t="n"/>
      <c r="AC1998" s="195" t="n"/>
      <c r="AD1998" s="25" t="n"/>
      <c r="AE1998" s="25" t="n"/>
      <c r="AG1998" s="25" t="n"/>
      <c r="AH1998" s="25" t="n"/>
      <c r="AI1998" s="394" t="n"/>
      <c r="AM1998" s="48" t="n"/>
      <c r="AN1998" s="48" t="n"/>
      <c r="AO1998" s="48" t="n"/>
    </row>
    <row r="1999">
      <c r="M1999" s="25" t="n"/>
      <c r="Q1999" s="25" t="n"/>
      <c r="U1999" s="194" t="n"/>
      <c r="AA1999" s="25" t="n"/>
      <c r="AB1999" s="25" t="n"/>
      <c r="AC1999" s="195" t="n"/>
      <c r="AD1999" s="25" t="n"/>
      <c r="AE1999" s="25" t="n"/>
      <c r="AG1999" s="25" t="n"/>
      <c r="AH1999" s="25" t="n"/>
      <c r="AI1999" s="394" t="n"/>
      <c r="AM1999" s="48" t="n"/>
      <c r="AN1999" s="48" t="n"/>
      <c r="AO1999" s="48" t="n"/>
    </row>
    <row r="2000">
      <c r="M2000" s="25" t="n"/>
      <c r="Q2000" s="25" t="n"/>
      <c r="U2000" s="194" t="n"/>
      <c r="AA2000" s="25" t="n"/>
      <c r="AB2000" s="25" t="n"/>
      <c r="AC2000" s="195" t="n"/>
      <c r="AD2000" s="25" t="n"/>
      <c r="AE2000" s="25" t="n"/>
      <c r="AG2000" s="25" t="n"/>
      <c r="AH2000" s="25" t="n"/>
      <c r="AI2000" s="394" t="n"/>
      <c r="AM2000" s="48" t="n"/>
      <c r="AN2000" s="48" t="n"/>
      <c r="AO2000" s="48" t="n"/>
    </row>
    <row r="2001">
      <c r="M2001" s="25" t="n"/>
      <c r="Q2001" s="25" t="n"/>
      <c r="U2001" s="194" t="n"/>
      <c r="AA2001" s="25" t="n"/>
      <c r="AB2001" s="25" t="n"/>
      <c r="AC2001" s="195" t="n"/>
      <c r="AD2001" s="25" t="n"/>
      <c r="AE2001" s="25" t="n"/>
      <c r="AG2001" s="25" t="n"/>
      <c r="AH2001" s="25" t="n"/>
      <c r="AI2001" s="394" t="n"/>
      <c r="AM2001" s="48" t="n"/>
      <c r="AN2001" s="48" t="n"/>
      <c r="AO2001" s="48" t="n"/>
    </row>
    <row r="2002">
      <c r="M2002" s="25" t="n"/>
      <c r="Q2002" s="25" t="n"/>
      <c r="U2002" s="194" t="n"/>
      <c r="AA2002" s="25" t="n"/>
      <c r="AB2002" s="25" t="n"/>
      <c r="AC2002" s="195" t="n"/>
      <c r="AD2002" s="25" t="n"/>
      <c r="AE2002" s="25" t="n"/>
      <c r="AG2002" s="25" t="n"/>
      <c r="AH2002" s="25" t="n"/>
      <c r="AI2002" s="394" t="n"/>
      <c r="AM2002" s="48" t="n"/>
      <c r="AN2002" s="48" t="n"/>
      <c r="AO2002" s="48" t="n"/>
    </row>
    <row r="2003">
      <c r="M2003" s="25" t="n"/>
      <c r="Q2003" s="25" t="n"/>
      <c r="U2003" s="194" t="n"/>
      <c r="AA2003" s="25" t="n"/>
      <c r="AB2003" s="25" t="n"/>
      <c r="AC2003" s="195" t="n"/>
      <c r="AD2003" s="25" t="n"/>
      <c r="AE2003" s="25" t="n"/>
      <c r="AG2003" s="25" t="n"/>
      <c r="AH2003" s="25" t="n"/>
      <c r="AI2003" s="394" t="n"/>
      <c r="AM2003" s="48" t="n"/>
      <c r="AN2003" s="48" t="n"/>
      <c r="AO2003" s="48" t="n"/>
    </row>
    <row r="2004">
      <c r="M2004" s="25" t="n"/>
      <c r="Q2004" s="25" t="n"/>
      <c r="U2004" s="194" t="n"/>
      <c r="AA2004" s="25" t="n"/>
      <c r="AB2004" s="25" t="n"/>
      <c r="AC2004" s="195" t="n"/>
      <c r="AD2004" s="25" t="n"/>
      <c r="AE2004" s="25" t="n"/>
      <c r="AG2004" s="25" t="n"/>
      <c r="AH2004" s="25" t="n"/>
      <c r="AI2004" s="394" t="n"/>
      <c r="AM2004" s="48" t="n"/>
      <c r="AN2004" s="48" t="n"/>
      <c r="AO2004" s="48" t="n"/>
    </row>
    <row r="2005">
      <c r="M2005" s="25" t="n"/>
      <c r="Q2005" s="25" t="n"/>
      <c r="U2005" s="194" t="n"/>
      <c r="AA2005" s="25" t="n"/>
      <c r="AB2005" s="25" t="n"/>
      <c r="AC2005" s="195" t="n"/>
      <c r="AD2005" s="25" t="n"/>
      <c r="AE2005" s="25" t="n"/>
      <c r="AG2005" s="25" t="n"/>
      <c r="AH2005" s="25" t="n"/>
      <c r="AI2005" s="394" t="n"/>
      <c r="AM2005" s="48" t="n"/>
      <c r="AN2005" s="48" t="n"/>
      <c r="AO2005" s="48" t="n"/>
    </row>
    <row r="2006">
      <c r="M2006" s="25" t="n"/>
      <c r="Q2006" s="25" t="n"/>
      <c r="U2006" s="194" t="n"/>
      <c r="AA2006" s="25" t="n"/>
      <c r="AB2006" s="25" t="n"/>
      <c r="AC2006" s="195" t="n"/>
      <c r="AD2006" s="25" t="n"/>
      <c r="AE2006" s="25" t="n"/>
      <c r="AG2006" s="25" t="n"/>
      <c r="AH2006" s="25" t="n"/>
      <c r="AI2006" s="394" t="n"/>
      <c r="AM2006" s="48" t="n"/>
      <c r="AN2006" s="48" t="n"/>
      <c r="AO2006" s="48" t="n"/>
    </row>
    <row r="2007">
      <c r="M2007" s="25" t="n"/>
      <c r="Q2007" s="25" t="n"/>
      <c r="U2007" s="194" t="n"/>
      <c r="AA2007" s="25" t="n"/>
      <c r="AB2007" s="25" t="n"/>
      <c r="AC2007" s="195" t="n"/>
      <c r="AD2007" s="25" t="n"/>
      <c r="AE2007" s="25" t="n"/>
      <c r="AG2007" s="25" t="n"/>
      <c r="AH2007" s="25" t="n"/>
      <c r="AI2007" s="394" t="n"/>
      <c r="AM2007" s="48" t="n"/>
      <c r="AN2007" s="48" t="n"/>
      <c r="AO2007" s="48" t="n"/>
    </row>
    <row r="2008">
      <c r="M2008" s="25" t="n"/>
      <c r="Q2008" s="25" t="n"/>
      <c r="U2008" s="194" t="n"/>
      <c r="AA2008" s="25" t="n"/>
      <c r="AB2008" s="25" t="n"/>
      <c r="AC2008" s="195" t="n"/>
      <c r="AD2008" s="25" t="n"/>
      <c r="AE2008" s="25" t="n"/>
      <c r="AG2008" s="25" t="n"/>
      <c r="AH2008" s="25" t="n"/>
      <c r="AI2008" s="394" t="n"/>
      <c r="AM2008" s="48" t="n"/>
      <c r="AN2008" s="48" t="n"/>
      <c r="AO2008" s="48" t="n"/>
    </row>
    <row r="2009">
      <c r="M2009" s="25" t="n"/>
      <c r="Q2009" s="25" t="n"/>
      <c r="U2009" s="194" t="n"/>
      <c r="AA2009" s="25" t="n"/>
      <c r="AB2009" s="25" t="n"/>
      <c r="AC2009" s="195" t="n"/>
      <c r="AD2009" s="25" t="n"/>
      <c r="AE2009" s="25" t="n"/>
      <c r="AG2009" s="25" t="n"/>
      <c r="AH2009" s="25" t="n"/>
      <c r="AI2009" s="394" t="n"/>
      <c r="AM2009" s="48" t="n"/>
      <c r="AN2009" s="48" t="n"/>
      <c r="AO2009" s="48" t="n"/>
    </row>
    <row r="2010">
      <c r="M2010" s="25" t="n"/>
      <c r="Q2010" s="25" t="n"/>
      <c r="U2010" s="194" t="n"/>
      <c r="AA2010" s="25" t="n"/>
      <c r="AB2010" s="25" t="n"/>
      <c r="AC2010" s="195" t="n"/>
      <c r="AD2010" s="25" t="n"/>
      <c r="AE2010" s="25" t="n"/>
      <c r="AG2010" s="25" t="n"/>
      <c r="AH2010" s="25" t="n"/>
      <c r="AI2010" s="394" t="n"/>
      <c r="AM2010" s="48" t="n"/>
      <c r="AN2010" s="48" t="n"/>
      <c r="AO2010" s="48" t="n"/>
    </row>
    <row r="2011">
      <c r="M2011" s="25" t="n"/>
      <c r="Q2011" s="25" t="n"/>
      <c r="U2011" s="194" t="n"/>
      <c r="AA2011" s="25" t="n"/>
      <c r="AB2011" s="25" t="n"/>
      <c r="AC2011" s="195" t="n"/>
      <c r="AD2011" s="25" t="n"/>
      <c r="AE2011" s="25" t="n"/>
      <c r="AG2011" s="25" t="n"/>
      <c r="AH2011" s="25" t="n"/>
      <c r="AI2011" s="394" t="n"/>
      <c r="AM2011" s="48" t="n"/>
      <c r="AN2011" s="48" t="n"/>
      <c r="AO2011" s="48" t="n"/>
    </row>
    <row r="2012">
      <c r="M2012" s="25" t="n"/>
      <c r="Q2012" s="25" t="n"/>
      <c r="U2012" s="194" t="n"/>
      <c r="AA2012" s="25" t="n"/>
      <c r="AB2012" s="25" t="n"/>
      <c r="AC2012" s="195" t="n"/>
      <c r="AD2012" s="25" t="n"/>
      <c r="AE2012" s="25" t="n"/>
      <c r="AG2012" s="25" t="n"/>
      <c r="AH2012" s="25" t="n"/>
      <c r="AI2012" s="394" t="n"/>
      <c r="AM2012" s="48" t="n"/>
      <c r="AN2012" s="48" t="n"/>
      <c r="AO2012" s="48" t="n"/>
    </row>
    <row r="2013">
      <c r="M2013" s="25" t="n"/>
      <c r="Q2013" s="25" t="n"/>
      <c r="U2013" s="194" t="n"/>
      <c r="AA2013" s="25" t="n"/>
      <c r="AB2013" s="25" t="n"/>
      <c r="AC2013" s="195" t="n"/>
      <c r="AD2013" s="25" t="n"/>
      <c r="AE2013" s="25" t="n"/>
      <c r="AG2013" s="25" t="n"/>
      <c r="AH2013" s="25" t="n"/>
      <c r="AI2013" s="394" t="n"/>
      <c r="AM2013" s="48" t="n"/>
      <c r="AN2013" s="48" t="n"/>
      <c r="AO2013" s="48" t="n"/>
    </row>
    <row r="2014">
      <c r="M2014" s="25" t="n"/>
      <c r="Q2014" s="25" t="n"/>
      <c r="U2014" s="194" t="n"/>
      <c r="AA2014" s="25" t="n"/>
      <c r="AB2014" s="25" t="n"/>
      <c r="AC2014" s="195" t="n"/>
      <c r="AD2014" s="25" t="n"/>
      <c r="AE2014" s="25" t="n"/>
      <c r="AG2014" s="25" t="n"/>
      <c r="AH2014" s="25" t="n"/>
      <c r="AI2014" s="394" t="n"/>
      <c r="AM2014" s="48" t="n"/>
      <c r="AN2014" s="48" t="n"/>
      <c r="AO2014" s="48" t="n"/>
    </row>
    <row r="2015">
      <c r="M2015" s="25" t="n"/>
      <c r="Q2015" s="25" t="n"/>
      <c r="U2015" s="194" t="n"/>
      <c r="AA2015" s="25" t="n"/>
      <c r="AB2015" s="25" t="n"/>
      <c r="AC2015" s="195" t="n"/>
      <c r="AD2015" s="25" t="n"/>
      <c r="AE2015" s="25" t="n"/>
      <c r="AG2015" s="25" t="n"/>
      <c r="AH2015" s="25" t="n"/>
      <c r="AI2015" s="394" t="n"/>
      <c r="AM2015" s="48" t="n"/>
      <c r="AN2015" s="48" t="n"/>
      <c r="AO2015" s="48" t="n"/>
    </row>
    <row r="2016">
      <c r="M2016" s="25" t="n"/>
      <c r="Q2016" s="25" t="n"/>
      <c r="U2016" s="194" t="n"/>
      <c r="AA2016" s="25" t="n"/>
      <c r="AB2016" s="25" t="n"/>
      <c r="AC2016" s="195" t="n"/>
      <c r="AD2016" s="25" t="n"/>
      <c r="AE2016" s="25" t="n"/>
      <c r="AG2016" s="25" t="n"/>
      <c r="AH2016" s="25" t="n"/>
      <c r="AI2016" s="394" t="n"/>
      <c r="AM2016" s="48" t="n"/>
      <c r="AN2016" s="48" t="n"/>
      <c r="AO2016" s="48" t="n"/>
    </row>
    <row r="2017">
      <c r="M2017" s="25" t="n"/>
      <c r="Q2017" s="25" t="n"/>
      <c r="U2017" s="194" t="n"/>
      <c r="AA2017" s="25" t="n"/>
      <c r="AB2017" s="25" t="n"/>
      <c r="AC2017" s="195" t="n"/>
      <c r="AD2017" s="25" t="n"/>
      <c r="AE2017" s="25" t="n"/>
      <c r="AG2017" s="25" t="n"/>
      <c r="AH2017" s="25" t="n"/>
      <c r="AI2017" s="394" t="n"/>
      <c r="AM2017" s="48" t="n"/>
      <c r="AN2017" s="48" t="n"/>
      <c r="AO2017" s="48" t="n"/>
    </row>
    <row r="2018">
      <c r="M2018" s="25" t="n"/>
      <c r="Q2018" s="25" t="n"/>
      <c r="U2018" s="194" t="n"/>
      <c r="AA2018" s="25" t="n"/>
      <c r="AB2018" s="25" t="n"/>
      <c r="AC2018" s="195" t="n"/>
      <c r="AD2018" s="25" t="n"/>
      <c r="AE2018" s="25" t="n"/>
      <c r="AG2018" s="25" t="n"/>
      <c r="AH2018" s="25" t="n"/>
      <c r="AI2018" s="394" t="n"/>
      <c r="AM2018" s="48" t="n"/>
      <c r="AN2018" s="48" t="n"/>
      <c r="AO2018" s="48" t="n"/>
    </row>
    <row r="2019">
      <c r="M2019" s="25" t="n"/>
      <c r="Q2019" s="25" t="n"/>
      <c r="U2019" s="194" t="n"/>
      <c r="AA2019" s="25" t="n"/>
      <c r="AB2019" s="25" t="n"/>
      <c r="AC2019" s="195" t="n"/>
      <c r="AD2019" s="25" t="n"/>
      <c r="AE2019" s="25" t="n"/>
      <c r="AG2019" s="25" t="n"/>
      <c r="AH2019" s="25" t="n"/>
      <c r="AI2019" s="394" t="n"/>
      <c r="AM2019" s="48" t="n"/>
      <c r="AN2019" s="48" t="n"/>
      <c r="AO2019" s="48" t="n"/>
    </row>
    <row r="2020">
      <c r="M2020" s="25" t="n"/>
      <c r="Q2020" s="25" t="n"/>
      <c r="U2020" s="194" t="n"/>
      <c r="AA2020" s="25" t="n"/>
      <c r="AB2020" s="25" t="n"/>
      <c r="AC2020" s="195" t="n"/>
      <c r="AD2020" s="25" t="n"/>
      <c r="AE2020" s="25" t="n"/>
      <c r="AG2020" s="25" t="n"/>
      <c r="AH2020" s="25" t="n"/>
      <c r="AI2020" s="394" t="n"/>
      <c r="AM2020" s="48" t="n"/>
      <c r="AN2020" s="48" t="n"/>
      <c r="AO2020" s="48" t="n"/>
    </row>
    <row r="2021">
      <c r="M2021" s="25" t="n"/>
      <c r="Q2021" s="25" t="n"/>
      <c r="U2021" s="194" t="n"/>
      <c r="AA2021" s="25" t="n"/>
      <c r="AB2021" s="25" t="n"/>
      <c r="AC2021" s="195" t="n"/>
      <c r="AD2021" s="25" t="n"/>
      <c r="AE2021" s="25" t="n"/>
      <c r="AG2021" s="25" t="n"/>
      <c r="AH2021" s="25" t="n"/>
      <c r="AI2021" s="394" t="n"/>
      <c r="AM2021" s="48" t="n"/>
      <c r="AN2021" s="48" t="n"/>
      <c r="AO2021" s="48" t="n"/>
    </row>
    <row r="2022">
      <c r="M2022" s="25" t="n"/>
      <c r="Q2022" s="25" t="n"/>
      <c r="U2022" s="194" t="n"/>
      <c r="AA2022" s="25" t="n"/>
      <c r="AB2022" s="25" t="n"/>
      <c r="AC2022" s="195" t="n"/>
      <c r="AD2022" s="25" t="n"/>
      <c r="AE2022" s="25" t="n"/>
      <c r="AG2022" s="25" t="n"/>
      <c r="AH2022" s="25" t="n"/>
      <c r="AI2022" s="394" t="n"/>
      <c r="AM2022" s="48" t="n"/>
      <c r="AN2022" s="48" t="n"/>
      <c r="AO2022" s="48" t="n"/>
    </row>
    <row r="2023">
      <c r="M2023" s="25" t="n"/>
      <c r="Q2023" s="25" t="n"/>
      <c r="U2023" s="194" t="n"/>
      <c r="AA2023" s="25" t="n"/>
      <c r="AB2023" s="25" t="n"/>
      <c r="AC2023" s="195" t="n"/>
      <c r="AD2023" s="25" t="n"/>
      <c r="AE2023" s="25" t="n"/>
      <c r="AG2023" s="25" t="n"/>
      <c r="AH2023" s="25" t="n"/>
      <c r="AI2023" s="394" t="n"/>
      <c r="AM2023" s="48" t="n"/>
      <c r="AN2023" s="48" t="n"/>
      <c r="AO2023" s="48" t="n"/>
    </row>
    <row r="2024">
      <c r="M2024" s="25" t="n"/>
      <c r="Q2024" s="25" t="n"/>
      <c r="U2024" s="194" t="n"/>
      <c r="AA2024" s="25" t="n"/>
      <c r="AB2024" s="25" t="n"/>
      <c r="AC2024" s="195" t="n"/>
      <c r="AD2024" s="25" t="n"/>
      <c r="AE2024" s="25" t="n"/>
      <c r="AG2024" s="25" t="n"/>
      <c r="AH2024" s="25" t="n"/>
      <c r="AI2024" s="394" t="n"/>
      <c r="AM2024" s="48" t="n"/>
      <c r="AN2024" s="48" t="n"/>
      <c r="AO2024" s="48" t="n"/>
    </row>
    <row r="2025">
      <c r="M2025" s="25" t="n"/>
      <c r="Q2025" s="25" t="n"/>
      <c r="U2025" s="194" t="n"/>
      <c r="AA2025" s="25" t="n"/>
      <c r="AB2025" s="25" t="n"/>
      <c r="AC2025" s="195" t="n"/>
      <c r="AD2025" s="25" t="n"/>
      <c r="AE2025" s="25" t="n"/>
      <c r="AG2025" s="25" t="n"/>
      <c r="AH2025" s="25" t="n"/>
      <c r="AI2025" s="394" t="n"/>
      <c r="AM2025" s="48" t="n"/>
      <c r="AN2025" s="48" t="n"/>
      <c r="AO2025" s="48" t="n"/>
    </row>
    <row r="2026">
      <c r="M2026" s="25" t="n"/>
      <c r="Q2026" s="25" t="n"/>
      <c r="U2026" s="194" t="n"/>
      <c r="AA2026" s="25" t="n"/>
      <c r="AB2026" s="25" t="n"/>
      <c r="AC2026" s="195" t="n"/>
      <c r="AD2026" s="25" t="n"/>
      <c r="AE2026" s="25" t="n"/>
      <c r="AG2026" s="25" t="n"/>
      <c r="AH2026" s="25" t="n"/>
      <c r="AI2026" s="394" t="n"/>
      <c r="AM2026" s="48" t="n"/>
      <c r="AN2026" s="48" t="n"/>
      <c r="AO2026" s="48" t="n"/>
    </row>
    <row r="2027">
      <c r="M2027" s="25" t="n"/>
      <c r="Q2027" s="25" t="n"/>
      <c r="U2027" s="194" t="n"/>
      <c r="AA2027" s="25" t="n"/>
      <c r="AB2027" s="25" t="n"/>
      <c r="AC2027" s="195" t="n"/>
      <c r="AD2027" s="25" t="n"/>
      <c r="AE2027" s="25" t="n"/>
      <c r="AG2027" s="25" t="n"/>
      <c r="AH2027" s="25" t="n"/>
      <c r="AI2027" s="394" t="n"/>
      <c r="AM2027" s="48" t="n"/>
      <c r="AN2027" s="48" t="n"/>
      <c r="AO2027" s="48" t="n"/>
    </row>
    <row r="2028">
      <c r="M2028" s="25" t="n"/>
      <c r="Q2028" s="25" t="n"/>
      <c r="U2028" s="194" t="n"/>
      <c r="AA2028" s="25" t="n"/>
      <c r="AB2028" s="25" t="n"/>
      <c r="AC2028" s="195" t="n"/>
      <c r="AD2028" s="25" t="n"/>
      <c r="AE2028" s="25" t="n"/>
      <c r="AG2028" s="25" t="n"/>
      <c r="AH2028" s="25" t="n"/>
      <c r="AI2028" s="394" t="n"/>
      <c r="AM2028" s="48" t="n"/>
      <c r="AN2028" s="48" t="n"/>
      <c r="AO2028" s="48" t="n"/>
    </row>
    <row r="2029">
      <c r="M2029" s="25" t="n"/>
      <c r="Q2029" s="25" t="n"/>
      <c r="U2029" s="194" t="n"/>
      <c r="AA2029" s="25" t="n"/>
      <c r="AB2029" s="25" t="n"/>
      <c r="AC2029" s="195" t="n"/>
      <c r="AD2029" s="25" t="n"/>
      <c r="AE2029" s="25" t="n"/>
      <c r="AG2029" s="25" t="n"/>
      <c r="AH2029" s="25" t="n"/>
      <c r="AI2029" s="394" t="n"/>
      <c r="AM2029" s="48" t="n"/>
      <c r="AN2029" s="48" t="n"/>
      <c r="AO2029" s="48" t="n"/>
    </row>
    <row r="2030">
      <c r="M2030" s="25" t="n"/>
      <c r="Q2030" s="25" t="n"/>
      <c r="U2030" s="194" t="n"/>
      <c r="AA2030" s="25" t="n"/>
      <c r="AB2030" s="25" t="n"/>
      <c r="AC2030" s="195" t="n"/>
      <c r="AD2030" s="25" t="n"/>
      <c r="AE2030" s="25" t="n"/>
      <c r="AG2030" s="25" t="n"/>
      <c r="AH2030" s="25" t="n"/>
      <c r="AI2030" s="394" t="n"/>
      <c r="AM2030" s="48" t="n"/>
      <c r="AN2030" s="48" t="n"/>
      <c r="AO2030" s="48" t="n"/>
    </row>
    <row r="2031">
      <c r="M2031" s="25" t="n"/>
      <c r="Q2031" s="25" t="n"/>
      <c r="U2031" s="194" t="n"/>
      <c r="AA2031" s="25" t="n"/>
      <c r="AB2031" s="25" t="n"/>
      <c r="AC2031" s="195" t="n"/>
      <c r="AD2031" s="25" t="n"/>
      <c r="AE2031" s="25" t="n"/>
      <c r="AG2031" s="25" t="n"/>
      <c r="AH2031" s="25" t="n"/>
      <c r="AI2031" s="394" t="n"/>
      <c r="AM2031" s="48" t="n"/>
      <c r="AN2031" s="48" t="n"/>
      <c r="AO2031" s="48" t="n"/>
    </row>
    <row r="2032">
      <c r="M2032" s="25" t="n"/>
      <c r="Q2032" s="25" t="n"/>
      <c r="U2032" s="194" t="n"/>
      <c r="AA2032" s="25" t="n"/>
      <c r="AB2032" s="25" t="n"/>
      <c r="AC2032" s="195" t="n"/>
      <c r="AD2032" s="25" t="n"/>
      <c r="AE2032" s="25" t="n"/>
      <c r="AG2032" s="25" t="n"/>
      <c r="AH2032" s="25" t="n"/>
      <c r="AI2032" s="394" t="n"/>
      <c r="AM2032" s="48" t="n"/>
      <c r="AN2032" s="48" t="n"/>
      <c r="AO2032" s="48" t="n"/>
    </row>
    <row r="2033">
      <c r="M2033" s="25" t="n"/>
      <c r="Q2033" s="25" t="n"/>
      <c r="U2033" s="194" t="n"/>
      <c r="AA2033" s="25" t="n"/>
      <c r="AB2033" s="25" t="n"/>
      <c r="AC2033" s="195" t="n"/>
      <c r="AD2033" s="25" t="n"/>
      <c r="AE2033" s="25" t="n"/>
      <c r="AG2033" s="25" t="n"/>
      <c r="AH2033" s="25" t="n"/>
      <c r="AI2033" s="394" t="n"/>
      <c r="AM2033" s="48" t="n"/>
      <c r="AN2033" s="48" t="n"/>
      <c r="AO2033" s="48" t="n"/>
    </row>
    <row r="2034">
      <c r="M2034" s="25" t="n"/>
      <c r="Q2034" s="25" t="n"/>
      <c r="U2034" s="194" t="n"/>
      <c r="AA2034" s="25" t="n"/>
      <c r="AB2034" s="25" t="n"/>
      <c r="AC2034" s="195" t="n"/>
      <c r="AD2034" s="25" t="n"/>
      <c r="AE2034" s="25" t="n"/>
      <c r="AG2034" s="25" t="n"/>
      <c r="AH2034" s="25" t="n"/>
      <c r="AI2034" s="394" t="n"/>
      <c r="AM2034" s="48" t="n"/>
      <c r="AN2034" s="48" t="n"/>
      <c r="AO2034" s="48" t="n"/>
    </row>
    <row r="2035">
      <c r="M2035" s="25" t="n"/>
      <c r="Q2035" s="25" t="n"/>
      <c r="U2035" s="194" t="n"/>
      <c r="AA2035" s="25" t="n"/>
      <c r="AB2035" s="25" t="n"/>
      <c r="AC2035" s="195" t="n"/>
      <c r="AD2035" s="25" t="n"/>
      <c r="AE2035" s="25" t="n"/>
      <c r="AG2035" s="25" t="n"/>
      <c r="AH2035" s="25" t="n"/>
      <c r="AI2035" s="394" t="n"/>
      <c r="AM2035" s="48" t="n"/>
      <c r="AN2035" s="48" t="n"/>
      <c r="AO2035" s="48" t="n"/>
    </row>
    <row r="2036">
      <c r="M2036" s="25" t="n"/>
      <c r="Q2036" s="25" t="n"/>
      <c r="U2036" s="194" t="n"/>
      <c r="AA2036" s="25" t="n"/>
      <c r="AB2036" s="25" t="n"/>
      <c r="AC2036" s="195" t="n"/>
      <c r="AD2036" s="25" t="n"/>
      <c r="AE2036" s="25" t="n"/>
      <c r="AG2036" s="25" t="n"/>
      <c r="AH2036" s="25" t="n"/>
      <c r="AI2036" s="394" t="n"/>
      <c r="AM2036" s="48" t="n"/>
      <c r="AN2036" s="48" t="n"/>
      <c r="AO2036" s="48" t="n"/>
    </row>
    <row r="2037">
      <c r="M2037" s="25" t="n"/>
      <c r="Q2037" s="25" t="n"/>
      <c r="U2037" s="194" t="n"/>
      <c r="AA2037" s="25" t="n"/>
      <c r="AB2037" s="25" t="n"/>
      <c r="AC2037" s="195" t="n"/>
      <c r="AD2037" s="25" t="n"/>
      <c r="AE2037" s="25" t="n"/>
      <c r="AG2037" s="25" t="n"/>
      <c r="AH2037" s="25" t="n"/>
      <c r="AI2037" s="394" t="n"/>
      <c r="AM2037" s="48" t="n"/>
      <c r="AN2037" s="48" t="n"/>
      <c r="AO2037" s="48" t="n"/>
    </row>
    <row r="2038">
      <c r="M2038" s="25" t="n"/>
      <c r="Q2038" s="25" t="n"/>
      <c r="U2038" s="194" t="n"/>
      <c r="AA2038" s="25" t="n"/>
      <c r="AB2038" s="25" t="n"/>
      <c r="AC2038" s="195" t="n"/>
      <c r="AD2038" s="25" t="n"/>
      <c r="AE2038" s="25" t="n"/>
      <c r="AG2038" s="25" t="n"/>
      <c r="AH2038" s="25" t="n"/>
      <c r="AI2038" s="394" t="n"/>
      <c r="AM2038" s="48" t="n"/>
      <c r="AN2038" s="48" t="n"/>
      <c r="AO2038" s="48" t="n"/>
    </row>
    <row r="2039">
      <c r="M2039" s="25" t="n"/>
      <c r="Q2039" s="25" t="n"/>
      <c r="U2039" s="194" t="n"/>
      <c r="AA2039" s="25" t="n"/>
      <c r="AB2039" s="25" t="n"/>
      <c r="AC2039" s="195" t="n"/>
      <c r="AD2039" s="25" t="n"/>
      <c r="AE2039" s="25" t="n"/>
      <c r="AG2039" s="25" t="n"/>
      <c r="AH2039" s="25" t="n"/>
      <c r="AI2039" s="394" t="n"/>
      <c r="AM2039" s="48" t="n"/>
      <c r="AN2039" s="48" t="n"/>
      <c r="AO2039" s="48" t="n"/>
    </row>
    <row r="2040">
      <c r="M2040" s="25" t="n"/>
      <c r="Q2040" s="25" t="n"/>
      <c r="U2040" s="194" t="n"/>
      <c r="AA2040" s="25" t="n"/>
      <c r="AB2040" s="25" t="n"/>
      <c r="AC2040" s="195" t="n"/>
      <c r="AD2040" s="25" t="n"/>
      <c r="AE2040" s="25" t="n"/>
      <c r="AG2040" s="25" t="n"/>
      <c r="AH2040" s="25" t="n"/>
      <c r="AI2040" s="394" t="n"/>
      <c r="AM2040" s="48" t="n"/>
      <c r="AN2040" s="48" t="n"/>
      <c r="AO2040" s="48" t="n"/>
    </row>
    <row r="2041">
      <c r="M2041" s="25" t="n"/>
      <c r="Q2041" s="25" t="n"/>
      <c r="U2041" s="194" t="n"/>
      <c r="AA2041" s="25" t="n"/>
      <c r="AB2041" s="25" t="n"/>
      <c r="AC2041" s="195" t="n"/>
      <c r="AD2041" s="25" t="n"/>
      <c r="AE2041" s="25" t="n"/>
      <c r="AG2041" s="25" t="n"/>
      <c r="AH2041" s="25" t="n"/>
      <c r="AI2041" s="394" t="n"/>
      <c r="AM2041" s="48" t="n"/>
      <c r="AN2041" s="48" t="n"/>
      <c r="AO2041" s="48" t="n"/>
    </row>
    <row r="2042">
      <c r="M2042" s="25" t="n"/>
      <c r="Q2042" s="25" t="n"/>
      <c r="U2042" s="194" t="n"/>
      <c r="AA2042" s="25" t="n"/>
      <c r="AB2042" s="25" t="n"/>
      <c r="AC2042" s="195" t="n"/>
      <c r="AD2042" s="25" t="n"/>
      <c r="AE2042" s="25" t="n"/>
      <c r="AG2042" s="25" t="n"/>
      <c r="AH2042" s="25" t="n"/>
      <c r="AI2042" s="394" t="n"/>
      <c r="AM2042" s="48" t="n"/>
      <c r="AN2042" s="48" t="n"/>
      <c r="AO2042" s="48" t="n"/>
    </row>
    <row r="2043">
      <c r="M2043" s="25" t="n"/>
      <c r="Q2043" s="25" t="n"/>
      <c r="U2043" s="194" t="n"/>
      <c r="AA2043" s="25" t="n"/>
      <c r="AB2043" s="25" t="n"/>
      <c r="AC2043" s="195" t="n"/>
      <c r="AD2043" s="25" t="n"/>
      <c r="AE2043" s="25" t="n"/>
      <c r="AG2043" s="25" t="n"/>
      <c r="AH2043" s="25" t="n"/>
      <c r="AI2043" s="394" t="n"/>
      <c r="AM2043" s="48" t="n"/>
      <c r="AN2043" s="48" t="n"/>
      <c r="AO2043" s="48" t="n"/>
    </row>
    <row r="2044">
      <c r="M2044" s="25" t="n"/>
      <c r="Q2044" s="25" t="n"/>
      <c r="U2044" s="194" t="n"/>
      <c r="AA2044" s="25" t="n"/>
      <c r="AB2044" s="25" t="n"/>
      <c r="AC2044" s="195" t="n"/>
      <c r="AD2044" s="25" t="n"/>
      <c r="AE2044" s="25" t="n"/>
      <c r="AG2044" s="25" t="n"/>
      <c r="AH2044" s="25" t="n"/>
      <c r="AI2044" s="394" t="n"/>
      <c r="AM2044" s="48" t="n"/>
      <c r="AN2044" s="48" t="n"/>
      <c r="AO2044" s="48" t="n"/>
    </row>
    <row r="2045">
      <c r="M2045" s="25" t="n"/>
      <c r="Q2045" s="25" t="n"/>
      <c r="U2045" s="194" t="n"/>
      <c r="AA2045" s="25" t="n"/>
      <c r="AB2045" s="25" t="n"/>
      <c r="AC2045" s="195" t="n"/>
      <c r="AD2045" s="25" t="n"/>
      <c r="AE2045" s="25" t="n"/>
      <c r="AG2045" s="25" t="n"/>
      <c r="AH2045" s="25" t="n"/>
      <c r="AI2045" s="394" t="n"/>
      <c r="AM2045" s="48" t="n"/>
      <c r="AN2045" s="48" t="n"/>
      <c r="AO2045" s="48" t="n"/>
    </row>
    <row r="2046">
      <c r="M2046" s="25" t="n"/>
      <c r="Q2046" s="25" t="n"/>
      <c r="U2046" s="194" t="n"/>
      <c r="AA2046" s="25" t="n"/>
      <c r="AB2046" s="25" t="n"/>
      <c r="AC2046" s="195" t="n"/>
      <c r="AD2046" s="25" t="n"/>
      <c r="AE2046" s="25" t="n"/>
      <c r="AG2046" s="25" t="n"/>
      <c r="AH2046" s="25" t="n"/>
      <c r="AI2046" s="394" t="n"/>
      <c r="AM2046" s="48" t="n"/>
      <c r="AN2046" s="48" t="n"/>
      <c r="AO2046" s="48" t="n"/>
    </row>
    <row r="2047">
      <c r="M2047" s="25" t="n"/>
      <c r="Q2047" s="25" t="n"/>
      <c r="U2047" s="194" t="n"/>
      <c r="AA2047" s="25" t="n"/>
      <c r="AB2047" s="25" t="n"/>
      <c r="AC2047" s="195" t="n"/>
      <c r="AD2047" s="25" t="n"/>
      <c r="AE2047" s="25" t="n"/>
      <c r="AG2047" s="25" t="n"/>
      <c r="AH2047" s="25" t="n"/>
      <c r="AI2047" s="394" t="n"/>
      <c r="AM2047" s="48" t="n"/>
      <c r="AN2047" s="48" t="n"/>
      <c r="AO2047" s="48" t="n"/>
    </row>
    <row r="2048">
      <c r="M2048" s="25" t="n"/>
      <c r="Q2048" s="25" t="n"/>
      <c r="U2048" s="194" t="n"/>
      <c r="AA2048" s="25" t="n"/>
      <c r="AB2048" s="25" t="n"/>
      <c r="AC2048" s="195" t="n"/>
      <c r="AD2048" s="25" t="n"/>
      <c r="AE2048" s="25" t="n"/>
      <c r="AG2048" s="25" t="n"/>
      <c r="AH2048" s="25" t="n"/>
      <c r="AI2048" s="394" t="n"/>
      <c r="AM2048" s="48" t="n"/>
      <c r="AN2048" s="48" t="n"/>
      <c r="AO2048" s="48" t="n"/>
    </row>
    <row r="2049">
      <c r="M2049" s="25" t="n"/>
      <c r="Q2049" s="25" t="n"/>
      <c r="U2049" s="194" t="n"/>
      <c r="AA2049" s="25" t="n"/>
      <c r="AB2049" s="25" t="n"/>
      <c r="AC2049" s="195" t="n"/>
      <c r="AD2049" s="25" t="n"/>
      <c r="AE2049" s="25" t="n"/>
      <c r="AG2049" s="25" t="n"/>
      <c r="AH2049" s="25" t="n"/>
      <c r="AI2049" s="394" t="n"/>
      <c r="AM2049" s="48" t="n"/>
      <c r="AN2049" s="48" t="n"/>
      <c r="AO2049" s="48" t="n"/>
    </row>
    <row r="2050">
      <c r="M2050" s="25" t="n"/>
      <c r="Q2050" s="25" t="n"/>
      <c r="U2050" s="194" t="n"/>
      <c r="AA2050" s="25" t="n"/>
      <c r="AB2050" s="25" t="n"/>
      <c r="AC2050" s="195" t="n"/>
      <c r="AD2050" s="25" t="n"/>
      <c r="AE2050" s="25" t="n"/>
      <c r="AG2050" s="25" t="n"/>
      <c r="AH2050" s="25" t="n"/>
      <c r="AI2050" s="394" t="n"/>
      <c r="AM2050" s="48" t="n"/>
      <c r="AN2050" s="48" t="n"/>
      <c r="AO2050" s="48" t="n"/>
    </row>
    <row r="2051">
      <c r="M2051" s="25" t="n"/>
      <c r="Q2051" s="25" t="n"/>
      <c r="U2051" s="194" t="n"/>
      <c r="AA2051" s="25" t="n"/>
      <c r="AB2051" s="25" t="n"/>
      <c r="AC2051" s="195" t="n"/>
      <c r="AD2051" s="25" t="n"/>
      <c r="AE2051" s="25" t="n"/>
      <c r="AG2051" s="25" t="n"/>
      <c r="AH2051" s="25" t="n"/>
      <c r="AI2051" s="394" t="n"/>
      <c r="AM2051" s="48" t="n"/>
      <c r="AN2051" s="48" t="n"/>
      <c r="AO2051" s="48" t="n"/>
    </row>
    <row r="2052">
      <c r="M2052" s="25" t="n"/>
      <c r="Q2052" s="25" t="n"/>
      <c r="U2052" s="194" t="n"/>
      <c r="AA2052" s="25" t="n"/>
      <c r="AB2052" s="25" t="n"/>
      <c r="AC2052" s="195" t="n"/>
      <c r="AD2052" s="25" t="n"/>
      <c r="AE2052" s="25" t="n"/>
      <c r="AG2052" s="25" t="n"/>
      <c r="AH2052" s="25" t="n"/>
      <c r="AI2052" s="394" t="n"/>
      <c r="AM2052" s="48" t="n"/>
      <c r="AN2052" s="48" t="n"/>
      <c r="AO2052" s="48" t="n"/>
    </row>
    <row r="2053">
      <c r="M2053" s="25" t="n"/>
      <c r="Q2053" s="25" t="n"/>
      <c r="U2053" s="194" t="n"/>
      <c r="AA2053" s="25" t="n"/>
      <c r="AB2053" s="25" t="n"/>
      <c r="AC2053" s="195" t="n"/>
      <c r="AD2053" s="25" t="n"/>
      <c r="AE2053" s="25" t="n"/>
      <c r="AG2053" s="25" t="n"/>
      <c r="AH2053" s="25" t="n"/>
      <c r="AI2053" s="394" t="n"/>
      <c r="AM2053" s="48" t="n"/>
      <c r="AN2053" s="48" t="n"/>
      <c r="AO2053" s="48" t="n"/>
    </row>
    <row r="2054">
      <c r="M2054" s="25" t="n"/>
      <c r="Q2054" s="25" t="n"/>
      <c r="U2054" s="194" t="n"/>
      <c r="AA2054" s="25" t="n"/>
      <c r="AB2054" s="25" t="n"/>
      <c r="AC2054" s="195" t="n"/>
      <c r="AD2054" s="25" t="n"/>
      <c r="AE2054" s="25" t="n"/>
      <c r="AG2054" s="25" t="n"/>
      <c r="AH2054" s="25" t="n"/>
      <c r="AI2054" s="394" t="n"/>
      <c r="AM2054" s="48" t="n"/>
      <c r="AN2054" s="48" t="n"/>
      <c r="AO2054" s="48" t="n"/>
    </row>
    <row r="2055">
      <c r="M2055" s="25" t="n"/>
      <c r="Q2055" s="25" t="n"/>
      <c r="U2055" s="194" t="n"/>
      <c r="AA2055" s="25" t="n"/>
      <c r="AB2055" s="25" t="n"/>
      <c r="AC2055" s="195" t="n"/>
      <c r="AD2055" s="25" t="n"/>
      <c r="AE2055" s="25" t="n"/>
      <c r="AG2055" s="25" t="n"/>
      <c r="AH2055" s="25" t="n"/>
      <c r="AI2055" s="394" t="n"/>
      <c r="AM2055" s="48" t="n"/>
      <c r="AN2055" s="48" t="n"/>
      <c r="AO2055" s="48" t="n"/>
    </row>
    <row r="2056">
      <c r="M2056" s="25" t="n"/>
      <c r="Q2056" s="25" t="n"/>
      <c r="U2056" s="194" t="n"/>
      <c r="AA2056" s="25" t="n"/>
      <c r="AB2056" s="25" t="n"/>
      <c r="AC2056" s="195" t="n"/>
      <c r="AD2056" s="25" t="n"/>
      <c r="AE2056" s="25" t="n"/>
      <c r="AG2056" s="25" t="n"/>
      <c r="AH2056" s="25" t="n"/>
      <c r="AI2056" s="394" t="n"/>
      <c r="AM2056" s="48" t="n"/>
      <c r="AN2056" s="48" t="n"/>
      <c r="AO2056" s="48" t="n"/>
    </row>
    <row r="2057">
      <c r="M2057" s="25" t="n"/>
      <c r="Q2057" s="25" t="n"/>
      <c r="U2057" s="194" t="n"/>
      <c r="AA2057" s="25" t="n"/>
      <c r="AB2057" s="25" t="n"/>
      <c r="AC2057" s="195" t="n"/>
      <c r="AD2057" s="25" t="n"/>
      <c r="AE2057" s="25" t="n"/>
      <c r="AG2057" s="25" t="n"/>
      <c r="AH2057" s="25" t="n"/>
      <c r="AI2057" s="394" t="n"/>
      <c r="AM2057" s="48" t="n"/>
      <c r="AN2057" s="48" t="n"/>
      <c r="AO2057" s="48" t="n"/>
    </row>
    <row r="2058">
      <c r="M2058" s="25" t="n"/>
      <c r="Q2058" s="25" t="n"/>
      <c r="U2058" s="194" t="n"/>
      <c r="AA2058" s="25" t="n"/>
      <c r="AB2058" s="25" t="n"/>
      <c r="AC2058" s="195" t="n"/>
      <c r="AD2058" s="25" t="n"/>
      <c r="AE2058" s="25" t="n"/>
      <c r="AG2058" s="25" t="n"/>
      <c r="AH2058" s="25" t="n"/>
      <c r="AI2058" s="394" t="n"/>
      <c r="AM2058" s="48" t="n"/>
      <c r="AN2058" s="48" t="n"/>
      <c r="AO2058" s="48" t="n"/>
    </row>
    <row r="2059">
      <c r="M2059" s="25" t="n"/>
      <c r="Q2059" s="25" t="n"/>
      <c r="U2059" s="194" t="n"/>
      <c r="AA2059" s="25" t="n"/>
      <c r="AB2059" s="25" t="n"/>
      <c r="AC2059" s="195" t="n"/>
      <c r="AD2059" s="25" t="n"/>
      <c r="AE2059" s="25" t="n"/>
      <c r="AG2059" s="25" t="n"/>
      <c r="AH2059" s="25" t="n"/>
      <c r="AI2059" s="394" t="n"/>
      <c r="AM2059" s="48" t="n"/>
      <c r="AN2059" s="48" t="n"/>
      <c r="AO2059" s="48" t="n"/>
    </row>
    <row r="2060">
      <c r="M2060" s="25" t="n"/>
      <c r="Q2060" s="25" t="n"/>
      <c r="U2060" s="194" t="n"/>
      <c r="AA2060" s="25" t="n"/>
      <c r="AB2060" s="25" t="n"/>
      <c r="AC2060" s="195" t="n"/>
      <c r="AD2060" s="25" t="n"/>
      <c r="AE2060" s="25" t="n"/>
      <c r="AG2060" s="25" t="n"/>
      <c r="AH2060" s="25" t="n"/>
      <c r="AI2060" s="394" t="n"/>
      <c r="AM2060" s="48" t="n"/>
      <c r="AN2060" s="48" t="n"/>
      <c r="AO2060" s="48" t="n"/>
    </row>
    <row r="2061">
      <c r="M2061" s="25" t="n"/>
      <c r="Q2061" s="25" t="n"/>
      <c r="U2061" s="194" t="n"/>
      <c r="AA2061" s="25" t="n"/>
      <c r="AB2061" s="25" t="n"/>
      <c r="AC2061" s="195" t="n"/>
      <c r="AD2061" s="25" t="n"/>
      <c r="AE2061" s="25" t="n"/>
      <c r="AG2061" s="25" t="n"/>
      <c r="AH2061" s="25" t="n"/>
      <c r="AI2061" s="394" t="n"/>
      <c r="AM2061" s="48" t="n"/>
      <c r="AN2061" s="48" t="n"/>
      <c r="AO2061" s="48" t="n"/>
    </row>
    <row r="2062">
      <c r="M2062" s="25" t="n"/>
      <c r="Q2062" s="25" t="n"/>
      <c r="U2062" s="194" t="n"/>
      <c r="AA2062" s="25" t="n"/>
      <c r="AB2062" s="25" t="n"/>
      <c r="AC2062" s="195" t="n"/>
      <c r="AD2062" s="25" t="n"/>
      <c r="AE2062" s="25" t="n"/>
      <c r="AG2062" s="25" t="n"/>
      <c r="AH2062" s="25" t="n"/>
      <c r="AI2062" s="394" t="n"/>
      <c r="AM2062" s="48" t="n"/>
      <c r="AN2062" s="48" t="n"/>
      <c r="AO2062" s="48" t="n"/>
    </row>
    <row r="2063">
      <c r="M2063" s="25" t="n"/>
      <c r="Q2063" s="25" t="n"/>
      <c r="U2063" s="194" t="n"/>
      <c r="AA2063" s="25" t="n"/>
      <c r="AB2063" s="25" t="n"/>
      <c r="AC2063" s="195" t="n"/>
      <c r="AD2063" s="25" t="n"/>
      <c r="AE2063" s="25" t="n"/>
      <c r="AG2063" s="25" t="n"/>
      <c r="AH2063" s="25" t="n"/>
      <c r="AI2063" s="394" t="n"/>
      <c r="AM2063" s="48" t="n"/>
      <c r="AN2063" s="48" t="n"/>
      <c r="AO2063" s="48" t="n"/>
    </row>
    <row r="2064">
      <c r="M2064" s="25" t="n"/>
      <c r="Q2064" s="25" t="n"/>
      <c r="U2064" s="194" t="n"/>
      <c r="AA2064" s="25" t="n"/>
      <c r="AB2064" s="25" t="n"/>
      <c r="AC2064" s="195" t="n"/>
      <c r="AD2064" s="25" t="n"/>
      <c r="AE2064" s="25" t="n"/>
      <c r="AG2064" s="25" t="n"/>
      <c r="AH2064" s="25" t="n"/>
      <c r="AI2064" s="394" t="n"/>
      <c r="AM2064" s="48" t="n"/>
      <c r="AN2064" s="48" t="n"/>
      <c r="AO2064" s="48" t="n"/>
    </row>
    <row r="2065">
      <c r="M2065" s="25" t="n"/>
      <c r="Q2065" s="25" t="n"/>
      <c r="U2065" s="194" t="n"/>
      <c r="AA2065" s="25" t="n"/>
      <c r="AB2065" s="25" t="n"/>
      <c r="AC2065" s="195" t="n"/>
      <c r="AD2065" s="25" t="n"/>
      <c r="AE2065" s="25" t="n"/>
      <c r="AG2065" s="25" t="n"/>
      <c r="AH2065" s="25" t="n"/>
      <c r="AI2065" s="394" t="n"/>
      <c r="AM2065" s="48" t="n"/>
      <c r="AN2065" s="48" t="n"/>
      <c r="AO2065" s="48" t="n"/>
    </row>
    <row r="2066">
      <c r="M2066" s="25" t="n"/>
      <c r="Q2066" s="25" t="n"/>
      <c r="U2066" s="194" t="n"/>
      <c r="AA2066" s="25" t="n"/>
      <c r="AB2066" s="25" t="n"/>
      <c r="AC2066" s="195" t="n"/>
      <c r="AD2066" s="25" t="n"/>
      <c r="AE2066" s="25" t="n"/>
      <c r="AG2066" s="25" t="n"/>
      <c r="AH2066" s="25" t="n"/>
      <c r="AI2066" s="394" t="n"/>
      <c r="AM2066" s="48" t="n"/>
      <c r="AN2066" s="48" t="n"/>
      <c r="AO2066" s="48" t="n"/>
    </row>
    <row r="2067">
      <c r="M2067" s="25" t="n"/>
      <c r="Q2067" s="25" t="n"/>
      <c r="U2067" s="194" t="n"/>
      <c r="AA2067" s="25" t="n"/>
      <c r="AB2067" s="25" t="n"/>
      <c r="AC2067" s="195" t="n"/>
      <c r="AD2067" s="25" t="n"/>
      <c r="AE2067" s="25" t="n"/>
      <c r="AG2067" s="25" t="n"/>
      <c r="AH2067" s="25" t="n"/>
      <c r="AI2067" s="394" t="n"/>
      <c r="AM2067" s="48" t="n"/>
      <c r="AN2067" s="48" t="n"/>
      <c r="AO2067" s="48" t="n"/>
    </row>
    <row r="2068">
      <c r="M2068" s="25" t="n"/>
      <c r="Q2068" s="25" t="n"/>
      <c r="U2068" s="194" t="n"/>
      <c r="AA2068" s="25" t="n"/>
      <c r="AB2068" s="25" t="n"/>
      <c r="AC2068" s="195" t="n"/>
      <c r="AD2068" s="25" t="n"/>
      <c r="AE2068" s="25" t="n"/>
      <c r="AG2068" s="25" t="n"/>
      <c r="AH2068" s="25" t="n"/>
      <c r="AI2068" s="394" t="n"/>
      <c r="AM2068" s="48" t="n"/>
      <c r="AN2068" s="48" t="n"/>
      <c r="AO2068" s="48" t="n"/>
    </row>
    <row r="2069">
      <c r="M2069" s="25" t="n"/>
      <c r="Q2069" s="25" t="n"/>
      <c r="U2069" s="194" t="n"/>
      <c r="AA2069" s="25" t="n"/>
      <c r="AB2069" s="25" t="n"/>
      <c r="AC2069" s="195" t="n"/>
      <c r="AD2069" s="25" t="n"/>
      <c r="AE2069" s="25" t="n"/>
      <c r="AG2069" s="25" t="n"/>
      <c r="AH2069" s="25" t="n"/>
      <c r="AI2069" s="394" t="n"/>
      <c r="AM2069" s="48" t="n"/>
      <c r="AN2069" s="48" t="n"/>
      <c r="AO2069" s="48" t="n"/>
    </row>
    <row r="2070">
      <c r="M2070" s="25" t="n"/>
      <c r="Q2070" s="25" t="n"/>
      <c r="U2070" s="194" t="n"/>
      <c r="AA2070" s="25" t="n"/>
      <c r="AB2070" s="25" t="n"/>
      <c r="AC2070" s="195" t="n"/>
      <c r="AD2070" s="25" t="n"/>
      <c r="AE2070" s="25" t="n"/>
      <c r="AG2070" s="25" t="n"/>
      <c r="AH2070" s="25" t="n"/>
      <c r="AI2070" s="394" t="n"/>
      <c r="AM2070" s="48" t="n"/>
      <c r="AN2070" s="48" t="n"/>
      <c r="AO2070" s="48" t="n"/>
    </row>
    <row r="2071">
      <c r="M2071" s="25" t="n"/>
      <c r="Q2071" s="25" t="n"/>
      <c r="U2071" s="194" t="n"/>
      <c r="AA2071" s="25" t="n"/>
      <c r="AB2071" s="25" t="n"/>
      <c r="AC2071" s="195" t="n"/>
      <c r="AD2071" s="25" t="n"/>
      <c r="AE2071" s="25" t="n"/>
      <c r="AG2071" s="25" t="n"/>
      <c r="AH2071" s="25" t="n"/>
      <c r="AI2071" s="394" t="n"/>
      <c r="AM2071" s="48" t="n"/>
      <c r="AN2071" s="48" t="n"/>
      <c r="AO2071" s="48" t="n"/>
    </row>
    <row r="2072">
      <c r="M2072" s="25" t="n"/>
      <c r="Q2072" s="25" t="n"/>
      <c r="U2072" s="194" t="n"/>
      <c r="AA2072" s="25" t="n"/>
      <c r="AB2072" s="25" t="n"/>
      <c r="AC2072" s="195" t="n"/>
      <c r="AD2072" s="25" t="n"/>
      <c r="AE2072" s="25" t="n"/>
      <c r="AG2072" s="25" t="n"/>
      <c r="AH2072" s="25" t="n"/>
      <c r="AI2072" s="394" t="n"/>
      <c r="AM2072" s="48" t="n"/>
      <c r="AN2072" s="48" t="n"/>
      <c r="AO2072" s="48" t="n"/>
    </row>
    <row r="2073">
      <c r="M2073" s="25" t="n"/>
      <c r="Q2073" s="25" t="n"/>
      <c r="U2073" s="194" t="n"/>
      <c r="AA2073" s="25" t="n"/>
      <c r="AB2073" s="25" t="n"/>
      <c r="AC2073" s="195" t="n"/>
      <c r="AD2073" s="25" t="n"/>
      <c r="AE2073" s="25" t="n"/>
      <c r="AG2073" s="25" t="n"/>
      <c r="AH2073" s="25" t="n"/>
      <c r="AI2073" s="394" t="n"/>
      <c r="AM2073" s="48" t="n"/>
      <c r="AN2073" s="48" t="n"/>
      <c r="AO2073" s="48" t="n"/>
    </row>
    <row r="2074">
      <c r="M2074" s="25" t="n"/>
      <c r="Q2074" s="25" t="n"/>
      <c r="U2074" s="194" t="n"/>
      <c r="AA2074" s="25" t="n"/>
      <c r="AB2074" s="25" t="n"/>
      <c r="AC2074" s="195" t="n"/>
      <c r="AD2074" s="25" t="n"/>
      <c r="AE2074" s="25" t="n"/>
      <c r="AG2074" s="25" t="n"/>
      <c r="AH2074" s="25" t="n"/>
      <c r="AI2074" s="394" t="n"/>
      <c r="AM2074" s="48" t="n"/>
      <c r="AN2074" s="48" t="n"/>
      <c r="AO2074" s="48" t="n"/>
    </row>
    <row r="2075">
      <c r="M2075" s="25" t="n"/>
      <c r="Q2075" s="25" t="n"/>
      <c r="U2075" s="194" t="n"/>
      <c r="AA2075" s="25" t="n"/>
      <c r="AB2075" s="25" t="n"/>
      <c r="AC2075" s="195" t="n"/>
      <c r="AD2075" s="25" t="n"/>
      <c r="AE2075" s="25" t="n"/>
      <c r="AG2075" s="25" t="n"/>
      <c r="AH2075" s="25" t="n"/>
      <c r="AI2075" s="394" t="n"/>
      <c r="AM2075" s="48" t="n"/>
      <c r="AN2075" s="48" t="n"/>
      <c r="AO2075" s="48" t="n"/>
    </row>
    <row r="2076">
      <c r="M2076" s="25" t="n"/>
      <c r="Q2076" s="25" t="n"/>
      <c r="U2076" s="194" t="n"/>
      <c r="AA2076" s="25" t="n"/>
      <c r="AB2076" s="25" t="n"/>
      <c r="AC2076" s="195" t="n"/>
      <c r="AD2076" s="25" t="n"/>
      <c r="AE2076" s="25" t="n"/>
      <c r="AG2076" s="25" t="n"/>
      <c r="AH2076" s="25" t="n"/>
      <c r="AI2076" s="394" t="n"/>
      <c r="AM2076" s="48" t="n"/>
      <c r="AN2076" s="48" t="n"/>
      <c r="AO2076" s="48" t="n"/>
    </row>
    <row r="2077">
      <c r="M2077" s="25" t="n"/>
      <c r="Q2077" s="25" t="n"/>
      <c r="U2077" s="194" t="n"/>
      <c r="AA2077" s="25" t="n"/>
      <c r="AB2077" s="25" t="n"/>
      <c r="AC2077" s="195" t="n"/>
      <c r="AD2077" s="25" t="n"/>
      <c r="AE2077" s="25" t="n"/>
      <c r="AG2077" s="25" t="n"/>
      <c r="AH2077" s="25" t="n"/>
      <c r="AI2077" s="394" t="n"/>
      <c r="AM2077" s="48" t="n"/>
      <c r="AN2077" s="48" t="n"/>
      <c r="AO2077" s="48" t="n"/>
    </row>
    <row r="2078">
      <c r="M2078" s="25" t="n"/>
      <c r="Q2078" s="25" t="n"/>
      <c r="U2078" s="194" t="n"/>
      <c r="AA2078" s="25" t="n"/>
      <c r="AB2078" s="25" t="n"/>
      <c r="AC2078" s="195" t="n"/>
      <c r="AD2078" s="25" t="n"/>
      <c r="AE2078" s="25" t="n"/>
      <c r="AG2078" s="25" t="n"/>
      <c r="AH2078" s="25" t="n"/>
      <c r="AI2078" s="394" t="n"/>
      <c r="AM2078" s="48" t="n"/>
      <c r="AN2078" s="48" t="n"/>
      <c r="AO2078" s="48" t="n"/>
    </row>
    <row r="2079">
      <c r="M2079" s="25" t="n"/>
      <c r="Q2079" s="25" t="n"/>
      <c r="U2079" s="194" t="n"/>
      <c r="AA2079" s="25" t="n"/>
      <c r="AB2079" s="25" t="n"/>
      <c r="AC2079" s="195" t="n"/>
      <c r="AD2079" s="25" t="n"/>
      <c r="AE2079" s="25" t="n"/>
      <c r="AG2079" s="25" t="n"/>
      <c r="AH2079" s="25" t="n"/>
      <c r="AI2079" s="394" t="n"/>
      <c r="AM2079" s="48" t="n"/>
      <c r="AN2079" s="48" t="n"/>
      <c r="AO2079" s="48" t="n"/>
    </row>
    <row r="2080">
      <c r="M2080" s="25" t="n"/>
      <c r="Q2080" s="25" t="n"/>
      <c r="U2080" s="194" t="n"/>
      <c r="AA2080" s="25" t="n"/>
      <c r="AB2080" s="25" t="n"/>
      <c r="AC2080" s="195" t="n"/>
      <c r="AD2080" s="25" t="n"/>
      <c r="AE2080" s="25" t="n"/>
      <c r="AG2080" s="25" t="n"/>
      <c r="AH2080" s="25" t="n"/>
      <c r="AI2080" s="394" t="n"/>
      <c r="AM2080" s="48" t="n"/>
      <c r="AN2080" s="48" t="n"/>
      <c r="AO2080" s="48" t="n"/>
    </row>
    <row r="2081">
      <c r="M2081" s="25" t="n"/>
      <c r="Q2081" s="25" t="n"/>
      <c r="U2081" s="194" t="n"/>
      <c r="AA2081" s="25" t="n"/>
      <c r="AB2081" s="25" t="n"/>
      <c r="AC2081" s="195" t="n"/>
      <c r="AD2081" s="25" t="n"/>
      <c r="AE2081" s="25" t="n"/>
      <c r="AG2081" s="25" t="n"/>
      <c r="AH2081" s="25" t="n"/>
      <c r="AI2081" s="394" t="n"/>
      <c r="AM2081" s="48" t="n"/>
      <c r="AN2081" s="48" t="n"/>
      <c r="AO2081" s="48" t="n"/>
    </row>
    <row r="2082">
      <c r="M2082" s="25" t="n"/>
      <c r="Q2082" s="25" t="n"/>
      <c r="U2082" s="194" t="n"/>
      <c r="AA2082" s="25" t="n"/>
      <c r="AB2082" s="25" t="n"/>
      <c r="AC2082" s="195" t="n"/>
      <c r="AD2082" s="25" t="n"/>
      <c r="AE2082" s="25" t="n"/>
      <c r="AG2082" s="25" t="n"/>
      <c r="AH2082" s="25" t="n"/>
      <c r="AI2082" s="394" t="n"/>
      <c r="AM2082" s="48" t="n"/>
      <c r="AN2082" s="48" t="n"/>
      <c r="AO2082" s="48" t="n"/>
    </row>
    <row r="2083">
      <c r="M2083" s="25" t="n"/>
      <c r="Q2083" s="25" t="n"/>
      <c r="U2083" s="194" t="n"/>
      <c r="AA2083" s="25" t="n"/>
      <c r="AB2083" s="25" t="n"/>
      <c r="AC2083" s="195" t="n"/>
      <c r="AD2083" s="25" t="n"/>
      <c r="AE2083" s="25" t="n"/>
      <c r="AG2083" s="25" t="n"/>
      <c r="AH2083" s="25" t="n"/>
      <c r="AI2083" s="394" t="n"/>
      <c r="AM2083" s="48" t="n"/>
      <c r="AN2083" s="48" t="n"/>
      <c r="AO2083" s="48" t="n"/>
    </row>
    <row r="2084">
      <c r="M2084" s="25" t="n"/>
      <c r="Q2084" s="25" t="n"/>
      <c r="U2084" s="194" t="n"/>
      <c r="AA2084" s="25" t="n"/>
      <c r="AB2084" s="25" t="n"/>
      <c r="AC2084" s="195" t="n"/>
      <c r="AD2084" s="25" t="n"/>
      <c r="AE2084" s="25" t="n"/>
      <c r="AG2084" s="25" t="n"/>
      <c r="AH2084" s="25" t="n"/>
      <c r="AI2084" s="394" t="n"/>
      <c r="AM2084" s="48" t="n"/>
      <c r="AN2084" s="48" t="n"/>
      <c r="AO2084" s="48" t="n"/>
    </row>
    <row r="2085">
      <c r="M2085" s="25" t="n"/>
      <c r="Q2085" s="25" t="n"/>
      <c r="U2085" s="194" t="n"/>
      <c r="AA2085" s="25" t="n"/>
      <c r="AB2085" s="25" t="n"/>
      <c r="AC2085" s="195" t="n"/>
      <c r="AD2085" s="25" t="n"/>
      <c r="AE2085" s="25" t="n"/>
      <c r="AG2085" s="25" t="n"/>
      <c r="AH2085" s="25" t="n"/>
      <c r="AI2085" s="394" t="n"/>
      <c r="AM2085" s="48" t="n"/>
      <c r="AN2085" s="48" t="n"/>
      <c r="AO2085" s="48" t="n"/>
    </row>
    <row r="2086">
      <c r="M2086" s="25" t="n"/>
      <c r="Q2086" s="25" t="n"/>
      <c r="U2086" s="194" t="n"/>
      <c r="AA2086" s="25" t="n"/>
      <c r="AB2086" s="25" t="n"/>
      <c r="AC2086" s="195" t="n"/>
      <c r="AD2086" s="25" t="n"/>
      <c r="AE2086" s="25" t="n"/>
      <c r="AG2086" s="25" t="n"/>
      <c r="AH2086" s="25" t="n"/>
      <c r="AI2086" s="394" t="n"/>
      <c r="AM2086" s="48" t="n"/>
      <c r="AN2086" s="48" t="n"/>
      <c r="AO2086" s="48" t="n"/>
    </row>
    <row r="2087">
      <c r="M2087" s="25" t="n"/>
      <c r="Q2087" s="25" t="n"/>
      <c r="U2087" s="194" t="n"/>
      <c r="AA2087" s="25" t="n"/>
      <c r="AB2087" s="25" t="n"/>
      <c r="AC2087" s="195" t="n"/>
      <c r="AD2087" s="25" t="n"/>
      <c r="AE2087" s="25" t="n"/>
      <c r="AG2087" s="25" t="n"/>
      <c r="AH2087" s="25" t="n"/>
      <c r="AI2087" s="394" t="n"/>
      <c r="AM2087" s="48" t="n"/>
      <c r="AN2087" s="48" t="n"/>
      <c r="AO2087" s="48" t="n"/>
    </row>
    <row r="2088">
      <c r="M2088" s="25" t="n"/>
      <c r="Q2088" s="25" t="n"/>
      <c r="U2088" s="194" t="n"/>
      <c r="AA2088" s="25" t="n"/>
      <c r="AB2088" s="25" t="n"/>
      <c r="AC2088" s="195" t="n"/>
      <c r="AD2088" s="25" t="n"/>
      <c r="AE2088" s="25" t="n"/>
      <c r="AG2088" s="25" t="n"/>
      <c r="AH2088" s="25" t="n"/>
      <c r="AI2088" s="394" t="n"/>
      <c r="AM2088" s="48" t="n"/>
      <c r="AN2088" s="48" t="n"/>
      <c r="AO2088" s="48" t="n"/>
    </row>
    <row r="2089">
      <c r="M2089" s="25" t="n"/>
      <c r="Q2089" s="25" t="n"/>
      <c r="U2089" s="194" t="n"/>
      <c r="AA2089" s="25" t="n"/>
      <c r="AB2089" s="25" t="n"/>
      <c r="AC2089" s="195" t="n"/>
      <c r="AD2089" s="25" t="n"/>
      <c r="AE2089" s="25" t="n"/>
      <c r="AG2089" s="25" t="n"/>
      <c r="AH2089" s="25" t="n"/>
      <c r="AI2089" s="394" t="n"/>
      <c r="AM2089" s="48" t="n"/>
      <c r="AN2089" s="48" t="n"/>
      <c r="AO2089" s="48" t="n"/>
    </row>
    <row r="2090">
      <c r="M2090" s="25" t="n"/>
      <c r="Q2090" s="25" t="n"/>
      <c r="U2090" s="194" t="n"/>
      <c r="AA2090" s="25" t="n"/>
      <c r="AB2090" s="25" t="n"/>
      <c r="AC2090" s="195" t="n"/>
      <c r="AD2090" s="25" t="n"/>
      <c r="AE2090" s="25" t="n"/>
      <c r="AG2090" s="25" t="n"/>
      <c r="AH2090" s="25" t="n"/>
      <c r="AI2090" s="394" t="n"/>
      <c r="AM2090" s="48" t="n"/>
      <c r="AN2090" s="48" t="n"/>
      <c r="AO2090" s="48" t="n"/>
    </row>
    <row r="2091">
      <c r="M2091" s="25" t="n"/>
      <c r="Q2091" s="25" t="n"/>
      <c r="U2091" s="194" t="n"/>
      <c r="AA2091" s="25" t="n"/>
      <c r="AB2091" s="25" t="n"/>
      <c r="AC2091" s="195" t="n"/>
      <c r="AD2091" s="25" t="n"/>
      <c r="AE2091" s="25" t="n"/>
      <c r="AG2091" s="25" t="n"/>
      <c r="AH2091" s="25" t="n"/>
      <c r="AI2091" s="394" t="n"/>
      <c r="AM2091" s="48" t="n"/>
      <c r="AN2091" s="48" t="n"/>
      <c r="AO2091" s="48" t="n"/>
    </row>
    <row r="2092">
      <c r="M2092" s="25" t="n"/>
      <c r="Q2092" s="25" t="n"/>
      <c r="U2092" s="194" t="n"/>
      <c r="AA2092" s="25" t="n"/>
      <c r="AB2092" s="25" t="n"/>
      <c r="AC2092" s="195" t="n"/>
      <c r="AD2092" s="25" t="n"/>
      <c r="AE2092" s="25" t="n"/>
      <c r="AG2092" s="25" t="n"/>
      <c r="AH2092" s="25" t="n"/>
      <c r="AI2092" s="394" t="n"/>
      <c r="AM2092" s="48" t="n"/>
      <c r="AN2092" s="48" t="n"/>
      <c r="AO2092" s="48" t="n"/>
    </row>
    <row r="2093">
      <c r="M2093" s="25" t="n"/>
      <c r="Q2093" s="25" t="n"/>
      <c r="U2093" s="194" t="n"/>
      <c r="AA2093" s="25" t="n"/>
      <c r="AB2093" s="25" t="n"/>
      <c r="AC2093" s="195" t="n"/>
      <c r="AD2093" s="25" t="n"/>
      <c r="AE2093" s="25" t="n"/>
      <c r="AG2093" s="25" t="n"/>
      <c r="AH2093" s="25" t="n"/>
      <c r="AI2093" s="394" t="n"/>
      <c r="AM2093" s="48" t="n"/>
      <c r="AN2093" s="48" t="n"/>
      <c r="AO2093" s="48" t="n"/>
    </row>
    <row r="2094">
      <c r="M2094" s="25" t="n"/>
      <c r="Q2094" s="25" t="n"/>
      <c r="U2094" s="194" t="n"/>
      <c r="AA2094" s="25" t="n"/>
      <c r="AB2094" s="25" t="n"/>
      <c r="AC2094" s="195" t="n"/>
      <c r="AD2094" s="25" t="n"/>
      <c r="AE2094" s="25" t="n"/>
      <c r="AG2094" s="25" t="n"/>
      <c r="AH2094" s="25" t="n"/>
      <c r="AI2094" s="394" t="n"/>
      <c r="AM2094" s="48" t="n"/>
      <c r="AN2094" s="48" t="n"/>
      <c r="AO2094" s="48" t="n"/>
    </row>
    <row r="2095">
      <c r="M2095" s="25" t="n"/>
      <c r="Q2095" s="25" t="n"/>
      <c r="U2095" s="194" t="n"/>
      <c r="AA2095" s="25" t="n"/>
      <c r="AB2095" s="25" t="n"/>
      <c r="AC2095" s="195" t="n"/>
      <c r="AD2095" s="25" t="n"/>
      <c r="AE2095" s="25" t="n"/>
      <c r="AG2095" s="25" t="n"/>
      <c r="AH2095" s="25" t="n"/>
      <c r="AI2095" s="394" t="n"/>
      <c r="AM2095" s="48" t="n"/>
      <c r="AN2095" s="48" t="n"/>
      <c r="AO2095" s="48" t="n"/>
    </row>
    <row r="2096">
      <c r="M2096" s="25" t="n"/>
      <c r="Q2096" s="25" t="n"/>
      <c r="U2096" s="194" t="n"/>
      <c r="AA2096" s="25" t="n"/>
      <c r="AB2096" s="25" t="n"/>
      <c r="AC2096" s="195" t="n"/>
      <c r="AD2096" s="25" t="n"/>
      <c r="AE2096" s="25" t="n"/>
      <c r="AG2096" s="25" t="n"/>
      <c r="AH2096" s="25" t="n"/>
      <c r="AI2096" s="394" t="n"/>
      <c r="AM2096" s="48" t="n"/>
      <c r="AN2096" s="48" t="n"/>
      <c r="AO2096" s="48" t="n"/>
    </row>
    <row r="2097">
      <c r="M2097" s="25" t="n"/>
      <c r="Q2097" s="25" t="n"/>
      <c r="U2097" s="194" t="n"/>
      <c r="AA2097" s="25" t="n"/>
      <c r="AB2097" s="25" t="n"/>
      <c r="AC2097" s="195" t="n"/>
      <c r="AD2097" s="25" t="n"/>
      <c r="AE2097" s="25" t="n"/>
      <c r="AG2097" s="25" t="n"/>
      <c r="AH2097" s="25" t="n"/>
      <c r="AI2097" s="394" t="n"/>
      <c r="AM2097" s="48" t="n"/>
      <c r="AN2097" s="48" t="n"/>
      <c r="AO2097" s="48" t="n"/>
    </row>
    <row r="2098">
      <c r="M2098" s="25" t="n"/>
      <c r="Q2098" s="25" t="n"/>
      <c r="U2098" s="194" t="n"/>
      <c r="AA2098" s="25" t="n"/>
      <c r="AB2098" s="25" t="n"/>
      <c r="AC2098" s="195" t="n"/>
      <c r="AD2098" s="25" t="n"/>
      <c r="AE2098" s="25" t="n"/>
      <c r="AG2098" s="25" t="n"/>
      <c r="AH2098" s="25" t="n"/>
      <c r="AI2098" s="394" t="n"/>
      <c r="AM2098" s="48" t="n"/>
      <c r="AN2098" s="48" t="n"/>
      <c r="AO2098" s="48" t="n"/>
    </row>
    <row r="2099">
      <c r="M2099" s="25" t="n"/>
      <c r="Q2099" s="25" t="n"/>
      <c r="U2099" s="194" t="n"/>
      <c r="AA2099" s="25" t="n"/>
      <c r="AB2099" s="25" t="n"/>
      <c r="AC2099" s="195" t="n"/>
      <c r="AD2099" s="25" t="n"/>
      <c r="AE2099" s="25" t="n"/>
      <c r="AG2099" s="25" t="n"/>
      <c r="AH2099" s="25" t="n"/>
      <c r="AI2099" s="394" t="n"/>
      <c r="AM2099" s="48" t="n"/>
      <c r="AN2099" s="48" t="n"/>
      <c r="AO2099" s="48" t="n"/>
    </row>
    <row r="2100">
      <c r="M2100" s="25" t="n"/>
      <c r="Q2100" s="25" t="n"/>
      <c r="U2100" s="194" t="n"/>
      <c r="AA2100" s="25" t="n"/>
      <c r="AB2100" s="25" t="n"/>
      <c r="AC2100" s="195" t="n"/>
      <c r="AD2100" s="25" t="n"/>
      <c r="AE2100" s="25" t="n"/>
      <c r="AG2100" s="25" t="n"/>
      <c r="AH2100" s="25" t="n"/>
      <c r="AI2100" s="394" t="n"/>
      <c r="AM2100" s="48" t="n"/>
      <c r="AN2100" s="48" t="n"/>
      <c r="AO2100" s="48" t="n"/>
    </row>
    <row r="2101">
      <c r="M2101" s="25" t="n"/>
      <c r="Q2101" s="25" t="n"/>
      <c r="U2101" s="194" t="n"/>
      <c r="AA2101" s="25" t="n"/>
      <c r="AB2101" s="25" t="n"/>
      <c r="AC2101" s="195" t="n"/>
      <c r="AD2101" s="25" t="n"/>
      <c r="AE2101" s="25" t="n"/>
      <c r="AG2101" s="25" t="n"/>
      <c r="AH2101" s="25" t="n"/>
      <c r="AI2101" s="394" t="n"/>
      <c r="AM2101" s="48" t="n"/>
      <c r="AN2101" s="48" t="n"/>
      <c r="AO2101" s="48" t="n"/>
    </row>
    <row r="2102">
      <c r="M2102" s="25" t="n"/>
      <c r="Q2102" s="25" t="n"/>
      <c r="U2102" s="194" t="n"/>
      <c r="AA2102" s="25" t="n"/>
      <c r="AB2102" s="25" t="n"/>
      <c r="AC2102" s="195" t="n"/>
      <c r="AD2102" s="25" t="n"/>
      <c r="AE2102" s="25" t="n"/>
      <c r="AG2102" s="25" t="n"/>
      <c r="AH2102" s="25" t="n"/>
      <c r="AI2102" s="394" t="n"/>
      <c r="AM2102" s="48" t="n"/>
      <c r="AN2102" s="48" t="n"/>
      <c r="AO2102" s="48" t="n"/>
    </row>
    <row r="2103">
      <c r="M2103" s="25" t="n"/>
      <c r="Q2103" s="25" t="n"/>
      <c r="U2103" s="194" t="n"/>
      <c r="AA2103" s="25" t="n"/>
      <c r="AB2103" s="25" t="n"/>
      <c r="AC2103" s="195" t="n"/>
      <c r="AD2103" s="25" t="n"/>
      <c r="AE2103" s="25" t="n"/>
      <c r="AG2103" s="25" t="n"/>
      <c r="AH2103" s="25" t="n"/>
      <c r="AI2103" s="394" t="n"/>
      <c r="AM2103" s="48" t="n"/>
      <c r="AN2103" s="48" t="n"/>
      <c r="AO2103" s="48" t="n"/>
    </row>
    <row r="2104">
      <c r="M2104" s="25" t="n"/>
      <c r="Q2104" s="25" t="n"/>
      <c r="U2104" s="194" t="n"/>
      <c r="AA2104" s="25" t="n"/>
      <c r="AB2104" s="25" t="n"/>
      <c r="AC2104" s="195" t="n"/>
      <c r="AD2104" s="25" t="n"/>
      <c r="AE2104" s="25" t="n"/>
      <c r="AG2104" s="25" t="n"/>
      <c r="AH2104" s="25" t="n"/>
      <c r="AI2104" s="394" t="n"/>
      <c r="AM2104" s="48" t="n"/>
      <c r="AN2104" s="48" t="n"/>
      <c r="AO2104" s="48" t="n"/>
    </row>
    <row r="2105">
      <c r="M2105" s="25" t="n"/>
      <c r="Q2105" s="25" t="n"/>
      <c r="U2105" s="194" t="n"/>
      <c r="AA2105" s="25" t="n"/>
      <c r="AB2105" s="25" t="n"/>
      <c r="AC2105" s="195" t="n"/>
      <c r="AD2105" s="25" t="n"/>
      <c r="AE2105" s="25" t="n"/>
      <c r="AG2105" s="25" t="n"/>
      <c r="AH2105" s="25" t="n"/>
      <c r="AI2105" s="394" t="n"/>
      <c r="AM2105" s="48" t="n"/>
      <c r="AN2105" s="48" t="n"/>
      <c r="AO2105" s="48" t="n"/>
    </row>
    <row r="2106">
      <c r="M2106" s="25" t="n"/>
      <c r="Q2106" s="25" t="n"/>
      <c r="U2106" s="194" t="n"/>
      <c r="AA2106" s="25" t="n"/>
      <c r="AB2106" s="25" t="n"/>
      <c r="AC2106" s="195" t="n"/>
      <c r="AD2106" s="25" t="n"/>
      <c r="AE2106" s="25" t="n"/>
      <c r="AG2106" s="25" t="n"/>
      <c r="AH2106" s="25" t="n"/>
      <c r="AI2106" s="394" t="n"/>
      <c r="AM2106" s="48" t="n"/>
      <c r="AN2106" s="48" t="n"/>
      <c r="AO2106" s="48" t="n"/>
    </row>
    <row r="2107">
      <c r="M2107" s="25" t="n"/>
      <c r="Q2107" s="25" t="n"/>
      <c r="U2107" s="194" t="n"/>
      <c r="AA2107" s="25" t="n"/>
      <c r="AB2107" s="25" t="n"/>
      <c r="AC2107" s="195" t="n"/>
      <c r="AD2107" s="25" t="n"/>
      <c r="AE2107" s="25" t="n"/>
      <c r="AG2107" s="25" t="n"/>
      <c r="AH2107" s="25" t="n"/>
      <c r="AI2107" s="394" t="n"/>
      <c r="AM2107" s="48" t="n"/>
      <c r="AN2107" s="48" t="n"/>
      <c r="AO2107" s="48" t="n"/>
    </row>
    <row r="2108">
      <c r="M2108" s="25" t="n"/>
      <c r="Q2108" s="25" t="n"/>
      <c r="U2108" s="194" t="n"/>
      <c r="AA2108" s="25" t="n"/>
      <c r="AB2108" s="25" t="n"/>
      <c r="AC2108" s="195" t="n"/>
      <c r="AD2108" s="25" t="n"/>
      <c r="AE2108" s="25" t="n"/>
      <c r="AG2108" s="25" t="n"/>
      <c r="AH2108" s="25" t="n"/>
      <c r="AI2108" s="394" t="n"/>
      <c r="AM2108" s="48" t="n"/>
      <c r="AN2108" s="48" t="n"/>
      <c r="AO2108" s="48" t="n"/>
    </row>
    <row r="2109">
      <c r="M2109" s="25" t="n"/>
      <c r="Q2109" s="25" t="n"/>
      <c r="U2109" s="194" t="n"/>
      <c r="AA2109" s="25" t="n"/>
      <c r="AB2109" s="25" t="n"/>
      <c r="AC2109" s="195" t="n"/>
      <c r="AD2109" s="25" t="n"/>
      <c r="AE2109" s="25" t="n"/>
      <c r="AG2109" s="25" t="n"/>
      <c r="AH2109" s="25" t="n"/>
      <c r="AI2109" s="394" t="n"/>
      <c r="AM2109" s="48" t="n"/>
      <c r="AN2109" s="48" t="n"/>
      <c r="AO2109" s="48" t="n"/>
    </row>
    <row r="2110">
      <c r="M2110" s="25" t="n"/>
      <c r="Q2110" s="25" t="n"/>
      <c r="U2110" s="194" t="n"/>
      <c r="AA2110" s="25" t="n"/>
      <c r="AB2110" s="25" t="n"/>
      <c r="AC2110" s="195" t="n"/>
      <c r="AD2110" s="25" t="n"/>
      <c r="AE2110" s="25" t="n"/>
      <c r="AG2110" s="25" t="n"/>
      <c r="AH2110" s="25" t="n"/>
      <c r="AI2110" s="394" t="n"/>
      <c r="AM2110" s="48" t="n"/>
      <c r="AN2110" s="48" t="n"/>
      <c r="AO2110" s="48" t="n"/>
    </row>
    <row r="2111">
      <c r="M2111" s="25" t="n"/>
      <c r="Q2111" s="25" t="n"/>
      <c r="U2111" s="194" t="n"/>
      <c r="AA2111" s="25" t="n"/>
      <c r="AB2111" s="25" t="n"/>
      <c r="AC2111" s="195" t="n"/>
      <c r="AD2111" s="25" t="n"/>
      <c r="AE2111" s="25" t="n"/>
      <c r="AG2111" s="25" t="n"/>
      <c r="AH2111" s="25" t="n"/>
      <c r="AI2111" s="394" t="n"/>
      <c r="AM2111" s="48" t="n"/>
      <c r="AN2111" s="48" t="n"/>
      <c r="AO2111" s="48" t="n"/>
    </row>
    <row r="2112">
      <c r="M2112" s="25" t="n"/>
      <c r="Q2112" s="25" t="n"/>
      <c r="U2112" s="194" t="n"/>
      <c r="AA2112" s="25" t="n"/>
      <c r="AB2112" s="25" t="n"/>
      <c r="AC2112" s="195" t="n"/>
      <c r="AD2112" s="25" t="n"/>
      <c r="AE2112" s="25" t="n"/>
      <c r="AG2112" s="25" t="n"/>
      <c r="AH2112" s="25" t="n"/>
      <c r="AI2112" s="394" t="n"/>
      <c r="AM2112" s="48" t="n"/>
      <c r="AN2112" s="48" t="n"/>
      <c r="AO2112" s="48" t="n"/>
    </row>
    <row r="2113">
      <c r="M2113" s="25" t="n"/>
      <c r="Q2113" s="25" t="n"/>
      <c r="U2113" s="194" t="n"/>
      <c r="AA2113" s="25" t="n"/>
      <c r="AB2113" s="25" t="n"/>
      <c r="AC2113" s="195" t="n"/>
      <c r="AD2113" s="25" t="n"/>
      <c r="AE2113" s="25" t="n"/>
      <c r="AG2113" s="25" t="n"/>
      <c r="AH2113" s="25" t="n"/>
      <c r="AI2113" s="394" t="n"/>
      <c r="AM2113" s="48" t="n"/>
      <c r="AN2113" s="48" t="n"/>
      <c r="AO2113" s="48" t="n"/>
    </row>
    <row r="2114">
      <c r="M2114" s="25" t="n"/>
      <c r="Q2114" s="25" t="n"/>
      <c r="U2114" s="194" t="n"/>
      <c r="AA2114" s="25" t="n"/>
      <c r="AB2114" s="25" t="n"/>
      <c r="AC2114" s="195" t="n"/>
      <c r="AD2114" s="25" t="n"/>
      <c r="AE2114" s="25" t="n"/>
      <c r="AG2114" s="25" t="n"/>
      <c r="AH2114" s="25" t="n"/>
      <c r="AI2114" s="394" t="n"/>
      <c r="AM2114" s="48" t="n"/>
      <c r="AN2114" s="48" t="n"/>
      <c r="AO2114" s="48" t="n"/>
    </row>
    <row r="2115">
      <c r="M2115" s="25" t="n"/>
      <c r="Q2115" s="25" t="n"/>
      <c r="U2115" s="194" t="n"/>
      <c r="AA2115" s="25" t="n"/>
      <c r="AB2115" s="25" t="n"/>
      <c r="AC2115" s="195" t="n"/>
      <c r="AD2115" s="25" t="n"/>
      <c r="AE2115" s="25" t="n"/>
      <c r="AG2115" s="25" t="n"/>
      <c r="AH2115" s="25" t="n"/>
      <c r="AI2115" s="394" t="n"/>
      <c r="AM2115" s="48" t="n"/>
      <c r="AN2115" s="48" t="n"/>
      <c r="AO2115" s="48" t="n"/>
    </row>
    <row r="2116">
      <c r="M2116" s="25" t="n"/>
      <c r="Q2116" s="25" t="n"/>
      <c r="U2116" s="194" t="n"/>
      <c r="AA2116" s="25" t="n"/>
      <c r="AB2116" s="25" t="n"/>
      <c r="AC2116" s="195" t="n"/>
      <c r="AD2116" s="25" t="n"/>
      <c r="AE2116" s="25" t="n"/>
      <c r="AG2116" s="25" t="n"/>
      <c r="AH2116" s="25" t="n"/>
      <c r="AI2116" s="394" t="n"/>
      <c r="AM2116" s="48" t="n"/>
      <c r="AN2116" s="48" t="n"/>
      <c r="AO2116" s="48" t="n"/>
    </row>
    <row r="2117">
      <c r="M2117" s="25" t="n"/>
      <c r="Q2117" s="25" t="n"/>
      <c r="U2117" s="194" t="n"/>
      <c r="AA2117" s="25" t="n"/>
      <c r="AB2117" s="25" t="n"/>
      <c r="AC2117" s="195" t="n"/>
      <c r="AD2117" s="25" t="n"/>
      <c r="AE2117" s="25" t="n"/>
      <c r="AG2117" s="25" t="n"/>
      <c r="AH2117" s="25" t="n"/>
      <c r="AI2117" s="394" t="n"/>
      <c r="AM2117" s="48" t="n"/>
      <c r="AN2117" s="48" t="n"/>
      <c r="AO2117" s="48" t="n"/>
    </row>
    <row r="2118">
      <c r="M2118" s="25" t="n"/>
      <c r="Q2118" s="25" t="n"/>
      <c r="U2118" s="194" t="n"/>
      <c r="AA2118" s="25" t="n"/>
      <c r="AB2118" s="25" t="n"/>
      <c r="AC2118" s="195" t="n"/>
      <c r="AD2118" s="25" t="n"/>
      <c r="AE2118" s="25" t="n"/>
      <c r="AG2118" s="25" t="n"/>
      <c r="AH2118" s="25" t="n"/>
      <c r="AI2118" s="394" t="n"/>
      <c r="AM2118" s="48" t="n"/>
      <c r="AN2118" s="48" t="n"/>
      <c r="AO2118" s="48" t="n"/>
    </row>
    <row r="2119">
      <c r="M2119" s="25" t="n"/>
      <c r="Q2119" s="25" t="n"/>
      <c r="U2119" s="194" t="n"/>
      <c r="AA2119" s="25" t="n"/>
      <c r="AB2119" s="25" t="n"/>
      <c r="AC2119" s="195" t="n"/>
      <c r="AD2119" s="25" t="n"/>
      <c r="AE2119" s="25" t="n"/>
      <c r="AG2119" s="25" t="n"/>
      <c r="AH2119" s="25" t="n"/>
      <c r="AI2119" s="394" t="n"/>
      <c r="AM2119" s="48" t="n"/>
      <c r="AN2119" s="48" t="n"/>
      <c r="AO2119" s="48" t="n"/>
    </row>
    <row r="2120">
      <c r="M2120" s="25" t="n"/>
      <c r="Q2120" s="25" t="n"/>
      <c r="U2120" s="194" t="n"/>
      <c r="AA2120" s="25" t="n"/>
      <c r="AB2120" s="25" t="n"/>
      <c r="AC2120" s="195" t="n"/>
      <c r="AD2120" s="25" t="n"/>
      <c r="AE2120" s="25" t="n"/>
      <c r="AG2120" s="25" t="n"/>
      <c r="AH2120" s="25" t="n"/>
      <c r="AI2120" s="394" t="n"/>
      <c r="AM2120" s="48" t="n"/>
      <c r="AN2120" s="48" t="n"/>
      <c r="AO2120" s="48" t="n"/>
    </row>
    <row r="2121">
      <c r="M2121" s="25" t="n"/>
      <c r="Q2121" s="25" t="n"/>
      <c r="U2121" s="194" t="n"/>
      <c r="AA2121" s="25" t="n"/>
      <c r="AB2121" s="25" t="n"/>
      <c r="AC2121" s="195" t="n"/>
      <c r="AD2121" s="25" t="n"/>
      <c r="AE2121" s="25" t="n"/>
      <c r="AG2121" s="25" t="n"/>
      <c r="AH2121" s="25" t="n"/>
      <c r="AI2121" s="394" t="n"/>
      <c r="AM2121" s="48" t="n"/>
      <c r="AN2121" s="48" t="n"/>
      <c r="AO2121" s="48" t="n"/>
    </row>
    <row r="2122">
      <c r="M2122" s="25" t="n"/>
      <c r="Q2122" s="25" t="n"/>
      <c r="U2122" s="194" t="n"/>
      <c r="AA2122" s="25" t="n"/>
      <c r="AB2122" s="25" t="n"/>
      <c r="AC2122" s="195" t="n"/>
      <c r="AD2122" s="25" t="n"/>
      <c r="AE2122" s="25" t="n"/>
      <c r="AG2122" s="25" t="n"/>
      <c r="AH2122" s="25" t="n"/>
      <c r="AI2122" s="394" t="n"/>
      <c r="AM2122" s="48" t="n"/>
      <c r="AN2122" s="48" t="n"/>
      <c r="AO2122" s="48" t="n"/>
    </row>
    <row r="2123">
      <c r="M2123" s="25" t="n"/>
      <c r="Q2123" s="25" t="n"/>
      <c r="U2123" s="194" t="n"/>
      <c r="AA2123" s="25" t="n"/>
      <c r="AB2123" s="25" t="n"/>
      <c r="AC2123" s="195" t="n"/>
      <c r="AD2123" s="25" t="n"/>
      <c r="AE2123" s="25" t="n"/>
      <c r="AG2123" s="25" t="n"/>
      <c r="AH2123" s="25" t="n"/>
      <c r="AI2123" s="394" t="n"/>
      <c r="AM2123" s="48" t="n"/>
      <c r="AN2123" s="48" t="n"/>
      <c r="AO2123" s="48" t="n"/>
    </row>
    <row r="2124">
      <c r="M2124" s="25" t="n"/>
      <c r="Q2124" s="25" t="n"/>
      <c r="U2124" s="194" t="n"/>
      <c r="AA2124" s="25" t="n"/>
      <c r="AB2124" s="25" t="n"/>
      <c r="AC2124" s="195" t="n"/>
      <c r="AD2124" s="25" t="n"/>
      <c r="AE2124" s="25" t="n"/>
      <c r="AG2124" s="25" t="n"/>
      <c r="AH2124" s="25" t="n"/>
      <c r="AI2124" s="394" t="n"/>
      <c r="AM2124" s="48" t="n"/>
      <c r="AN2124" s="48" t="n"/>
      <c r="AO2124" s="48" t="n"/>
    </row>
    <row r="2125">
      <c r="M2125" s="25" t="n"/>
      <c r="Q2125" s="25" t="n"/>
      <c r="U2125" s="194" t="n"/>
      <c r="AA2125" s="25" t="n"/>
      <c r="AB2125" s="25" t="n"/>
      <c r="AC2125" s="195" t="n"/>
      <c r="AD2125" s="25" t="n"/>
      <c r="AE2125" s="25" t="n"/>
      <c r="AG2125" s="25" t="n"/>
      <c r="AH2125" s="25" t="n"/>
      <c r="AI2125" s="394" t="n"/>
      <c r="AM2125" s="48" t="n"/>
      <c r="AN2125" s="48" t="n"/>
      <c r="AO2125" s="48" t="n"/>
    </row>
    <row r="2126">
      <c r="M2126" s="25" t="n"/>
      <c r="Q2126" s="25" t="n"/>
      <c r="U2126" s="194" t="n"/>
      <c r="AA2126" s="25" t="n"/>
      <c r="AB2126" s="25" t="n"/>
      <c r="AC2126" s="195" t="n"/>
      <c r="AD2126" s="25" t="n"/>
      <c r="AE2126" s="25" t="n"/>
      <c r="AG2126" s="25" t="n"/>
      <c r="AH2126" s="25" t="n"/>
      <c r="AI2126" s="394" t="n"/>
      <c r="AM2126" s="48" t="n"/>
      <c r="AN2126" s="48" t="n"/>
      <c r="AO2126" s="48" t="n"/>
    </row>
    <row r="2127">
      <c r="M2127" s="25" t="n"/>
      <c r="Q2127" s="25" t="n"/>
      <c r="U2127" s="194" t="n"/>
      <c r="AA2127" s="25" t="n"/>
      <c r="AB2127" s="25" t="n"/>
      <c r="AC2127" s="195" t="n"/>
      <c r="AD2127" s="25" t="n"/>
      <c r="AE2127" s="25" t="n"/>
      <c r="AG2127" s="25" t="n"/>
      <c r="AH2127" s="25" t="n"/>
      <c r="AI2127" s="394" t="n"/>
      <c r="AM2127" s="48" t="n"/>
      <c r="AN2127" s="48" t="n"/>
      <c r="AO2127" s="48" t="n"/>
    </row>
    <row r="2128">
      <c r="M2128" s="25" t="n"/>
      <c r="Q2128" s="25" t="n"/>
      <c r="U2128" s="194" t="n"/>
      <c r="AA2128" s="25" t="n"/>
      <c r="AB2128" s="25" t="n"/>
      <c r="AC2128" s="195" t="n"/>
      <c r="AD2128" s="25" t="n"/>
      <c r="AE2128" s="25" t="n"/>
      <c r="AG2128" s="25" t="n"/>
      <c r="AH2128" s="25" t="n"/>
      <c r="AI2128" s="394" t="n"/>
      <c r="AM2128" s="48" t="n"/>
      <c r="AN2128" s="48" t="n"/>
      <c r="AO2128" s="48" t="n"/>
    </row>
    <row r="2129">
      <c r="M2129" s="25" t="n"/>
      <c r="Q2129" s="25" t="n"/>
      <c r="U2129" s="194" t="n"/>
      <c r="AA2129" s="25" t="n"/>
      <c r="AB2129" s="25" t="n"/>
      <c r="AC2129" s="195" t="n"/>
      <c r="AD2129" s="25" t="n"/>
      <c r="AE2129" s="25" t="n"/>
      <c r="AG2129" s="25" t="n"/>
      <c r="AH2129" s="25" t="n"/>
      <c r="AI2129" s="394" t="n"/>
      <c r="AM2129" s="48" t="n"/>
      <c r="AN2129" s="48" t="n"/>
      <c r="AO2129" s="48" t="n"/>
    </row>
    <row r="2130">
      <c r="M2130" s="25" t="n"/>
      <c r="Q2130" s="25" t="n"/>
      <c r="U2130" s="194" t="n"/>
      <c r="AA2130" s="25" t="n"/>
      <c r="AB2130" s="25" t="n"/>
      <c r="AC2130" s="195" t="n"/>
      <c r="AD2130" s="25" t="n"/>
      <c r="AE2130" s="25" t="n"/>
      <c r="AG2130" s="25" t="n"/>
      <c r="AH2130" s="25" t="n"/>
      <c r="AI2130" s="394" t="n"/>
      <c r="AM2130" s="48" t="n"/>
      <c r="AN2130" s="48" t="n"/>
      <c r="AO2130" s="48" t="n"/>
    </row>
    <row r="2131">
      <c r="M2131" s="25" t="n"/>
      <c r="Q2131" s="25" t="n"/>
      <c r="U2131" s="194" t="n"/>
      <c r="AA2131" s="25" t="n"/>
      <c r="AB2131" s="25" t="n"/>
      <c r="AC2131" s="195" t="n"/>
      <c r="AD2131" s="25" t="n"/>
      <c r="AE2131" s="25" t="n"/>
      <c r="AG2131" s="25" t="n"/>
      <c r="AH2131" s="25" t="n"/>
      <c r="AI2131" s="394" t="n"/>
      <c r="AM2131" s="48" t="n"/>
      <c r="AN2131" s="48" t="n"/>
      <c r="AO2131" s="48" t="n"/>
    </row>
    <row r="2132">
      <c r="M2132" s="25" t="n"/>
      <c r="Q2132" s="25" t="n"/>
      <c r="U2132" s="194" t="n"/>
      <c r="AA2132" s="25" t="n"/>
      <c r="AB2132" s="25" t="n"/>
      <c r="AC2132" s="195" t="n"/>
      <c r="AD2132" s="25" t="n"/>
      <c r="AE2132" s="25" t="n"/>
      <c r="AG2132" s="25" t="n"/>
      <c r="AH2132" s="25" t="n"/>
      <c r="AI2132" s="394" t="n"/>
      <c r="AM2132" s="48" t="n"/>
      <c r="AN2132" s="48" t="n"/>
      <c r="AO2132" s="48" t="n"/>
    </row>
    <row r="2133">
      <c r="M2133" s="25" t="n"/>
      <c r="Q2133" s="25" t="n"/>
      <c r="U2133" s="194" t="n"/>
      <c r="AA2133" s="25" t="n"/>
      <c r="AB2133" s="25" t="n"/>
      <c r="AC2133" s="195" t="n"/>
      <c r="AD2133" s="25" t="n"/>
      <c r="AE2133" s="25" t="n"/>
      <c r="AG2133" s="25" t="n"/>
      <c r="AH2133" s="25" t="n"/>
      <c r="AI2133" s="394" t="n"/>
      <c r="AM2133" s="48" t="n"/>
      <c r="AN2133" s="48" t="n"/>
      <c r="AO2133" s="48" t="n"/>
    </row>
    <row r="2134">
      <c r="M2134" s="25" t="n"/>
      <c r="Q2134" s="25" t="n"/>
      <c r="U2134" s="194" t="n"/>
      <c r="AA2134" s="25" t="n"/>
      <c r="AB2134" s="25" t="n"/>
      <c r="AC2134" s="195" t="n"/>
      <c r="AD2134" s="25" t="n"/>
      <c r="AE2134" s="25" t="n"/>
      <c r="AG2134" s="25" t="n"/>
      <c r="AH2134" s="25" t="n"/>
      <c r="AI2134" s="394" t="n"/>
      <c r="AM2134" s="48" t="n"/>
      <c r="AN2134" s="48" t="n"/>
      <c r="AO2134" s="48" t="n"/>
    </row>
    <row r="2135">
      <c r="M2135" s="25" t="n"/>
      <c r="Q2135" s="25" t="n"/>
      <c r="U2135" s="194" t="n"/>
      <c r="AA2135" s="25" t="n"/>
      <c r="AB2135" s="25" t="n"/>
      <c r="AC2135" s="195" t="n"/>
      <c r="AD2135" s="25" t="n"/>
      <c r="AE2135" s="25" t="n"/>
      <c r="AG2135" s="25" t="n"/>
      <c r="AH2135" s="25" t="n"/>
      <c r="AI2135" s="394" t="n"/>
      <c r="AM2135" s="48" t="n"/>
      <c r="AN2135" s="48" t="n"/>
      <c r="AO2135" s="48" t="n"/>
    </row>
    <row r="2136">
      <c r="M2136" s="25" t="n"/>
      <c r="Q2136" s="25" t="n"/>
      <c r="U2136" s="194" t="n"/>
      <c r="AA2136" s="25" t="n"/>
      <c r="AB2136" s="25" t="n"/>
      <c r="AC2136" s="195" t="n"/>
      <c r="AD2136" s="25" t="n"/>
      <c r="AE2136" s="25" t="n"/>
      <c r="AG2136" s="25" t="n"/>
      <c r="AH2136" s="25" t="n"/>
      <c r="AI2136" s="394" t="n"/>
      <c r="AM2136" s="48" t="n"/>
      <c r="AN2136" s="48" t="n"/>
      <c r="AO2136" s="48" t="n"/>
    </row>
    <row r="2137">
      <c r="M2137" s="25" t="n"/>
      <c r="Q2137" s="25" t="n"/>
      <c r="U2137" s="194" t="n"/>
      <c r="AA2137" s="25" t="n"/>
      <c r="AB2137" s="25" t="n"/>
      <c r="AC2137" s="195" t="n"/>
      <c r="AD2137" s="25" t="n"/>
      <c r="AE2137" s="25" t="n"/>
      <c r="AG2137" s="25" t="n"/>
      <c r="AH2137" s="25" t="n"/>
      <c r="AI2137" s="394" t="n"/>
      <c r="AM2137" s="48" t="n"/>
      <c r="AN2137" s="48" t="n"/>
      <c r="AO2137" s="48" t="n"/>
    </row>
    <row r="2138">
      <c r="M2138" s="25" t="n"/>
      <c r="Q2138" s="25" t="n"/>
      <c r="U2138" s="194" t="n"/>
      <c r="AA2138" s="25" t="n"/>
      <c r="AB2138" s="25" t="n"/>
      <c r="AC2138" s="195" t="n"/>
      <c r="AD2138" s="25" t="n"/>
      <c r="AE2138" s="25" t="n"/>
      <c r="AG2138" s="25" t="n"/>
      <c r="AH2138" s="25" t="n"/>
      <c r="AI2138" s="394" t="n"/>
      <c r="AM2138" s="48" t="n"/>
      <c r="AN2138" s="48" t="n"/>
      <c r="AO2138" s="48" t="n"/>
    </row>
    <row r="2139">
      <c r="M2139" s="25" t="n"/>
      <c r="Q2139" s="25" t="n"/>
      <c r="U2139" s="194" t="n"/>
      <c r="AA2139" s="25" t="n"/>
      <c r="AB2139" s="25" t="n"/>
      <c r="AC2139" s="195" t="n"/>
      <c r="AD2139" s="25" t="n"/>
      <c r="AE2139" s="25" t="n"/>
      <c r="AG2139" s="25" t="n"/>
      <c r="AH2139" s="25" t="n"/>
      <c r="AI2139" s="394" t="n"/>
      <c r="AM2139" s="48" t="n"/>
      <c r="AN2139" s="48" t="n"/>
      <c r="AO2139" s="48" t="n"/>
    </row>
    <row r="2140">
      <c r="M2140" s="25" t="n"/>
      <c r="Q2140" s="25" t="n"/>
      <c r="U2140" s="194" t="n"/>
      <c r="AA2140" s="25" t="n"/>
      <c r="AB2140" s="25" t="n"/>
      <c r="AC2140" s="195" t="n"/>
      <c r="AD2140" s="25" t="n"/>
      <c r="AE2140" s="25" t="n"/>
      <c r="AG2140" s="25" t="n"/>
      <c r="AH2140" s="25" t="n"/>
      <c r="AI2140" s="394" t="n"/>
      <c r="AM2140" s="48" t="n"/>
      <c r="AN2140" s="48" t="n"/>
      <c r="AO2140" s="48" t="n"/>
    </row>
    <row r="2141">
      <c r="M2141" s="25" t="n"/>
      <c r="Q2141" s="25" t="n"/>
      <c r="U2141" s="194" t="n"/>
      <c r="AA2141" s="25" t="n"/>
      <c r="AB2141" s="25" t="n"/>
      <c r="AC2141" s="195" t="n"/>
      <c r="AD2141" s="25" t="n"/>
      <c r="AE2141" s="25" t="n"/>
      <c r="AG2141" s="25" t="n"/>
      <c r="AH2141" s="25" t="n"/>
      <c r="AI2141" s="394" t="n"/>
      <c r="AM2141" s="48" t="n"/>
      <c r="AN2141" s="48" t="n"/>
      <c r="AO2141" s="48" t="n"/>
    </row>
    <row r="2142">
      <c r="M2142" s="25" t="n"/>
      <c r="Q2142" s="25" t="n"/>
      <c r="U2142" s="194" t="n"/>
      <c r="AA2142" s="25" t="n"/>
      <c r="AB2142" s="25" t="n"/>
      <c r="AC2142" s="195" t="n"/>
      <c r="AD2142" s="25" t="n"/>
      <c r="AE2142" s="25" t="n"/>
      <c r="AG2142" s="25" t="n"/>
      <c r="AH2142" s="25" t="n"/>
      <c r="AI2142" s="394" t="n"/>
      <c r="AM2142" s="48" t="n"/>
      <c r="AN2142" s="48" t="n"/>
      <c r="AO2142" s="48" t="n"/>
    </row>
    <row r="2143">
      <c r="M2143" s="25" t="n"/>
      <c r="Q2143" s="25" t="n"/>
      <c r="U2143" s="194" t="n"/>
      <c r="AA2143" s="25" t="n"/>
      <c r="AB2143" s="25" t="n"/>
      <c r="AC2143" s="195" t="n"/>
      <c r="AD2143" s="25" t="n"/>
      <c r="AE2143" s="25" t="n"/>
      <c r="AG2143" s="25" t="n"/>
      <c r="AH2143" s="25" t="n"/>
      <c r="AI2143" s="394" t="n"/>
      <c r="AM2143" s="48" t="n"/>
      <c r="AN2143" s="48" t="n"/>
      <c r="AO2143" s="48" t="n"/>
    </row>
    <row r="2144">
      <c r="M2144" s="25" t="n"/>
      <c r="Q2144" s="25" t="n"/>
      <c r="U2144" s="194" t="n"/>
      <c r="AA2144" s="25" t="n"/>
      <c r="AB2144" s="25" t="n"/>
      <c r="AC2144" s="195" t="n"/>
      <c r="AD2144" s="25" t="n"/>
      <c r="AE2144" s="25" t="n"/>
      <c r="AG2144" s="25" t="n"/>
      <c r="AH2144" s="25" t="n"/>
      <c r="AI2144" s="394" t="n"/>
      <c r="AM2144" s="48" t="n"/>
      <c r="AN2144" s="48" t="n"/>
      <c r="AO2144" s="48" t="n"/>
    </row>
    <row r="2145">
      <c r="M2145" s="25" t="n"/>
      <c r="Q2145" s="25" t="n"/>
      <c r="U2145" s="194" t="n"/>
      <c r="AA2145" s="25" t="n"/>
      <c r="AB2145" s="25" t="n"/>
      <c r="AC2145" s="195" t="n"/>
      <c r="AD2145" s="25" t="n"/>
      <c r="AE2145" s="25" t="n"/>
      <c r="AG2145" s="25" t="n"/>
      <c r="AH2145" s="25" t="n"/>
      <c r="AI2145" s="394" t="n"/>
      <c r="AM2145" s="48" t="n"/>
      <c r="AN2145" s="48" t="n"/>
      <c r="AO2145" s="48" t="n"/>
    </row>
    <row r="2146">
      <c r="M2146" s="25" t="n"/>
      <c r="Q2146" s="25" t="n"/>
      <c r="U2146" s="194" t="n"/>
      <c r="AA2146" s="25" t="n"/>
      <c r="AB2146" s="25" t="n"/>
      <c r="AC2146" s="195" t="n"/>
      <c r="AD2146" s="25" t="n"/>
      <c r="AE2146" s="25" t="n"/>
      <c r="AG2146" s="25" t="n"/>
      <c r="AH2146" s="25" t="n"/>
      <c r="AI2146" s="394" t="n"/>
      <c r="AM2146" s="48" t="n"/>
      <c r="AN2146" s="48" t="n"/>
      <c r="AO2146" s="48" t="n"/>
    </row>
    <row r="2147">
      <c r="M2147" s="25" t="n"/>
      <c r="Q2147" s="25" t="n"/>
      <c r="U2147" s="194" t="n"/>
      <c r="AA2147" s="25" t="n"/>
      <c r="AB2147" s="25" t="n"/>
      <c r="AC2147" s="195" t="n"/>
      <c r="AD2147" s="25" t="n"/>
      <c r="AE2147" s="25" t="n"/>
      <c r="AG2147" s="25" t="n"/>
      <c r="AH2147" s="25" t="n"/>
      <c r="AI2147" s="394" t="n"/>
      <c r="AM2147" s="48" t="n"/>
      <c r="AN2147" s="48" t="n"/>
      <c r="AO2147" s="48" t="n"/>
    </row>
    <row r="2148">
      <c r="M2148" s="25" t="n"/>
      <c r="Q2148" s="25" t="n"/>
      <c r="U2148" s="194" t="n"/>
      <c r="AA2148" s="25" t="n"/>
      <c r="AB2148" s="25" t="n"/>
      <c r="AC2148" s="195" t="n"/>
      <c r="AD2148" s="25" t="n"/>
      <c r="AE2148" s="25" t="n"/>
      <c r="AG2148" s="25" t="n"/>
      <c r="AH2148" s="25" t="n"/>
      <c r="AI2148" s="394" t="n"/>
      <c r="AM2148" s="48" t="n"/>
      <c r="AN2148" s="48" t="n"/>
      <c r="AO2148" s="48" t="n"/>
    </row>
    <row r="2149">
      <c r="M2149" s="25" t="n"/>
      <c r="Q2149" s="25" t="n"/>
      <c r="U2149" s="194" t="n"/>
      <c r="AA2149" s="25" t="n"/>
      <c r="AB2149" s="25" t="n"/>
      <c r="AC2149" s="195" t="n"/>
      <c r="AD2149" s="25" t="n"/>
      <c r="AE2149" s="25" t="n"/>
      <c r="AG2149" s="25" t="n"/>
      <c r="AH2149" s="25" t="n"/>
      <c r="AI2149" s="394" t="n"/>
      <c r="AM2149" s="48" t="n"/>
      <c r="AN2149" s="48" t="n"/>
      <c r="AO2149" s="48" t="n"/>
    </row>
    <row r="2150">
      <c r="M2150" s="25" t="n"/>
      <c r="Q2150" s="25" t="n"/>
      <c r="U2150" s="194" t="n"/>
      <c r="AA2150" s="25" t="n"/>
      <c r="AB2150" s="25" t="n"/>
      <c r="AC2150" s="195" t="n"/>
      <c r="AD2150" s="25" t="n"/>
      <c r="AE2150" s="25" t="n"/>
      <c r="AG2150" s="25" t="n"/>
      <c r="AH2150" s="25" t="n"/>
      <c r="AI2150" s="394" t="n"/>
      <c r="AM2150" s="48" t="n"/>
      <c r="AN2150" s="48" t="n"/>
      <c r="AO2150" s="48" t="n"/>
    </row>
    <row r="2151">
      <c r="M2151" s="25" t="n"/>
      <c r="Q2151" s="25" t="n"/>
      <c r="U2151" s="194" t="n"/>
      <c r="AA2151" s="25" t="n"/>
      <c r="AB2151" s="25" t="n"/>
      <c r="AC2151" s="195" t="n"/>
      <c r="AD2151" s="25" t="n"/>
      <c r="AE2151" s="25" t="n"/>
      <c r="AG2151" s="25" t="n"/>
      <c r="AH2151" s="25" t="n"/>
      <c r="AI2151" s="394" t="n"/>
      <c r="AM2151" s="48" t="n"/>
      <c r="AN2151" s="48" t="n"/>
      <c r="AO2151" s="48" t="n"/>
    </row>
    <row r="2152">
      <c r="M2152" s="25" t="n"/>
      <c r="Q2152" s="25" t="n"/>
      <c r="U2152" s="194" t="n"/>
      <c r="AA2152" s="25" t="n"/>
      <c r="AB2152" s="25" t="n"/>
      <c r="AC2152" s="195" t="n"/>
      <c r="AD2152" s="25" t="n"/>
      <c r="AE2152" s="25" t="n"/>
      <c r="AG2152" s="25" t="n"/>
      <c r="AH2152" s="25" t="n"/>
      <c r="AI2152" s="394" t="n"/>
      <c r="AM2152" s="48" t="n"/>
      <c r="AN2152" s="48" t="n"/>
      <c r="AO2152" s="48" t="n"/>
    </row>
    <row r="2153">
      <c r="M2153" s="25" t="n"/>
      <c r="Q2153" s="25" t="n"/>
      <c r="U2153" s="194" t="n"/>
      <c r="AA2153" s="25" t="n"/>
      <c r="AB2153" s="25" t="n"/>
      <c r="AC2153" s="195" t="n"/>
      <c r="AD2153" s="25" t="n"/>
      <c r="AE2153" s="25" t="n"/>
      <c r="AG2153" s="25" t="n"/>
      <c r="AH2153" s="25" t="n"/>
      <c r="AI2153" s="394" t="n"/>
      <c r="AM2153" s="48" t="n"/>
      <c r="AN2153" s="48" t="n"/>
      <c r="AO2153" s="48" t="n"/>
    </row>
    <row r="2154">
      <c r="M2154" s="25" t="n"/>
      <c r="Q2154" s="25" t="n"/>
      <c r="U2154" s="194" t="n"/>
      <c r="AA2154" s="25" t="n"/>
      <c r="AB2154" s="25" t="n"/>
      <c r="AC2154" s="195" t="n"/>
      <c r="AD2154" s="25" t="n"/>
      <c r="AE2154" s="25" t="n"/>
      <c r="AG2154" s="25" t="n"/>
      <c r="AH2154" s="25" t="n"/>
      <c r="AI2154" s="394" t="n"/>
      <c r="AM2154" s="48" t="n"/>
      <c r="AN2154" s="48" t="n"/>
      <c r="AO2154" s="48" t="n"/>
    </row>
    <row r="2155">
      <c r="M2155" s="25" t="n"/>
      <c r="Q2155" s="25" t="n"/>
      <c r="U2155" s="194" t="n"/>
      <c r="AA2155" s="25" t="n"/>
      <c r="AB2155" s="25" t="n"/>
      <c r="AC2155" s="195" t="n"/>
      <c r="AD2155" s="25" t="n"/>
      <c r="AE2155" s="25" t="n"/>
      <c r="AG2155" s="25" t="n"/>
      <c r="AH2155" s="25" t="n"/>
      <c r="AI2155" s="394" t="n"/>
      <c r="AM2155" s="48" t="n"/>
      <c r="AN2155" s="48" t="n"/>
      <c r="AO2155" s="48" t="n"/>
    </row>
    <row r="2156">
      <c r="M2156" s="25" t="n"/>
      <c r="Q2156" s="25" t="n"/>
      <c r="U2156" s="194" t="n"/>
      <c r="AA2156" s="25" t="n"/>
      <c r="AB2156" s="25" t="n"/>
      <c r="AC2156" s="195" t="n"/>
      <c r="AD2156" s="25" t="n"/>
      <c r="AE2156" s="25" t="n"/>
      <c r="AG2156" s="25" t="n"/>
      <c r="AH2156" s="25" t="n"/>
      <c r="AI2156" s="394" t="n"/>
      <c r="AM2156" s="48" t="n"/>
      <c r="AN2156" s="48" t="n"/>
      <c r="AO2156" s="48" t="n"/>
    </row>
    <row r="2157">
      <c r="M2157" s="25" t="n"/>
      <c r="Q2157" s="25" t="n"/>
      <c r="U2157" s="194" t="n"/>
      <c r="AA2157" s="25" t="n"/>
      <c r="AB2157" s="25" t="n"/>
      <c r="AC2157" s="195" t="n"/>
      <c r="AD2157" s="25" t="n"/>
      <c r="AE2157" s="25" t="n"/>
      <c r="AG2157" s="25" t="n"/>
      <c r="AH2157" s="25" t="n"/>
      <c r="AI2157" s="394" t="n"/>
      <c r="AM2157" s="48" t="n"/>
      <c r="AN2157" s="48" t="n"/>
      <c r="AO2157" s="48" t="n"/>
    </row>
    <row r="2158">
      <c r="M2158" s="25" t="n"/>
      <c r="Q2158" s="25" t="n"/>
      <c r="U2158" s="194" t="n"/>
      <c r="AA2158" s="25" t="n"/>
      <c r="AB2158" s="25" t="n"/>
      <c r="AC2158" s="195" t="n"/>
      <c r="AD2158" s="25" t="n"/>
      <c r="AE2158" s="25" t="n"/>
      <c r="AG2158" s="25" t="n"/>
      <c r="AH2158" s="25" t="n"/>
      <c r="AI2158" s="394" t="n"/>
      <c r="AM2158" s="48" t="n"/>
      <c r="AN2158" s="48" t="n"/>
      <c r="AO2158" s="48" t="n"/>
    </row>
    <row r="2159">
      <c r="M2159" s="25" t="n"/>
      <c r="Q2159" s="25" t="n"/>
      <c r="U2159" s="194" t="n"/>
      <c r="AA2159" s="25" t="n"/>
      <c r="AB2159" s="25" t="n"/>
      <c r="AC2159" s="195" t="n"/>
      <c r="AD2159" s="25" t="n"/>
      <c r="AE2159" s="25" t="n"/>
      <c r="AG2159" s="25" t="n"/>
      <c r="AH2159" s="25" t="n"/>
      <c r="AI2159" s="394" t="n"/>
      <c r="AM2159" s="48" t="n"/>
      <c r="AN2159" s="48" t="n"/>
      <c r="AO2159" s="48" t="n"/>
    </row>
    <row r="2160">
      <c r="M2160" s="25" t="n"/>
      <c r="Q2160" s="25" t="n"/>
      <c r="U2160" s="194" t="n"/>
      <c r="AA2160" s="25" t="n"/>
      <c r="AB2160" s="25" t="n"/>
      <c r="AC2160" s="195" t="n"/>
      <c r="AD2160" s="25" t="n"/>
      <c r="AE2160" s="25" t="n"/>
      <c r="AG2160" s="25" t="n"/>
      <c r="AH2160" s="25" t="n"/>
      <c r="AI2160" s="394" t="n"/>
      <c r="AM2160" s="48" t="n"/>
      <c r="AN2160" s="48" t="n"/>
      <c r="AO2160" s="48" t="n"/>
    </row>
    <row r="2161">
      <c r="M2161" s="25" t="n"/>
      <c r="Q2161" s="25" t="n"/>
      <c r="U2161" s="194" t="n"/>
      <c r="AA2161" s="25" t="n"/>
      <c r="AB2161" s="25" t="n"/>
      <c r="AC2161" s="195" t="n"/>
      <c r="AD2161" s="25" t="n"/>
      <c r="AE2161" s="25" t="n"/>
      <c r="AG2161" s="25" t="n"/>
      <c r="AH2161" s="25" t="n"/>
      <c r="AI2161" s="394" t="n"/>
      <c r="AM2161" s="48" t="n"/>
      <c r="AN2161" s="48" t="n"/>
      <c r="AO2161" s="48" t="n"/>
    </row>
    <row r="2162">
      <c r="M2162" s="25" t="n"/>
      <c r="Q2162" s="25" t="n"/>
      <c r="U2162" s="194" t="n"/>
      <c r="AA2162" s="25" t="n"/>
      <c r="AB2162" s="25" t="n"/>
      <c r="AC2162" s="195" t="n"/>
      <c r="AD2162" s="25" t="n"/>
      <c r="AE2162" s="25" t="n"/>
      <c r="AG2162" s="25" t="n"/>
      <c r="AH2162" s="25" t="n"/>
      <c r="AI2162" s="394" t="n"/>
      <c r="AM2162" s="48" t="n"/>
      <c r="AN2162" s="48" t="n"/>
      <c r="AO2162" s="48" t="n"/>
    </row>
    <row r="2163">
      <c r="M2163" s="25" t="n"/>
      <c r="Q2163" s="25" t="n"/>
      <c r="U2163" s="194" t="n"/>
      <c r="AA2163" s="25" t="n"/>
      <c r="AB2163" s="25" t="n"/>
      <c r="AC2163" s="195" t="n"/>
      <c r="AD2163" s="25" t="n"/>
      <c r="AE2163" s="25" t="n"/>
      <c r="AG2163" s="25" t="n"/>
      <c r="AH2163" s="25" t="n"/>
      <c r="AI2163" s="394" t="n"/>
      <c r="AM2163" s="48" t="n"/>
      <c r="AN2163" s="48" t="n"/>
      <c r="AO2163" s="48" t="n"/>
    </row>
    <row r="2164">
      <c r="M2164" s="25" t="n"/>
      <c r="Q2164" s="25" t="n"/>
      <c r="U2164" s="194" t="n"/>
      <c r="AA2164" s="25" t="n"/>
      <c r="AB2164" s="25" t="n"/>
      <c r="AC2164" s="195" t="n"/>
      <c r="AD2164" s="25" t="n"/>
      <c r="AE2164" s="25" t="n"/>
      <c r="AG2164" s="25" t="n"/>
      <c r="AH2164" s="25" t="n"/>
      <c r="AI2164" s="394" t="n"/>
      <c r="AM2164" s="48" t="n"/>
      <c r="AN2164" s="48" t="n"/>
      <c r="AO2164" s="48" t="n"/>
    </row>
    <row r="2165">
      <c r="M2165" s="25" t="n"/>
      <c r="Q2165" s="25" t="n"/>
      <c r="U2165" s="194" t="n"/>
      <c r="AA2165" s="25" t="n"/>
      <c r="AB2165" s="25" t="n"/>
      <c r="AC2165" s="195" t="n"/>
      <c r="AD2165" s="25" t="n"/>
      <c r="AE2165" s="25" t="n"/>
      <c r="AG2165" s="25" t="n"/>
      <c r="AH2165" s="25" t="n"/>
      <c r="AI2165" s="394" t="n"/>
      <c r="AM2165" s="48" t="n"/>
      <c r="AN2165" s="48" t="n"/>
      <c r="AO2165" s="48" t="n"/>
    </row>
    <row r="2166">
      <c r="M2166" s="25" t="n"/>
      <c r="Q2166" s="25" t="n"/>
      <c r="U2166" s="194" t="n"/>
      <c r="AA2166" s="25" t="n"/>
      <c r="AB2166" s="25" t="n"/>
      <c r="AC2166" s="195" t="n"/>
      <c r="AD2166" s="25" t="n"/>
      <c r="AE2166" s="25" t="n"/>
      <c r="AG2166" s="25" t="n"/>
      <c r="AH2166" s="25" t="n"/>
      <c r="AI2166" s="394" t="n"/>
      <c r="AM2166" s="48" t="n"/>
      <c r="AN2166" s="48" t="n"/>
      <c r="AO2166" s="48" t="n"/>
    </row>
    <row r="2167">
      <c r="M2167" s="25" t="n"/>
      <c r="Q2167" s="25" t="n"/>
      <c r="U2167" s="194" t="n"/>
      <c r="AA2167" s="25" t="n"/>
      <c r="AB2167" s="25" t="n"/>
      <c r="AC2167" s="195" t="n"/>
      <c r="AD2167" s="25" t="n"/>
      <c r="AE2167" s="25" t="n"/>
      <c r="AG2167" s="25" t="n"/>
      <c r="AH2167" s="25" t="n"/>
      <c r="AI2167" s="394" t="n"/>
      <c r="AM2167" s="48" t="n"/>
      <c r="AN2167" s="48" t="n"/>
      <c r="AO2167" s="48" t="n"/>
    </row>
    <row r="2168">
      <c r="M2168" s="25" t="n"/>
      <c r="Q2168" s="25" t="n"/>
      <c r="U2168" s="194" t="n"/>
      <c r="AA2168" s="25" t="n"/>
      <c r="AB2168" s="25" t="n"/>
      <c r="AC2168" s="195" t="n"/>
      <c r="AD2168" s="25" t="n"/>
      <c r="AE2168" s="25" t="n"/>
      <c r="AG2168" s="25" t="n"/>
      <c r="AH2168" s="25" t="n"/>
      <c r="AI2168" s="394" t="n"/>
      <c r="AM2168" s="48" t="n"/>
      <c r="AN2168" s="48" t="n"/>
      <c r="AO2168" s="48" t="n"/>
    </row>
    <row r="2169">
      <c r="M2169" s="25" t="n"/>
      <c r="Q2169" s="25" t="n"/>
      <c r="U2169" s="194" t="n"/>
      <c r="AA2169" s="25" t="n"/>
      <c r="AB2169" s="25" t="n"/>
      <c r="AC2169" s="195" t="n"/>
      <c r="AD2169" s="25" t="n"/>
      <c r="AE2169" s="25" t="n"/>
      <c r="AG2169" s="25" t="n"/>
      <c r="AH2169" s="25" t="n"/>
      <c r="AI2169" s="394" t="n"/>
      <c r="AM2169" s="48" t="n"/>
      <c r="AN2169" s="48" t="n"/>
      <c r="AO2169" s="48" t="n"/>
    </row>
    <row r="2170">
      <c r="M2170" s="25" t="n"/>
      <c r="Q2170" s="25" t="n"/>
      <c r="U2170" s="194" t="n"/>
      <c r="AA2170" s="25" t="n"/>
      <c r="AB2170" s="25" t="n"/>
      <c r="AC2170" s="195" t="n"/>
      <c r="AD2170" s="25" t="n"/>
      <c r="AE2170" s="25" t="n"/>
      <c r="AG2170" s="25" t="n"/>
      <c r="AH2170" s="25" t="n"/>
      <c r="AI2170" s="394" t="n"/>
      <c r="AM2170" s="48" t="n"/>
      <c r="AN2170" s="48" t="n"/>
      <c r="AO2170" s="48" t="n"/>
    </row>
    <row r="2171">
      <c r="M2171" s="25" t="n"/>
      <c r="Q2171" s="25" t="n"/>
      <c r="U2171" s="194" t="n"/>
      <c r="AA2171" s="25" t="n"/>
      <c r="AB2171" s="25" t="n"/>
      <c r="AC2171" s="195" t="n"/>
      <c r="AD2171" s="25" t="n"/>
      <c r="AE2171" s="25" t="n"/>
      <c r="AG2171" s="25" t="n"/>
      <c r="AH2171" s="25" t="n"/>
      <c r="AI2171" s="394" t="n"/>
      <c r="AM2171" s="48" t="n"/>
      <c r="AN2171" s="48" t="n"/>
      <c r="AO2171" s="48" t="n"/>
    </row>
    <row r="2172">
      <c r="M2172" s="25" t="n"/>
      <c r="Q2172" s="25" t="n"/>
      <c r="U2172" s="194" t="n"/>
      <c r="AA2172" s="25" t="n"/>
      <c r="AB2172" s="25" t="n"/>
      <c r="AC2172" s="195" t="n"/>
      <c r="AD2172" s="25" t="n"/>
      <c r="AE2172" s="25" t="n"/>
      <c r="AG2172" s="25" t="n"/>
      <c r="AH2172" s="25" t="n"/>
      <c r="AI2172" s="394" t="n"/>
      <c r="AM2172" s="48" t="n"/>
      <c r="AN2172" s="48" t="n"/>
      <c r="AO2172" s="48" t="n"/>
    </row>
    <row r="2173">
      <c r="M2173" s="25" t="n"/>
      <c r="Q2173" s="25" t="n"/>
      <c r="U2173" s="194" t="n"/>
      <c r="AA2173" s="25" t="n"/>
      <c r="AB2173" s="25" t="n"/>
      <c r="AC2173" s="195" t="n"/>
      <c r="AD2173" s="25" t="n"/>
      <c r="AE2173" s="25" t="n"/>
      <c r="AG2173" s="25" t="n"/>
      <c r="AH2173" s="25" t="n"/>
      <c r="AI2173" s="394" t="n"/>
      <c r="AM2173" s="48" t="n"/>
      <c r="AN2173" s="48" t="n"/>
      <c r="AO2173" s="48" t="n"/>
    </row>
    <row r="2174">
      <c r="M2174" s="25" t="n"/>
      <c r="Q2174" s="25" t="n"/>
      <c r="U2174" s="194" t="n"/>
      <c r="AA2174" s="25" t="n"/>
      <c r="AB2174" s="25" t="n"/>
      <c r="AC2174" s="195" t="n"/>
      <c r="AD2174" s="25" t="n"/>
      <c r="AE2174" s="25" t="n"/>
      <c r="AG2174" s="25" t="n"/>
      <c r="AH2174" s="25" t="n"/>
      <c r="AI2174" s="394" t="n"/>
      <c r="AM2174" s="48" t="n"/>
      <c r="AN2174" s="48" t="n"/>
      <c r="AO2174" s="48" t="n"/>
    </row>
    <row r="2175">
      <c r="M2175" s="25" t="n"/>
      <c r="Q2175" s="25" t="n"/>
      <c r="U2175" s="194" t="n"/>
      <c r="AA2175" s="25" t="n"/>
      <c r="AB2175" s="25" t="n"/>
      <c r="AC2175" s="195" t="n"/>
      <c r="AD2175" s="25" t="n"/>
      <c r="AE2175" s="25" t="n"/>
      <c r="AG2175" s="25" t="n"/>
      <c r="AH2175" s="25" t="n"/>
      <c r="AI2175" s="394" t="n"/>
      <c r="AM2175" s="48" t="n"/>
      <c r="AN2175" s="48" t="n"/>
      <c r="AO2175" s="48" t="n"/>
    </row>
    <row r="2176">
      <c r="M2176" s="25" t="n"/>
      <c r="Q2176" s="25" t="n"/>
      <c r="U2176" s="194" t="n"/>
      <c r="AA2176" s="25" t="n"/>
      <c r="AB2176" s="25" t="n"/>
      <c r="AC2176" s="195" t="n"/>
      <c r="AD2176" s="25" t="n"/>
      <c r="AE2176" s="25" t="n"/>
      <c r="AG2176" s="25" t="n"/>
      <c r="AH2176" s="25" t="n"/>
      <c r="AI2176" s="394" t="n"/>
      <c r="AM2176" s="48" t="n"/>
      <c r="AN2176" s="48" t="n"/>
      <c r="AO2176" s="48" t="n"/>
    </row>
    <row r="2177">
      <c r="M2177" s="25" t="n"/>
      <c r="Q2177" s="25" t="n"/>
      <c r="U2177" s="194" t="n"/>
      <c r="AA2177" s="25" t="n"/>
      <c r="AB2177" s="25" t="n"/>
      <c r="AC2177" s="195" t="n"/>
      <c r="AD2177" s="25" t="n"/>
      <c r="AE2177" s="25" t="n"/>
      <c r="AG2177" s="25" t="n"/>
      <c r="AH2177" s="25" t="n"/>
      <c r="AI2177" s="394" t="n"/>
      <c r="AM2177" s="48" t="n"/>
      <c r="AN2177" s="48" t="n"/>
      <c r="AO2177" s="48" t="n"/>
    </row>
    <row r="2178">
      <c r="M2178" s="25" t="n"/>
      <c r="Q2178" s="25" t="n"/>
      <c r="U2178" s="194" t="n"/>
      <c r="AA2178" s="25" t="n"/>
      <c r="AB2178" s="25" t="n"/>
      <c r="AC2178" s="195" t="n"/>
      <c r="AD2178" s="25" t="n"/>
      <c r="AE2178" s="25" t="n"/>
      <c r="AG2178" s="25" t="n"/>
      <c r="AH2178" s="25" t="n"/>
      <c r="AI2178" s="394" t="n"/>
      <c r="AM2178" s="48" t="n"/>
      <c r="AN2178" s="48" t="n"/>
      <c r="AO2178" s="48" t="n"/>
    </row>
    <row r="2179">
      <c r="M2179" s="25" t="n"/>
      <c r="Q2179" s="25" t="n"/>
      <c r="U2179" s="194" t="n"/>
      <c r="AA2179" s="25" t="n"/>
      <c r="AB2179" s="25" t="n"/>
      <c r="AC2179" s="195" t="n"/>
      <c r="AD2179" s="25" t="n"/>
      <c r="AE2179" s="25" t="n"/>
      <c r="AG2179" s="25" t="n"/>
      <c r="AH2179" s="25" t="n"/>
      <c r="AI2179" s="394" t="n"/>
      <c r="AM2179" s="48" t="n"/>
      <c r="AN2179" s="48" t="n"/>
      <c r="AO2179" s="48" t="n"/>
    </row>
    <row r="2180">
      <c r="M2180" s="25" t="n"/>
      <c r="Q2180" s="25" t="n"/>
      <c r="U2180" s="194" t="n"/>
      <c r="AA2180" s="25" t="n"/>
      <c r="AB2180" s="25" t="n"/>
      <c r="AC2180" s="195" t="n"/>
      <c r="AD2180" s="25" t="n"/>
      <c r="AE2180" s="25" t="n"/>
      <c r="AG2180" s="25" t="n"/>
      <c r="AH2180" s="25" t="n"/>
      <c r="AI2180" s="394" t="n"/>
      <c r="AM2180" s="48" t="n"/>
      <c r="AN2180" s="48" t="n"/>
      <c r="AO2180" s="48" t="n"/>
    </row>
    <row r="2181">
      <c r="M2181" s="25" t="n"/>
      <c r="Q2181" s="25" t="n"/>
      <c r="U2181" s="194" t="n"/>
      <c r="AA2181" s="25" t="n"/>
      <c r="AB2181" s="25" t="n"/>
      <c r="AC2181" s="195" t="n"/>
      <c r="AD2181" s="25" t="n"/>
      <c r="AE2181" s="25" t="n"/>
      <c r="AG2181" s="25" t="n"/>
      <c r="AH2181" s="25" t="n"/>
      <c r="AI2181" s="394" t="n"/>
      <c r="AM2181" s="48" t="n"/>
      <c r="AN2181" s="48" t="n"/>
      <c r="AO2181" s="48" t="n"/>
    </row>
    <row r="2182">
      <c r="M2182" s="25" t="n"/>
      <c r="Q2182" s="25" t="n"/>
      <c r="U2182" s="194" t="n"/>
      <c r="AA2182" s="25" t="n"/>
      <c r="AB2182" s="25" t="n"/>
      <c r="AC2182" s="195" t="n"/>
      <c r="AD2182" s="25" t="n"/>
      <c r="AE2182" s="25" t="n"/>
      <c r="AG2182" s="25" t="n"/>
      <c r="AH2182" s="25" t="n"/>
      <c r="AI2182" s="394" t="n"/>
      <c r="AM2182" s="48" t="n"/>
      <c r="AN2182" s="48" t="n"/>
      <c r="AO2182" s="48" t="n"/>
    </row>
    <row r="2183">
      <c r="M2183" s="25" t="n"/>
      <c r="Q2183" s="25" t="n"/>
      <c r="U2183" s="194" t="n"/>
      <c r="AA2183" s="25" t="n"/>
      <c r="AB2183" s="25" t="n"/>
      <c r="AC2183" s="195" t="n"/>
      <c r="AD2183" s="25" t="n"/>
      <c r="AE2183" s="25" t="n"/>
      <c r="AG2183" s="25" t="n"/>
      <c r="AH2183" s="25" t="n"/>
      <c r="AI2183" s="394" t="n"/>
      <c r="AM2183" s="48" t="n"/>
      <c r="AN2183" s="48" t="n"/>
      <c r="AO2183" s="48" t="n"/>
    </row>
    <row r="2184">
      <c r="M2184" s="25" t="n"/>
      <c r="Q2184" s="25" t="n"/>
      <c r="U2184" s="194" t="n"/>
      <c r="AA2184" s="25" t="n"/>
      <c r="AB2184" s="25" t="n"/>
      <c r="AC2184" s="195" t="n"/>
      <c r="AD2184" s="25" t="n"/>
      <c r="AE2184" s="25" t="n"/>
      <c r="AG2184" s="25" t="n"/>
      <c r="AH2184" s="25" t="n"/>
      <c r="AI2184" s="394" t="n"/>
      <c r="AM2184" s="48" t="n"/>
      <c r="AN2184" s="48" t="n"/>
      <c r="AO2184" s="48" t="n"/>
    </row>
    <row r="2185">
      <c r="M2185" s="25" t="n"/>
      <c r="Q2185" s="25" t="n"/>
      <c r="U2185" s="194" t="n"/>
      <c r="AA2185" s="25" t="n"/>
      <c r="AB2185" s="25" t="n"/>
      <c r="AC2185" s="195" t="n"/>
      <c r="AD2185" s="25" t="n"/>
      <c r="AE2185" s="25" t="n"/>
      <c r="AG2185" s="25" t="n"/>
      <c r="AH2185" s="25" t="n"/>
      <c r="AI2185" s="394" t="n"/>
      <c r="AM2185" s="48" t="n"/>
      <c r="AN2185" s="48" t="n"/>
      <c r="AO2185" s="48" t="n"/>
    </row>
    <row r="2186">
      <c r="M2186" s="25" t="n"/>
      <c r="Q2186" s="25" t="n"/>
      <c r="U2186" s="194" t="n"/>
      <c r="AA2186" s="25" t="n"/>
      <c r="AB2186" s="25" t="n"/>
      <c r="AC2186" s="195" t="n"/>
      <c r="AD2186" s="25" t="n"/>
      <c r="AE2186" s="25" t="n"/>
      <c r="AG2186" s="25" t="n"/>
      <c r="AH2186" s="25" t="n"/>
      <c r="AI2186" s="394" t="n"/>
      <c r="AM2186" s="48" t="n"/>
      <c r="AN2186" s="48" t="n"/>
      <c r="AO2186" s="48" t="n"/>
    </row>
    <row r="2187">
      <c r="M2187" s="25" t="n"/>
      <c r="Q2187" s="25" t="n"/>
      <c r="U2187" s="194" t="n"/>
      <c r="AA2187" s="25" t="n"/>
      <c r="AB2187" s="25" t="n"/>
      <c r="AC2187" s="195" t="n"/>
      <c r="AD2187" s="25" t="n"/>
      <c r="AE2187" s="25" t="n"/>
      <c r="AG2187" s="25" t="n"/>
      <c r="AH2187" s="25" t="n"/>
      <c r="AI2187" s="394" t="n"/>
      <c r="AM2187" s="48" t="n"/>
      <c r="AN2187" s="48" t="n"/>
      <c r="AO2187" s="48" t="n"/>
    </row>
    <row r="2188">
      <c r="M2188" s="25" t="n"/>
      <c r="Q2188" s="25" t="n"/>
      <c r="U2188" s="194" t="n"/>
      <c r="AA2188" s="25" t="n"/>
      <c r="AB2188" s="25" t="n"/>
      <c r="AC2188" s="195" t="n"/>
      <c r="AD2188" s="25" t="n"/>
      <c r="AE2188" s="25" t="n"/>
      <c r="AG2188" s="25" t="n"/>
      <c r="AH2188" s="25" t="n"/>
      <c r="AI2188" s="394" t="n"/>
      <c r="AM2188" s="48" t="n"/>
      <c r="AN2188" s="48" t="n"/>
      <c r="AO2188" s="48" t="n"/>
    </row>
    <row r="2189">
      <c r="M2189" s="25" t="n"/>
      <c r="Q2189" s="25" t="n"/>
      <c r="U2189" s="194" t="n"/>
      <c r="AA2189" s="25" t="n"/>
      <c r="AB2189" s="25" t="n"/>
      <c r="AC2189" s="195" t="n"/>
      <c r="AD2189" s="25" t="n"/>
      <c r="AE2189" s="25" t="n"/>
      <c r="AG2189" s="25" t="n"/>
      <c r="AH2189" s="25" t="n"/>
      <c r="AI2189" s="394" t="n"/>
      <c r="AM2189" s="48" t="n"/>
      <c r="AN2189" s="48" t="n"/>
      <c r="AO2189" s="48" t="n"/>
    </row>
    <row r="2190">
      <c r="M2190" s="25" t="n"/>
      <c r="Q2190" s="25" t="n"/>
      <c r="U2190" s="194" t="n"/>
      <c r="AA2190" s="25" t="n"/>
      <c r="AB2190" s="25" t="n"/>
      <c r="AC2190" s="195" t="n"/>
      <c r="AD2190" s="25" t="n"/>
      <c r="AE2190" s="25" t="n"/>
      <c r="AG2190" s="25" t="n"/>
      <c r="AH2190" s="25" t="n"/>
      <c r="AI2190" s="394" t="n"/>
      <c r="AM2190" s="48" t="n"/>
      <c r="AN2190" s="48" t="n"/>
      <c r="AO2190" s="48" t="n"/>
    </row>
    <row r="2191">
      <c r="M2191" s="25" t="n"/>
      <c r="Q2191" s="25" t="n"/>
      <c r="U2191" s="194" t="n"/>
      <c r="AA2191" s="25" t="n"/>
      <c r="AB2191" s="25" t="n"/>
      <c r="AC2191" s="195" t="n"/>
      <c r="AD2191" s="25" t="n"/>
      <c r="AE2191" s="25" t="n"/>
      <c r="AG2191" s="25" t="n"/>
      <c r="AH2191" s="25" t="n"/>
      <c r="AI2191" s="394" t="n"/>
      <c r="AM2191" s="48" t="n"/>
      <c r="AN2191" s="48" t="n"/>
      <c r="AO2191" s="48" t="n"/>
    </row>
    <row r="2192">
      <c r="M2192" s="25" t="n"/>
      <c r="Q2192" s="25" t="n"/>
      <c r="U2192" s="194" t="n"/>
      <c r="AA2192" s="25" t="n"/>
      <c r="AB2192" s="25" t="n"/>
      <c r="AC2192" s="195" t="n"/>
      <c r="AD2192" s="25" t="n"/>
      <c r="AE2192" s="25" t="n"/>
      <c r="AG2192" s="25" t="n"/>
      <c r="AH2192" s="25" t="n"/>
      <c r="AI2192" s="394" t="n"/>
      <c r="AM2192" s="48" t="n"/>
      <c r="AN2192" s="48" t="n"/>
      <c r="AO2192" s="48" t="n"/>
    </row>
    <row r="2193">
      <c r="M2193" s="25" t="n"/>
      <c r="Q2193" s="25" t="n"/>
      <c r="U2193" s="194" t="n"/>
      <c r="AA2193" s="25" t="n"/>
      <c r="AB2193" s="25" t="n"/>
      <c r="AC2193" s="195" t="n"/>
      <c r="AD2193" s="25" t="n"/>
      <c r="AE2193" s="25" t="n"/>
      <c r="AG2193" s="25" t="n"/>
      <c r="AH2193" s="25" t="n"/>
      <c r="AI2193" s="394" t="n"/>
      <c r="AM2193" s="48" t="n"/>
      <c r="AN2193" s="48" t="n"/>
      <c r="AO2193" s="48" t="n"/>
    </row>
    <row r="2194">
      <c r="M2194" s="25" t="n"/>
      <c r="Q2194" s="25" t="n"/>
      <c r="U2194" s="194" t="n"/>
      <c r="AA2194" s="25" t="n"/>
      <c r="AB2194" s="25" t="n"/>
      <c r="AC2194" s="195" t="n"/>
      <c r="AD2194" s="25" t="n"/>
      <c r="AE2194" s="25" t="n"/>
      <c r="AG2194" s="25" t="n"/>
      <c r="AH2194" s="25" t="n"/>
      <c r="AI2194" s="394" t="n"/>
      <c r="AM2194" s="48" t="n"/>
      <c r="AN2194" s="48" t="n"/>
      <c r="AO2194" s="48" t="n"/>
    </row>
    <row r="2195">
      <c r="M2195" s="25" t="n"/>
      <c r="Q2195" s="25" t="n"/>
      <c r="U2195" s="194" t="n"/>
      <c r="AA2195" s="25" t="n"/>
      <c r="AB2195" s="25" t="n"/>
      <c r="AC2195" s="195" t="n"/>
      <c r="AD2195" s="25" t="n"/>
      <c r="AE2195" s="25" t="n"/>
      <c r="AG2195" s="25" t="n"/>
      <c r="AH2195" s="25" t="n"/>
      <c r="AI2195" s="394" t="n"/>
      <c r="AM2195" s="48" t="n"/>
      <c r="AN2195" s="48" t="n"/>
      <c r="AO2195" s="48" t="n"/>
    </row>
    <row r="2196">
      <c r="M2196" s="25" t="n"/>
      <c r="Q2196" s="25" t="n"/>
      <c r="U2196" s="194" t="n"/>
      <c r="AA2196" s="25" t="n"/>
      <c r="AB2196" s="25" t="n"/>
      <c r="AC2196" s="195" t="n"/>
      <c r="AD2196" s="25" t="n"/>
      <c r="AE2196" s="25" t="n"/>
      <c r="AG2196" s="25" t="n"/>
      <c r="AH2196" s="25" t="n"/>
      <c r="AI2196" s="394" t="n"/>
      <c r="AM2196" s="48" t="n"/>
      <c r="AN2196" s="48" t="n"/>
      <c r="AO2196" s="48" t="n"/>
    </row>
    <row r="2197">
      <c r="M2197" s="25" t="n"/>
      <c r="Q2197" s="25" t="n"/>
      <c r="U2197" s="194" t="n"/>
      <c r="AA2197" s="25" t="n"/>
      <c r="AB2197" s="25" t="n"/>
      <c r="AC2197" s="195" t="n"/>
      <c r="AD2197" s="25" t="n"/>
      <c r="AE2197" s="25" t="n"/>
      <c r="AG2197" s="25" t="n"/>
      <c r="AH2197" s="25" t="n"/>
      <c r="AI2197" s="394" t="n"/>
      <c r="AM2197" s="48" t="n"/>
      <c r="AN2197" s="48" t="n"/>
      <c r="AO2197" s="48" t="n"/>
    </row>
    <row r="2198">
      <c r="M2198" s="25" t="n"/>
      <c r="Q2198" s="25" t="n"/>
      <c r="U2198" s="194" t="n"/>
      <c r="AA2198" s="25" t="n"/>
      <c r="AB2198" s="25" t="n"/>
      <c r="AC2198" s="195" t="n"/>
      <c r="AD2198" s="25" t="n"/>
      <c r="AE2198" s="25" t="n"/>
      <c r="AG2198" s="25" t="n"/>
      <c r="AH2198" s="25" t="n"/>
      <c r="AI2198" s="394" t="n"/>
      <c r="AM2198" s="48" t="n"/>
      <c r="AN2198" s="48" t="n"/>
      <c r="AO2198" s="48" t="n"/>
    </row>
    <row r="2199">
      <c r="M2199" s="25" t="n"/>
      <c r="Q2199" s="25" t="n"/>
      <c r="U2199" s="194" t="n"/>
      <c r="AA2199" s="25" t="n"/>
      <c r="AB2199" s="25" t="n"/>
      <c r="AC2199" s="195" t="n"/>
      <c r="AD2199" s="25" t="n"/>
      <c r="AE2199" s="25" t="n"/>
      <c r="AG2199" s="25" t="n"/>
      <c r="AH2199" s="25" t="n"/>
      <c r="AI2199" s="394" t="n"/>
      <c r="AM2199" s="48" t="n"/>
      <c r="AN2199" s="48" t="n"/>
      <c r="AO2199" s="48" t="n"/>
    </row>
    <row r="2200">
      <c r="M2200" s="25" t="n"/>
      <c r="Q2200" s="25" t="n"/>
      <c r="U2200" s="194" t="n"/>
      <c r="AA2200" s="25" t="n"/>
      <c r="AB2200" s="25" t="n"/>
      <c r="AC2200" s="195" t="n"/>
      <c r="AD2200" s="25" t="n"/>
      <c r="AE2200" s="25" t="n"/>
      <c r="AG2200" s="25" t="n"/>
      <c r="AH2200" s="25" t="n"/>
      <c r="AI2200" s="394" t="n"/>
      <c r="AM2200" s="48" t="n"/>
      <c r="AN2200" s="48" t="n"/>
      <c r="AO2200" s="48" t="n"/>
    </row>
    <row r="2201">
      <c r="M2201" s="25" t="n"/>
      <c r="Q2201" s="25" t="n"/>
      <c r="U2201" s="194" t="n"/>
      <c r="AA2201" s="25" t="n"/>
      <c r="AB2201" s="25" t="n"/>
      <c r="AC2201" s="195" t="n"/>
      <c r="AD2201" s="25" t="n"/>
      <c r="AE2201" s="25" t="n"/>
      <c r="AG2201" s="25" t="n"/>
      <c r="AH2201" s="25" t="n"/>
      <c r="AI2201" s="394" t="n"/>
      <c r="AM2201" s="48" t="n"/>
      <c r="AN2201" s="48" t="n"/>
      <c r="AO2201" s="48" t="n"/>
    </row>
    <row r="2202">
      <c r="M2202" s="25" t="n"/>
      <c r="Q2202" s="25" t="n"/>
      <c r="U2202" s="194" t="n"/>
      <c r="AA2202" s="25" t="n"/>
      <c r="AB2202" s="25" t="n"/>
      <c r="AC2202" s="195" t="n"/>
      <c r="AD2202" s="25" t="n"/>
      <c r="AE2202" s="25" t="n"/>
      <c r="AG2202" s="25" t="n"/>
      <c r="AH2202" s="25" t="n"/>
      <c r="AI2202" s="394" t="n"/>
      <c r="AM2202" s="48" t="n"/>
      <c r="AN2202" s="48" t="n"/>
      <c r="AO2202" s="48" t="n"/>
    </row>
    <row r="2203">
      <c r="M2203" s="25" t="n"/>
      <c r="Q2203" s="25" t="n"/>
      <c r="U2203" s="194" t="n"/>
      <c r="AA2203" s="25" t="n"/>
      <c r="AB2203" s="25" t="n"/>
      <c r="AC2203" s="195" t="n"/>
      <c r="AD2203" s="25" t="n"/>
      <c r="AE2203" s="25" t="n"/>
      <c r="AG2203" s="25" t="n"/>
      <c r="AH2203" s="25" t="n"/>
      <c r="AI2203" s="394" t="n"/>
      <c r="AM2203" s="48" t="n"/>
      <c r="AN2203" s="48" t="n"/>
      <c r="AO2203" s="48" t="n"/>
    </row>
    <row r="2204">
      <c r="M2204" s="25" t="n"/>
      <c r="Q2204" s="25" t="n"/>
      <c r="U2204" s="194" t="n"/>
      <c r="AA2204" s="25" t="n"/>
      <c r="AB2204" s="25" t="n"/>
      <c r="AC2204" s="195" t="n"/>
      <c r="AD2204" s="25" t="n"/>
      <c r="AE2204" s="25" t="n"/>
      <c r="AG2204" s="25" t="n"/>
      <c r="AH2204" s="25" t="n"/>
      <c r="AI2204" s="394" t="n"/>
      <c r="AM2204" s="48" t="n"/>
      <c r="AN2204" s="48" t="n"/>
      <c r="AO2204" s="48" t="n"/>
    </row>
    <row r="2205">
      <c r="M2205" s="25" t="n"/>
      <c r="Q2205" s="25" t="n"/>
      <c r="U2205" s="194" t="n"/>
      <c r="AA2205" s="25" t="n"/>
      <c r="AB2205" s="25" t="n"/>
      <c r="AC2205" s="195" t="n"/>
      <c r="AD2205" s="25" t="n"/>
      <c r="AE2205" s="25" t="n"/>
      <c r="AG2205" s="25" t="n"/>
      <c r="AH2205" s="25" t="n"/>
      <c r="AI2205" s="394" t="n"/>
      <c r="AM2205" s="48" t="n"/>
      <c r="AN2205" s="48" t="n"/>
      <c r="AO2205" s="48" t="n"/>
    </row>
    <row r="2206">
      <c r="M2206" s="25" t="n"/>
      <c r="Q2206" s="25" t="n"/>
      <c r="U2206" s="194" t="n"/>
      <c r="AA2206" s="25" t="n"/>
      <c r="AB2206" s="25" t="n"/>
      <c r="AC2206" s="195" t="n"/>
      <c r="AD2206" s="25" t="n"/>
      <c r="AE2206" s="25" t="n"/>
      <c r="AG2206" s="25" t="n"/>
      <c r="AH2206" s="25" t="n"/>
      <c r="AI2206" s="394" t="n"/>
      <c r="AM2206" s="48" t="n"/>
      <c r="AN2206" s="48" t="n"/>
      <c r="AO2206" s="48" t="n"/>
    </row>
    <row r="2207">
      <c r="M2207" s="25" t="n"/>
      <c r="Q2207" s="25" t="n"/>
      <c r="U2207" s="194" t="n"/>
      <c r="AA2207" s="25" t="n"/>
      <c r="AB2207" s="25" t="n"/>
      <c r="AC2207" s="195" t="n"/>
      <c r="AD2207" s="25" t="n"/>
      <c r="AE2207" s="25" t="n"/>
      <c r="AG2207" s="25" t="n"/>
      <c r="AH2207" s="25" t="n"/>
      <c r="AI2207" s="394" t="n"/>
      <c r="AM2207" s="48" t="n"/>
      <c r="AN2207" s="48" t="n"/>
      <c r="AO2207" s="48" t="n"/>
    </row>
    <row r="2208">
      <c r="M2208" s="25" t="n"/>
      <c r="Q2208" s="25" t="n"/>
      <c r="U2208" s="194" t="n"/>
      <c r="AA2208" s="25" t="n"/>
      <c r="AB2208" s="25" t="n"/>
      <c r="AC2208" s="195" t="n"/>
      <c r="AD2208" s="25" t="n"/>
      <c r="AE2208" s="25" t="n"/>
      <c r="AG2208" s="25" t="n"/>
      <c r="AH2208" s="25" t="n"/>
      <c r="AI2208" s="394" t="n"/>
      <c r="AM2208" s="48" t="n"/>
      <c r="AN2208" s="48" t="n"/>
      <c r="AO2208" s="48" t="n"/>
    </row>
    <row r="2209">
      <c r="M2209" s="25" t="n"/>
      <c r="Q2209" s="25" t="n"/>
      <c r="U2209" s="194" t="n"/>
      <c r="AA2209" s="25" t="n"/>
      <c r="AB2209" s="25" t="n"/>
      <c r="AC2209" s="195" t="n"/>
      <c r="AD2209" s="25" t="n"/>
      <c r="AE2209" s="25" t="n"/>
      <c r="AG2209" s="25" t="n"/>
      <c r="AH2209" s="25" t="n"/>
      <c r="AI2209" s="394" t="n"/>
      <c r="AM2209" s="48" t="n"/>
      <c r="AN2209" s="48" t="n"/>
      <c r="AO2209" s="48" t="n"/>
    </row>
    <row r="2210">
      <c r="M2210" s="25" t="n"/>
      <c r="Q2210" s="25" t="n"/>
      <c r="U2210" s="194" t="n"/>
      <c r="AA2210" s="25" t="n"/>
      <c r="AB2210" s="25" t="n"/>
      <c r="AC2210" s="195" t="n"/>
      <c r="AD2210" s="25" t="n"/>
      <c r="AE2210" s="25" t="n"/>
      <c r="AG2210" s="25" t="n"/>
      <c r="AH2210" s="25" t="n"/>
      <c r="AI2210" s="394" t="n"/>
      <c r="AM2210" s="48" t="n"/>
      <c r="AN2210" s="48" t="n"/>
      <c r="AO2210" s="48" t="n"/>
    </row>
    <row r="2211">
      <c r="M2211" s="25" t="n"/>
      <c r="Q2211" s="25" t="n"/>
      <c r="U2211" s="194" t="n"/>
      <c r="AA2211" s="25" t="n"/>
      <c r="AB2211" s="25" t="n"/>
      <c r="AC2211" s="195" t="n"/>
      <c r="AD2211" s="25" t="n"/>
      <c r="AE2211" s="25" t="n"/>
      <c r="AG2211" s="25" t="n"/>
      <c r="AH2211" s="25" t="n"/>
      <c r="AI2211" s="394" t="n"/>
      <c r="AM2211" s="48" t="n"/>
      <c r="AN2211" s="48" t="n"/>
      <c r="AO2211" s="48" t="n"/>
    </row>
    <row r="2212">
      <c r="M2212" s="25" t="n"/>
      <c r="Q2212" s="25" t="n"/>
      <c r="U2212" s="194" t="n"/>
      <c r="AA2212" s="25" t="n"/>
      <c r="AB2212" s="25" t="n"/>
      <c r="AC2212" s="195" t="n"/>
      <c r="AD2212" s="25" t="n"/>
      <c r="AE2212" s="25" t="n"/>
      <c r="AG2212" s="25" t="n"/>
      <c r="AH2212" s="25" t="n"/>
      <c r="AI2212" s="394" t="n"/>
      <c r="AM2212" s="48" t="n"/>
      <c r="AN2212" s="48" t="n"/>
      <c r="AO2212" s="48" t="n"/>
    </row>
    <row r="2213">
      <c r="M2213" s="25" t="n"/>
      <c r="Q2213" s="25" t="n"/>
      <c r="U2213" s="194" t="n"/>
      <c r="AA2213" s="25" t="n"/>
      <c r="AB2213" s="25" t="n"/>
      <c r="AC2213" s="195" t="n"/>
      <c r="AD2213" s="25" t="n"/>
      <c r="AE2213" s="25" t="n"/>
      <c r="AG2213" s="25" t="n"/>
      <c r="AH2213" s="25" t="n"/>
      <c r="AI2213" s="394" t="n"/>
      <c r="AM2213" s="48" t="n"/>
      <c r="AN2213" s="48" t="n"/>
      <c r="AO2213" s="48" t="n"/>
    </row>
    <row r="2214">
      <c r="M2214" s="25" t="n"/>
      <c r="Q2214" s="25" t="n"/>
      <c r="U2214" s="194" t="n"/>
      <c r="AA2214" s="25" t="n"/>
      <c r="AB2214" s="25" t="n"/>
      <c r="AC2214" s="195" t="n"/>
      <c r="AD2214" s="25" t="n"/>
      <c r="AE2214" s="25" t="n"/>
      <c r="AG2214" s="25" t="n"/>
      <c r="AH2214" s="25" t="n"/>
      <c r="AI2214" s="394" t="n"/>
      <c r="AM2214" s="48" t="n"/>
      <c r="AN2214" s="48" t="n"/>
      <c r="AO2214" s="48" t="n"/>
    </row>
    <row r="2215">
      <c r="M2215" s="25" t="n"/>
      <c r="Q2215" s="25" t="n"/>
      <c r="U2215" s="194" t="n"/>
      <c r="AA2215" s="25" t="n"/>
      <c r="AB2215" s="25" t="n"/>
      <c r="AC2215" s="195" t="n"/>
      <c r="AD2215" s="25" t="n"/>
      <c r="AE2215" s="25" t="n"/>
      <c r="AG2215" s="25" t="n"/>
      <c r="AH2215" s="25" t="n"/>
      <c r="AI2215" s="394" t="n"/>
      <c r="AM2215" s="48" t="n"/>
      <c r="AN2215" s="48" t="n"/>
      <c r="AO2215" s="48" t="n"/>
    </row>
    <row r="2216">
      <c r="M2216" s="25" t="n"/>
      <c r="Q2216" s="25" t="n"/>
      <c r="U2216" s="194" t="n"/>
      <c r="AA2216" s="25" t="n"/>
      <c r="AB2216" s="25" t="n"/>
      <c r="AC2216" s="195" t="n"/>
      <c r="AD2216" s="25" t="n"/>
      <c r="AE2216" s="25" t="n"/>
      <c r="AG2216" s="25" t="n"/>
      <c r="AH2216" s="25" t="n"/>
      <c r="AI2216" s="394" t="n"/>
      <c r="AM2216" s="48" t="n"/>
      <c r="AN2216" s="48" t="n"/>
      <c r="AO2216" s="48" t="n"/>
    </row>
    <row r="2217">
      <c r="M2217" s="25" t="n"/>
      <c r="Q2217" s="25" t="n"/>
      <c r="U2217" s="194" t="n"/>
      <c r="AA2217" s="25" t="n"/>
      <c r="AB2217" s="25" t="n"/>
      <c r="AC2217" s="195" t="n"/>
      <c r="AD2217" s="25" t="n"/>
      <c r="AE2217" s="25" t="n"/>
      <c r="AG2217" s="25" t="n"/>
      <c r="AH2217" s="25" t="n"/>
      <c r="AI2217" s="394" t="n"/>
      <c r="AM2217" s="48" t="n"/>
      <c r="AN2217" s="48" t="n"/>
      <c r="AO2217" s="48" t="n"/>
    </row>
    <row r="2218">
      <c r="M2218" s="25" t="n"/>
      <c r="Q2218" s="25" t="n"/>
      <c r="U2218" s="194" t="n"/>
      <c r="AA2218" s="25" t="n"/>
      <c r="AB2218" s="25" t="n"/>
      <c r="AC2218" s="195" t="n"/>
      <c r="AD2218" s="25" t="n"/>
      <c r="AE2218" s="25" t="n"/>
      <c r="AG2218" s="25" t="n"/>
      <c r="AH2218" s="25" t="n"/>
      <c r="AI2218" s="394" t="n"/>
      <c r="AM2218" s="48" t="n"/>
      <c r="AN2218" s="48" t="n"/>
      <c r="AO2218" s="48" t="n"/>
    </row>
    <row r="2219">
      <c r="M2219" s="25" t="n"/>
      <c r="Q2219" s="25" t="n"/>
      <c r="U2219" s="194" t="n"/>
      <c r="AA2219" s="25" t="n"/>
      <c r="AB2219" s="25" t="n"/>
      <c r="AC2219" s="195" t="n"/>
      <c r="AD2219" s="25" t="n"/>
      <c r="AE2219" s="25" t="n"/>
      <c r="AG2219" s="25" t="n"/>
      <c r="AH2219" s="25" t="n"/>
      <c r="AI2219" s="394" t="n"/>
      <c r="AM2219" s="48" t="n"/>
      <c r="AN2219" s="48" t="n"/>
      <c r="AO2219" s="48" t="n"/>
    </row>
    <row r="2220">
      <c r="M2220" s="25" t="n"/>
      <c r="Q2220" s="25" t="n"/>
      <c r="U2220" s="194" t="n"/>
      <c r="AA2220" s="25" t="n"/>
      <c r="AB2220" s="25" t="n"/>
      <c r="AC2220" s="195" t="n"/>
      <c r="AD2220" s="25" t="n"/>
      <c r="AE2220" s="25" t="n"/>
      <c r="AG2220" s="25" t="n"/>
      <c r="AH2220" s="25" t="n"/>
      <c r="AI2220" s="394" t="n"/>
      <c r="AM2220" s="48" t="n"/>
      <c r="AN2220" s="48" t="n"/>
      <c r="AO2220" s="48" t="n"/>
    </row>
    <row r="2221">
      <c r="M2221" s="25" t="n"/>
      <c r="Q2221" s="25" t="n"/>
      <c r="U2221" s="194" t="n"/>
      <c r="AA2221" s="25" t="n"/>
      <c r="AB2221" s="25" t="n"/>
      <c r="AC2221" s="195" t="n"/>
      <c r="AD2221" s="25" t="n"/>
      <c r="AE2221" s="25" t="n"/>
      <c r="AG2221" s="25" t="n"/>
      <c r="AH2221" s="25" t="n"/>
      <c r="AI2221" s="394" t="n"/>
      <c r="AM2221" s="48" t="n"/>
      <c r="AN2221" s="48" t="n"/>
      <c r="AO2221" s="48" t="n"/>
    </row>
    <row r="2222">
      <c r="M2222" s="25" t="n"/>
      <c r="Q2222" s="25" t="n"/>
      <c r="U2222" s="194" t="n"/>
      <c r="AA2222" s="25" t="n"/>
      <c r="AB2222" s="25" t="n"/>
      <c r="AC2222" s="195" t="n"/>
      <c r="AD2222" s="25" t="n"/>
      <c r="AE2222" s="25" t="n"/>
      <c r="AG2222" s="25" t="n"/>
      <c r="AH2222" s="25" t="n"/>
      <c r="AI2222" s="394" t="n"/>
      <c r="AM2222" s="48" t="n"/>
      <c r="AN2222" s="48" t="n"/>
      <c r="AO2222" s="48" t="n"/>
    </row>
    <row r="2223">
      <c r="M2223" s="25" t="n"/>
      <c r="Q2223" s="25" t="n"/>
      <c r="U2223" s="194" t="n"/>
      <c r="AA2223" s="25" t="n"/>
      <c r="AB2223" s="25" t="n"/>
      <c r="AC2223" s="195" t="n"/>
      <c r="AD2223" s="25" t="n"/>
      <c r="AE2223" s="25" t="n"/>
      <c r="AG2223" s="25" t="n"/>
      <c r="AH2223" s="25" t="n"/>
      <c r="AI2223" s="394" t="n"/>
      <c r="AM2223" s="48" t="n"/>
      <c r="AN2223" s="48" t="n"/>
      <c r="AO2223" s="48" t="n"/>
    </row>
    <row r="2224">
      <c r="M2224" s="25" t="n"/>
      <c r="Q2224" s="25" t="n"/>
      <c r="U2224" s="194" t="n"/>
      <c r="AA2224" s="25" t="n"/>
      <c r="AB2224" s="25" t="n"/>
      <c r="AC2224" s="195" t="n"/>
      <c r="AD2224" s="25" t="n"/>
      <c r="AE2224" s="25" t="n"/>
      <c r="AG2224" s="25" t="n"/>
      <c r="AH2224" s="25" t="n"/>
      <c r="AI2224" s="394" t="n"/>
      <c r="AM2224" s="48" t="n"/>
      <c r="AN2224" s="48" t="n"/>
      <c r="AO2224" s="48" t="n"/>
    </row>
    <row r="2225">
      <c r="M2225" s="25" t="n"/>
      <c r="Q2225" s="25" t="n"/>
      <c r="U2225" s="194" t="n"/>
      <c r="AA2225" s="25" t="n"/>
      <c r="AB2225" s="25" t="n"/>
      <c r="AC2225" s="195" t="n"/>
      <c r="AD2225" s="25" t="n"/>
      <c r="AE2225" s="25" t="n"/>
      <c r="AG2225" s="25" t="n"/>
      <c r="AH2225" s="25" t="n"/>
      <c r="AI2225" s="394" t="n"/>
      <c r="AM2225" s="48" t="n"/>
      <c r="AN2225" s="48" t="n"/>
      <c r="AO2225" s="48" t="n"/>
    </row>
    <row r="2226">
      <c r="M2226" s="25" t="n"/>
      <c r="Q2226" s="25" t="n"/>
      <c r="U2226" s="194" t="n"/>
      <c r="AA2226" s="25" t="n"/>
      <c r="AB2226" s="25" t="n"/>
      <c r="AC2226" s="195" t="n"/>
      <c r="AD2226" s="25" t="n"/>
      <c r="AE2226" s="25" t="n"/>
      <c r="AG2226" s="25" t="n"/>
      <c r="AH2226" s="25" t="n"/>
      <c r="AI2226" s="394" t="n"/>
      <c r="AM2226" s="48" t="n"/>
      <c r="AN2226" s="48" t="n"/>
      <c r="AO2226" s="48" t="n"/>
    </row>
    <row r="2227">
      <c r="M2227" s="25" t="n"/>
      <c r="Q2227" s="25" t="n"/>
      <c r="U2227" s="194" t="n"/>
      <c r="AA2227" s="25" t="n"/>
      <c r="AB2227" s="25" t="n"/>
      <c r="AC2227" s="195" t="n"/>
      <c r="AD2227" s="25" t="n"/>
      <c r="AE2227" s="25" t="n"/>
      <c r="AG2227" s="25" t="n"/>
      <c r="AH2227" s="25" t="n"/>
      <c r="AI2227" s="394" t="n"/>
      <c r="AM2227" s="48" t="n"/>
      <c r="AN2227" s="48" t="n"/>
      <c r="AO2227" s="48" t="n"/>
    </row>
    <row r="2228">
      <c r="M2228" s="25" t="n"/>
      <c r="Q2228" s="25" t="n"/>
      <c r="U2228" s="194" t="n"/>
      <c r="AA2228" s="25" t="n"/>
      <c r="AB2228" s="25" t="n"/>
      <c r="AC2228" s="195" t="n"/>
      <c r="AD2228" s="25" t="n"/>
      <c r="AE2228" s="25" t="n"/>
      <c r="AG2228" s="25" t="n"/>
      <c r="AH2228" s="25" t="n"/>
      <c r="AI2228" s="394" t="n"/>
      <c r="AM2228" s="48" t="n"/>
      <c r="AN2228" s="48" t="n"/>
      <c r="AO2228" s="48" t="n"/>
    </row>
    <row r="2229">
      <c r="M2229" s="25" t="n"/>
      <c r="Q2229" s="25" t="n"/>
      <c r="U2229" s="194" t="n"/>
      <c r="AA2229" s="25" t="n"/>
      <c r="AB2229" s="25" t="n"/>
      <c r="AC2229" s="195" t="n"/>
      <c r="AD2229" s="25" t="n"/>
      <c r="AE2229" s="25" t="n"/>
      <c r="AG2229" s="25" t="n"/>
      <c r="AH2229" s="25" t="n"/>
      <c r="AI2229" s="394" t="n"/>
      <c r="AM2229" s="48" t="n"/>
      <c r="AN2229" s="48" t="n"/>
      <c r="AO2229" s="48" t="n"/>
    </row>
    <row r="2230">
      <c r="M2230" s="25" t="n"/>
      <c r="Q2230" s="25" t="n"/>
      <c r="U2230" s="194" t="n"/>
      <c r="AA2230" s="25" t="n"/>
      <c r="AB2230" s="25" t="n"/>
      <c r="AC2230" s="195" t="n"/>
      <c r="AD2230" s="25" t="n"/>
      <c r="AE2230" s="25" t="n"/>
      <c r="AG2230" s="25" t="n"/>
      <c r="AH2230" s="25" t="n"/>
      <c r="AI2230" s="394" t="n"/>
      <c r="AM2230" s="48" t="n"/>
      <c r="AN2230" s="48" t="n"/>
      <c r="AO2230" s="48" t="n"/>
    </row>
    <row r="2231">
      <c r="M2231" s="25" t="n"/>
      <c r="Q2231" s="25" t="n"/>
      <c r="U2231" s="194" t="n"/>
      <c r="AA2231" s="25" t="n"/>
      <c r="AB2231" s="25" t="n"/>
      <c r="AC2231" s="195" t="n"/>
      <c r="AD2231" s="25" t="n"/>
      <c r="AE2231" s="25" t="n"/>
      <c r="AG2231" s="25" t="n"/>
      <c r="AH2231" s="25" t="n"/>
      <c r="AI2231" s="394" t="n"/>
      <c r="AM2231" s="48" t="n"/>
      <c r="AN2231" s="48" t="n"/>
      <c r="AO2231" s="48" t="n"/>
    </row>
    <row r="2232">
      <c r="M2232" s="25" t="n"/>
      <c r="Q2232" s="25" t="n"/>
      <c r="U2232" s="194" t="n"/>
      <c r="AA2232" s="25" t="n"/>
      <c r="AB2232" s="25" t="n"/>
      <c r="AC2232" s="195" t="n"/>
      <c r="AD2232" s="25" t="n"/>
      <c r="AE2232" s="25" t="n"/>
      <c r="AG2232" s="25" t="n"/>
      <c r="AH2232" s="25" t="n"/>
      <c r="AI2232" s="394" t="n"/>
      <c r="AM2232" s="48" t="n"/>
      <c r="AN2232" s="48" t="n"/>
      <c r="AO2232" s="48" t="n"/>
    </row>
    <row r="2233">
      <c r="M2233" s="25" t="n"/>
      <c r="Q2233" s="25" t="n"/>
      <c r="U2233" s="194" t="n"/>
      <c r="AA2233" s="25" t="n"/>
      <c r="AB2233" s="25" t="n"/>
      <c r="AC2233" s="195" t="n"/>
      <c r="AD2233" s="25" t="n"/>
      <c r="AE2233" s="25" t="n"/>
      <c r="AG2233" s="25" t="n"/>
      <c r="AH2233" s="25" t="n"/>
      <c r="AI2233" s="394" t="n"/>
      <c r="AM2233" s="48" t="n"/>
      <c r="AN2233" s="48" t="n"/>
      <c r="AO2233" s="48" t="n"/>
    </row>
    <row r="2234">
      <c r="M2234" s="25" t="n"/>
      <c r="Q2234" s="25" t="n"/>
      <c r="U2234" s="194" t="n"/>
      <c r="AA2234" s="25" t="n"/>
      <c r="AB2234" s="25" t="n"/>
      <c r="AC2234" s="195" t="n"/>
      <c r="AD2234" s="25" t="n"/>
      <c r="AE2234" s="25" t="n"/>
      <c r="AG2234" s="25" t="n"/>
      <c r="AH2234" s="25" t="n"/>
      <c r="AI2234" s="394" t="n"/>
      <c r="AM2234" s="48" t="n"/>
      <c r="AN2234" s="48" t="n"/>
      <c r="AO2234" s="48" t="n"/>
    </row>
    <row r="2235">
      <c r="M2235" s="25" t="n"/>
      <c r="Q2235" s="25" t="n"/>
      <c r="U2235" s="194" t="n"/>
      <c r="AA2235" s="25" t="n"/>
      <c r="AB2235" s="25" t="n"/>
      <c r="AC2235" s="195" t="n"/>
      <c r="AD2235" s="25" t="n"/>
      <c r="AE2235" s="25" t="n"/>
      <c r="AG2235" s="25" t="n"/>
      <c r="AH2235" s="25" t="n"/>
      <c r="AI2235" s="394" t="n"/>
      <c r="AM2235" s="48" t="n"/>
      <c r="AN2235" s="48" t="n"/>
      <c r="AO2235" s="48" t="n"/>
    </row>
    <row r="2236">
      <c r="M2236" s="25" t="n"/>
      <c r="Q2236" s="25" t="n"/>
      <c r="U2236" s="194" t="n"/>
      <c r="AA2236" s="25" t="n"/>
      <c r="AB2236" s="25" t="n"/>
      <c r="AC2236" s="195" t="n"/>
      <c r="AD2236" s="25" t="n"/>
      <c r="AE2236" s="25" t="n"/>
      <c r="AG2236" s="25" t="n"/>
      <c r="AH2236" s="25" t="n"/>
      <c r="AI2236" s="394" t="n"/>
      <c r="AM2236" s="48" t="n"/>
      <c r="AN2236" s="48" t="n"/>
      <c r="AO2236" s="48" t="n"/>
    </row>
    <row r="2237">
      <c r="M2237" s="25" t="n"/>
      <c r="Q2237" s="25" t="n"/>
      <c r="U2237" s="194" t="n"/>
      <c r="AA2237" s="25" t="n"/>
      <c r="AB2237" s="25" t="n"/>
      <c r="AC2237" s="195" t="n"/>
      <c r="AD2237" s="25" t="n"/>
      <c r="AE2237" s="25" t="n"/>
      <c r="AG2237" s="25" t="n"/>
      <c r="AH2237" s="25" t="n"/>
      <c r="AI2237" s="394" t="n"/>
      <c r="AM2237" s="48" t="n"/>
      <c r="AN2237" s="48" t="n"/>
      <c r="AO2237" s="48" t="n"/>
    </row>
    <row r="2238">
      <c r="M2238" s="25" t="n"/>
      <c r="Q2238" s="25" t="n"/>
      <c r="U2238" s="194" t="n"/>
      <c r="AA2238" s="25" t="n"/>
      <c r="AB2238" s="25" t="n"/>
      <c r="AC2238" s="195" t="n"/>
      <c r="AD2238" s="25" t="n"/>
      <c r="AE2238" s="25" t="n"/>
      <c r="AG2238" s="25" t="n"/>
      <c r="AH2238" s="25" t="n"/>
      <c r="AI2238" s="394" t="n"/>
      <c r="AM2238" s="48" t="n"/>
      <c r="AN2238" s="48" t="n"/>
      <c r="AO2238" s="48" t="n"/>
    </row>
    <row r="2239">
      <c r="M2239" s="25" t="n"/>
      <c r="Q2239" s="25" t="n"/>
      <c r="U2239" s="194" t="n"/>
      <c r="AA2239" s="25" t="n"/>
      <c r="AB2239" s="25" t="n"/>
      <c r="AC2239" s="195" t="n"/>
      <c r="AD2239" s="25" t="n"/>
      <c r="AE2239" s="25" t="n"/>
      <c r="AG2239" s="25" t="n"/>
      <c r="AH2239" s="25" t="n"/>
      <c r="AI2239" s="394" t="n"/>
      <c r="AM2239" s="48" t="n"/>
      <c r="AN2239" s="48" t="n"/>
      <c r="AO2239" s="48" t="n"/>
    </row>
    <row r="2240">
      <c r="M2240" s="25" t="n"/>
      <c r="Q2240" s="25" t="n"/>
      <c r="U2240" s="194" t="n"/>
      <c r="AA2240" s="25" t="n"/>
      <c r="AB2240" s="25" t="n"/>
      <c r="AC2240" s="195" t="n"/>
      <c r="AD2240" s="25" t="n"/>
      <c r="AE2240" s="25" t="n"/>
      <c r="AG2240" s="25" t="n"/>
      <c r="AH2240" s="25" t="n"/>
      <c r="AI2240" s="394" t="n"/>
      <c r="AM2240" s="48" t="n"/>
      <c r="AN2240" s="48" t="n"/>
      <c r="AO2240" s="48" t="n"/>
    </row>
    <row r="2241">
      <c r="M2241" s="25" t="n"/>
      <c r="Q2241" s="25" t="n"/>
      <c r="U2241" s="194" t="n"/>
      <c r="AA2241" s="25" t="n"/>
      <c r="AB2241" s="25" t="n"/>
      <c r="AC2241" s="195" t="n"/>
      <c r="AD2241" s="25" t="n"/>
      <c r="AE2241" s="25" t="n"/>
      <c r="AG2241" s="25" t="n"/>
      <c r="AH2241" s="25" t="n"/>
      <c r="AI2241" s="394" t="n"/>
      <c r="AM2241" s="48" t="n"/>
      <c r="AN2241" s="48" t="n"/>
      <c r="AO2241" s="48" t="n"/>
    </row>
    <row r="2242">
      <c r="M2242" s="25" t="n"/>
      <c r="Q2242" s="25" t="n"/>
      <c r="U2242" s="194" t="n"/>
      <c r="AA2242" s="25" t="n"/>
      <c r="AB2242" s="25" t="n"/>
      <c r="AC2242" s="195" t="n"/>
      <c r="AD2242" s="25" t="n"/>
      <c r="AE2242" s="25" t="n"/>
      <c r="AG2242" s="25" t="n"/>
      <c r="AH2242" s="25" t="n"/>
      <c r="AI2242" s="394" t="n"/>
      <c r="AM2242" s="48" t="n"/>
      <c r="AN2242" s="48" t="n"/>
      <c r="AO2242" s="48" t="n"/>
    </row>
    <row r="2243">
      <c r="M2243" s="25" t="n"/>
      <c r="Q2243" s="25" t="n"/>
      <c r="U2243" s="194" t="n"/>
      <c r="AA2243" s="25" t="n"/>
      <c r="AB2243" s="25" t="n"/>
      <c r="AC2243" s="195" t="n"/>
      <c r="AD2243" s="25" t="n"/>
      <c r="AE2243" s="25" t="n"/>
      <c r="AG2243" s="25" t="n"/>
      <c r="AH2243" s="25" t="n"/>
      <c r="AI2243" s="394" t="n"/>
      <c r="AM2243" s="48" t="n"/>
      <c r="AN2243" s="48" t="n"/>
      <c r="AO2243" s="48" t="n"/>
    </row>
    <row r="2244">
      <c r="M2244" s="25" t="n"/>
      <c r="Q2244" s="25" t="n"/>
      <c r="U2244" s="194" t="n"/>
      <c r="AA2244" s="25" t="n"/>
      <c r="AB2244" s="25" t="n"/>
      <c r="AC2244" s="195" t="n"/>
      <c r="AD2244" s="25" t="n"/>
      <c r="AE2244" s="25" t="n"/>
      <c r="AG2244" s="25" t="n"/>
      <c r="AH2244" s="25" t="n"/>
      <c r="AI2244" s="394" t="n"/>
      <c r="AM2244" s="48" t="n"/>
      <c r="AN2244" s="48" t="n"/>
      <c r="AO2244" s="48" t="n"/>
    </row>
    <row r="2245">
      <c r="M2245" s="25" t="n"/>
      <c r="Q2245" s="25" t="n"/>
      <c r="U2245" s="194" t="n"/>
      <c r="AA2245" s="25" t="n"/>
      <c r="AB2245" s="25" t="n"/>
      <c r="AC2245" s="195" t="n"/>
      <c r="AD2245" s="25" t="n"/>
      <c r="AE2245" s="25" t="n"/>
      <c r="AG2245" s="25" t="n"/>
      <c r="AH2245" s="25" t="n"/>
      <c r="AI2245" s="394" t="n"/>
      <c r="AM2245" s="48" t="n"/>
      <c r="AN2245" s="48" t="n"/>
      <c r="AO2245" s="48" t="n"/>
    </row>
    <row r="2246">
      <c r="M2246" s="25" t="n"/>
      <c r="Q2246" s="25" t="n"/>
      <c r="U2246" s="194" t="n"/>
      <c r="AA2246" s="25" t="n"/>
      <c r="AB2246" s="25" t="n"/>
      <c r="AC2246" s="195" t="n"/>
      <c r="AD2246" s="25" t="n"/>
      <c r="AE2246" s="25" t="n"/>
      <c r="AG2246" s="25" t="n"/>
      <c r="AH2246" s="25" t="n"/>
      <c r="AI2246" s="394" t="n"/>
      <c r="AM2246" s="48" t="n"/>
      <c r="AN2246" s="48" t="n"/>
      <c r="AO2246" s="48" t="n"/>
    </row>
    <row r="2247">
      <c r="M2247" s="25" t="n"/>
      <c r="Q2247" s="25" t="n"/>
      <c r="U2247" s="194" t="n"/>
      <c r="AA2247" s="25" t="n"/>
      <c r="AB2247" s="25" t="n"/>
      <c r="AC2247" s="195" t="n"/>
      <c r="AD2247" s="25" t="n"/>
      <c r="AE2247" s="25" t="n"/>
      <c r="AG2247" s="25" t="n"/>
      <c r="AH2247" s="25" t="n"/>
      <c r="AI2247" s="394" t="n"/>
      <c r="AM2247" s="48" t="n"/>
      <c r="AN2247" s="48" t="n"/>
      <c r="AO2247" s="48" t="n"/>
    </row>
    <row r="2248">
      <c r="M2248" s="25" t="n"/>
      <c r="Q2248" s="25" t="n"/>
      <c r="U2248" s="194" t="n"/>
      <c r="AA2248" s="25" t="n"/>
      <c r="AB2248" s="25" t="n"/>
      <c r="AC2248" s="195" t="n"/>
      <c r="AD2248" s="25" t="n"/>
      <c r="AE2248" s="25" t="n"/>
      <c r="AG2248" s="25" t="n"/>
      <c r="AH2248" s="25" t="n"/>
      <c r="AI2248" s="394" t="n"/>
      <c r="AM2248" s="48" t="n"/>
      <c r="AN2248" s="48" t="n"/>
      <c r="AO2248" s="48" t="n"/>
    </row>
    <row r="2249">
      <c r="M2249" s="25" t="n"/>
      <c r="Q2249" s="25" t="n"/>
      <c r="U2249" s="194" t="n"/>
      <c r="AA2249" s="25" t="n"/>
      <c r="AB2249" s="25" t="n"/>
      <c r="AC2249" s="195" t="n"/>
      <c r="AD2249" s="25" t="n"/>
      <c r="AE2249" s="25" t="n"/>
      <c r="AG2249" s="25" t="n"/>
      <c r="AH2249" s="25" t="n"/>
      <c r="AI2249" s="394" t="n"/>
      <c r="AM2249" s="48" t="n"/>
      <c r="AN2249" s="48" t="n"/>
      <c r="AO2249" s="48" t="n"/>
    </row>
    <row r="2250">
      <c r="M2250" s="25" t="n"/>
      <c r="Q2250" s="25" t="n"/>
      <c r="U2250" s="194" t="n"/>
      <c r="AA2250" s="25" t="n"/>
      <c r="AB2250" s="25" t="n"/>
      <c r="AC2250" s="195" t="n"/>
      <c r="AD2250" s="25" t="n"/>
      <c r="AE2250" s="25" t="n"/>
      <c r="AG2250" s="25" t="n"/>
      <c r="AH2250" s="25" t="n"/>
      <c r="AI2250" s="394" t="n"/>
      <c r="AM2250" s="48" t="n"/>
      <c r="AN2250" s="48" t="n"/>
      <c r="AO2250" s="48" t="n"/>
    </row>
    <row r="2251">
      <c r="M2251" s="25" t="n"/>
      <c r="Q2251" s="25" t="n"/>
      <c r="U2251" s="194" t="n"/>
      <c r="AA2251" s="25" t="n"/>
      <c r="AB2251" s="25" t="n"/>
      <c r="AC2251" s="195" t="n"/>
      <c r="AD2251" s="25" t="n"/>
      <c r="AE2251" s="25" t="n"/>
      <c r="AG2251" s="25" t="n"/>
      <c r="AH2251" s="25" t="n"/>
      <c r="AI2251" s="394" t="n"/>
      <c r="AM2251" s="48" t="n"/>
      <c r="AN2251" s="48" t="n"/>
      <c r="AO2251" s="48" t="n"/>
    </row>
    <row r="2252">
      <c r="M2252" s="25" t="n"/>
      <c r="Q2252" s="25" t="n"/>
      <c r="U2252" s="194" t="n"/>
      <c r="AA2252" s="25" t="n"/>
      <c r="AB2252" s="25" t="n"/>
      <c r="AC2252" s="195" t="n"/>
      <c r="AD2252" s="25" t="n"/>
      <c r="AE2252" s="25" t="n"/>
      <c r="AG2252" s="25" t="n"/>
      <c r="AH2252" s="25" t="n"/>
      <c r="AI2252" s="394" t="n"/>
      <c r="AM2252" s="48" t="n"/>
      <c r="AN2252" s="48" t="n"/>
      <c r="AO2252" s="48" t="n"/>
    </row>
    <row r="2253">
      <c r="M2253" s="25" t="n"/>
      <c r="Q2253" s="25" t="n"/>
      <c r="U2253" s="194" t="n"/>
      <c r="AA2253" s="25" t="n"/>
      <c r="AB2253" s="25" t="n"/>
      <c r="AC2253" s="195" t="n"/>
      <c r="AD2253" s="25" t="n"/>
      <c r="AE2253" s="25" t="n"/>
      <c r="AG2253" s="25" t="n"/>
      <c r="AH2253" s="25" t="n"/>
      <c r="AI2253" s="394" t="n"/>
      <c r="AM2253" s="48" t="n"/>
      <c r="AN2253" s="48" t="n"/>
      <c r="AO2253" s="48" t="n"/>
    </row>
    <row r="2254">
      <c r="M2254" s="25" t="n"/>
      <c r="Q2254" s="25" t="n"/>
      <c r="U2254" s="194" t="n"/>
      <c r="AA2254" s="25" t="n"/>
      <c r="AB2254" s="25" t="n"/>
      <c r="AC2254" s="195" t="n"/>
      <c r="AD2254" s="25" t="n"/>
      <c r="AE2254" s="25" t="n"/>
      <c r="AG2254" s="25" t="n"/>
      <c r="AH2254" s="25" t="n"/>
      <c r="AI2254" s="394" t="n"/>
      <c r="AM2254" s="48" t="n"/>
      <c r="AN2254" s="48" t="n"/>
      <c r="AO2254" s="48" t="n"/>
    </row>
    <row r="2255">
      <c r="M2255" s="25" t="n"/>
      <c r="Q2255" s="25" t="n"/>
      <c r="U2255" s="194" t="n"/>
      <c r="AA2255" s="25" t="n"/>
      <c r="AB2255" s="25" t="n"/>
      <c r="AC2255" s="195" t="n"/>
      <c r="AD2255" s="25" t="n"/>
      <c r="AE2255" s="25" t="n"/>
      <c r="AG2255" s="25" t="n"/>
      <c r="AH2255" s="25" t="n"/>
      <c r="AI2255" s="394" t="n"/>
      <c r="AM2255" s="48" t="n"/>
      <c r="AN2255" s="48" t="n"/>
      <c r="AO2255" s="48" t="n"/>
    </row>
    <row r="2256">
      <c r="M2256" s="25" t="n"/>
      <c r="Q2256" s="25" t="n"/>
      <c r="U2256" s="194" t="n"/>
      <c r="AA2256" s="25" t="n"/>
      <c r="AB2256" s="25" t="n"/>
      <c r="AC2256" s="195" t="n"/>
      <c r="AD2256" s="25" t="n"/>
      <c r="AE2256" s="25" t="n"/>
      <c r="AG2256" s="25" t="n"/>
      <c r="AH2256" s="25" t="n"/>
      <c r="AI2256" s="394" t="n"/>
      <c r="AM2256" s="48" t="n"/>
      <c r="AN2256" s="48" t="n"/>
      <c r="AO2256" s="48" t="n"/>
    </row>
    <row r="2257">
      <c r="M2257" s="25" t="n"/>
      <c r="Q2257" s="25" t="n"/>
      <c r="U2257" s="194" t="n"/>
      <c r="AA2257" s="25" t="n"/>
      <c r="AB2257" s="25" t="n"/>
      <c r="AC2257" s="195" t="n"/>
      <c r="AD2257" s="25" t="n"/>
      <c r="AE2257" s="25" t="n"/>
      <c r="AG2257" s="25" t="n"/>
      <c r="AH2257" s="25" t="n"/>
      <c r="AI2257" s="394" t="n"/>
      <c r="AM2257" s="48" t="n"/>
      <c r="AN2257" s="48" t="n"/>
      <c r="AO2257" s="48" t="n"/>
    </row>
    <row r="2258">
      <c r="M2258" s="25" t="n"/>
      <c r="Q2258" s="25" t="n"/>
      <c r="U2258" s="194" t="n"/>
      <c r="AA2258" s="25" t="n"/>
      <c r="AB2258" s="25" t="n"/>
      <c r="AC2258" s="195" t="n"/>
      <c r="AD2258" s="25" t="n"/>
      <c r="AE2258" s="25" t="n"/>
      <c r="AG2258" s="25" t="n"/>
      <c r="AH2258" s="25" t="n"/>
      <c r="AI2258" s="394" t="n"/>
      <c r="AM2258" s="48" t="n"/>
      <c r="AN2258" s="48" t="n"/>
      <c r="AO2258" s="48" t="n"/>
    </row>
    <row r="2259">
      <c r="M2259" s="25" t="n"/>
      <c r="Q2259" s="25" t="n"/>
      <c r="U2259" s="194" t="n"/>
      <c r="AA2259" s="25" t="n"/>
      <c r="AB2259" s="25" t="n"/>
      <c r="AC2259" s="195" t="n"/>
      <c r="AD2259" s="25" t="n"/>
      <c r="AE2259" s="25" t="n"/>
      <c r="AG2259" s="25" t="n"/>
      <c r="AH2259" s="25" t="n"/>
      <c r="AI2259" s="394" t="n"/>
      <c r="AM2259" s="48" t="n"/>
      <c r="AN2259" s="48" t="n"/>
      <c r="AO2259" s="48" t="n"/>
    </row>
    <row r="2260">
      <c r="M2260" s="25" t="n"/>
      <c r="Q2260" s="25" t="n"/>
      <c r="U2260" s="194" t="n"/>
      <c r="AA2260" s="25" t="n"/>
      <c r="AB2260" s="25" t="n"/>
      <c r="AC2260" s="195" t="n"/>
      <c r="AD2260" s="25" t="n"/>
      <c r="AE2260" s="25" t="n"/>
      <c r="AG2260" s="25" t="n"/>
      <c r="AH2260" s="25" t="n"/>
      <c r="AI2260" s="394" t="n"/>
      <c r="AM2260" s="48" t="n"/>
      <c r="AN2260" s="48" t="n"/>
      <c r="AO2260" s="48" t="n"/>
    </row>
    <row r="2261">
      <c r="M2261" s="25" t="n"/>
      <c r="Q2261" s="25" t="n"/>
      <c r="U2261" s="194" t="n"/>
      <c r="AA2261" s="25" t="n"/>
      <c r="AB2261" s="25" t="n"/>
      <c r="AC2261" s="195" t="n"/>
      <c r="AD2261" s="25" t="n"/>
      <c r="AE2261" s="25" t="n"/>
      <c r="AG2261" s="25" t="n"/>
      <c r="AH2261" s="25" t="n"/>
      <c r="AI2261" s="394" t="n"/>
      <c r="AM2261" s="48" t="n"/>
      <c r="AN2261" s="48" t="n"/>
      <c r="AO2261" s="48" t="n"/>
    </row>
    <row r="2262">
      <c r="M2262" s="25" t="n"/>
      <c r="Q2262" s="25" t="n"/>
      <c r="U2262" s="194" t="n"/>
      <c r="AA2262" s="25" t="n"/>
      <c r="AB2262" s="25" t="n"/>
      <c r="AC2262" s="195" t="n"/>
      <c r="AD2262" s="25" t="n"/>
      <c r="AE2262" s="25" t="n"/>
      <c r="AG2262" s="25" t="n"/>
      <c r="AH2262" s="25" t="n"/>
      <c r="AI2262" s="394" t="n"/>
      <c r="AM2262" s="48" t="n"/>
      <c r="AN2262" s="48" t="n"/>
      <c r="AO2262" s="48" t="n"/>
    </row>
    <row r="2263">
      <c r="M2263" s="25" t="n"/>
      <c r="Q2263" s="25" t="n"/>
      <c r="U2263" s="194" t="n"/>
      <c r="AA2263" s="25" t="n"/>
      <c r="AB2263" s="25" t="n"/>
      <c r="AC2263" s="195" t="n"/>
      <c r="AD2263" s="25" t="n"/>
      <c r="AE2263" s="25" t="n"/>
      <c r="AG2263" s="25" t="n"/>
      <c r="AH2263" s="25" t="n"/>
      <c r="AI2263" s="394" t="n"/>
      <c r="AM2263" s="48" t="n"/>
      <c r="AN2263" s="48" t="n"/>
      <c r="AO2263" s="48" t="n"/>
    </row>
    <row r="2264">
      <c r="M2264" s="25" t="n"/>
      <c r="Q2264" s="25" t="n"/>
      <c r="U2264" s="194" t="n"/>
      <c r="AA2264" s="25" t="n"/>
      <c r="AB2264" s="25" t="n"/>
      <c r="AC2264" s="195" t="n"/>
      <c r="AD2264" s="25" t="n"/>
      <c r="AE2264" s="25" t="n"/>
      <c r="AG2264" s="25" t="n"/>
      <c r="AH2264" s="25" t="n"/>
      <c r="AI2264" s="394" t="n"/>
      <c r="AM2264" s="48" t="n"/>
      <c r="AN2264" s="48" t="n"/>
      <c r="AO2264" s="48" t="n"/>
    </row>
    <row r="2265">
      <c r="M2265" s="25" t="n"/>
      <c r="Q2265" s="25" t="n"/>
      <c r="U2265" s="194" t="n"/>
      <c r="AA2265" s="25" t="n"/>
      <c r="AB2265" s="25" t="n"/>
      <c r="AC2265" s="195" t="n"/>
      <c r="AD2265" s="25" t="n"/>
      <c r="AE2265" s="25" t="n"/>
      <c r="AG2265" s="25" t="n"/>
      <c r="AH2265" s="25" t="n"/>
      <c r="AI2265" s="394" t="n"/>
      <c r="AM2265" s="48" t="n"/>
      <c r="AN2265" s="48" t="n"/>
      <c r="AO2265" s="48" t="n"/>
    </row>
    <row r="2266">
      <c r="M2266" s="25" t="n"/>
      <c r="Q2266" s="25" t="n"/>
      <c r="U2266" s="194" t="n"/>
      <c r="AA2266" s="25" t="n"/>
      <c r="AB2266" s="25" t="n"/>
      <c r="AC2266" s="195" t="n"/>
      <c r="AD2266" s="25" t="n"/>
      <c r="AE2266" s="25" t="n"/>
      <c r="AG2266" s="25" t="n"/>
      <c r="AH2266" s="25" t="n"/>
      <c r="AI2266" s="394" t="n"/>
      <c r="AM2266" s="48" t="n"/>
      <c r="AN2266" s="48" t="n"/>
      <c r="AO2266" s="48" t="n"/>
    </row>
    <row r="2267">
      <c r="M2267" s="25" t="n"/>
      <c r="Q2267" s="25" t="n"/>
      <c r="U2267" s="194" t="n"/>
      <c r="AA2267" s="25" t="n"/>
      <c r="AB2267" s="25" t="n"/>
      <c r="AC2267" s="195" t="n"/>
      <c r="AD2267" s="25" t="n"/>
      <c r="AE2267" s="25" t="n"/>
      <c r="AG2267" s="25" t="n"/>
      <c r="AH2267" s="25" t="n"/>
      <c r="AI2267" s="394" t="n"/>
      <c r="AM2267" s="48" t="n"/>
      <c r="AN2267" s="48" t="n"/>
      <c r="AO2267" s="48" t="n"/>
    </row>
    <row r="2268">
      <c r="M2268" s="25" t="n"/>
      <c r="Q2268" s="25" t="n"/>
      <c r="U2268" s="194" t="n"/>
      <c r="AA2268" s="25" t="n"/>
      <c r="AB2268" s="25" t="n"/>
      <c r="AC2268" s="195" t="n"/>
      <c r="AD2268" s="25" t="n"/>
      <c r="AE2268" s="25" t="n"/>
      <c r="AG2268" s="25" t="n"/>
      <c r="AH2268" s="25" t="n"/>
      <c r="AI2268" s="394" t="n"/>
      <c r="AM2268" s="48" t="n"/>
      <c r="AN2268" s="48" t="n"/>
      <c r="AO2268" s="48" t="n"/>
    </row>
    <row r="2269">
      <c r="M2269" s="25" t="n"/>
      <c r="Q2269" s="25" t="n"/>
      <c r="U2269" s="194" t="n"/>
      <c r="AA2269" s="25" t="n"/>
      <c r="AB2269" s="25" t="n"/>
      <c r="AC2269" s="195" t="n"/>
      <c r="AD2269" s="25" t="n"/>
      <c r="AE2269" s="25" t="n"/>
      <c r="AG2269" s="25" t="n"/>
      <c r="AH2269" s="25" t="n"/>
      <c r="AI2269" s="394" t="n"/>
      <c r="AM2269" s="48" t="n"/>
      <c r="AN2269" s="48" t="n"/>
      <c r="AO2269" s="48" t="n"/>
    </row>
    <row r="2270">
      <c r="M2270" s="25" t="n"/>
      <c r="Q2270" s="25" t="n"/>
      <c r="U2270" s="194" t="n"/>
      <c r="AA2270" s="25" t="n"/>
      <c r="AB2270" s="25" t="n"/>
      <c r="AC2270" s="195" t="n"/>
      <c r="AD2270" s="25" t="n"/>
      <c r="AE2270" s="25" t="n"/>
      <c r="AG2270" s="25" t="n"/>
      <c r="AH2270" s="25" t="n"/>
      <c r="AI2270" s="394" t="n"/>
      <c r="AM2270" s="48" t="n"/>
      <c r="AN2270" s="48" t="n"/>
      <c r="AO2270" s="48" t="n"/>
    </row>
    <row r="2271">
      <c r="M2271" s="25" t="n"/>
      <c r="Q2271" s="25" t="n"/>
      <c r="U2271" s="194" t="n"/>
      <c r="AA2271" s="25" t="n"/>
      <c r="AB2271" s="25" t="n"/>
      <c r="AC2271" s="195" t="n"/>
      <c r="AD2271" s="25" t="n"/>
      <c r="AE2271" s="25" t="n"/>
      <c r="AG2271" s="25" t="n"/>
      <c r="AH2271" s="25" t="n"/>
      <c r="AI2271" s="394" t="n"/>
      <c r="AM2271" s="48" t="n"/>
      <c r="AN2271" s="48" t="n"/>
      <c r="AO2271" s="48" t="n"/>
    </row>
    <row r="2272">
      <c r="M2272" s="25" t="n"/>
      <c r="Q2272" s="25" t="n"/>
      <c r="U2272" s="194" t="n"/>
      <c r="AA2272" s="25" t="n"/>
      <c r="AB2272" s="25" t="n"/>
      <c r="AC2272" s="195" t="n"/>
      <c r="AD2272" s="25" t="n"/>
      <c r="AE2272" s="25" t="n"/>
      <c r="AG2272" s="25" t="n"/>
      <c r="AH2272" s="25" t="n"/>
      <c r="AI2272" s="394" t="n"/>
      <c r="AM2272" s="48" t="n"/>
      <c r="AN2272" s="48" t="n"/>
      <c r="AO2272" s="48" t="n"/>
    </row>
    <row r="2273">
      <c r="M2273" s="25" t="n"/>
      <c r="Q2273" s="25" t="n"/>
      <c r="U2273" s="194" t="n"/>
      <c r="AA2273" s="25" t="n"/>
      <c r="AB2273" s="25" t="n"/>
      <c r="AC2273" s="195" t="n"/>
      <c r="AD2273" s="25" t="n"/>
      <c r="AE2273" s="25" t="n"/>
      <c r="AG2273" s="25" t="n"/>
      <c r="AH2273" s="25" t="n"/>
      <c r="AI2273" s="394" t="n"/>
      <c r="AM2273" s="48" t="n"/>
      <c r="AN2273" s="48" t="n"/>
      <c r="AO2273" s="48" t="n"/>
    </row>
    <row r="2274">
      <c r="M2274" s="25" t="n"/>
      <c r="Q2274" s="25" t="n"/>
      <c r="U2274" s="194" t="n"/>
      <c r="AA2274" s="25" t="n"/>
      <c r="AB2274" s="25" t="n"/>
      <c r="AC2274" s="195" t="n"/>
      <c r="AD2274" s="25" t="n"/>
      <c r="AE2274" s="25" t="n"/>
      <c r="AG2274" s="25" t="n"/>
      <c r="AH2274" s="25" t="n"/>
      <c r="AI2274" s="394" t="n"/>
      <c r="AM2274" s="48" t="n"/>
      <c r="AN2274" s="48" t="n"/>
      <c r="AO2274" s="48" t="n"/>
    </row>
    <row r="2275">
      <c r="M2275" s="25" t="n"/>
      <c r="Q2275" s="25" t="n"/>
      <c r="U2275" s="194" t="n"/>
      <c r="AA2275" s="25" t="n"/>
      <c r="AB2275" s="25" t="n"/>
      <c r="AC2275" s="195" t="n"/>
      <c r="AD2275" s="25" t="n"/>
      <c r="AE2275" s="25" t="n"/>
      <c r="AG2275" s="25" t="n"/>
      <c r="AH2275" s="25" t="n"/>
      <c r="AI2275" s="394" t="n"/>
      <c r="AM2275" s="48" t="n"/>
      <c r="AN2275" s="48" t="n"/>
      <c r="AO2275" s="48" t="n"/>
    </row>
    <row r="2276">
      <c r="M2276" s="25" t="n"/>
      <c r="Q2276" s="25" t="n"/>
      <c r="U2276" s="194" t="n"/>
      <c r="AA2276" s="25" t="n"/>
      <c r="AB2276" s="25" t="n"/>
      <c r="AC2276" s="195" t="n"/>
      <c r="AD2276" s="25" t="n"/>
      <c r="AE2276" s="25" t="n"/>
      <c r="AG2276" s="25" t="n"/>
      <c r="AH2276" s="25" t="n"/>
      <c r="AI2276" s="394" t="n"/>
      <c r="AM2276" s="48" t="n"/>
      <c r="AN2276" s="48" t="n"/>
      <c r="AO2276" s="48" t="n"/>
    </row>
    <row r="2277">
      <c r="M2277" s="25" t="n"/>
      <c r="Q2277" s="25" t="n"/>
      <c r="U2277" s="194" t="n"/>
      <c r="AA2277" s="25" t="n"/>
      <c r="AB2277" s="25" t="n"/>
      <c r="AC2277" s="195" t="n"/>
      <c r="AD2277" s="25" t="n"/>
      <c r="AE2277" s="25" t="n"/>
      <c r="AG2277" s="25" t="n"/>
      <c r="AH2277" s="25" t="n"/>
      <c r="AI2277" s="394" t="n"/>
      <c r="AM2277" s="48" t="n"/>
      <c r="AN2277" s="48" t="n"/>
      <c r="AO2277" s="48" t="n"/>
    </row>
    <row r="2278">
      <c r="M2278" s="25" t="n"/>
      <c r="Q2278" s="25" t="n"/>
      <c r="U2278" s="194" t="n"/>
      <c r="AA2278" s="25" t="n"/>
      <c r="AB2278" s="25" t="n"/>
      <c r="AC2278" s="195" t="n"/>
      <c r="AD2278" s="25" t="n"/>
      <c r="AE2278" s="25" t="n"/>
      <c r="AG2278" s="25" t="n"/>
      <c r="AH2278" s="25" t="n"/>
      <c r="AI2278" s="394" t="n"/>
      <c r="AM2278" s="48" t="n"/>
      <c r="AN2278" s="48" t="n"/>
      <c r="AO2278" s="48" t="n"/>
    </row>
    <row r="2279">
      <c r="M2279" s="25" t="n"/>
      <c r="Q2279" s="25" t="n"/>
      <c r="U2279" s="194" t="n"/>
      <c r="AA2279" s="25" t="n"/>
      <c r="AB2279" s="25" t="n"/>
      <c r="AC2279" s="195" t="n"/>
      <c r="AD2279" s="25" t="n"/>
      <c r="AE2279" s="25" t="n"/>
      <c r="AG2279" s="25" t="n"/>
      <c r="AH2279" s="25" t="n"/>
      <c r="AI2279" s="394" t="n"/>
      <c r="AM2279" s="48" t="n"/>
      <c r="AN2279" s="48" t="n"/>
      <c r="AO2279" s="48" t="n"/>
    </row>
    <row r="2280">
      <c r="M2280" s="25" t="n"/>
      <c r="Q2280" s="25" t="n"/>
      <c r="U2280" s="194" t="n"/>
      <c r="AA2280" s="25" t="n"/>
      <c r="AB2280" s="25" t="n"/>
      <c r="AC2280" s="195" t="n"/>
      <c r="AD2280" s="25" t="n"/>
      <c r="AE2280" s="25" t="n"/>
      <c r="AG2280" s="25" t="n"/>
      <c r="AH2280" s="25" t="n"/>
      <c r="AI2280" s="394" t="n"/>
      <c r="AM2280" s="48" t="n"/>
      <c r="AN2280" s="48" t="n"/>
      <c r="AO2280" s="48" t="n"/>
    </row>
    <row r="2281">
      <c r="M2281" s="25" t="n"/>
      <c r="Q2281" s="25" t="n"/>
      <c r="U2281" s="194" t="n"/>
      <c r="AA2281" s="25" t="n"/>
      <c r="AB2281" s="25" t="n"/>
      <c r="AC2281" s="195" t="n"/>
      <c r="AD2281" s="25" t="n"/>
      <c r="AE2281" s="25" t="n"/>
      <c r="AG2281" s="25" t="n"/>
      <c r="AH2281" s="25" t="n"/>
      <c r="AI2281" s="394" t="n"/>
      <c r="AM2281" s="48" t="n"/>
      <c r="AN2281" s="48" t="n"/>
      <c r="AO2281" s="48" t="n"/>
    </row>
    <row r="2282">
      <c r="M2282" s="25" t="n"/>
      <c r="Q2282" s="25" t="n"/>
      <c r="U2282" s="194" t="n"/>
      <c r="AA2282" s="25" t="n"/>
      <c r="AB2282" s="25" t="n"/>
      <c r="AC2282" s="195" t="n"/>
      <c r="AD2282" s="25" t="n"/>
      <c r="AE2282" s="25" t="n"/>
      <c r="AG2282" s="25" t="n"/>
      <c r="AH2282" s="25" t="n"/>
      <c r="AI2282" s="394" t="n"/>
      <c r="AM2282" s="48" t="n"/>
      <c r="AN2282" s="48" t="n"/>
      <c r="AO2282" s="48" t="n"/>
    </row>
    <row r="2283">
      <c r="M2283" s="25" t="n"/>
      <c r="Q2283" s="25" t="n"/>
      <c r="U2283" s="194" t="n"/>
      <c r="AA2283" s="25" t="n"/>
      <c r="AB2283" s="25" t="n"/>
      <c r="AC2283" s="195" t="n"/>
      <c r="AD2283" s="25" t="n"/>
      <c r="AE2283" s="25" t="n"/>
      <c r="AG2283" s="25" t="n"/>
      <c r="AH2283" s="25" t="n"/>
      <c r="AI2283" s="394" t="n"/>
      <c r="AM2283" s="48" t="n"/>
      <c r="AN2283" s="48" t="n"/>
      <c r="AO2283" s="48" t="n"/>
    </row>
    <row r="2284">
      <c r="M2284" s="25" t="n"/>
      <c r="Q2284" s="25" t="n"/>
      <c r="U2284" s="194" t="n"/>
      <c r="AA2284" s="25" t="n"/>
      <c r="AB2284" s="25" t="n"/>
      <c r="AC2284" s="195" t="n"/>
      <c r="AD2284" s="25" t="n"/>
      <c r="AE2284" s="25" t="n"/>
      <c r="AG2284" s="25" t="n"/>
      <c r="AH2284" s="25" t="n"/>
      <c r="AI2284" s="394" t="n"/>
      <c r="AM2284" s="48" t="n"/>
      <c r="AN2284" s="48" t="n"/>
      <c r="AO2284" s="48" t="n"/>
    </row>
    <row r="2285">
      <c r="M2285" s="25" t="n"/>
      <c r="Q2285" s="25" t="n"/>
      <c r="U2285" s="194" t="n"/>
      <c r="AA2285" s="25" t="n"/>
      <c r="AB2285" s="25" t="n"/>
      <c r="AC2285" s="195" t="n"/>
      <c r="AD2285" s="25" t="n"/>
      <c r="AE2285" s="25" t="n"/>
      <c r="AG2285" s="25" t="n"/>
      <c r="AH2285" s="25" t="n"/>
      <c r="AI2285" s="394" t="n"/>
      <c r="AM2285" s="48" t="n"/>
      <c r="AN2285" s="48" t="n"/>
      <c r="AO2285" s="48" t="n"/>
    </row>
    <row r="2286">
      <c r="M2286" s="25" t="n"/>
      <c r="Q2286" s="25" t="n"/>
      <c r="U2286" s="194" t="n"/>
      <c r="AA2286" s="25" t="n"/>
      <c r="AB2286" s="25" t="n"/>
      <c r="AC2286" s="195" t="n"/>
      <c r="AD2286" s="25" t="n"/>
      <c r="AE2286" s="25" t="n"/>
      <c r="AG2286" s="25" t="n"/>
      <c r="AH2286" s="25" t="n"/>
      <c r="AI2286" s="394" t="n"/>
      <c r="AM2286" s="48" t="n"/>
      <c r="AN2286" s="48" t="n"/>
      <c r="AO2286" s="48" t="n"/>
    </row>
    <row r="2287">
      <c r="M2287" s="25" t="n"/>
      <c r="Q2287" s="25" t="n"/>
      <c r="U2287" s="194" t="n"/>
      <c r="AA2287" s="25" t="n"/>
      <c r="AB2287" s="25" t="n"/>
      <c r="AC2287" s="195" t="n"/>
      <c r="AD2287" s="25" t="n"/>
      <c r="AE2287" s="25" t="n"/>
      <c r="AG2287" s="25" t="n"/>
      <c r="AH2287" s="25" t="n"/>
      <c r="AI2287" s="394" t="n"/>
      <c r="AM2287" s="48" t="n"/>
      <c r="AN2287" s="48" t="n"/>
      <c r="AO2287" s="48" t="n"/>
    </row>
    <row r="2288">
      <c r="M2288" s="25" t="n"/>
      <c r="Q2288" s="25" t="n"/>
      <c r="U2288" s="194" t="n"/>
      <c r="AA2288" s="25" t="n"/>
      <c r="AB2288" s="25" t="n"/>
      <c r="AC2288" s="195" t="n"/>
      <c r="AD2288" s="25" t="n"/>
      <c r="AE2288" s="25" t="n"/>
      <c r="AG2288" s="25" t="n"/>
      <c r="AH2288" s="25" t="n"/>
      <c r="AI2288" s="394" t="n"/>
      <c r="AM2288" s="48" t="n"/>
      <c r="AN2288" s="48" t="n"/>
      <c r="AO2288" s="48" t="n"/>
    </row>
    <row r="2289">
      <c r="M2289" s="25" t="n"/>
      <c r="Q2289" s="25" t="n"/>
      <c r="U2289" s="194" t="n"/>
      <c r="AA2289" s="25" t="n"/>
      <c r="AB2289" s="25" t="n"/>
      <c r="AC2289" s="195" t="n"/>
      <c r="AD2289" s="25" t="n"/>
      <c r="AE2289" s="25" t="n"/>
      <c r="AG2289" s="25" t="n"/>
      <c r="AH2289" s="25" t="n"/>
      <c r="AI2289" s="394" t="n"/>
      <c r="AM2289" s="48" t="n"/>
      <c r="AN2289" s="48" t="n"/>
      <c r="AO2289" s="48" t="n"/>
    </row>
    <row r="2290">
      <c r="M2290" s="25" t="n"/>
      <c r="Q2290" s="25" t="n"/>
      <c r="U2290" s="194" t="n"/>
      <c r="AA2290" s="25" t="n"/>
      <c r="AB2290" s="25" t="n"/>
      <c r="AC2290" s="195" t="n"/>
      <c r="AD2290" s="25" t="n"/>
      <c r="AE2290" s="25" t="n"/>
      <c r="AG2290" s="25" t="n"/>
      <c r="AH2290" s="25" t="n"/>
      <c r="AI2290" s="394" t="n"/>
      <c r="AM2290" s="48" t="n"/>
      <c r="AN2290" s="48" t="n"/>
      <c r="AO2290" s="48" t="n"/>
    </row>
    <row r="2291">
      <c r="M2291" s="25" t="n"/>
      <c r="Q2291" s="25" t="n"/>
      <c r="U2291" s="194" t="n"/>
      <c r="AA2291" s="25" t="n"/>
      <c r="AB2291" s="25" t="n"/>
      <c r="AC2291" s="195" t="n"/>
      <c r="AD2291" s="25" t="n"/>
      <c r="AE2291" s="25" t="n"/>
      <c r="AG2291" s="25" t="n"/>
      <c r="AH2291" s="25" t="n"/>
      <c r="AI2291" s="394" t="n"/>
      <c r="AM2291" s="48" t="n"/>
      <c r="AN2291" s="48" t="n"/>
      <c r="AO2291" s="48" t="n"/>
    </row>
    <row r="2292">
      <c r="M2292" s="25" t="n"/>
      <c r="Q2292" s="25" t="n"/>
      <c r="U2292" s="194" t="n"/>
      <c r="AA2292" s="25" t="n"/>
      <c r="AB2292" s="25" t="n"/>
      <c r="AC2292" s="195" t="n"/>
      <c r="AD2292" s="25" t="n"/>
      <c r="AE2292" s="25" t="n"/>
      <c r="AG2292" s="25" t="n"/>
      <c r="AH2292" s="25" t="n"/>
      <c r="AI2292" s="394" t="n"/>
      <c r="AM2292" s="48" t="n"/>
      <c r="AN2292" s="48" t="n"/>
      <c r="AO2292" s="48" t="n"/>
    </row>
    <row r="2293">
      <c r="M2293" s="25" t="n"/>
      <c r="Q2293" s="25" t="n"/>
      <c r="U2293" s="194" t="n"/>
      <c r="AA2293" s="25" t="n"/>
      <c r="AB2293" s="25" t="n"/>
      <c r="AC2293" s="195" t="n"/>
      <c r="AD2293" s="25" t="n"/>
      <c r="AE2293" s="25" t="n"/>
      <c r="AG2293" s="25" t="n"/>
      <c r="AH2293" s="25" t="n"/>
      <c r="AI2293" s="394" t="n"/>
      <c r="AM2293" s="48" t="n"/>
      <c r="AN2293" s="48" t="n"/>
      <c r="AO2293" s="48" t="n"/>
    </row>
    <row r="2294">
      <c r="M2294" s="25" t="n"/>
      <c r="Q2294" s="25" t="n"/>
      <c r="U2294" s="194" t="n"/>
      <c r="AA2294" s="25" t="n"/>
      <c r="AB2294" s="25" t="n"/>
      <c r="AC2294" s="195" t="n"/>
      <c r="AD2294" s="25" t="n"/>
      <c r="AE2294" s="25" t="n"/>
      <c r="AG2294" s="25" t="n"/>
      <c r="AH2294" s="25" t="n"/>
      <c r="AI2294" s="394" t="n"/>
      <c r="AM2294" s="48" t="n"/>
      <c r="AN2294" s="48" t="n"/>
      <c r="AO2294" s="48" t="n"/>
    </row>
    <row r="2295">
      <c r="M2295" s="25" t="n"/>
      <c r="Q2295" s="25" t="n"/>
      <c r="U2295" s="194" t="n"/>
      <c r="AA2295" s="25" t="n"/>
      <c r="AB2295" s="25" t="n"/>
      <c r="AC2295" s="195" t="n"/>
      <c r="AD2295" s="25" t="n"/>
      <c r="AE2295" s="25" t="n"/>
      <c r="AG2295" s="25" t="n"/>
      <c r="AH2295" s="25" t="n"/>
      <c r="AI2295" s="394" t="n"/>
      <c r="AM2295" s="48" t="n"/>
      <c r="AN2295" s="48" t="n"/>
      <c r="AO2295" s="48" t="n"/>
    </row>
    <row r="2296">
      <c r="M2296" s="25" t="n"/>
      <c r="Q2296" s="25" t="n"/>
      <c r="U2296" s="194" t="n"/>
      <c r="AA2296" s="25" t="n"/>
      <c r="AB2296" s="25" t="n"/>
      <c r="AC2296" s="195" t="n"/>
      <c r="AD2296" s="25" t="n"/>
      <c r="AE2296" s="25" t="n"/>
      <c r="AG2296" s="25" t="n"/>
      <c r="AH2296" s="25" t="n"/>
      <c r="AI2296" s="394" t="n"/>
      <c r="AM2296" s="48" t="n"/>
      <c r="AN2296" s="48" t="n"/>
      <c r="AO2296" s="48" t="n"/>
    </row>
    <row r="2297">
      <c r="M2297" s="25" t="n"/>
      <c r="Q2297" s="25" t="n"/>
      <c r="U2297" s="194" t="n"/>
      <c r="AA2297" s="25" t="n"/>
      <c r="AB2297" s="25" t="n"/>
      <c r="AC2297" s="195" t="n"/>
      <c r="AD2297" s="25" t="n"/>
      <c r="AE2297" s="25" t="n"/>
      <c r="AG2297" s="25" t="n"/>
      <c r="AH2297" s="25" t="n"/>
      <c r="AI2297" s="394" t="n"/>
      <c r="AM2297" s="48" t="n"/>
      <c r="AN2297" s="48" t="n"/>
      <c r="AO2297" s="48" t="n"/>
    </row>
    <row r="2298">
      <c r="M2298" s="25" t="n"/>
      <c r="Q2298" s="25" t="n"/>
      <c r="U2298" s="194" t="n"/>
      <c r="AA2298" s="25" t="n"/>
      <c r="AB2298" s="25" t="n"/>
      <c r="AC2298" s="195" t="n"/>
      <c r="AD2298" s="25" t="n"/>
      <c r="AE2298" s="25" t="n"/>
      <c r="AG2298" s="25" t="n"/>
      <c r="AH2298" s="25" t="n"/>
      <c r="AI2298" s="394" t="n"/>
      <c r="AM2298" s="48" t="n"/>
      <c r="AN2298" s="48" t="n"/>
      <c r="AO2298" s="48" t="n"/>
    </row>
    <row r="2299">
      <c r="M2299" s="25" t="n"/>
      <c r="Q2299" s="25" t="n"/>
      <c r="U2299" s="194" t="n"/>
      <c r="AA2299" s="25" t="n"/>
      <c r="AB2299" s="25" t="n"/>
      <c r="AC2299" s="195" t="n"/>
      <c r="AD2299" s="25" t="n"/>
      <c r="AE2299" s="25" t="n"/>
      <c r="AG2299" s="25" t="n"/>
      <c r="AH2299" s="25" t="n"/>
      <c r="AI2299" s="394" t="n"/>
      <c r="AM2299" s="48" t="n"/>
      <c r="AN2299" s="48" t="n"/>
      <c r="AO2299" s="48" t="n"/>
    </row>
    <row r="2300">
      <c r="M2300" s="25" t="n"/>
      <c r="Q2300" s="25" t="n"/>
      <c r="U2300" s="194" t="n"/>
      <c r="AA2300" s="25" t="n"/>
      <c r="AB2300" s="25" t="n"/>
      <c r="AC2300" s="195" t="n"/>
      <c r="AD2300" s="25" t="n"/>
      <c r="AE2300" s="25" t="n"/>
      <c r="AG2300" s="25" t="n"/>
      <c r="AH2300" s="25" t="n"/>
      <c r="AI2300" s="394" t="n"/>
      <c r="AM2300" s="48" t="n"/>
      <c r="AN2300" s="48" t="n"/>
      <c r="AO2300" s="48" t="n"/>
    </row>
    <row r="2301">
      <c r="M2301" s="25" t="n"/>
      <c r="Q2301" s="25" t="n"/>
      <c r="U2301" s="194" t="n"/>
      <c r="AA2301" s="25" t="n"/>
      <c r="AB2301" s="25" t="n"/>
      <c r="AC2301" s="195" t="n"/>
      <c r="AD2301" s="25" t="n"/>
      <c r="AE2301" s="25" t="n"/>
      <c r="AG2301" s="25" t="n"/>
      <c r="AH2301" s="25" t="n"/>
      <c r="AI2301" s="394" t="n"/>
      <c r="AM2301" s="48" t="n"/>
      <c r="AN2301" s="48" t="n"/>
      <c r="AO2301" s="48" t="n"/>
    </row>
    <row r="2302">
      <c r="M2302" s="25" t="n"/>
      <c r="Q2302" s="25" t="n"/>
      <c r="U2302" s="194" t="n"/>
      <c r="AA2302" s="25" t="n"/>
      <c r="AB2302" s="25" t="n"/>
      <c r="AC2302" s="195" t="n"/>
      <c r="AD2302" s="25" t="n"/>
      <c r="AE2302" s="25" t="n"/>
      <c r="AG2302" s="25" t="n"/>
      <c r="AH2302" s="25" t="n"/>
      <c r="AI2302" s="394" t="n"/>
      <c r="AM2302" s="48" t="n"/>
      <c r="AN2302" s="48" t="n"/>
      <c r="AO2302" s="48" t="n"/>
    </row>
    <row r="2303">
      <c r="M2303" s="25" t="n"/>
      <c r="Q2303" s="25" t="n"/>
      <c r="U2303" s="194" t="n"/>
      <c r="AA2303" s="25" t="n"/>
      <c r="AB2303" s="25" t="n"/>
      <c r="AC2303" s="195" t="n"/>
      <c r="AD2303" s="25" t="n"/>
      <c r="AE2303" s="25" t="n"/>
      <c r="AG2303" s="25" t="n"/>
      <c r="AH2303" s="25" t="n"/>
      <c r="AI2303" s="394" t="n"/>
      <c r="AM2303" s="48" t="n"/>
      <c r="AN2303" s="48" t="n"/>
      <c r="AO2303" s="48" t="n"/>
    </row>
    <row r="2304">
      <c r="M2304" s="25" t="n"/>
      <c r="Q2304" s="25" t="n"/>
      <c r="U2304" s="194" t="n"/>
      <c r="AA2304" s="25" t="n"/>
      <c r="AB2304" s="25" t="n"/>
      <c r="AC2304" s="195" t="n"/>
      <c r="AD2304" s="25" t="n"/>
      <c r="AE2304" s="25" t="n"/>
      <c r="AG2304" s="25" t="n"/>
      <c r="AH2304" s="25" t="n"/>
      <c r="AI2304" s="394" t="n"/>
      <c r="AM2304" s="48" t="n"/>
      <c r="AN2304" s="48" t="n"/>
      <c r="AO2304" s="48" t="n"/>
    </row>
    <row r="2305">
      <c r="M2305" s="25" t="n"/>
      <c r="Q2305" s="25" t="n"/>
      <c r="U2305" s="194" t="n"/>
      <c r="AA2305" s="25" t="n"/>
      <c r="AB2305" s="25" t="n"/>
      <c r="AC2305" s="195" t="n"/>
      <c r="AD2305" s="25" t="n"/>
      <c r="AE2305" s="25" t="n"/>
      <c r="AG2305" s="25" t="n"/>
      <c r="AH2305" s="25" t="n"/>
      <c r="AI2305" s="394" t="n"/>
      <c r="AM2305" s="48" t="n"/>
      <c r="AN2305" s="48" t="n"/>
      <c r="AO2305" s="48" t="n"/>
    </row>
    <row r="2306">
      <c r="M2306" s="25" t="n"/>
      <c r="Q2306" s="25" t="n"/>
      <c r="U2306" s="194" t="n"/>
      <c r="AA2306" s="25" t="n"/>
      <c r="AB2306" s="25" t="n"/>
      <c r="AC2306" s="195" t="n"/>
      <c r="AD2306" s="25" t="n"/>
      <c r="AE2306" s="25" t="n"/>
      <c r="AG2306" s="25" t="n"/>
      <c r="AH2306" s="25" t="n"/>
      <c r="AI2306" s="394" t="n"/>
      <c r="AM2306" s="48" t="n"/>
      <c r="AN2306" s="48" t="n"/>
      <c r="AO2306" s="48" t="n"/>
    </row>
    <row r="2307">
      <c r="M2307" s="25" t="n"/>
      <c r="Q2307" s="25" t="n"/>
      <c r="U2307" s="194" t="n"/>
      <c r="AA2307" s="25" t="n"/>
      <c r="AB2307" s="25" t="n"/>
      <c r="AC2307" s="195" t="n"/>
      <c r="AD2307" s="25" t="n"/>
      <c r="AE2307" s="25" t="n"/>
      <c r="AG2307" s="25" t="n"/>
      <c r="AH2307" s="25" t="n"/>
      <c r="AI2307" s="394" t="n"/>
      <c r="AM2307" s="48" t="n"/>
      <c r="AN2307" s="48" t="n"/>
      <c r="AO2307" s="48" t="n"/>
    </row>
    <row r="2308">
      <c r="M2308" s="25" t="n"/>
      <c r="Q2308" s="25" t="n"/>
      <c r="U2308" s="194" t="n"/>
      <c r="AA2308" s="25" t="n"/>
      <c r="AB2308" s="25" t="n"/>
      <c r="AC2308" s="195" t="n"/>
      <c r="AD2308" s="25" t="n"/>
      <c r="AE2308" s="25" t="n"/>
      <c r="AG2308" s="25" t="n"/>
      <c r="AH2308" s="25" t="n"/>
      <c r="AI2308" s="394" t="n"/>
      <c r="AM2308" s="48" t="n"/>
      <c r="AN2308" s="48" t="n"/>
      <c r="AO2308" s="48" t="n"/>
    </row>
    <row r="2309">
      <c r="M2309" s="25" t="n"/>
      <c r="Q2309" s="25" t="n"/>
      <c r="U2309" s="194" t="n"/>
      <c r="AA2309" s="25" t="n"/>
      <c r="AB2309" s="25" t="n"/>
      <c r="AC2309" s="195" t="n"/>
      <c r="AD2309" s="25" t="n"/>
      <c r="AE2309" s="25" t="n"/>
      <c r="AG2309" s="25" t="n"/>
      <c r="AH2309" s="25" t="n"/>
      <c r="AI2309" s="394" t="n"/>
      <c r="AM2309" s="48" t="n"/>
      <c r="AN2309" s="48" t="n"/>
      <c r="AO2309" s="48" t="n"/>
    </row>
    <row r="2310">
      <c r="M2310" s="25" t="n"/>
      <c r="Q2310" s="25" t="n"/>
      <c r="U2310" s="194" t="n"/>
      <c r="AA2310" s="25" t="n"/>
      <c r="AB2310" s="25" t="n"/>
      <c r="AC2310" s="195" t="n"/>
      <c r="AD2310" s="25" t="n"/>
      <c r="AE2310" s="25" t="n"/>
      <c r="AG2310" s="25" t="n"/>
      <c r="AH2310" s="25" t="n"/>
      <c r="AI2310" s="394" t="n"/>
      <c r="AM2310" s="48" t="n"/>
      <c r="AN2310" s="48" t="n"/>
      <c r="AO2310" s="48" t="n"/>
    </row>
    <row r="2311">
      <c r="M2311" s="25" t="n"/>
      <c r="Q2311" s="25" t="n"/>
      <c r="U2311" s="194" t="n"/>
      <c r="AA2311" s="25" t="n"/>
      <c r="AB2311" s="25" t="n"/>
      <c r="AC2311" s="195" t="n"/>
      <c r="AD2311" s="25" t="n"/>
      <c r="AE2311" s="25" t="n"/>
      <c r="AG2311" s="25" t="n"/>
      <c r="AH2311" s="25" t="n"/>
      <c r="AI2311" s="394" t="n"/>
      <c r="AM2311" s="48" t="n"/>
      <c r="AN2311" s="48" t="n"/>
      <c r="AO2311" s="48" t="n"/>
    </row>
    <row r="2312">
      <c r="M2312" s="25" t="n"/>
      <c r="Q2312" s="25" t="n"/>
      <c r="U2312" s="194" t="n"/>
      <c r="AA2312" s="25" t="n"/>
      <c r="AB2312" s="25" t="n"/>
      <c r="AC2312" s="195" t="n"/>
      <c r="AD2312" s="25" t="n"/>
      <c r="AE2312" s="25" t="n"/>
      <c r="AG2312" s="25" t="n"/>
      <c r="AH2312" s="25" t="n"/>
      <c r="AI2312" s="394" t="n"/>
      <c r="AM2312" s="48" t="n"/>
      <c r="AN2312" s="48" t="n"/>
      <c r="AO2312" s="48" t="n"/>
    </row>
    <row r="2313">
      <c r="M2313" s="25" t="n"/>
      <c r="Q2313" s="25" t="n"/>
      <c r="U2313" s="194" t="n"/>
      <c r="AA2313" s="25" t="n"/>
      <c r="AB2313" s="25" t="n"/>
      <c r="AC2313" s="195" t="n"/>
      <c r="AD2313" s="25" t="n"/>
      <c r="AE2313" s="25" t="n"/>
      <c r="AG2313" s="25" t="n"/>
      <c r="AH2313" s="25" t="n"/>
      <c r="AI2313" s="394" t="n"/>
      <c r="AM2313" s="48" t="n"/>
      <c r="AN2313" s="48" t="n"/>
      <c r="AO2313" s="48" t="n"/>
    </row>
    <row r="2314">
      <c r="M2314" s="25" t="n"/>
      <c r="Q2314" s="25" t="n"/>
      <c r="U2314" s="194" t="n"/>
      <c r="AA2314" s="25" t="n"/>
      <c r="AB2314" s="25" t="n"/>
      <c r="AC2314" s="195" t="n"/>
      <c r="AD2314" s="25" t="n"/>
      <c r="AE2314" s="25" t="n"/>
      <c r="AG2314" s="25" t="n"/>
      <c r="AH2314" s="25" t="n"/>
      <c r="AI2314" s="394" t="n"/>
      <c r="AM2314" s="48" t="n"/>
      <c r="AN2314" s="48" t="n"/>
      <c r="AO2314" s="48" t="n"/>
    </row>
    <row r="2315">
      <c r="M2315" s="25" t="n"/>
      <c r="Q2315" s="25" t="n"/>
      <c r="U2315" s="194" t="n"/>
      <c r="AA2315" s="25" t="n"/>
      <c r="AB2315" s="25" t="n"/>
      <c r="AC2315" s="195" t="n"/>
      <c r="AD2315" s="25" t="n"/>
      <c r="AE2315" s="25" t="n"/>
      <c r="AG2315" s="25" t="n"/>
      <c r="AH2315" s="25" t="n"/>
      <c r="AI2315" s="394" t="n"/>
      <c r="AM2315" s="48" t="n"/>
      <c r="AN2315" s="48" t="n"/>
      <c r="AO2315" s="48" t="n"/>
    </row>
    <row r="2316">
      <c r="M2316" s="25" t="n"/>
      <c r="Q2316" s="25" t="n"/>
      <c r="U2316" s="194" t="n"/>
      <c r="AA2316" s="25" t="n"/>
      <c r="AB2316" s="25" t="n"/>
      <c r="AC2316" s="195" t="n"/>
      <c r="AD2316" s="25" t="n"/>
      <c r="AE2316" s="25" t="n"/>
      <c r="AG2316" s="25" t="n"/>
      <c r="AH2316" s="25" t="n"/>
      <c r="AI2316" s="394" t="n"/>
      <c r="AM2316" s="48" t="n"/>
      <c r="AN2316" s="48" t="n"/>
      <c r="AO2316" s="48" t="n"/>
    </row>
    <row r="2317">
      <c r="M2317" s="25" t="n"/>
      <c r="Q2317" s="25" t="n"/>
      <c r="U2317" s="194" t="n"/>
      <c r="AA2317" s="25" t="n"/>
      <c r="AB2317" s="25" t="n"/>
      <c r="AC2317" s="195" t="n"/>
      <c r="AD2317" s="25" t="n"/>
      <c r="AE2317" s="25" t="n"/>
      <c r="AG2317" s="25" t="n"/>
      <c r="AH2317" s="25" t="n"/>
      <c r="AI2317" s="394" t="n"/>
      <c r="AM2317" s="48" t="n"/>
      <c r="AN2317" s="48" t="n"/>
      <c r="AO2317" s="48" t="n"/>
    </row>
    <row r="2318">
      <c r="M2318" s="25" t="n"/>
      <c r="Q2318" s="25" t="n"/>
      <c r="U2318" s="194" t="n"/>
      <c r="AA2318" s="25" t="n"/>
      <c r="AB2318" s="25" t="n"/>
      <c r="AC2318" s="195" t="n"/>
      <c r="AD2318" s="25" t="n"/>
      <c r="AE2318" s="25" t="n"/>
      <c r="AG2318" s="25" t="n"/>
      <c r="AH2318" s="25" t="n"/>
      <c r="AI2318" s="394" t="n"/>
      <c r="AM2318" s="48" t="n"/>
      <c r="AN2318" s="48" t="n"/>
      <c r="AO2318" s="48" t="n"/>
    </row>
    <row r="2319">
      <c r="M2319" s="25" t="n"/>
      <c r="Q2319" s="25" t="n"/>
      <c r="U2319" s="194" t="n"/>
      <c r="AA2319" s="25" t="n"/>
      <c r="AB2319" s="25" t="n"/>
      <c r="AC2319" s="195" t="n"/>
      <c r="AD2319" s="25" t="n"/>
      <c r="AE2319" s="25" t="n"/>
      <c r="AG2319" s="25" t="n"/>
      <c r="AH2319" s="25" t="n"/>
      <c r="AI2319" s="394" t="n"/>
      <c r="AM2319" s="48" t="n"/>
      <c r="AN2319" s="48" t="n"/>
      <c r="AO2319" s="48" t="n"/>
    </row>
    <row r="2320">
      <c r="M2320" s="25" t="n"/>
      <c r="Q2320" s="25" t="n"/>
      <c r="U2320" s="194" t="n"/>
      <c r="AA2320" s="25" t="n"/>
      <c r="AB2320" s="25" t="n"/>
      <c r="AC2320" s="195" t="n"/>
      <c r="AD2320" s="25" t="n"/>
      <c r="AE2320" s="25" t="n"/>
      <c r="AG2320" s="25" t="n"/>
      <c r="AH2320" s="25" t="n"/>
      <c r="AI2320" s="394" t="n"/>
      <c r="AM2320" s="48" t="n"/>
      <c r="AN2320" s="48" t="n"/>
      <c r="AO2320" s="48" t="n"/>
    </row>
    <row r="2321">
      <c r="M2321" s="25" t="n"/>
      <c r="Q2321" s="25" t="n"/>
      <c r="U2321" s="194" t="n"/>
      <c r="AA2321" s="25" t="n"/>
      <c r="AB2321" s="25" t="n"/>
      <c r="AC2321" s="195" t="n"/>
      <c r="AD2321" s="25" t="n"/>
      <c r="AE2321" s="25" t="n"/>
      <c r="AG2321" s="25" t="n"/>
      <c r="AH2321" s="25" t="n"/>
      <c r="AI2321" s="394" t="n"/>
      <c r="AM2321" s="48" t="n"/>
      <c r="AN2321" s="48" t="n"/>
      <c r="AO2321" s="48" t="n"/>
    </row>
    <row r="2322">
      <c r="M2322" s="25" t="n"/>
      <c r="Q2322" s="25" t="n"/>
      <c r="U2322" s="194" t="n"/>
      <c r="AA2322" s="25" t="n"/>
      <c r="AB2322" s="25" t="n"/>
      <c r="AC2322" s="195" t="n"/>
      <c r="AD2322" s="25" t="n"/>
      <c r="AE2322" s="25" t="n"/>
      <c r="AG2322" s="25" t="n"/>
      <c r="AH2322" s="25" t="n"/>
      <c r="AI2322" s="394" t="n"/>
      <c r="AM2322" s="48" t="n"/>
      <c r="AN2322" s="48" t="n"/>
      <c r="AO2322" s="48" t="n"/>
    </row>
    <row r="2323">
      <c r="M2323" s="25" t="n"/>
      <c r="Q2323" s="25" t="n"/>
      <c r="U2323" s="194" t="n"/>
      <c r="AA2323" s="25" t="n"/>
      <c r="AB2323" s="25" t="n"/>
      <c r="AC2323" s="195" t="n"/>
      <c r="AD2323" s="25" t="n"/>
      <c r="AE2323" s="25" t="n"/>
      <c r="AG2323" s="25" t="n"/>
      <c r="AH2323" s="25" t="n"/>
      <c r="AI2323" s="394" t="n"/>
      <c r="AM2323" s="48" t="n"/>
      <c r="AN2323" s="48" t="n"/>
      <c r="AO2323" s="48" t="n"/>
    </row>
    <row r="2324">
      <c r="M2324" s="25" t="n"/>
      <c r="Q2324" s="25" t="n"/>
      <c r="U2324" s="194" t="n"/>
      <c r="AA2324" s="25" t="n"/>
      <c r="AB2324" s="25" t="n"/>
      <c r="AC2324" s="195" t="n"/>
      <c r="AD2324" s="25" t="n"/>
      <c r="AE2324" s="25" t="n"/>
      <c r="AG2324" s="25" t="n"/>
      <c r="AH2324" s="25" t="n"/>
      <c r="AI2324" s="394" t="n"/>
      <c r="AM2324" s="48" t="n"/>
      <c r="AN2324" s="48" t="n"/>
      <c r="AO2324" s="48" t="n"/>
    </row>
    <row r="2325">
      <c r="M2325" s="25" t="n"/>
      <c r="Q2325" s="25" t="n"/>
      <c r="U2325" s="194" t="n"/>
      <c r="AA2325" s="25" t="n"/>
      <c r="AB2325" s="25" t="n"/>
      <c r="AC2325" s="195" t="n"/>
      <c r="AD2325" s="25" t="n"/>
      <c r="AE2325" s="25" t="n"/>
      <c r="AG2325" s="25" t="n"/>
      <c r="AH2325" s="25" t="n"/>
      <c r="AI2325" s="394" t="n"/>
      <c r="AM2325" s="48" t="n"/>
      <c r="AN2325" s="48" t="n"/>
      <c r="AO2325" s="48" t="n"/>
    </row>
    <row r="2326">
      <c r="M2326" s="25" t="n"/>
      <c r="Q2326" s="25" t="n"/>
      <c r="U2326" s="194" t="n"/>
      <c r="AA2326" s="25" t="n"/>
      <c r="AB2326" s="25" t="n"/>
      <c r="AC2326" s="195" t="n"/>
      <c r="AD2326" s="25" t="n"/>
      <c r="AE2326" s="25" t="n"/>
      <c r="AG2326" s="25" t="n"/>
      <c r="AH2326" s="25" t="n"/>
      <c r="AI2326" s="394" t="n"/>
      <c r="AM2326" s="48" t="n"/>
      <c r="AN2326" s="48" t="n"/>
      <c r="AO2326" s="48" t="n"/>
    </row>
    <row r="2327">
      <c r="M2327" s="25" t="n"/>
      <c r="Q2327" s="25" t="n"/>
      <c r="U2327" s="194" t="n"/>
      <c r="AA2327" s="25" t="n"/>
      <c r="AB2327" s="25" t="n"/>
      <c r="AC2327" s="195" t="n"/>
      <c r="AD2327" s="25" t="n"/>
      <c r="AE2327" s="25" t="n"/>
      <c r="AG2327" s="25" t="n"/>
      <c r="AH2327" s="25" t="n"/>
      <c r="AI2327" s="394" t="n"/>
      <c r="AM2327" s="48" t="n"/>
      <c r="AN2327" s="48" t="n"/>
      <c r="AO2327" s="48" t="n"/>
    </row>
    <row r="2328">
      <c r="M2328" s="25" t="n"/>
      <c r="Q2328" s="25" t="n"/>
      <c r="U2328" s="194" t="n"/>
      <c r="AA2328" s="25" t="n"/>
      <c r="AB2328" s="25" t="n"/>
      <c r="AC2328" s="195" t="n"/>
      <c r="AD2328" s="25" t="n"/>
      <c r="AE2328" s="25" t="n"/>
      <c r="AG2328" s="25" t="n"/>
      <c r="AH2328" s="25" t="n"/>
      <c r="AI2328" s="394" t="n"/>
      <c r="AM2328" s="48" t="n"/>
      <c r="AN2328" s="48" t="n"/>
      <c r="AO2328" s="48" t="n"/>
    </row>
    <row r="2329">
      <c r="M2329" s="25" t="n"/>
      <c r="Q2329" s="25" t="n"/>
      <c r="U2329" s="194" t="n"/>
      <c r="AA2329" s="25" t="n"/>
      <c r="AB2329" s="25" t="n"/>
      <c r="AC2329" s="195" t="n"/>
      <c r="AD2329" s="25" t="n"/>
      <c r="AE2329" s="25" t="n"/>
      <c r="AG2329" s="25" t="n"/>
      <c r="AH2329" s="25" t="n"/>
      <c r="AI2329" s="394" t="n"/>
      <c r="AM2329" s="48" t="n"/>
      <c r="AN2329" s="48" t="n"/>
      <c r="AO2329" s="48" t="n"/>
    </row>
    <row r="2330">
      <c r="M2330" s="25" t="n"/>
      <c r="Q2330" s="25" t="n"/>
      <c r="U2330" s="194" t="n"/>
      <c r="AA2330" s="25" t="n"/>
      <c r="AB2330" s="25" t="n"/>
      <c r="AC2330" s="195" t="n"/>
      <c r="AD2330" s="25" t="n"/>
      <c r="AE2330" s="25" t="n"/>
      <c r="AG2330" s="25" t="n"/>
      <c r="AH2330" s="25" t="n"/>
      <c r="AI2330" s="394" t="n"/>
      <c r="AM2330" s="48" t="n"/>
      <c r="AN2330" s="48" t="n"/>
      <c r="AO2330" s="48" t="n"/>
    </row>
    <row r="2331">
      <c r="M2331" s="25" t="n"/>
      <c r="Q2331" s="25" t="n"/>
      <c r="U2331" s="194" t="n"/>
      <c r="AA2331" s="25" t="n"/>
      <c r="AB2331" s="25" t="n"/>
      <c r="AC2331" s="195" t="n"/>
      <c r="AD2331" s="25" t="n"/>
      <c r="AE2331" s="25" t="n"/>
      <c r="AG2331" s="25" t="n"/>
      <c r="AH2331" s="25" t="n"/>
      <c r="AI2331" s="394" t="n"/>
      <c r="AM2331" s="48" t="n"/>
      <c r="AN2331" s="48" t="n"/>
      <c r="AO2331" s="48" t="n"/>
    </row>
    <row r="2332">
      <c r="M2332" s="25" t="n"/>
      <c r="Q2332" s="25" t="n"/>
      <c r="U2332" s="194" t="n"/>
      <c r="AA2332" s="25" t="n"/>
      <c r="AB2332" s="25" t="n"/>
      <c r="AC2332" s="195" t="n"/>
      <c r="AD2332" s="25" t="n"/>
      <c r="AE2332" s="25" t="n"/>
      <c r="AG2332" s="25" t="n"/>
      <c r="AH2332" s="25" t="n"/>
      <c r="AI2332" s="394" t="n"/>
      <c r="AM2332" s="48" t="n"/>
      <c r="AN2332" s="48" t="n"/>
      <c r="AO2332" s="48" t="n"/>
    </row>
    <row r="2333">
      <c r="M2333" s="25" t="n"/>
      <c r="Q2333" s="25" t="n"/>
      <c r="U2333" s="194" t="n"/>
      <c r="AA2333" s="25" t="n"/>
      <c r="AB2333" s="25" t="n"/>
      <c r="AC2333" s="195" t="n"/>
      <c r="AD2333" s="25" t="n"/>
      <c r="AE2333" s="25" t="n"/>
      <c r="AG2333" s="25" t="n"/>
      <c r="AH2333" s="25" t="n"/>
      <c r="AI2333" s="394" t="n"/>
      <c r="AM2333" s="48" t="n"/>
      <c r="AN2333" s="48" t="n"/>
      <c r="AO2333" s="48" t="n"/>
    </row>
    <row r="2334">
      <c r="M2334" s="25" t="n"/>
      <c r="Q2334" s="25" t="n"/>
      <c r="U2334" s="194" t="n"/>
      <c r="AA2334" s="25" t="n"/>
      <c r="AB2334" s="25" t="n"/>
      <c r="AC2334" s="195" t="n"/>
      <c r="AD2334" s="25" t="n"/>
      <c r="AE2334" s="25" t="n"/>
      <c r="AG2334" s="25" t="n"/>
      <c r="AH2334" s="25" t="n"/>
      <c r="AI2334" s="394" t="n"/>
      <c r="AM2334" s="48" t="n"/>
      <c r="AN2334" s="48" t="n"/>
      <c r="AO2334" s="48" t="n"/>
    </row>
    <row r="2335">
      <c r="M2335" s="25" t="n"/>
      <c r="Q2335" s="25" t="n"/>
      <c r="U2335" s="194" t="n"/>
      <c r="AA2335" s="25" t="n"/>
      <c r="AB2335" s="25" t="n"/>
      <c r="AC2335" s="195" t="n"/>
      <c r="AD2335" s="25" t="n"/>
      <c r="AE2335" s="25" t="n"/>
      <c r="AG2335" s="25" t="n"/>
      <c r="AH2335" s="25" t="n"/>
      <c r="AI2335" s="394" t="n"/>
      <c r="AM2335" s="48" t="n"/>
      <c r="AN2335" s="48" t="n"/>
      <c r="AO2335" s="48" t="n"/>
    </row>
    <row r="2336">
      <c r="M2336" s="25" t="n"/>
      <c r="Q2336" s="25" t="n"/>
      <c r="U2336" s="194" t="n"/>
      <c r="AA2336" s="25" t="n"/>
      <c r="AB2336" s="25" t="n"/>
      <c r="AC2336" s="195" t="n"/>
      <c r="AD2336" s="25" t="n"/>
      <c r="AE2336" s="25" t="n"/>
      <c r="AG2336" s="25" t="n"/>
      <c r="AH2336" s="25" t="n"/>
      <c r="AI2336" s="394" t="n"/>
      <c r="AM2336" s="48" t="n"/>
      <c r="AN2336" s="48" t="n"/>
      <c r="AO2336" s="48" t="n"/>
    </row>
    <row r="2337">
      <c r="M2337" s="25" t="n"/>
      <c r="Q2337" s="25" t="n"/>
      <c r="U2337" s="194" t="n"/>
      <c r="AA2337" s="25" t="n"/>
      <c r="AB2337" s="25" t="n"/>
      <c r="AC2337" s="195" t="n"/>
      <c r="AD2337" s="25" t="n"/>
      <c r="AE2337" s="25" t="n"/>
      <c r="AG2337" s="25" t="n"/>
      <c r="AH2337" s="25" t="n"/>
      <c r="AI2337" s="394" t="n"/>
      <c r="AM2337" s="48" t="n"/>
      <c r="AN2337" s="48" t="n"/>
      <c r="AO2337" s="48" t="n"/>
    </row>
    <row r="2338">
      <c r="M2338" s="25" t="n"/>
      <c r="Q2338" s="25" t="n"/>
      <c r="U2338" s="194" t="n"/>
      <c r="AA2338" s="25" t="n"/>
      <c r="AB2338" s="25" t="n"/>
      <c r="AC2338" s="195" t="n"/>
      <c r="AD2338" s="25" t="n"/>
      <c r="AE2338" s="25" t="n"/>
      <c r="AG2338" s="25" t="n"/>
      <c r="AH2338" s="25" t="n"/>
      <c r="AI2338" s="394" t="n"/>
      <c r="AM2338" s="48" t="n"/>
      <c r="AN2338" s="48" t="n"/>
      <c r="AO2338" s="48" t="n"/>
    </row>
    <row r="2339">
      <c r="M2339" s="25" t="n"/>
      <c r="Q2339" s="25" t="n"/>
      <c r="U2339" s="194" t="n"/>
      <c r="AA2339" s="25" t="n"/>
      <c r="AB2339" s="25" t="n"/>
      <c r="AC2339" s="195" t="n"/>
      <c r="AD2339" s="25" t="n"/>
      <c r="AE2339" s="25" t="n"/>
      <c r="AG2339" s="25" t="n"/>
      <c r="AH2339" s="25" t="n"/>
      <c r="AI2339" s="394" t="n"/>
      <c r="AM2339" s="48" t="n"/>
      <c r="AN2339" s="48" t="n"/>
      <c r="AO2339" s="48" t="n"/>
    </row>
    <row r="2340">
      <c r="M2340" s="25" t="n"/>
      <c r="Q2340" s="25" t="n"/>
      <c r="U2340" s="194" t="n"/>
      <c r="AA2340" s="25" t="n"/>
      <c r="AB2340" s="25" t="n"/>
      <c r="AC2340" s="195" t="n"/>
      <c r="AD2340" s="25" t="n"/>
      <c r="AE2340" s="25" t="n"/>
      <c r="AG2340" s="25" t="n"/>
      <c r="AH2340" s="25" t="n"/>
      <c r="AI2340" s="394" t="n"/>
      <c r="AM2340" s="48" t="n"/>
      <c r="AN2340" s="48" t="n"/>
      <c r="AO2340" s="48" t="n"/>
    </row>
    <row r="2341">
      <c r="M2341" s="25" t="n"/>
      <c r="Q2341" s="25" t="n"/>
      <c r="U2341" s="194" t="n"/>
      <c r="AA2341" s="25" t="n"/>
      <c r="AB2341" s="25" t="n"/>
      <c r="AC2341" s="195" t="n"/>
      <c r="AD2341" s="25" t="n"/>
      <c r="AE2341" s="25" t="n"/>
      <c r="AG2341" s="25" t="n"/>
      <c r="AH2341" s="25" t="n"/>
      <c r="AI2341" s="394" t="n"/>
      <c r="AM2341" s="48" t="n"/>
      <c r="AN2341" s="48" t="n"/>
      <c r="AO2341" s="48" t="n"/>
    </row>
    <row r="2342">
      <c r="M2342" s="25" t="n"/>
      <c r="Q2342" s="25" t="n"/>
      <c r="U2342" s="194" t="n"/>
      <c r="AA2342" s="25" t="n"/>
      <c r="AB2342" s="25" t="n"/>
      <c r="AC2342" s="195" t="n"/>
      <c r="AD2342" s="25" t="n"/>
      <c r="AE2342" s="25" t="n"/>
      <c r="AG2342" s="25" t="n"/>
      <c r="AH2342" s="25" t="n"/>
      <c r="AI2342" s="394" t="n"/>
      <c r="AM2342" s="48" t="n"/>
      <c r="AN2342" s="48" t="n"/>
      <c r="AO2342" s="48" t="n"/>
    </row>
    <row r="2343">
      <c r="M2343" s="25" t="n"/>
      <c r="Q2343" s="25" t="n"/>
      <c r="U2343" s="194" t="n"/>
      <c r="AA2343" s="25" t="n"/>
      <c r="AB2343" s="25" t="n"/>
      <c r="AC2343" s="195" t="n"/>
      <c r="AD2343" s="25" t="n"/>
      <c r="AE2343" s="25" t="n"/>
      <c r="AG2343" s="25" t="n"/>
      <c r="AH2343" s="25" t="n"/>
      <c r="AI2343" s="394" t="n"/>
      <c r="AM2343" s="48" t="n"/>
      <c r="AN2343" s="48" t="n"/>
      <c r="AO2343" s="48" t="n"/>
    </row>
    <row r="2344">
      <c r="M2344" s="25" t="n"/>
      <c r="Q2344" s="25" t="n"/>
      <c r="U2344" s="194" t="n"/>
      <c r="AA2344" s="25" t="n"/>
      <c r="AB2344" s="25" t="n"/>
      <c r="AC2344" s="195" t="n"/>
      <c r="AD2344" s="25" t="n"/>
      <c r="AE2344" s="25" t="n"/>
      <c r="AG2344" s="25" t="n"/>
      <c r="AH2344" s="25" t="n"/>
      <c r="AI2344" s="394" t="n"/>
      <c r="AM2344" s="48" t="n"/>
      <c r="AN2344" s="48" t="n"/>
      <c r="AO2344" s="48" t="n"/>
    </row>
    <row r="2345">
      <c r="M2345" s="25" t="n"/>
      <c r="Q2345" s="25" t="n"/>
      <c r="U2345" s="194" t="n"/>
      <c r="AA2345" s="25" t="n"/>
      <c r="AB2345" s="25" t="n"/>
      <c r="AC2345" s="195" t="n"/>
      <c r="AD2345" s="25" t="n"/>
      <c r="AE2345" s="25" t="n"/>
      <c r="AG2345" s="25" t="n"/>
      <c r="AH2345" s="25" t="n"/>
      <c r="AI2345" s="394" t="n"/>
      <c r="AM2345" s="48" t="n"/>
      <c r="AN2345" s="48" t="n"/>
      <c r="AO2345" s="48" t="n"/>
    </row>
    <row r="2346">
      <c r="M2346" s="25" t="n"/>
      <c r="Q2346" s="25" t="n"/>
      <c r="U2346" s="194" t="n"/>
      <c r="AA2346" s="25" t="n"/>
      <c r="AB2346" s="25" t="n"/>
      <c r="AC2346" s="195" t="n"/>
      <c r="AD2346" s="25" t="n"/>
      <c r="AE2346" s="25" t="n"/>
      <c r="AG2346" s="25" t="n"/>
      <c r="AH2346" s="25" t="n"/>
      <c r="AI2346" s="394" t="n"/>
      <c r="AM2346" s="48" t="n"/>
      <c r="AN2346" s="48" t="n"/>
      <c r="AO2346" s="48" t="n"/>
    </row>
    <row r="2347">
      <c r="M2347" s="25" t="n"/>
      <c r="Q2347" s="25" t="n"/>
      <c r="U2347" s="194" t="n"/>
      <c r="AA2347" s="25" t="n"/>
      <c r="AB2347" s="25" t="n"/>
      <c r="AC2347" s="195" t="n"/>
      <c r="AD2347" s="25" t="n"/>
      <c r="AE2347" s="25" t="n"/>
      <c r="AG2347" s="25" t="n"/>
      <c r="AH2347" s="25" t="n"/>
      <c r="AI2347" s="394" t="n"/>
      <c r="AM2347" s="48" t="n"/>
      <c r="AN2347" s="48" t="n"/>
      <c r="AO2347" s="48" t="n"/>
    </row>
    <row r="2348">
      <c r="M2348" s="25" t="n"/>
      <c r="Q2348" s="25" t="n"/>
      <c r="U2348" s="194" t="n"/>
      <c r="AA2348" s="25" t="n"/>
      <c r="AB2348" s="25" t="n"/>
      <c r="AC2348" s="195" t="n"/>
      <c r="AD2348" s="25" t="n"/>
      <c r="AE2348" s="25" t="n"/>
      <c r="AG2348" s="25" t="n"/>
      <c r="AH2348" s="25" t="n"/>
      <c r="AI2348" s="394" t="n"/>
      <c r="AM2348" s="48" t="n"/>
      <c r="AN2348" s="48" t="n"/>
      <c r="AO2348" s="48" t="n"/>
    </row>
    <row r="2349">
      <c r="M2349" s="25" t="n"/>
      <c r="Q2349" s="25" t="n"/>
      <c r="U2349" s="194" t="n"/>
      <c r="AA2349" s="25" t="n"/>
      <c r="AB2349" s="25" t="n"/>
      <c r="AC2349" s="195" t="n"/>
      <c r="AD2349" s="25" t="n"/>
      <c r="AE2349" s="25" t="n"/>
      <c r="AG2349" s="25" t="n"/>
      <c r="AH2349" s="25" t="n"/>
      <c r="AI2349" s="394" t="n"/>
      <c r="AM2349" s="48" t="n"/>
      <c r="AN2349" s="48" t="n"/>
      <c r="AO2349" s="48" t="n"/>
    </row>
    <row r="2350">
      <c r="M2350" s="25" t="n"/>
      <c r="Q2350" s="25" t="n"/>
      <c r="U2350" s="194" t="n"/>
      <c r="AA2350" s="25" t="n"/>
      <c r="AB2350" s="25" t="n"/>
      <c r="AC2350" s="195" t="n"/>
      <c r="AD2350" s="25" t="n"/>
      <c r="AE2350" s="25" t="n"/>
      <c r="AG2350" s="25" t="n"/>
      <c r="AH2350" s="25" t="n"/>
      <c r="AI2350" s="394" t="n"/>
      <c r="AM2350" s="48" t="n"/>
      <c r="AN2350" s="48" t="n"/>
      <c r="AO2350" s="48" t="n"/>
    </row>
    <row r="2351">
      <c r="M2351" s="25" t="n"/>
      <c r="Q2351" s="25" t="n"/>
      <c r="U2351" s="194" t="n"/>
      <c r="AA2351" s="25" t="n"/>
      <c r="AB2351" s="25" t="n"/>
      <c r="AC2351" s="195" t="n"/>
      <c r="AD2351" s="25" t="n"/>
      <c r="AE2351" s="25" t="n"/>
      <c r="AG2351" s="25" t="n"/>
      <c r="AH2351" s="25" t="n"/>
      <c r="AI2351" s="394" t="n"/>
      <c r="AM2351" s="48" t="n"/>
      <c r="AN2351" s="48" t="n"/>
      <c r="AO2351" s="48" t="n"/>
    </row>
    <row r="2352">
      <c r="M2352" s="25" t="n"/>
      <c r="Q2352" s="25" t="n"/>
      <c r="U2352" s="194" t="n"/>
      <c r="AA2352" s="25" t="n"/>
      <c r="AB2352" s="25" t="n"/>
      <c r="AC2352" s="195" t="n"/>
      <c r="AD2352" s="25" t="n"/>
      <c r="AE2352" s="25" t="n"/>
      <c r="AG2352" s="25" t="n"/>
      <c r="AH2352" s="25" t="n"/>
      <c r="AI2352" s="394" t="n"/>
      <c r="AM2352" s="48" t="n"/>
      <c r="AN2352" s="48" t="n"/>
      <c r="AO2352" s="48" t="n"/>
    </row>
    <row r="2353">
      <c r="M2353" s="25" t="n"/>
      <c r="Q2353" s="25" t="n"/>
      <c r="U2353" s="194" t="n"/>
      <c r="AA2353" s="25" t="n"/>
      <c r="AB2353" s="25" t="n"/>
      <c r="AC2353" s="195" t="n"/>
      <c r="AD2353" s="25" t="n"/>
      <c r="AE2353" s="25" t="n"/>
      <c r="AG2353" s="25" t="n"/>
      <c r="AH2353" s="25" t="n"/>
      <c r="AI2353" s="394" t="n"/>
      <c r="AM2353" s="48" t="n"/>
      <c r="AN2353" s="48" t="n"/>
      <c r="AO2353" s="48" t="n"/>
    </row>
    <row r="2354">
      <c r="M2354" s="25" t="n"/>
      <c r="Q2354" s="25" t="n"/>
      <c r="U2354" s="194" t="n"/>
      <c r="AA2354" s="25" t="n"/>
      <c r="AB2354" s="25" t="n"/>
      <c r="AC2354" s="195" t="n"/>
      <c r="AD2354" s="25" t="n"/>
      <c r="AE2354" s="25" t="n"/>
      <c r="AG2354" s="25" t="n"/>
      <c r="AH2354" s="25" t="n"/>
      <c r="AI2354" s="394" t="n"/>
      <c r="AM2354" s="48" t="n"/>
      <c r="AN2354" s="48" t="n"/>
      <c r="AO2354" s="48" t="n"/>
    </row>
    <row r="2355">
      <c r="M2355" s="25" t="n"/>
      <c r="Q2355" s="25" t="n"/>
      <c r="U2355" s="194" t="n"/>
      <c r="AA2355" s="25" t="n"/>
      <c r="AB2355" s="25" t="n"/>
      <c r="AC2355" s="195" t="n"/>
      <c r="AD2355" s="25" t="n"/>
      <c r="AE2355" s="25" t="n"/>
      <c r="AG2355" s="25" t="n"/>
      <c r="AH2355" s="25" t="n"/>
      <c r="AI2355" s="394" t="n"/>
      <c r="AM2355" s="48" t="n"/>
      <c r="AN2355" s="48" t="n"/>
      <c r="AO2355" s="48" t="n"/>
    </row>
    <row r="2356">
      <c r="M2356" s="25" t="n"/>
      <c r="Q2356" s="25" t="n"/>
      <c r="U2356" s="194" t="n"/>
      <c r="AA2356" s="25" t="n"/>
      <c r="AB2356" s="25" t="n"/>
      <c r="AC2356" s="195" t="n"/>
      <c r="AD2356" s="25" t="n"/>
      <c r="AE2356" s="25" t="n"/>
      <c r="AG2356" s="25" t="n"/>
      <c r="AH2356" s="25" t="n"/>
      <c r="AI2356" s="394" t="n"/>
      <c r="AM2356" s="48" t="n"/>
      <c r="AN2356" s="48" t="n"/>
      <c r="AO2356" s="48" t="n"/>
    </row>
    <row r="2357">
      <c r="M2357" s="25" t="n"/>
      <c r="Q2357" s="25" t="n"/>
      <c r="U2357" s="194" t="n"/>
      <c r="AA2357" s="25" t="n"/>
      <c r="AB2357" s="25" t="n"/>
      <c r="AC2357" s="195" t="n"/>
      <c r="AD2357" s="25" t="n"/>
      <c r="AE2357" s="25" t="n"/>
      <c r="AG2357" s="25" t="n"/>
      <c r="AH2357" s="25" t="n"/>
      <c r="AI2357" s="394" t="n"/>
      <c r="AM2357" s="48" t="n"/>
      <c r="AN2357" s="48" t="n"/>
      <c r="AO2357" s="48" t="n"/>
    </row>
    <row r="2358">
      <c r="M2358" s="25" t="n"/>
      <c r="Q2358" s="25" t="n"/>
      <c r="U2358" s="194" t="n"/>
      <c r="AA2358" s="25" t="n"/>
      <c r="AB2358" s="25" t="n"/>
      <c r="AC2358" s="195" t="n"/>
      <c r="AD2358" s="25" t="n"/>
      <c r="AE2358" s="25" t="n"/>
      <c r="AG2358" s="25" t="n"/>
      <c r="AH2358" s="25" t="n"/>
      <c r="AI2358" s="394" t="n"/>
      <c r="AM2358" s="48" t="n"/>
      <c r="AN2358" s="48" t="n"/>
      <c r="AO2358" s="48" t="n"/>
    </row>
    <row r="2359">
      <c r="M2359" s="25" t="n"/>
      <c r="Q2359" s="25" t="n"/>
      <c r="U2359" s="194" t="n"/>
      <c r="AA2359" s="25" t="n"/>
      <c r="AB2359" s="25" t="n"/>
      <c r="AC2359" s="195" t="n"/>
      <c r="AD2359" s="25" t="n"/>
      <c r="AE2359" s="25" t="n"/>
      <c r="AG2359" s="25" t="n"/>
      <c r="AH2359" s="25" t="n"/>
      <c r="AI2359" s="394" t="n"/>
      <c r="AM2359" s="48" t="n"/>
      <c r="AN2359" s="48" t="n"/>
      <c r="AO2359" s="48" t="n"/>
    </row>
    <row r="2360">
      <c r="M2360" s="25" t="n"/>
      <c r="Q2360" s="25" t="n"/>
      <c r="U2360" s="194" t="n"/>
      <c r="AA2360" s="25" t="n"/>
      <c r="AB2360" s="25" t="n"/>
      <c r="AC2360" s="195" t="n"/>
      <c r="AD2360" s="25" t="n"/>
      <c r="AE2360" s="25" t="n"/>
      <c r="AG2360" s="25" t="n"/>
      <c r="AH2360" s="25" t="n"/>
      <c r="AI2360" s="394" t="n"/>
      <c r="AM2360" s="48" t="n"/>
      <c r="AN2360" s="48" t="n"/>
      <c r="AO2360" s="48" t="n"/>
    </row>
    <row r="2361">
      <c r="M2361" s="25" t="n"/>
      <c r="Q2361" s="25" t="n"/>
      <c r="U2361" s="194" t="n"/>
      <c r="AA2361" s="25" t="n"/>
      <c r="AB2361" s="25" t="n"/>
      <c r="AC2361" s="195" t="n"/>
      <c r="AD2361" s="25" t="n"/>
      <c r="AE2361" s="25" t="n"/>
      <c r="AG2361" s="25" t="n"/>
      <c r="AH2361" s="25" t="n"/>
      <c r="AI2361" s="394" t="n"/>
      <c r="AM2361" s="48" t="n"/>
      <c r="AN2361" s="48" t="n"/>
      <c r="AO2361" s="48" t="n"/>
    </row>
    <row r="2362">
      <c r="M2362" s="25" t="n"/>
      <c r="Q2362" s="25" t="n"/>
      <c r="U2362" s="194" t="n"/>
      <c r="AA2362" s="25" t="n"/>
      <c r="AB2362" s="25" t="n"/>
      <c r="AC2362" s="195" t="n"/>
      <c r="AD2362" s="25" t="n"/>
      <c r="AE2362" s="25" t="n"/>
      <c r="AG2362" s="25" t="n"/>
      <c r="AH2362" s="25" t="n"/>
      <c r="AI2362" s="394" t="n"/>
      <c r="AM2362" s="48" t="n"/>
      <c r="AN2362" s="48" t="n"/>
      <c r="AO2362" s="48" t="n"/>
    </row>
    <row r="2363">
      <c r="M2363" s="25" t="n"/>
      <c r="Q2363" s="25" t="n"/>
      <c r="U2363" s="194" t="n"/>
      <c r="AA2363" s="25" t="n"/>
      <c r="AB2363" s="25" t="n"/>
      <c r="AC2363" s="195" t="n"/>
      <c r="AD2363" s="25" t="n"/>
      <c r="AE2363" s="25" t="n"/>
      <c r="AG2363" s="25" t="n"/>
      <c r="AH2363" s="25" t="n"/>
      <c r="AI2363" s="394" t="n"/>
      <c r="AM2363" s="48" t="n"/>
      <c r="AN2363" s="48" t="n"/>
      <c r="AO2363" s="48" t="n"/>
    </row>
    <row r="2364">
      <c r="M2364" s="25" t="n"/>
      <c r="Q2364" s="25" t="n"/>
      <c r="U2364" s="194" t="n"/>
      <c r="AA2364" s="25" t="n"/>
      <c r="AB2364" s="25" t="n"/>
      <c r="AC2364" s="195" t="n"/>
      <c r="AD2364" s="25" t="n"/>
      <c r="AE2364" s="25" t="n"/>
      <c r="AG2364" s="25" t="n"/>
      <c r="AH2364" s="25" t="n"/>
      <c r="AI2364" s="394" t="n"/>
      <c r="AM2364" s="48" t="n"/>
      <c r="AN2364" s="48" t="n"/>
      <c r="AO2364" s="48" t="n"/>
    </row>
    <row r="2365">
      <c r="M2365" s="25" t="n"/>
      <c r="Q2365" s="25" t="n"/>
      <c r="U2365" s="194" t="n"/>
      <c r="AA2365" s="25" t="n"/>
      <c r="AB2365" s="25" t="n"/>
      <c r="AC2365" s="195" t="n"/>
      <c r="AD2365" s="25" t="n"/>
      <c r="AE2365" s="25" t="n"/>
      <c r="AG2365" s="25" t="n"/>
      <c r="AH2365" s="25" t="n"/>
      <c r="AI2365" s="394" t="n"/>
      <c r="AM2365" s="48" t="n"/>
      <c r="AN2365" s="48" t="n"/>
      <c r="AO2365" s="48" t="n"/>
    </row>
    <row r="2366">
      <c r="M2366" s="25" t="n"/>
      <c r="Q2366" s="25" t="n"/>
      <c r="U2366" s="194" t="n"/>
      <c r="AA2366" s="25" t="n"/>
      <c r="AB2366" s="25" t="n"/>
      <c r="AC2366" s="195" t="n"/>
      <c r="AD2366" s="25" t="n"/>
      <c r="AE2366" s="25" t="n"/>
      <c r="AG2366" s="25" t="n"/>
      <c r="AH2366" s="25" t="n"/>
      <c r="AI2366" s="394" t="n"/>
      <c r="AM2366" s="48" t="n"/>
      <c r="AN2366" s="48" t="n"/>
      <c r="AO2366" s="48" t="n"/>
    </row>
    <row r="2367">
      <c r="M2367" s="25" t="n"/>
      <c r="Q2367" s="25" t="n"/>
      <c r="U2367" s="194" t="n"/>
      <c r="AA2367" s="25" t="n"/>
      <c r="AB2367" s="25" t="n"/>
      <c r="AC2367" s="195" t="n"/>
      <c r="AD2367" s="25" t="n"/>
      <c r="AE2367" s="25" t="n"/>
      <c r="AG2367" s="25" t="n"/>
      <c r="AH2367" s="25" t="n"/>
      <c r="AI2367" s="394" t="n"/>
      <c r="AM2367" s="48" t="n"/>
      <c r="AN2367" s="48" t="n"/>
      <c r="AO2367" s="48" t="n"/>
    </row>
    <row r="2368">
      <c r="M2368" s="25" t="n"/>
      <c r="Q2368" s="25" t="n"/>
      <c r="U2368" s="194" t="n"/>
      <c r="AA2368" s="25" t="n"/>
      <c r="AB2368" s="25" t="n"/>
      <c r="AC2368" s="195" t="n"/>
      <c r="AD2368" s="25" t="n"/>
      <c r="AE2368" s="25" t="n"/>
      <c r="AG2368" s="25" t="n"/>
      <c r="AH2368" s="25" t="n"/>
      <c r="AI2368" s="394" t="n"/>
      <c r="AM2368" s="48" t="n"/>
      <c r="AN2368" s="48" t="n"/>
      <c r="AO2368" s="48" t="n"/>
    </row>
    <row r="2369">
      <c r="M2369" s="25" t="n"/>
      <c r="Q2369" s="25" t="n"/>
      <c r="U2369" s="194" t="n"/>
      <c r="AA2369" s="25" t="n"/>
      <c r="AB2369" s="25" t="n"/>
      <c r="AC2369" s="195" t="n"/>
      <c r="AD2369" s="25" t="n"/>
      <c r="AE2369" s="25" t="n"/>
      <c r="AG2369" s="25" t="n"/>
      <c r="AH2369" s="25" t="n"/>
      <c r="AI2369" s="394" t="n"/>
      <c r="AM2369" s="48" t="n"/>
      <c r="AN2369" s="48" t="n"/>
      <c r="AO2369" s="48" t="n"/>
    </row>
    <row r="2370">
      <c r="M2370" s="25" t="n"/>
      <c r="Q2370" s="25" t="n"/>
      <c r="U2370" s="194" t="n"/>
      <c r="AA2370" s="25" t="n"/>
      <c r="AB2370" s="25" t="n"/>
      <c r="AC2370" s="195" t="n"/>
      <c r="AD2370" s="25" t="n"/>
      <c r="AE2370" s="25" t="n"/>
      <c r="AG2370" s="25" t="n"/>
      <c r="AH2370" s="25" t="n"/>
      <c r="AI2370" s="394" t="n"/>
      <c r="AM2370" s="48" t="n"/>
      <c r="AN2370" s="48" t="n"/>
      <c r="AO2370" s="48" t="n"/>
    </row>
    <row r="2371">
      <c r="M2371" s="25" t="n"/>
      <c r="Q2371" s="25" t="n"/>
      <c r="U2371" s="194" t="n"/>
      <c r="AA2371" s="25" t="n"/>
      <c r="AB2371" s="25" t="n"/>
      <c r="AC2371" s="195" t="n"/>
      <c r="AD2371" s="25" t="n"/>
      <c r="AE2371" s="25" t="n"/>
      <c r="AG2371" s="25" t="n"/>
      <c r="AH2371" s="25" t="n"/>
      <c r="AI2371" s="394" t="n"/>
      <c r="AM2371" s="48" t="n"/>
      <c r="AN2371" s="48" t="n"/>
      <c r="AO2371" s="48" t="n"/>
    </row>
    <row r="2372">
      <c r="M2372" s="25" t="n"/>
      <c r="Q2372" s="25" t="n"/>
      <c r="U2372" s="194" t="n"/>
      <c r="AA2372" s="25" t="n"/>
      <c r="AB2372" s="25" t="n"/>
      <c r="AC2372" s="195" t="n"/>
      <c r="AD2372" s="25" t="n"/>
      <c r="AE2372" s="25" t="n"/>
      <c r="AG2372" s="25" t="n"/>
      <c r="AH2372" s="25" t="n"/>
      <c r="AI2372" s="394" t="n"/>
      <c r="AM2372" s="48" t="n"/>
      <c r="AN2372" s="48" t="n"/>
      <c r="AO2372" s="48" t="n"/>
    </row>
    <row r="2373">
      <c r="M2373" s="25" t="n"/>
      <c r="Q2373" s="25" t="n"/>
      <c r="U2373" s="194" t="n"/>
      <c r="AA2373" s="25" t="n"/>
      <c r="AB2373" s="25" t="n"/>
      <c r="AC2373" s="195" t="n"/>
      <c r="AD2373" s="25" t="n"/>
      <c r="AE2373" s="25" t="n"/>
      <c r="AG2373" s="25" t="n"/>
      <c r="AH2373" s="25" t="n"/>
      <c r="AI2373" s="394" t="n"/>
      <c r="AM2373" s="48" t="n"/>
      <c r="AN2373" s="48" t="n"/>
      <c r="AO2373" s="48" t="n"/>
    </row>
    <row r="2374">
      <c r="M2374" s="25" t="n"/>
      <c r="Q2374" s="25" t="n"/>
      <c r="U2374" s="194" t="n"/>
      <c r="AA2374" s="25" t="n"/>
      <c r="AB2374" s="25" t="n"/>
      <c r="AC2374" s="195" t="n"/>
      <c r="AD2374" s="25" t="n"/>
      <c r="AE2374" s="25" t="n"/>
      <c r="AG2374" s="25" t="n"/>
      <c r="AH2374" s="25" t="n"/>
      <c r="AI2374" s="394" t="n"/>
      <c r="AM2374" s="48" t="n"/>
      <c r="AN2374" s="48" t="n"/>
      <c r="AO2374" s="48" t="n"/>
    </row>
    <row r="2375">
      <c r="M2375" s="25" t="n"/>
      <c r="Q2375" s="25" t="n"/>
      <c r="U2375" s="194" t="n"/>
      <c r="AA2375" s="25" t="n"/>
      <c r="AB2375" s="25" t="n"/>
      <c r="AC2375" s="195" t="n"/>
      <c r="AD2375" s="25" t="n"/>
      <c r="AE2375" s="25" t="n"/>
      <c r="AG2375" s="25" t="n"/>
      <c r="AH2375" s="25" t="n"/>
      <c r="AI2375" s="394" t="n"/>
      <c r="AM2375" s="48" t="n"/>
      <c r="AN2375" s="48" t="n"/>
      <c r="AO2375" s="48" t="n"/>
    </row>
    <row r="2376">
      <c r="M2376" s="25" t="n"/>
      <c r="Q2376" s="25" t="n"/>
      <c r="U2376" s="194" t="n"/>
      <c r="AA2376" s="25" t="n"/>
      <c r="AB2376" s="25" t="n"/>
      <c r="AC2376" s="195" t="n"/>
      <c r="AD2376" s="25" t="n"/>
      <c r="AE2376" s="25" t="n"/>
      <c r="AG2376" s="25" t="n"/>
      <c r="AH2376" s="25" t="n"/>
      <c r="AI2376" s="394" t="n"/>
      <c r="AM2376" s="48" t="n"/>
      <c r="AN2376" s="48" t="n"/>
      <c r="AO2376" s="48" t="n"/>
    </row>
    <row r="2377">
      <c r="M2377" s="25" t="n"/>
      <c r="Q2377" s="25" t="n"/>
      <c r="U2377" s="194" t="n"/>
      <c r="AA2377" s="25" t="n"/>
      <c r="AB2377" s="25" t="n"/>
      <c r="AC2377" s="195" t="n"/>
      <c r="AD2377" s="25" t="n"/>
      <c r="AE2377" s="25" t="n"/>
      <c r="AG2377" s="25" t="n"/>
      <c r="AH2377" s="25" t="n"/>
      <c r="AI2377" s="394" t="n"/>
      <c r="AM2377" s="48" t="n"/>
      <c r="AN2377" s="48" t="n"/>
      <c r="AO2377" s="48" t="n"/>
    </row>
    <row r="2378">
      <c r="M2378" s="25" t="n"/>
      <c r="Q2378" s="25" t="n"/>
      <c r="U2378" s="194" t="n"/>
      <c r="AA2378" s="25" t="n"/>
      <c r="AB2378" s="25" t="n"/>
      <c r="AC2378" s="195" t="n"/>
      <c r="AD2378" s="25" t="n"/>
      <c r="AE2378" s="25" t="n"/>
      <c r="AG2378" s="25" t="n"/>
      <c r="AH2378" s="25" t="n"/>
      <c r="AI2378" s="394" t="n"/>
      <c r="AM2378" s="48" t="n"/>
      <c r="AN2378" s="48" t="n"/>
      <c r="AO2378" s="48" t="n"/>
    </row>
    <row r="2379">
      <c r="M2379" s="25" t="n"/>
      <c r="Q2379" s="25" t="n"/>
      <c r="U2379" s="194" t="n"/>
      <c r="AA2379" s="25" t="n"/>
      <c r="AB2379" s="25" t="n"/>
      <c r="AC2379" s="195" t="n"/>
      <c r="AD2379" s="25" t="n"/>
      <c r="AE2379" s="25" t="n"/>
      <c r="AG2379" s="25" t="n"/>
      <c r="AH2379" s="25" t="n"/>
      <c r="AI2379" s="394" t="n"/>
      <c r="AM2379" s="48" t="n"/>
      <c r="AN2379" s="48" t="n"/>
      <c r="AO2379" s="48" t="n"/>
    </row>
    <row r="2380">
      <c r="M2380" s="25" t="n"/>
      <c r="Q2380" s="25" t="n"/>
      <c r="U2380" s="194" t="n"/>
      <c r="AA2380" s="25" t="n"/>
      <c r="AB2380" s="25" t="n"/>
      <c r="AC2380" s="195" t="n"/>
      <c r="AD2380" s="25" t="n"/>
      <c r="AE2380" s="25" t="n"/>
      <c r="AG2380" s="25" t="n"/>
      <c r="AH2380" s="25" t="n"/>
      <c r="AI2380" s="394" t="n"/>
      <c r="AM2380" s="48" t="n"/>
      <c r="AN2380" s="48" t="n"/>
      <c r="AO2380" s="48" t="n"/>
    </row>
    <row r="2381">
      <c r="M2381" s="25" t="n"/>
      <c r="Q2381" s="25" t="n"/>
      <c r="U2381" s="194" t="n"/>
      <c r="AA2381" s="25" t="n"/>
      <c r="AB2381" s="25" t="n"/>
      <c r="AC2381" s="195" t="n"/>
      <c r="AD2381" s="25" t="n"/>
      <c r="AE2381" s="25" t="n"/>
      <c r="AG2381" s="25" t="n"/>
      <c r="AH2381" s="25" t="n"/>
      <c r="AI2381" s="394" t="n"/>
      <c r="AM2381" s="48" t="n"/>
      <c r="AN2381" s="48" t="n"/>
      <c r="AO2381" s="48" t="n"/>
    </row>
    <row r="2382">
      <c r="M2382" s="25" t="n"/>
      <c r="Q2382" s="25" t="n"/>
      <c r="U2382" s="194" t="n"/>
      <c r="AA2382" s="25" t="n"/>
      <c r="AB2382" s="25" t="n"/>
      <c r="AC2382" s="195" t="n"/>
      <c r="AD2382" s="25" t="n"/>
      <c r="AE2382" s="25" t="n"/>
      <c r="AG2382" s="25" t="n"/>
      <c r="AH2382" s="25" t="n"/>
      <c r="AI2382" s="394" t="n"/>
      <c r="AM2382" s="48" t="n"/>
      <c r="AN2382" s="48" t="n"/>
      <c r="AO2382" s="48" t="n"/>
    </row>
    <row r="2383">
      <c r="M2383" s="25" t="n"/>
      <c r="Q2383" s="25" t="n"/>
      <c r="U2383" s="194" t="n"/>
      <c r="AA2383" s="25" t="n"/>
      <c r="AB2383" s="25" t="n"/>
      <c r="AC2383" s="195" t="n"/>
      <c r="AD2383" s="25" t="n"/>
      <c r="AE2383" s="25" t="n"/>
      <c r="AG2383" s="25" t="n"/>
      <c r="AH2383" s="25" t="n"/>
      <c r="AI2383" s="394" t="n"/>
      <c r="AM2383" s="48" t="n"/>
      <c r="AN2383" s="48" t="n"/>
      <c r="AO2383" s="48" t="n"/>
    </row>
    <row r="2384">
      <c r="M2384" s="25" t="n"/>
      <c r="Q2384" s="25" t="n"/>
      <c r="U2384" s="194" t="n"/>
      <c r="AA2384" s="25" t="n"/>
      <c r="AB2384" s="25" t="n"/>
      <c r="AC2384" s="195" t="n"/>
      <c r="AD2384" s="25" t="n"/>
      <c r="AE2384" s="25" t="n"/>
      <c r="AG2384" s="25" t="n"/>
      <c r="AH2384" s="25" t="n"/>
      <c r="AI2384" s="394" t="n"/>
      <c r="AM2384" s="48" t="n"/>
      <c r="AN2384" s="48" t="n"/>
      <c r="AO2384" s="48" t="n"/>
    </row>
    <row r="2385">
      <c r="M2385" s="25" t="n"/>
      <c r="Q2385" s="25" t="n"/>
      <c r="U2385" s="194" t="n"/>
      <c r="AA2385" s="25" t="n"/>
      <c r="AB2385" s="25" t="n"/>
      <c r="AC2385" s="195" t="n"/>
      <c r="AD2385" s="25" t="n"/>
      <c r="AE2385" s="25" t="n"/>
      <c r="AG2385" s="25" t="n"/>
      <c r="AH2385" s="25" t="n"/>
      <c r="AI2385" s="394" t="n"/>
      <c r="AM2385" s="48" t="n"/>
      <c r="AN2385" s="48" t="n"/>
      <c r="AO2385" s="48" t="n"/>
    </row>
    <row r="2386">
      <c r="M2386" s="25" t="n"/>
      <c r="Q2386" s="25" t="n"/>
      <c r="U2386" s="194" t="n"/>
      <c r="AA2386" s="25" t="n"/>
      <c r="AB2386" s="25" t="n"/>
      <c r="AC2386" s="195" t="n"/>
      <c r="AD2386" s="25" t="n"/>
      <c r="AE2386" s="25" t="n"/>
      <c r="AG2386" s="25" t="n"/>
      <c r="AH2386" s="25" t="n"/>
      <c r="AI2386" s="394" t="n"/>
      <c r="AM2386" s="48" t="n"/>
      <c r="AN2386" s="48" t="n"/>
      <c r="AO2386" s="48" t="n"/>
    </row>
    <row r="2387">
      <c r="M2387" s="25" t="n"/>
      <c r="Q2387" s="25" t="n"/>
      <c r="U2387" s="194" t="n"/>
      <c r="AA2387" s="25" t="n"/>
      <c r="AB2387" s="25" t="n"/>
      <c r="AC2387" s="195" t="n"/>
      <c r="AD2387" s="25" t="n"/>
      <c r="AE2387" s="25" t="n"/>
      <c r="AG2387" s="25" t="n"/>
      <c r="AH2387" s="25" t="n"/>
      <c r="AI2387" s="394" t="n"/>
      <c r="AM2387" s="48" t="n"/>
      <c r="AN2387" s="48" t="n"/>
      <c r="AO2387" s="48" t="n"/>
    </row>
    <row r="2388">
      <c r="M2388" s="25" t="n"/>
      <c r="Q2388" s="25" t="n"/>
      <c r="U2388" s="194" t="n"/>
      <c r="AA2388" s="25" t="n"/>
      <c r="AB2388" s="25" t="n"/>
      <c r="AC2388" s="195" t="n"/>
      <c r="AD2388" s="25" t="n"/>
      <c r="AE2388" s="25" t="n"/>
      <c r="AG2388" s="25" t="n"/>
      <c r="AH2388" s="25" t="n"/>
      <c r="AI2388" s="394" t="n"/>
      <c r="AM2388" s="48" t="n"/>
      <c r="AN2388" s="48" t="n"/>
      <c r="AO2388" s="48" t="n"/>
    </row>
    <row r="2389">
      <c r="M2389" s="25" t="n"/>
      <c r="Q2389" s="25" t="n"/>
      <c r="U2389" s="194" t="n"/>
      <c r="AA2389" s="25" t="n"/>
      <c r="AB2389" s="25" t="n"/>
      <c r="AC2389" s="195" t="n"/>
      <c r="AD2389" s="25" t="n"/>
      <c r="AE2389" s="25" t="n"/>
      <c r="AG2389" s="25" t="n"/>
      <c r="AH2389" s="25" t="n"/>
      <c r="AI2389" s="394" t="n"/>
      <c r="AM2389" s="48" t="n"/>
      <c r="AN2389" s="48" t="n"/>
      <c r="AO2389" s="48" t="n"/>
    </row>
    <row r="2390">
      <c r="M2390" s="25" t="n"/>
      <c r="Q2390" s="25" t="n"/>
      <c r="U2390" s="194" t="n"/>
      <c r="AA2390" s="25" t="n"/>
      <c r="AB2390" s="25" t="n"/>
      <c r="AC2390" s="195" t="n"/>
      <c r="AD2390" s="25" t="n"/>
      <c r="AE2390" s="25" t="n"/>
      <c r="AG2390" s="25" t="n"/>
      <c r="AH2390" s="25" t="n"/>
      <c r="AI2390" s="394" t="n"/>
      <c r="AM2390" s="48" t="n"/>
      <c r="AN2390" s="48" t="n"/>
      <c r="AO2390" s="48" t="n"/>
    </row>
    <row r="2391">
      <c r="M2391" s="25" t="n"/>
      <c r="Q2391" s="25" t="n"/>
      <c r="U2391" s="194" t="n"/>
      <c r="AA2391" s="25" t="n"/>
      <c r="AB2391" s="25" t="n"/>
      <c r="AC2391" s="195" t="n"/>
      <c r="AD2391" s="25" t="n"/>
      <c r="AE2391" s="25" t="n"/>
      <c r="AG2391" s="25" t="n"/>
      <c r="AH2391" s="25" t="n"/>
      <c r="AI2391" s="394" t="n"/>
      <c r="AM2391" s="48" t="n"/>
      <c r="AN2391" s="48" t="n"/>
      <c r="AO2391" s="48" t="n"/>
    </row>
    <row r="2392">
      <c r="M2392" s="25" t="n"/>
      <c r="Q2392" s="25" t="n"/>
      <c r="U2392" s="194" t="n"/>
      <c r="AA2392" s="25" t="n"/>
      <c r="AB2392" s="25" t="n"/>
      <c r="AC2392" s="195" t="n"/>
      <c r="AD2392" s="25" t="n"/>
      <c r="AE2392" s="25" t="n"/>
      <c r="AG2392" s="25" t="n"/>
      <c r="AH2392" s="25" t="n"/>
      <c r="AI2392" s="394" t="n"/>
      <c r="AM2392" s="48" t="n"/>
      <c r="AN2392" s="48" t="n"/>
      <c r="AO2392" s="48" t="n"/>
    </row>
    <row r="2393">
      <c r="M2393" s="25" t="n"/>
      <c r="Q2393" s="25" t="n"/>
      <c r="U2393" s="194" t="n"/>
      <c r="AA2393" s="25" t="n"/>
      <c r="AB2393" s="25" t="n"/>
      <c r="AC2393" s="195" t="n"/>
      <c r="AD2393" s="25" t="n"/>
      <c r="AE2393" s="25" t="n"/>
      <c r="AG2393" s="25" t="n"/>
      <c r="AH2393" s="25" t="n"/>
      <c r="AI2393" s="394" t="n"/>
      <c r="AM2393" s="48" t="n"/>
      <c r="AN2393" s="48" t="n"/>
      <c r="AO2393" s="48" t="n"/>
    </row>
    <row r="2394">
      <c r="M2394" s="25" t="n"/>
      <c r="Q2394" s="25" t="n"/>
      <c r="U2394" s="194" t="n"/>
      <c r="AA2394" s="25" t="n"/>
      <c r="AB2394" s="25" t="n"/>
      <c r="AC2394" s="195" t="n"/>
      <c r="AD2394" s="25" t="n"/>
      <c r="AE2394" s="25" t="n"/>
      <c r="AG2394" s="25" t="n"/>
      <c r="AH2394" s="25" t="n"/>
      <c r="AI2394" s="394" t="n"/>
      <c r="AM2394" s="48" t="n"/>
      <c r="AN2394" s="48" t="n"/>
      <c r="AO2394" s="48" t="n"/>
    </row>
    <row r="2395">
      <c r="M2395" s="25" t="n"/>
      <c r="Q2395" s="25" t="n"/>
      <c r="U2395" s="194" t="n"/>
      <c r="AA2395" s="25" t="n"/>
      <c r="AB2395" s="25" t="n"/>
      <c r="AC2395" s="195" t="n"/>
      <c r="AD2395" s="25" t="n"/>
      <c r="AE2395" s="25" t="n"/>
      <c r="AG2395" s="25" t="n"/>
      <c r="AH2395" s="25" t="n"/>
      <c r="AI2395" s="394" t="n"/>
      <c r="AM2395" s="48" t="n"/>
      <c r="AN2395" s="48" t="n"/>
      <c r="AO2395" s="48" t="n"/>
    </row>
    <row r="2396">
      <c r="M2396" s="25" t="n"/>
      <c r="Q2396" s="25" t="n"/>
      <c r="U2396" s="194" t="n"/>
      <c r="AA2396" s="25" t="n"/>
      <c r="AB2396" s="25" t="n"/>
      <c r="AC2396" s="195" t="n"/>
      <c r="AD2396" s="25" t="n"/>
      <c r="AE2396" s="25" t="n"/>
      <c r="AG2396" s="25" t="n"/>
      <c r="AH2396" s="25" t="n"/>
      <c r="AI2396" s="394" t="n"/>
      <c r="AM2396" s="48" t="n"/>
      <c r="AN2396" s="48" t="n"/>
      <c r="AO2396" s="48" t="n"/>
    </row>
    <row r="2397">
      <c r="M2397" s="25" t="n"/>
      <c r="Q2397" s="25" t="n"/>
      <c r="U2397" s="194" t="n"/>
      <c r="AA2397" s="25" t="n"/>
      <c r="AB2397" s="25" t="n"/>
      <c r="AC2397" s="195" t="n"/>
      <c r="AD2397" s="25" t="n"/>
      <c r="AE2397" s="25" t="n"/>
      <c r="AG2397" s="25" t="n"/>
      <c r="AH2397" s="25" t="n"/>
      <c r="AI2397" s="394" t="n"/>
      <c r="AM2397" s="48" t="n"/>
      <c r="AN2397" s="48" t="n"/>
      <c r="AO2397" s="48" t="n"/>
    </row>
    <row r="2398">
      <c r="M2398" s="25" t="n"/>
      <c r="Q2398" s="25" t="n"/>
      <c r="U2398" s="194" t="n"/>
      <c r="AA2398" s="25" t="n"/>
      <c r="AB2398" s="25" t="n"/>
      <c r="AC2398" s="195" t="n"/>
      <c r="AD2398" s="25" t="n"/>
      <c r="AE2398" s="25" t="n"/>
      <c r="AG2398" s="25" t="n"/>
      <c r="AH2398" s="25" t="n"/>
      <c r="AI2398" s="394" t="n"/>
      <c r="AM2398" s="48" t="n"/>
      <c r="AN2398" s="48" t="n"/>
      <c r="AO2398" s="48" t="n"/>
    </row>
    <row r="2399">
      <c r="M2399" s="25" t="n"/>
      <c r="Q2399" s="25" t="n"/>
      <c r="U2399" s="194" t="n"/>
      <c r="AA2399" s="25" t="n"/>
      <c r="AB2399" s="25" t="n"/>
      <c r="AC2399" s="195" t="n"/>
      <c r="AD2399" s="25" t="n"/>
      <c r="AE2399" s="25" t="n"/>
      <c r="AG2399" s="25" t="n"/>
      <c r="AH2399" s="25" t="n"/>
      <c r="AI2399" s="394" t="n"/>
      <c r="AM2399" s="48" t="n"/>
      <c r="AN2399" s="48" t="n"/>
      <c r="AO2399" s="48" t="n"/>
    </row>
    <row r="2400">
      <c r="M2400" s="25" t="n"/>
      <c r="Q2400" s="25" t="n"/>
      <c r="U2400" s="194" t="n"/>
      <c r="AA2400" s="25" t="n"/>
      <c r="AB2400" s="25" t="n"/>
      <c r="AC2400" s="195" t="n"/>
      <c r="AD2400" s="25" t="n"/>
      <c r="AE2400" s="25" t="n"/>
      <c r="AG2400" s="25" t="n"/>
      <c r="AH2400" s="25" t="n"/>
      <c r="AI2400" s="394" t="n"/>
      <c r="AM2400" s="48" t="n"/>
      <c r="AN2400" s="48" t="n"/>
      <c r="AO2400" s="48" t="n"/>
    </row>
    <row r="2401">
      <c r="M2401" s="25" t="n"/>
      <c r="Q2401" s="25" t="n"/>
      <c r="U2401" s="194" t="n"/>
      <c r="AA2401" s="25" t="n"/>
      <c r="AB2401" s="25" t="n"/>
      <c r="AC2401" s="195" t="n"/>
      <c r="AD2401" s="25" t="n"/>
      <c r="AE2401" s="25" t="n"/>
      <c r="AG2401" s="25" t="n"/>
      <c r="AH2401" s="25" t="n"/>
      <c r="AI2401" s="394" t="n"/>
      <c r="AM2401" s="48" t="n"/>
      <c r="AN2401" s="48" t="n"/>
      <c r="AO2401" s="48" t="n"/>
    </row>
    <row r="2402">
      <c r="M2402" s="25" t="n"/>
      <c r="Q2402" s="25" t="n"/>
      <c r="U2402" s="194" t="n"/>
      <c r="AA2402" s="25" t="n"/>
      <c r="AB2402" s="25" t="n"/>
      <c r="AC2402" s="195" t="n"/>
      <c r="AD2402" s="25" t="n"/>
      <c r="AE2402" s="25" t="n"/>
      <c r="AG2402" s="25" t="n"/>
      <c r="AH2402" s="25" t="n"/>
      <c r="AI2402" s="394" t="n"/>
      <c r="AM2402" s="48" t="n"/>
      <c r="AN2402" s="48" t="n"/>
      <c r="AO2402" s="48" t="n"/>
    </row>
    <row r="2403">
      <c r="M2403" s="25" t="n"/>
      <c r="Q2403" s="25" t="n"/>
      <c r="U2403" s="194" t="n"/>
      <c r="AA2403" s="25" t="n"/>
      <c r="AB2403" s="25" t="n"/>
      <c r="AC2403" s="195" t="n"/>
      <c r="AD2403" s="25" t="n"/>
      <c r="AE2403" s="25" t="n"/>
      <c r="AG2403" s="25" t="n"/>
      <c r="AH2403" s="25" t="n"/>
      <c r="AI2403" s="394" t="n"/>
      <c r="AM2403" s="48" t="n"/>
      <c r="AN2403" s="48" t="n"/>
      <c r="AO2403" s="48" t="n"/>
    </row>
    <row r="2404">
      <c r="M2404" s="25" t="n"/>
      <c r="Q2404" s="25" t="n"/>
      <c r="U2404" s="194" t="n"/>
      <c r="AA2404" s="25" t="n"/>
      <c r="AB2404" s="25" t="n"/>
      <c r="AC2404" s="195" t="n"/>
      <c r="AD2404" s="25" t="n"/>
      <c r="AE2404" s="25" t="n"/>
      <c r="AG2404" s="25" t="n"/>
      <c r="AH2404" s="25" t="n"/>
      <c r="AI2404" s="394" t="n"/>
      <c r="AM2404" s="48" t="n"/>
      <c r="AN2404" s="48" t="n"/>
      <c r="AO2404" s="48" t="n"/>
    </row>
    <row r="2405">
      <c r="M2405" s="25" t="n"/>
      <c r="Q2405" s="25" t="n"/>
      <c r="U2405" s="194" t="n"/>
      <c r="AA2405" s="25" t="n"/>
      <c r="AB2405" s="25" t="n"/>
      <c r="AC2405" s="195" t="n"/>
      <c r="AD2405" s="25" t="n"/>
      <c r="AE2405" s="25" t="n"/>
      <c r="AG2405" s="25" t="n"/>
      <c r="AH2405" s="25" t="n"/>
      <c r="AI2405" s="394" t="n"/>
      <c r="AM2405" s="48" t="n"/>
      <c r="AN2405" s="48" t="n"/>
      <c r="AO2405" s="48" t="n"/>
    </row>
    <row r="2406">
      <c r="M2406" s="25" t="n"/>
      <c r="Q2406" s="25" t="n"/>
      <c r="U2406" s="194" t="n"/>
      <c r="AA2406" s="25" t="n"/>
      <c r="AB2406" s="25" t="n"/>
      <c r="AC2406" s="195" t="n"/>
      <c r="AD2406" s="25" t="n"/>
      <c r="AE2406" s="25" t="n"/>
      <c r="AG2406" s="25" t="n"/>
      <c r="AH2406" s="25" t="n"/>
      <c r="AI2406" s="394" t="n"/>
      <c r="AM2406" s="48" t="n"/>
      <c r="AN2406" s="48" t="n"/>
      <c r="AO2406" s="48" t="n"/>
    </row>
    <row r="2407">
      <c r="M2407" s="25" t="n"/>
      <c r="Q2407" s="25" t="n"/>
      <c r="U2407" s="194" t="n"/>
      <c r="AA2407" s="25" t="n"/>
      <c r="AB2407" s="25" t="n"/>
      <c r="AC2407" s="195" t="n"/>
      <c r="AD2407" s="25" t="n"/>
      <c r="AE2407" s="25" t="n"/>
      <c r="AG2407" s="25" t="n"/>
      <c r="AH2407" s="25" t="n"/>
      <c r="AI2407" s="394" t="n"/>
      <c r="AM2407" s="48" t="n"/>
      <c r="AN2407" s="48" t="n"/>
      <c r="AO2407" s="48" t="n"/>
    </row>
    <row r="2408">
      <c r="M2408" s="25" t="n"/>
      <c r="Q2408" s="25" t="n"/>
      <c r="U2408" s="194" t="n"/>
      <c r="AA2408" s="25" t="n"/>
      <c r="AB2408" s="25" t="n"/>
      <c r="AC2408" s="195" t="n"/>
      <c r="AD2408" s="25" t="n"/>
      <c r="AE2408" s="25" t="n"/>
      <c r="AG2408" s="25" t="n"/>
      <c r="AH2408" s="25" t="n"/>
      <c r="AI2408" s="394" t="n"/>
      <c r="AM2408" s="48" t="n"/>
      <c r="AN2408" s="48" t="n"/>
      <c r="AO2408" s="48" t="n"/>
    </row>
    <row r="2409">
      <c r="M2409" s="25" t="n"/>
      <c r="Q2409" s="25" t="n"/>
      <c r="U2409" s="194" t="n"/>
      <c r="AA2409" s="25" t="n"/>
      <c r="AB2409" s="25" t="n"/>
      <c r="AC2409" s="195" t="n"/>
      <c r="AD2409" s="25" t="n"/>
      <c r="AE2409" s="25" t="n"/>
      <c r="AG2409" s="25" t="n"/>
      <c r="AH2409" s="25" t="n"/>
      <c r="AI2409" s="394" t="n"/>
      <c r="AM2409" s="48" t="n"/>
      <c r="AN2409" s="48" t="n"/>
      <c r="AO2409" s="48" t="n"/>
    </row>
    <row r="2410">
      <c r="M2410" s="25" t="n"/>
      <c r="Q2410" s="25" t="n"/>
      <c r="U2410" s="194" t="n"/>
      <c r="AA2410" s="25" t="n"/>
      <c r="AB2410" s="25" t="n"/>
      <c r="AC2410" s="195" t="n"/>
      <c r="AD2410" s="25" t="n"/>
      <c r="AE2410" s="25" t="n"/>
      <c r="AG2410" s="25" t="n"/>
      <c r="AH2410" s="25" t="n"/>
      <c r="AI2410" s="394" t="n"/>
      <c r="AM2410" s="48" t="n"/>
      <c r="AN2410" s="48" t="n"/>
      <c r="AO2410" s="48" t="n"/>
    </row>
    <row r="2411">
      <c r="M2411" s="25" t="n"/>
      <c r="Q2411" s="25" t="n"/>
      <c r="U2411" s="194" t="n"/>
      <c r="AA2411" s="25" t="n"/>
      <c r="AB2411" s="25" t="n"/>
      <c r="AC2411" s="195" t="n"/>
      <c r="AD2411" s="25" t="n"/>
      <c r="AE2411" s="25" t="n"/>
      <c r="AG2411" s="25" t="n"/>
      <c r="AH2411" s="25" t="n"/>
      <c r="AI2411" s="394" t="n"/>
      <c r="AM2411" s="48" t="n"/>
      <c r="AN2411" s="48" t="n"/>
      <c r="AO2411" s="48" t="n"/>
    </row>
    <row r="2412">
      <c r="M2412" s="25" t="n"/>
      <c r="Q2412" s="25" t="n"/>
      <c r="U2412" s="194" t="n"/>
      <c r="AA2412" s="25" t="n"/>
      <c r="AB2412" s="25" t="n"/>
      <c r="AC2412" s="195" t="n"/>
      <c r="AD2412" s="25" t="n"/>
      <c r="AE2412" s="25" t="n"/>
      <c r="AG2412" s="25" t="n"/>
      <c r="AH2412" s="25" t="n"/>
      <c r="AI2412" s="394" t="n"/>
      <c r="AM2412" s="48" t="n"/>
      <c r="AN2412" s="48" t="n"/>
      <c r="AO2412" s="48" t="n"/>
    </row>
    <row r="2413">
      <c r="M2413" s="25" t="n"/>
      <c r="Q2413" s="25" t="n"/>
      <c r="U2413" s="194" t="n"/>
      <c r="AA2413" s="25" t="n"/>
      <c r="AB2413" s="25" t="n"/>
      <c r="AC2413" s="195" t="n"/>
      <c r="AD2413" s="25" t="n"/>
      <c r="AE2413" s="25" t="n"/>
      <c r="AG2413" s="25" t="n"/>
      <c r="AH2413" s="25" t="n"/>
      <c r="AI2413" s="394" t="n"/>
      <c r="AM2413" s="48" t="n"/>
      <c r="AN2413" s="48" t="n"/>
      <c r="AO2413" s="48" t="n"/>
    </row>
    <row r="2414">
      <c r="M2414" s="25" t="n"/>
      <c r="Q2414" s="25" t="n"/>
      <c r="U2414" s="194" t="n"/>
      <c r="AA2414" s="25" t="n"/>
      <c r="AB2414" s="25" t="n"/>
      <c r="AC2414" s="195" t="n"/>
      <c r="AD2414" s="25" t="n"/>
      <c r="AE2414" s="25" t="n"/>
      <c r="AG2414" s="25" t="n"/>
      <c r="AH2414" s="25" t="n"/>
      <c r="AI2414" s="394" t="n"/>
      <c r="AM2414" s="48" t="n"/>
      <c r="AN2414" s="48" t="n"/>
      <c r="AO2414" s="48" t="n"/>
    </row>
    <row r="2415">
      <c r="M2415" s="25" t="n"/>
      <c r="Q2415" s="25" t="n"/>
      <c r="U2415" s="194" t="n"/>
      <c r="AA2415" s="25" t="n"/>
      <c r="AB2415" s="25" t="n"/>
      <c r="AC2415" s="195" t="n"/>
      <c r="AD2415" s="25" t="n"/>
      <c r="AE2415" s="25" t="n"/>
      <c r="AG2415" s="25" t="n"/>
      <c r="AH2415" s="25" t="n"/>
      <c r="AI2415" s="394" t="n"/>
      <c r="AM2415" s="48" t="n"/>
      <c r="AN2415" s="48" t="n"/>
      <c r="AO2415" s="48" t="n"/>
    </row>
    <row r="2416">
      <c r="M2416" s="25" t="n"/>
      <c r="Q2416" s="25" t="n"/>
      <c r="U2416" s="194" t="n"/>
      <c r="AA2416" s="25" t="n"/>
      <c r="AB2416" s="25" t="n"/>
      <c r="AC2416" s="195" t="n"/>
      <c r="AD2416" s="25" t="n"/>
      <c r="AE2416" s="25" t="n"/>
      <c r="AG2416" s="25" t="n"/>
      <c r="AH2416" s="25" t="n"/>
      <c r="AI2416" s="394" t="n"/>
      <c r="AM2416" s="48" t="n"/>
      <c r="AN2416" s="48" t="n"/>
      <c r="AO2416" s="48" t="n"/>
    </row>
    <row r="2417">
      <c r="M2417" s="25" t="n"/>
      <c r="Q2417" s="25" t="n"/>
      <c r="U2417" s="194" t="n"/>
      <c r="AA2417" s="25" t="n"/>
      <c r="AB2417" s="25" t="n"/>
      <c r="AC2417" s="195" t="n"/>
      <c r="AD2417" s="25" t="n"/>
      <c r="AE2417" s="25" t="n"/>
      <c r="AG2417" s="25" t="n"/>
      <c r="AH2417" s="25" t="n"/>
      <c r="AI2417" s="394" t="n"/>
      <c r="AM2417" s="48" t="n"/>
      <c r="AN2417" s="48" t="n"/>
      <c r="AO2417" s="48" t="n"/>
    </row>
    <row r="2418">
      <c r="M2418" s="25" t="n"/>
      <c r="Q2418" s="25" t="n"/>
      <c r="U2418" s="194" t="n"/>
      <c r="AA2418" s="25" t="n"/>
      <c r="AB2418" s="25" t="n"/>
      <c r="AC2418" s="195" t="n"/>
      <c r="AD2418" s="25" t="n"/>
      <c r="AE2418" s="25" t="n"/>
      <c r="AG2418" s="25" t="n"/>
      <c r="AH2418" s="25" t="n"/>
      <c r="AI2418" s="394" t="n"/>
      <c r="AM2418" s="48" t="n"/>
      <c r="AN2418" s="48" t="n"/>
      <c r="AO2418" s="48" t="n"/>
    </row>
    <row r="2419">
      <c r="M2419" s="25" t="n"/>
      <c r="Q2419" s="25" t="n"/>
      <c r="U2419" s="194" t="n"/>
      <c r="AA2419" s="25" t="n"/>
      <c r="AB2419" s="25" t="n"/>
      <c r="AC2419" s="195" t="n"/>
      <c r="AD2419" s="25" t="n"/>
      <c r="AE2419" s="25" t="n"/>
      <c r="AG2419" s="25" t="n"/>
      <c r="AH2419" s="25" t="n"/>
      <c r="AI2419" s="394" t="n"/>
      <c r="AM2419" s="48" t="n"/>
      <c r="AN2419" s="48" t="n"/>
      <c r="AO2419" s="48" t="n"/>
    </row>
    <row r="2420">
      <c r="M2420" s="25" t="n"/>
      <c r="Q2420" s="25" t="n"/>
      <c r="U2420" s="194" t="n"/>
      <c r="AA2420" s="25" t="n"/>
      <c r="AB2420" s="25" t="n"/>
      <c r="AC2420" s="195" t="n"/>
      <c r="AD2420" s="25" t="n"/>
      <c r="AE2420" s="25" t="n"/>
      <c r="AG2420" s="25" t="n"/>
      <c r="AH2420" s="25" t="n"/>
      <c r="AI2420" s="394" t="n"/>
      <c r="AM2420" s="48" t="n"/>
      <c r="AN2420" s="48" t="n"/>
      <c r="AO2420" s="48" t="n"/>
    </row>
    <row r="2421">
      <c r="M2421" s="25" t="n"/>
      <c r="Q2421" s="25" t="n"/>
      <c r="U2421" s="194" t="n"/>
      <c r="AA2421" s="25" t="n"/>
      <c r="AB2421" s="25" t="n"/>
      <c r="AC2421" s="195" t="n"/>
      <c r="AD2421" s="25" t="n"/>
      <c r="AE2421" s="25" t="n"/>
      <c r="AG2421" s="25" t="n"/>
      <c r="AH2421" s="25" t="n"/>
      <c r="AI2421" s="394" t="n"/>
      <c r="AM2421" s="48" t="n"/>
      <c r="AN2421" s="48" t="n"/>
      <c r="AO2421" s="48" t="n"/>
    </row>
    <row r="2422">
      <c r="M2422" s="25" t="n"/>
      <c r="Q2422" s="25" t="n"/>
      <c r="U2422" s="194" t="n"/>
      <c r="AA2422" s="25" t="n"/>
      <c r="AB2422" s="25" t="n"/>
      <c r="AC2422" s="195" t="n"/>
      <c r="AD2422" s="25" t="n"/>
      <c r="AE2422" s="25" t="n"/>
      <c r="AG2422" s="25" t="n"/>
      <c r="AH2422" s="25" t="n"/>
      <c r="AI2422" s="394" t="n"/>
      <c r="AM2422" s="48" t="n"/>
      <c r="AN2422" s="48" t="n"/>
      <c r="AO2422" s="48" t="n"/>
    </row>
    <row r="2423">
      <c r="M2423" s="25" t="n"/>
      <c r="Q2423" s="25" t="n"/>
      <c r="U2423" s="194" t="n"/>
      <c r="AA2423" s="25" t="n"/>
      <c r="AB2423" s="25" t="n"/>
      <c r="AC2423" s="195" t="n"/>
      <c r="AD2423" s="25" t="n"/>
      <c r="AE2423" s="25" t="n"/>
      <c r="AG2423" s="25" t="n"/>
      <c r="AH2423" s="25" t="n"/>
      <c r="AI2423" s="394" t="n"/>
      <c r="AM2423" s="48" t="n"/>
      <c r="AN2423" s="48" t="n"/>
      <c r="AO2423" s="48" t="n"/>
    </row>
    <row r="2424">
      <c r="M2424" s="25" t="n"/>
      <c r="Q2424" s="25" t="n"/>
      <c r="U2424" s="194" t="n"/>
      <c r="AA2424" s="25" t="n"/>
      <c r="AB2424" s="25" t="n"/>
      <c r="AC2424" s="195" t="n"/>
      <c r="AD2424" s="25" t="n"/>
      <c r="AE2424" s="25" t="n"/>
      <c r="AG2424" s="25" t="n"/>
      <c r="AH2424" s="25" t="n"/>
      <c r="AI2424" s="394" t="n"/>
      <c r="AM2424" s="48" t="n"/>
      <c r="AN2424" s="48" t="n"/>
      <c r="AO2424" s="48" t="n"/>
    </row>
    <row r="2425">
      <c r="M2425" s="25" t="n"/>
      <c r="Q2425" s="25" t="n"/>
      <c r="U2425" s="194" t="n"/>
      <c r="AA2425" s="25" t="n"/>
      <c r="AB2425" s="25" t="n"/>
      <c r="AC2425" s="195" t="n"/>
      <c r="AD2425" s="25" t="n"/>
      <c r="AE2425" s="25" t="n"/>
      <c r="AG2425" s="25" t="n"/>
      <c r="AH2425" s="25" t="n"/>
      <c r="AI2425" s="394" t="n"/>
      <c r="AM2425" s="48" t="n"/>
      <c r="AN2425" s="48" t="n"/>
      <c r="AO2425" s="48" t="n"/>
    </row>
    <row r="2426">
      <c r="M2426" s="25" t="n"/>
      <c r="Q2426" s="25" t="n"/>
      <c r="U2426" s="194" t="n"/>
      <c r="AA2426" s="25" t="n"/>
      <c r="AB2426" s="25" t="n"/>
      <c r="AC2426" s="195" t="n"/>
      <c r="AD2426" s="25" t="n"/>
      <c r="AE2426" s="25" t="n"/>
      <c r="AG2426" s="25" t="n"/>
      <c r="AH2426" s="25" t="n"/>
      <c r="AI2426" s="394" t="n"/>
      <c r="AM2426" s="48" t="n"/>
      <c r="AN2426" s="48" t="n"/>
      <c r="AO2426" s="48" t="n"/>
    </row>
    <row r="2427">
      <c r="M2427" s="25" t="n"/>
      <c r="Q2427" s="25" t="n"/>
      <c r="U2427" s="194" t="n"/>
      <c r="AA2427" s="25" t="n"/>
      <c r="AB2427" s="25" t="n"/>
      <c r="AC2427" s="195" t="n"/>
      <c r="AD2427" s="25" t="n"/>
      <c r="AE2427" s="25" t="n"/>
      <c r="AG2427" s="25" t="n"/>
      <c r="AH2427" s="25" t="n"/>
      <c r="AI2427" s="394" t="n"/>
      <c r="AM2427" s="48" t="n"/>
      <c r="AN2427" s="48" t="n"/>
      <c r="AO2427" s="48" t="n"/>
    </row>
    <row r="2428">
      <c r="M2428" s="25" t="n"/>
      <c r="Q2428" s="25" t="n"/>
      <c r="U2428" s="194" t="n"/>
      <c r="AA2428" s="25" t="n"/>
      <c r="AB2428" s="25" t="n"/>
      <c r="AC2428" s="195" t="n"/>
      <c r="AD2428" s="25" t="n"/>
      <c r="AE2428" s="25" t="n"/>
      <c r="AG2428" s="25" t="n"/>
      <c r="AH2428" s="25" t="n"/>
      <c r="AI2428" s="394" t="n"/>
      <c r="AM2428" s="48" t="n"/>
      <c r="AN2428" s="48" t="n"/>
      <c r="AO2428" s="48" t="n"/>
    </row>
    <row r="2429">
      <c r="M2429" s="25" t="n"/>
      <c r="Q2429" s="25" t="n"/>
      <c r="U2429" s="194" t="n"/>
      <c r="AA2429" s="25" t="n"/>
      <c r="AB2429" s="25" t="n"/>
      <c r="AC2429" s="195" t="n"/>
      <c r="AD2429" s="25" t="n"/>
      <c r="AE2429" s="25" t="n"/>
      <c r="AG2429" s="25" t="n"/>
      <c r="AH2429" s="25" t="n"/>
      <c r="AI2429" s="394" t="n"/>
      <c r="AM2429" s="48" t="n"/>
      <c r="AN2429" s="48" t="n"/>
      <c r="AO2429" s="48" t="n"/>
    </row>
    <row r="2430">
      <c r="M2430" s="25" t="n"/>
      <c r="Q2430" s="25" t="n"/>
      <c r="U2430" s="194" t="n"/>
      <c r="AA2430" s="25" t="n"/>
      <c r="AB2430" s="25" t="n"/>
      <c r="AC2430" s="195" t="n"/>
      <c r="AD2430" s="25" t="n"/>
      <c r="AE2430" s="25" t="n"/>
      <c r="AG2430" s="25" t="n"/>
      <c r="AH2430" s="25" t="n"/>
      <c r="AI2430" s="394" t="n"/>
      <c r="AM2430" s="48" t="n"/>
      <c r="AN2430" s="48" t="n"/>
      <c r="AO2430" s="48" t="n"/>
    </row>
    <row r="2431">
      <c r="M2431" s="25" t="n"/>
      <c r="Q2431" s="25" t="n"/>
      <c r="U2431" s="194" t="n"/>
      <c r="AA2431" s="25" t="n"/>
      <c r="AB2431" s="25" t="n"/>
      <c r="AC2431" s="195" t="n"/>
      <c r="AD2431" s="25" t="n"/>
      <c r="AE2431" s="25" t="n"/>
      <c r="AG2431" s="25" t="n"/>
      <c r="AH2431" s="25" t="n"/>
      <c r="AI2431" s="394" t="n"/>
      <c r="AM2431" s="48" t="n"/>
      <c r="AN2431" s="48" t="n"/>
      <c r="AO2431" s="48" t="n"/>
    </row>
    <row r="2432">
      <c r="M2432" s="25" t="n"/>
      <c r="Q2432" s="25" t="n"/>
      <c r="U2432" s="194" t="n"/>
      <c r="AA2432" s="25" t="n"/>
      <c r="AB2432" s="25" t="n"/>
      <c r="AC2432" s="195" t="n"/>
      <c r="AD2432" s="25" t="n"/>
      <c r="AE2432" s="25" t="n"/>
      <c r="AG2432" s="25" t="n"/>
      <c r="AH2432" s="25" t="n"/>
      <c r="AI2432" s="394" t="n"/>
      <c r="AM2432" s="48" t="n"/>
      <c r="AN2432" s="48" t="n"/>
      <c r="AO2432" s="48" t="n"/>
    </row>
    <row r="2433">
      <c r="M2433" s="25" t="n"/>
      <c r="Q2433" s="25" t="n"/>
      <c r="U2433" s="194" t="n"/>
      <c r="AA2433" s="25" t="n"/>
      <c r="AB2433" s="25" t="n"/>
      <c r="AC2433" s="195" t="n"/>
      <c r="AD2433" s="25" t="n"/>
      <c r="AE2433" s="25" t="n"/>
      <c r="AG2433" s="25" t="n"/>
      <c r="AH2433" s="25" t="n"/>
      <c r="AI2433" s="394" t="n"/>
      <c r="AM2433" s="48" t="n"/>
      <c r="AN2433" s="48" t="n"/>
      <c r="AO2433" s="48" t="n"/>
    </row>
    <row r="2434">
      <c r="M2434" s="25" t="n"/>
      <c r="Q2434" s="25" t="n"/>
      <c r="U2434" s="194" t="n"/>
      <c r="AA2434" s="25" t="n"/>
      <c r="AB2434" s="25" t="n"/>
      <c r="AC2434" s="195" t="n"/>
      <c r="AD2434" s="25" t="n"/>
      <c r="AE2434" s="25" t="n"/>
      <c r="AG2434" s="25" t="n"/>
      <c r="AH2434" s="25" t="n"/>
      <c r="AI2434" s="394" t="n"/>
      <c r="AM2434" s="48" t="n"/>
      <c r="AN2434" s="48" t="n"/>
      <c r="AO2434" s="48" t="n"/>
    </row>
    <row r="2435">
      <c r="M2435" s="25" t="n"/>
      <c r="Q2435" s="25" t="n"/>
      <c r="U2435" s="194" t="n"/>
      <c r="AA2435" s="25" t="n"/>
      <c r="AB2435" s="25" t="n"/>
      <c r="AC2435" s="195" t="n"/>
      <c r="AD2435" s="25" t="n"/>
      <c r="AE2435" s="25" t="n"/>
      <c r="AG2435" s="25" t="n"/>
      <c r="AH2435" s="25" t="n"/>
      <c r="AI2435" s="394" t="n"/>
      <c r="AM2435" s="48" t="n"/>
      <c r="AN2435" s="48" t="n"/>
      <c r="AO2435" s="48" t="n"/>
    </row>
    <row r="2436">
      <c r="M2436" s="25" t="n"/>
      <c r="Q2436" s="25" t="n"/>
      <c r="U2436" s="194" t="n"/>
      <c r="AA2436" s="25" t="n"/>
      <c r="AB2436" s="25" t="n"/>
      <c r="AC2436" s="195" t="n"/>
      <c r="AD2436" s="25" t="n"/>
      <c r="AE2436" s="25" t="n"/>
      <c r="AG2436" s="25" t="n"/>
      <c r="AH2436" s="25" t="n"/>
      <c r="AI2436" s="394" t="n"/>
      <c r="AM2436" s="48" t="n"/>
      <c r="AN2436" s="48" t="n"/>
      <c r="AO2436" s="48" t="n"/>
    </row>
    <row r="2437">
      <c r="M2437" s="25" t="n"/>
      <c r="Q2437" s="25" t="n"/>
      <c r="U2437" s="194" t="n"/>
      <c r="AA2437" s="25" t="n"/>
      <c r="AB2437" s="25" t="n"/>
      <c r="AC2437" s="195" t="n"/>
      <c r="AD2437" s="25" t="n"/>
      <c r="AE2437" s="25" t="n"/>
      <c r="AG2437" s="25" t="n"/>
      <c r="AH2437" s="25" t="n"/>
      <c r="AI2437" s="394" t="n"/>
      <c r="AM2437" s="48" t="n"/>
      <c r="AN2437" s="48" t="n"/>
      <c r="AO2437" s="48" t="n"/>
    </row>
    <row r="2438">
      <c r="M2438" s="25" t="n"/>
      <c r="Q2438" s="25" t="n"/>
      <c r="U2438" s="194" t="n"/>
      <c r="AA2438" s="25" t="n"/>
      <c r="AB2438" s="25" t="n"/>
      <c r="AC2438" s="195" t="n"/>
      <c r="AD2438" s="25" t="n"/>
      <c r="AE2438" s="25" t="n"/>
      <c r="AG2438" s="25" t="n"/>
      <c r="AH2438" s="25" t="n"/>
      <c r="AI2438" s="394" t="n"/>
      <c r="AM2438" s="48" t="n"/>
      <c r="AN2438" s="48" t="n"/>
      <c r="AO2438" s="48" t="n"/>
    </row>
    <row r="2439">
      <c r="M2439" s="25" t="n"/>
      <c r="Q2439" s="25" t="n"/>
      <c r="U2439" s="194" t="n"/>
      <c r="AA2439" s="25" t="n"/>
      <c r="AB2439" s="25" t="n"/>
      <c r="AC2439" s="195" t="n"/>
      <c r="AD2439" s="25" t="n"/>
      <c r="AE2439" s="25" t="n"/>
      <c r="AG2439" s="25" t="n"/>
      <c r="AH2439" s="25" t="n"/>
      <c r="AI2439" s="394" t="n"/>
      <c r="AM2439" s="48" t="n"/>
      <c r="AN2439" s="48" t="n"/>
      <c r="AO2439" s="48" t="n"/>
    </row>
    <row r="2440">
      <c r="M2440" s="25" t="n"/>
      <c r="Q2440" s="25" t="n"/>
      <c r="U2440" s="194" t="n"/>
      <c r="AA2440" s="25" t="n"/>
      <c r="AB2440" s="25" t="n"/>
      <c r="AC2440" s="195" t="n"/>
      <c r="AD2440" s="25" t="n"/>
      <c r="AE2440" s="25" t="n"/>
      <c r="AG2440" s="25" t="n"/>
      <c r="AH2440" s="25" t="n"/>
      <c r="AI2440" s="394" t="n"/>
      <c r="AM2440" s="48" t="n"/>
      <c r="AN2440" s="48" t="n"/>
      <c r="AO2440" s="48" t="n"/>
    </row>
    <row r="2441">
      <c r="M2441" s="25" t="n"/>
      <c r="Q2441" s="25" t="n"/>
      <c r="U2441" s="194" t="n"/>
      <c r="AA2441" s="25" t="n"/>
      <c r="AB2441" s="25" t="n"/>
      <c r="AC2441" s="195" t="n"/>
      <c r="AD2441" s="25" t="n"/>
      <c r="AE2441" s="25" t="n"/>
      <c r="AG2441" s="25" t="n"/>
      <c r="AH2441" s="25" t="n"/>
      <c r="AI2441" s="394" t="n"/>
      <c r="AM2441" s="48" t="n"/>
      <c r="AN2441" s="48" t="n"/>
      <c r="AO2441" s="48" t="n"/>
    </row>
    <row r="2442">
      <c r="M2442" s="25" t="n"/>
      <c r="Q2442" s="25" t="n"/>
      <c r="U2442" s="194" t="n"/>
      <c r="AA2442" s="25" t="n"/>
      <c r="AB2442" s="25" t="n"/>
      <c r="AC2442" s="195" t="n"/>
      <c r="AD2442" s="25" t="n"/>
      <c r="AE2442" s="25" t="n"/>
      <c r="AG2442" s="25" t="n"/>
      <c r="AH2442" s="25" t="n"/>
      <c r="AI2442" s="394" t="n"/>
      <c r="AM2442" s="48" t="n"/>
      <c r="AN2442" s="48" t="n"/>
      <c r="AO2442" s="48" t="n"/>
    </row>
    <row r="2443">
      <c r="M2443" s="25" t="n"/>
      <c r="Q2443" s="25" t="n"/>
      <c r="U2443" s="194" t="n"/>
      <c r="AA2443" s="25" t="n"/>
      <c r="AB2443" s="25" t="n"/>
      <c r="AC2443" s="195" t="n"/>
      <c r="AD2443" s="25" t="n"/>
      <c r="AE2443" s="25" t="n"/>
      <c r="AG2443" s="25" t="n"/>
      <c r="AH2443" s="25" t="n"/>
      <c r="AI2443" s="394" t="n"/>
      <c r="AM2443" s="48" t="n"/>
      <c r="AN2443" s="48" t="n"/>
      <c r="AO2443" s="48" t="n"/>
    </row>
    <row r="2444">
      <c r="M2444" s="25" t="n"/>
      <c r="Q2444" s="25" t="n"/>
      <c r="U2444" s="194" t="n"/>
      <c r="AA2444" s="25" t="n"/>
      <c r="AB2444" s="25" t="n"/>
      <c r="AC2444" s="195" t="n"/>
      <c r="AD2444" s="25" t="n"/>
      <c r="AE2444" s="25" t="n"/>
      <c r="AG2444" s="25" t="n"/>
      <c r="AH2444" s="25" t="n"/>
      <c r="AI2444" s="394" t="n"/>
      <c r="AM2444" s="48" t="n"/>
      <c r="AN2444" s="48" t="n"/>
      <c r="AO2444" s="48" t="n"/>
    </row>
    <row r="2445">
      <c r="M2445" s="25" t="n"/>
      <c r="Q2445" s="25" t="n"/>
      <c r="U2445" s="194" t="n"/>
      <c r="AA2445" s="25" t="n"/>
      <c r="AB2445" s="25" t="n"/>
      <c r="AC2445" s="195" t="n"/>
      <c r="AD2445" s="25" t="n"/>
      <c r="AE2445" s="25" t="n"/>
      <c r="AG2445" s="25" t="n"/>
      <c r="AH2445" s="25" t="n"/>
      <c r="AI2445" s="394" t="n"/>
      <c r="AM2445" s="48" t="n"/>
      <c r="AN2445" s="48" t="n"/>
      <c r="AO2445" s="48" t="n"/>
    </row>
    <row r="2446">
      <c r="M2446" s="25" t="n"/>
      <c r="Q2446" s="25" t="n"/>
      <c r="U2446" s="194" t="n"/>
      <c r="AA2446" s="25" t="n"/>
      <c r="AB2446" s="25" t="n"/>
      <c r="AC2446" s="195" t="n"/>
      <c r="AD2446" s="25" t="n"/>
      <c r="AE2446" s="25" t="n"/>
      <c r="AG2446" s="25" t="n"/>
      <c r="AH2446" s="25" t="n"/>
      <c r="AI2446" s="394" t="n"/>
      <c r="AM2446" s="48" t="n"/>
      <c r="AN2446" s="48" t="n"/>
      <c r="AO2446" s="48" t="n"/>
    </row>
    <row r="2447">
      <c r="M2447" s="25" t="n"/>
      <c r="Q2447" s="25" t="n"/>
      <c r="U2447" s="194" t="n"/>
      <c r="AA2447" s="25" t="n"/>
      <c r="AB2447" s="25" t="n"/>
      <c r="AC2447" s="195" t="n"/>
      <c r="AD2447" s="25" t="n"/>
      <c r="AE2447" s="25" t="n"/>
      <c r="AG2447" s="25" t="n"/>
      <c r="AH2447" s="25" t="n"/>
      <c r="AI2447" s="394" t="n"/>
      <c r="AM2447" s="48" t="n"/>
      <c r="AN2447" s="48" t="n"/>
      <c r="AO2447" s="48" t="n"/>
    </row>
    <row r="2448">
      <c r="M2448" s="25" t="n"/>
      <c r="Q2448" s="25" t="n"/>
      <c r="U2448" s="194" t="n"/>
      <c r="AA2448" s="25" t="n"/>
      <c r="AB2448" s="25" t="n"/>
      <c r="AC2448" s="195" t="n"/>
      <c r="AD2448" s="25" t="n"/>
      <c r="AE2448" s="25" t="n"/>
      <c r="AG2448" s="25" t="n"/>
      <c r="AH2448" s="25" t="n"/>
      <c r="AI2448" s="394" t="n"/>
      <c r="AM2448" s="48" t="n"/>
      <c r="AN2448" s="48" t="n"/>
      <c r="AO2448" s="48" t="n"/>
    </row>
    <row r="2449">
      <c r="M2449" s="25" t="n"/>
      <c r="Q2449" s="25" t="n"/>
      <c r="U2449" s="194" t="n"/>
      <c r="AA2449" s="25" t="n"/>
      <c r="AB2449" s="25" t="n"/>
      <c r="AC2449" s="195" t="n"/>
      <c r="AD2449" s="25" t="n"/>
      <c r="AE2449" s="25" t="n"/>
      <c r="AG2449" s="25" t="n"/>
      <c r="AH2449" s="25" t="n"/>
      <c r="AI2449" s="394" t="n"/>
      <c r="AM2449" s="48" t="n"/>
      <c r="AN2449" s="48" t="n"/>
      <c r="AO2449" s="48" t="n"/>
    </row>
    <row r="2450">
      <c r="M2450" s="25" t="n"/>
      <c r="Q2450" s="25" t="n"/>
      <c r="U2450" s="194" t="n"/>
      <c r="AA2450" s="25" t="n"/>
      <c r="AB2450" s="25" t="n"/>
      <c r="AC2450" s="195" t="n"/>
      <c r="AD2450" s="25" t="n"/>
      <c r="AE2450" s="25" t="n"/>
      <c r="AG2450" s="25" t="n"/>
      <c r="AH2450" s="25" t="n"/>
      <c r="AI2450" s="394" t="n"/>
      <c r="AM2450" s="48" t="n"/>
      <c r="AN2450" s="48" t="n"/>
      <c r="AO2450" s="48" t="n"/>
    </row>
    <row r="2451">
      <c r="M2451" s="25" t="n"/>
      <c r="Q2451" s="25" t="n"/>
      <c r="U2451" s="194" t="n"/>
      <c r="AA2451" s="25" t="n"/>
      <c r="AB2451" s="25" t="n"/>
      <c r="AC2451" s="195" t="n"/>
      <c r="AD2451" s="25" t="n"/>
      <c r="AE2451" s="25" t="n"/>
      <c r="AG2451" s="25" t="n"/>
      <c r="AH2451" s="25" t="n"/>
      <c r="AI2451" s="394" t="n"/>
      <c r="AM2451" s="48" t="n"/>
      <c r="AN2451" s="48" t="n"/>
      <c r="AO2451" s="48" t="n"/>
    </row>
    <row r="2452">
      <c r="M2452" s="25" t="n"/>
      <c r="Q2452" s="25" t="n"/>
      <c r="U2452" s="194" t="n"/>
      <c r="AA2452" s="25" t="n"/>
      <c r="AB2452" s="25" t="n"/>
      <c r="AC2452" s="195" t="n"/>
      <c r="AD2452" s="25" t="n"/>
      <c r="AE2452" s="25" t="n"/>
      <c r="AG2452" s="25" t="n"/>
      <c r="AH2452" s="25" t="n"/>
      <c r="AI2452" s="394" t="n"/>
      <c r="AM2452" s="48" t="n"/>
      <c r="AN2452" s="48" t="n"/>
      <c r="AO2452" s="48" t="n"/>
    </row>
    <row r="2453">
      <c r="M2453" s="25" t="n"/>
      <c r="Q2453" s="25" t="n"/>
      <c r="U2453" s="194" t="n"/>
      <c r="AA2453" s="25" t="n"/>
      <c r="AB2453" s="25" t="n"/>
      <c r="AC2453" s="195" t="n"/>
      <c r="AD2453" s="25" t="n"/>
      <c r="AE2453" s="25" t="n"/>
      <c r="AG2453" s="25" t="n"/>
      <c r="AH2453" s="25" t="n"/>
      <c r="AI2453" s="394" t="n"/>
      <c r="AM2453" s="48" t="n"/>
      <c r="AN2453" s="48" t="n"/>
      <c r="AO2453" s="48" t="n"/>
    </row>
    <row r="2454">
      <c r="M2454" s="25" t="n"/>
      <c r="Q2454" s="25" t="n"/>
      <c r="U2454" s="194" t="n"/>
      <c r="AA2454" s="25" t="n"/>
      <c r="AB2454" s="25" t="n"/>
      <c r="AC2454" s="195" t="n"/>
      <c r="AD2454" s="25" t="n"/>
      <c r="AE2454" s="25" t="n"/>
      <c r="AG2454" s="25" t="n"/>
      <c r="AH2454" s="25" t="n"/>
      <c r="AI2454" s="394" t="n"/>
      <c r="AM2454" s="48" t="n"/>
      <c r="AN2454" s="48" t="n"/>
      <c r="AO2454" s="48" t="n"/>
    </row>
    <row r="2455">
      <c r="M2455" s="25" t="n"/>
      <c r="Q2455" s="25" t="n"/>
      <c r="U2455" s="194" t="n"/>
      <c r="AA2455" s="25" t="n"/>
      <c r="AB2455" s="25" t="n"/>
      <c r="AC2455" s="195" t="n"/>
      <c r="AD2455" s="25" t="n"/>
      <c r="AE2455" s="25" t="n"/>
      <c r="AG2455" s="25" t="n"/>
      <c r="AH2455" s="25" t="n"/>
      <c r="AI2455" s="394" t="n"/>
      <c r="AM2455" s="48" t="n"/>
      <c r="AN2455" s="48" t="n"/>
      <c r="AO2455" s="48" t="n"/>
    </row>
    <row r="2456">
      <c r="M2456" s="25" t="n"/>
      <c r="Q2456" s="25" t="n"/>
      <c r="U2456" s="194" t="n"/>
      <c r="AA2456" s="25" t="n"/>
      <c r="AB2456" s="25" t="n"/>
      <c r="AC2456" s="195" t="n"/>
      <c r="AD2456" s="25" t="n"/>
      <c r="AE2456" s="25" t="n"/>
      <c r="AG2456" s="25" t="n"/>
      <c r="AH2456" s="25" t="n"/>
      <c r="AI2456" s="394" t="n"/>
      <c r="AM2456" s="48" t="n"/>
      <c r="AN2456" s="48" t="n"/>
      <c r="AO2456" s="48" t="n"/>
    </row>
    <row r="2457">
      <c r="M2457" s="25" t="n"/>
      <c r="Q2457" s="25" t="n"/>
      <c r="U2457" s="194" t="n"/>
      <c r="AA2457" s="25" t="n"/>
      <c r="AB2457" s="25" t="n"/>
      <c r="AC2457" s="195" t="n"/>
      <c r="AD2457" s="25" t="n"/>
      <c r="AE2457" s="25" t="n"/>
      <c r="AG2457" s="25" t="n"/>
      <c r="AH2457" s="25" t="n"/>
      <c r="AI2457" s="394" t="n"/>
      <c r="AM2457" s="48" t="n"/>
      <c r="AN2457" s="48" t="n"/>
      <c r="AO2457" s="48" t="n"/>
    </row>
    <row r="2458">
      <c r="M2458" s="25" t="n"/>
      <c r="Q2458" s="25" t="n"/>
      <c r="U2458" s="194" t="n"/>
      <c r="AA2458" s="25" t="n"/>
      <c r="AB2458" s="25" t="n"/>
      <c r="AC2458" s="195" t="n"/>
      <c r="AD2458" s="25" t="n"/>
      <c r="AE2458" s="25" t="n"/>
      <c r="AG2458" s="25" t="n"/>
      <c r="AH2458" s="25" t="n"/>
      <c r="AI2458" s="394" t="n"/>
      <c r="AM2458" s="48" t="n"/>
      <c r="AN2458" s="48" t="n"/>
      <c r="AO2458" s="48" t="n"/>
    </row>
    <row r="2459">
      <c r="M2459" s="25" t="n"/>
      <c r="Q2459" s="25" t="n"/>
      <c r="U2459" s="194" t="n"/>
      <c r="AA2459" s="25" t="n"/>
      <c r="AB2459" s="25" t="n"/>
      <c r="AC2459" s="195" t="n"/>
      <c r="AD2459" s="25" t="n"/>
      <c r="AE2459" s="25" t="n"/>
      <c r="AG2459" s="25" t="n"/>
      <c r="AH2459" s="25" t="n"/>
      <c r="AI2459" s="394" t="n"/>
      <c r="AM2459" s="48" t="n"/>
      <c r="AN2459" s="48" t="n"/>
      <c r="AO2459" s="48" t="n"/>
    </row>
    <row r="2460">
      <c r="M2460" s="25" t="n"/>
      <c r="Q2460" s="25" t="n"/>
      <c r="U2460" s="194" t="n"/>
      <c r="AA2460" s="25" t="n"/>
      <c r="AB2460" s="25" t="n"/>
      <c r="AC2460" s="195" t="n"/>
      <c r="AD2460" s="25" t="n"/>
      <c r="AE2460" s="25" t="n"/>
      <c r="AG2460" s="25" t="n"/>
      <c r="AH2460" s="25" t="n"/>
      <c r="AI2460" s="394" t="n"/>
      <c r="AM2460" s="48" t="n"/>
      <c r="AN2460" s="48" t="n"/>
      <c r="AO2460" s="48" t="n"/>
    </row>
    <row r="2461">
      <c r="M2461" s="25" t="n"/>
      <c r="Q2461" s="25" t="n"/>
      <c r="U2461" s="194" t="n"/>
      <c r="AA2461" s="25" t="n"/>
      <c r="AB2461" s="25" t="n"/>
      <c r="AC2461" s="195" t="n"/>
      <c r="AD2461" s="25" t="n"/>
      <c r="AE2461" s="25" t="n"/>
      <c r="AG2461" s="25" t="n"/>
      <c r="AH2461" s="25" t="n"/>
      <c r="AI2461" s="394" t="n"/>
      <c r="AM2461" s="48" t="n"/>
      <c r="AN2461" s="48" t="n"/>
      <c r="AO2461" s="48" t="n"/>
    </row>
    <row r="2462">
      <c r="M2462" s="25" t="n"/>
      <c r="Q2462" s="25" t="n"/>
      <c r="U2462" s="194" t="n"/>
      <c r="AA2462" s="25" t="n"/>
      <c r="AB2462" s="25" t="n"/>
      <c r="AC2462" s="195" t="n"/>
      <c r="AD2462" s="25" t="n"/>
      <c r="AE2462" s="25" t="n"/>
      <c r="AG2462" s="25" t="n"/>
      <c r="AH2462" s="25" t="n"/>
      <c r="AI2462" s="394" t="n"/>
      <c r="AM2462" s="48" t="n"/>
      <c r="AN2462" s="48" t="n"/>
      <c r="AO2462" s="48" t="n"/>
    </row>
    <row r="2463">
      <c r="M2463" s="25" t="n"/>
      <c r="Q2463" s="25" t="n"/>
      <c r="U2463" s="194" t="n"/>
      <c r="AA2463" s="25" t="n"/>
      <c r="AB2463" s="25" t="n"/>
      <c r="AC2463" s="195" t="n"/>
      <c r="AD2463" s="25" t="n"/>
      <c r="AE2463" s="25" t="n"/>
      <c r="AG2463" s="25" t="n"/>
      <c r="AH2463" s="25" t="n"/>
      <c r="AI2463" s="394" t="n"/>
      <c r="AM2463" s="48" t="n"/>
      <c r="AN2463" s="48" t="n"/>
      <c r="AO2463" s="48" t="n"/>
    </row>
    <row r="2464">
      <c r="M2464" s="25" t="n"/>
      <c r="Q2464" s="25" t="n"/>
      <c r="U2464" s="194" t="n"/>
      <c r="AA2464" s="25" t="n"/>
      <c r="AB2464" s="25" t="n"/>
      <c r="AC2464" s="195" t="n"/>
      <c r="AD2464" s="25" t="n"/>
      <c r="AE2464" s="25" t="n"/>
      <c r="AG2464" s="25" t="n"/>
      <c r="AH2464" s="25" t="n"/>
      <c r="AI2464" s="394" t="n"/>
      <c r="AM2464" s="48" t="n"/>
      <c r="AN2464" s="48" t="n"/>
      <c r="AO2464" s="48" t="n"/>
    </row>
    <row r="2465">
      <c r="M2465" s="25" t="n"/>
      <c r="Q2465" s="25" t="n"/>
      <c r="U2465" s="194" t="n"/>
      <c r="AA2465" s="25" t="n"/>
      <c r="AB2465" s="25" t="n"/>
      <c r="AC2465" s="195" t="n"/>
      <c r="AD2465" s="25" t="n"/>
      <c r="AE2465" s="25" t="n"/>
      <c r="AG2465" s="25" t="n"/>
      <c r="AH2465" s="25" t="n"/>
      <c r="AI2465" s="394" t="n"/>
      <c r="AM2465" s="48" t="n"/>
      <c r="AN2465" s="48" t="n"/>
      <c r="AO2465" s="48" t="n"/>
    </row>
    <row r="2466">
      <c r="M2466" s="25" t="n"/>
      <c r="Q2466" s="25" t="n"/>
      <c r="U2466" s="194" t="n"/>
      <c r="AA2466" s="25" t="n"/>
      <c r="AB2466" s="25" t="n"/>
      <c r="AC2466" s="195" t="n"/>
      <c r="AD2466" s="25" t="n"/>
      <c r="AE2466" s="25" t="n"/>
      <c r="AG2466" s="25" t="n"/>
      <c r="AH2466" s="25" t="n"/>
      <c r="AI2466" s="394" t="n"/>
      <c r="AM2466" s="48" t="n"/>
      <c r="AN2466" s="48" t="n"/>
      <c r="AO2466" s="48" t="n"/>
    </row>
    <row r="2467">
      <c r="M2467" s="25" t="n"/>
      <c r="Q2467" s="25" t="n"/>
      <c r="U2467" s="194" t="n"/>
      <c r="AA2467" s="25" t="n"/>
      <c r="AB2467" s="25" t="n"/>
      <c r="AC2467" s="195" t="n"/>
      <c r="AD2467" s="25" t="n"/>
      <c r="AE2467" s="25" t="n"/>
      <c r="AG2467" s="25" t="n"/>
      <c r="AH2467" s="25" t="n"/>
      <c r="AI2467" s="394" t="n"/>
      <c r="AM2467" s="48" t="n"/>
      <c r="AN2467" s="48" t="n"/>
      <c r="AO2467" s="48" t="n"/>
    </row>
    <row r="2468">
      <c r="M2468" s="25" t="n"/>
      <c r="Q2468" s="25" t="n"/>
      <c r="U2468" s="194" t="n"/>
      <c r="AA2468" s="25" t="n"/>
      <c r="AB2468" s="25" t="n"/>
      <c r="AC2468" s="195" t="n"/>
      <c r="AD2468" s="25" t="n"/>
      <c r="AE2468" s="25" t="n"/>
      <c r="AG2468" s="25" t="n"/>
      <c r="AH2468" s="25" t="n"/>
      <c r="AI2468" s="394" t="n"/>
      <c r="AM2468" s="48" t="n"/>
      <c r="AN2468" s="48" t="n"/>
      <c r="AO2468" s="48" t="n"/>
    </row>
    <row r="2469">
      <c r="M2469" s="25" t="n"/>
      <c r="Q2469" s="25" t="n"/>
      <c r="U2469" s="194" t="n"/>
      <c r="AA2469" s="25" t="n"/>
      <c r="AB2469" s="25" t="n"/>
      <c r="AC2469" s="195" t="n"/>
      <c r="AD2469" s="25" t="n"/>
      <c r="AE2469" s="25" t="n"/>
      <c r="AG2469" s="25" t="n"/>
      <c r="AH2469" s="25" t="n"/>
      <c r="AI2469" s="394" t="n"/>
      <c r="AM2469" s="48" t="n"/>
      <c r="AN2469" s="48" t="n"/>
      <c r="AO2469" s="48" t="n"/>
    </row>
    <row r="2470">
      <c r="M2470" s="25" t="n"/>
      <c r="Q2470" s="25" t="n"/>
      <c r="U2470" s="194" t="n"/>
      <c r="AA2470" s="25" t="n"/>
      <c r="AB2470" s="25" t="n"/>
      <c r="AC2470" s="195" t="n"/>
      <c r="AD2470" s="25" t="n"/>
      <c r="AE2470" s="25" t="n"/>
      <c r="AG2470" s="25" t="n"/>
      <c r="AH2470" s="25" t="n"/>
      <c r="AI2470" s="394" t="n"/>
      <c r="AM2470" s="48" t="n"/>
      <c r="AN2470" s="48" t="n"/>
      <c r="AO2470" s="48" t="n"/>
    </row>
    <row r="2471">
      <c r="M2471" s="25" t="n"/>
      <c r="Q2471" s="25" t="n"/>
      <c r="U2471" s="194" t="n"/>
      <c r="AA2471" s="25" t="n"/>
      <c r="AB2471" s="25" t="n"/>
      <c r="AC2471" s="195" t="n"/>
      <c r="AD2471" s="25" t="n"/>
      <c r="AE2471" s="25" t="n"/>
      <c r="AG2471" s="25" t="n"/>
      <c r="AH2471" s="25" t="n"/>
      <c r="AI2471" s="394" t="n"/>
      <c r="AM2471" s="48" t="n"/>
      <c r="AN2471" s="48" t="n"/>
      <c r="AO2471" s="48" t="n"/>
    </row>
    <row r="2472">
      <c r="M2472" s="25" t="n"/>
      <c r="Q2472" s="25" t="n"/>
      <c r="U2472" s="194" t="n"/>
      <c r="AA2472" s="25" t="n"/>
      <c r="AB2472" s="25" t="n"/>
      <c r="AC2472" s="195" t="n"/>
      <c r="AD2472" s="25" t="n"/>
      <c r="AE2472" s="25" t="n"/>
      <c r="AG2472" s="25" t="n"/>
      <c r="AH2472" s="25" t="n"/>
      <c r="AI2472" s="394" t="n"/>
      <c r="AM2472" s="48" t="n"/>
      <c r="AN2472" s="48" t="n"/>
      <c r="AO2472" s="48" t="n"/>
    </row>
    <row r="2473">
      <c r="M2473" s="25" t="n"/>
      <c r="Q2473" s="25" t="n"/>
      <c r="U2473" s="194" t="n"/>
      <c r="AA2473" s="25" t="n"/>
      <c r="AB2473" s="25" t="n"/>
      <c r="AC2473" s="195" t="n"/>
      <c r="AD2473" s="25" t="n"/>
      <c r="AE2473" s="25" t="n"/>
      <c r="AG2473" s="25" t="n"/>
      <c r="AH2473" s="25" t="n"/>
      <c r="AI2473" s="394" t="n"/>
      <c r="AM2473" s="48" t="n"/>
      <c r="AN2473" s="48" t="n"/>
      <c r="AO2473" s="48" t="n"/>
    </row>
    <row r="2474">
      <c r="M2474" s="25" t="n"/>
      <c r="Q2474" s="25" t="n"/>
      <c r="U2474" s="194" t="n"/>
      <c r="AA2474" s="25" t="n"/>
      <c r="AB2474" s="25" t="n"/>
      <c r="AC2474" s="195" t="n"/>
      <c r="AD2474" s="25" t="n"/>
      <c r="AE2474" s="25" t="n"/>
      <c r="AG2474" s="25" t="n"/>
      <c r="AH2474" s="25" t="n"/>
      <c r="AI2474" s="394" t="n"/>
      <c r="AM2474" s="48" t="n"/>
      <c r="AN2474" s="48" t="n"/>
      <c r="AO2474" s="48" t="n"/>
    </row>
    <row r="2475">
      <c r="M2475" s="25" t="n"/>
      <c r="Q2475" s="25" t="n"/>
      <c r="U2475" s="194" t="n"/>
      <c r="AA2475" s="25" t="n"/>
      <c r="AB2475" s="25" t="n"/>
      <c r="AC2475" s="195" t="n"/>
      <c r="AD2475" s="25" t="n"/>
      <c r="AE2475" s="25" t="n"/>
      <c r="AG2475" s="25" t="n"/>
      <c r="AH2475" s="25" t="n"/>
      <c r="AI2475" s="394" t="n"/>
      <c r="AM2475" s="48" t="n"/>
      <c r="AN2475" s="48" t="n"/>
      <c r="AO2475" s="48" t="n"/>
    </row>
    <row r="2476">
      <c r="M2476" s="25" t="n"/>
      <c r="Q2476" s="25" t="n"/>
      <c r="U2476" s="194" t="n"/>
      <c r="AA2476" s="25" t="n"/>
      <c r="AB2476" s="25" t="n"/>
      <c r="AC2476" s="195" t="n"/>
      <c r="AD2476" s="25" t="n"/>
      <c r="AE2476" s="25" t="n"/>
      <c r="AG2476" s="25" t="n"/>
      <c r="AH2476" s="25" t="n"/>
      <c r="AI2476" s="394" t="n"/>
      <c r="AM2476" s="48" t="n"/>
      <c r="AN2476" s="48" t="n"/>
      <c r="AO2476" s="48" t="n"/>
    </row>
    <row r="2477">
      <c r="M2477" s="25" t="n"/>
      <c r="Q2477" s="25" t="n"/>
      <c r="U2477" s="194" t="n"/>
      <c r="AA2477" s="25" t="n"/>
      <c r="AB2477" s="25" t="n"/>
      <c r="AC2477" s="195" t="n"/>
      <c r="AD2477" s="25" t="n"/>
      <c r="AE2477" s="25" t="n"/>
      <c r="AG2477" s="25" t="n"/>
      <c r="AH2477" s="25" t="n"/>
      <c r="AI2477" s="394" t="n"/>
      <c r="AM2477" s="48" t="n"/>
      <c r="AN2477" s="48" t="n"/>
      <c r="AO2477" s="48" t="n"/>
    </row>
    <row r="2478">
      <c r="M2478" s="25" t="n"/>
      <c r="Q2478" s="25" t="n"/>
      <c r="U2478" s="194" t="n"/>
      <c r="AA2478" s="25" t="n"/>
      <c r="AB2478" s="25" t="n"/>
      <c r="AC2478" s="195" t="n"/>
      <c r="AD2478" s="25" t="n"/>
      <c r="AE2478" s="25" t="n"/>
      <c r="AG2478" s="25" t="n"/>
      <c r="AH2478" s="25" t="n"/>
      <c r="AI2478" s="394" t="n"/>
      <c r="AM2478" s="48" t="n"/>
      <c r="AN2478" s="48" t="n"/>
      <c r="AO2478" s="48" t="n"/>
    </row>
    <row r="2479">
      <c r="M2479" s="25" t="n"/>
      <c r="Q2479" s="25" t="n"/>
      <c r="U2479" s="194" t="n"/>
      <c r="AA2479" s="25" t="n"/>
      <c r="AB2479" s="25" t="n"/>
      <c r="AC2479" s="195" t="n"/>
      <c r="AD2479" s="25" t="n"/>
      <c r="AE2479" s="25" t="n"/>
      <c r="AG2479" s="25" t="n"/>
      <c r="AH2479" s="25" t="n"/>
      <c r="AI2479" s="394" t="n"/>
      <c r="AM2479" s="48" t="n"/>
      <c r="AN2479" s="48" t="n"/>
      <c r="AO2479" s="48" t="n"/>
    </row>
    <row r="2480">
      <c r="M2480" s="25" t="n"/>
      <c r="Q2480" s="25" t="n"/>
      <c r="U2480" s="194" t="n"/>
      <c r="AA2480" s="25" t="n"/>
      <c r="AB2480" s="25" t="n"/>
      <c r="AC2480" s="195" t="n"/>
      <c r="AD2480" s="25" t="n"/>
      <c r="AE2480" s="25" t="n"/>
      <c r="AG2480" s="25" t="n"/>
      <c r="AH2480" s="25" t="n"/>
      <c r="AI2480" s="394" t="n"/>
      <c r="AM2480" s="48" t="n"/>
      <c r="AN2480" s="48" t="n"/>
      <c r="AO2480" s="48" t="n"/>
    </row>
    <row r="2481">
      <c r="M2481" s="25" t="n"/>
      <c r="Q2481" s="25" t="n"/>
      <c r="U2481" s="194" t="n"/>
      <c r="AA2481" s="25" t="n"/>
      <c r="AB2481" s="25" t="n"/>
      <c r="AC2481" s="195" t="n"/>
      <c r="AD2481" s="25" t="n"/>
      <c r="AE2481" s="25" t="n"/>
      <c r="AG2481" s="25" t="n"/>
      <c r="AH2481" s="25" t="n"/>
      <c r="AI2481" s="394" t="n"/>
      <c r="AM2481" s="48" t="n"/>
      <c r="AN2481" s="48" t="n"/>
      <c r="AO2481" s="48" t="n"/>
    </row>
    <row r="2482">
      <c r="M2482" s="25" t="n"/>
      <c r="Q2482" s="25" t="n"/>
      <c r="U2482" s="194" t="n"/>
      <c r="AA2482" s="25" t="n"/>
      <c r="AB2482" s="25" t="n"/>
      <c r="AC2482" s="195" t="n"/>
      <c r="AD2482" s="25" t="n"/>
      <c r="AE2482" s="25" t="n"/>
      <c r="AG2482" s="25" t="n"/>
      <c r="AH2482" s="25" t="n"/>
      <c r="AI2482" s="394" t="n"/>
      <c r="AM2482" s="48" t="n"/>
      <c r="AN2482" s="48" t="n"/>
      <c r="AO2482" s="48" t="n"/>
    </row>
    <row r="2483">
      <c r="M2483" s="25" t="n"/>
      <c r="Q2483" s="25" t="n"/>
      <c r="U2483" s="194" t="n"/>
      <c r="AA2483" s="25" t="n"/>
      <c r="AB2483" s="25" t="n"/>
      <c r="AC2483" s="195" t="n"/>
      <c r="AD2483" s="25" t="n"/>
      <c r="AE2483" s="25" t="n"/>
      <c r="AG2483" s="25" t="n"/>
      <c r="AH2483" s="25" t="n"/>
      <c r="AI2483" s="394" t="n"/>
      <c r="AM2483" s="48" t="n"/>
      <c r="AN2483" s="48" t="n"/>
      <c r="AO2483" s="48" t="n"/>
    </row>
    <row r="2484">
      <c r="M2484" s="25" t="n"/>
      <c r="Q2484" s="25" t="n"/>
      <c r="U2484" s="194" t="n"/>
      <c r="AA2484" s="25" t="n"/>
      <c r="AB2484" s="25" t="n"/>
      <c r="AC2484" s="195" t="n"/>
      <c r="AD2484" s="25" t="n"/>
      <c r="AE2484" s="25" t="n"/>
      <c r="AG2484" s="25" t="n"/>
      <c r="AH2484" s="25" t="n"/>
      <c r="AI2484" s="394" t="n"/>
      <c r="AM2484" s="48" t="n"/>
      <c r="AN2484" s="48" t="n"/>
      <c r="AO2484" s="48" t="n"/>
    </row>
    <row r="2485">
      <c r="M2485" s="25" t="n"/>
      <c r="Q2485" s="25" t="n"/>
      <c r="U2485" s="194" t="n"/>
      <c r="AA2485" s="25" t="n"/>
      <c r="AB2485" s="25" t="n"/>
      <c r="AC2485" s="195" t="n"/>
      <c r="AD2485" s="25" t="n"/>
      <c r="AE2485" s="25" t="n"/>
      <c r="AG2485" s="25" t="n"/>
      <c r="AH2485" s="25" t="n"/>
      <c r="AI2485" s="394" t="n"/>
      <c r="AM2485" s="48" t="n"/>
      <c r="AN2485" s="48" t="n"/>
      <c r="AO2485" s="48" t="n"/>
    </row>
    <row r="2486">
      <c r="M2486" s="25" t="n"/>
      <c r="Q2486" s="25" t="n"/>
      <c r="U2486" s="194" t="n"/>
      <c r="AA2486" s="25" t="n"/>
      <c r="AB2486" s="25" t="n"/>
      <c r="AC2486" s="195" t="n"/>
      <c r="AD2486" s="25" t="n"/>
      <c r="AE2486" s="25" t="n"/>
      <c r="AG2486" s="25" t="n"/>
      <c r="AH2486" s="25" t="n"/>
      <c r="AI2486" s="394" t="n"/>
      <c r="AM2486" s="48" t="n"/>
      <c r="AN2486" s="48" t="n"/>
      <c r="AO2486" s="48" t="n"/>
    </row>
    <row r="2487">
      <c r="M2487" s="25" t="n"/>
      <c r="Q2487" s="25" t="n"/>
      <c r="U2487" s="194" t="n"/>
      <c r="AA2487" s="25" t="n"/>
      <c r="AB2487" s="25" t="n"/>
      <c r="AC2487" s="195" t="n"/>
      <c r="AD2487" s="25" t="n"/>
      <c r="AE2487" s="25" t="n"/>
      <c r="AG2487" s="25" t="n"/>
      <c r="AH2487" s="25" t="n"/>
      <c r="AI2487" s="394" t="n"/>
      <c r="AM2487" s="48" t="n"/>
      <c r="AN2487" s="48" t="n"/>
      <c r="AO2487" s="48" t="n"/>
    </row>
    <row r="2488">
      <c r="M2488" s="25" t="n"/>
      <c r="Q2488" s="25" t="n"/>
      <c r="U2488" s="194" t="n"/>
      <c r="AA2488" s="25" t="n"/>
      <c r="AB2488" s="25" t="n"/>
      <c r="AC2488" s="195" t="n"/>
      <c r="AD2488" s="25" t="n"/>
      <c r="AE2488" s="25" t="n"/>
      <c r="AG2488" s="25" t="n"/>
      <c r="AH2488" s="25" t="n"/>
      <c r="AI2488" s="394" t="n"/>
      <c r="AM2488" s="48" t="n"/>
      <c r="AN2488" s="48" t="n"/>
      <c r="AO2488" s="48" t="n"/>
    </row>
    <row r="2489">
      <c r="M2489" s="25" t="n"/>
      <c r="Q2489" s="25" t="n"/>
      <c r="U2489" s="194" t="n"/>
      <c r="AA2489" s="25" t="n"/>
      <c r="AB2489" s="25" t="n"/>
      <c r="AC2489" s="195" t="n"/>
      <c r="AD2489" s="25" t="n"/>
      <c r="AE2489" s="25" t="n"/>
      <c r="AG2489" s="25" t="n"/>
      <c r="AH2489" s="25" t="n"/>
      <c r="AI2489" s="394" t="n"/>
      <c r="AM2489" s="48" t="n"/>
      <c r="AN2489" s="48" t="n"/>
      <c r="AO2489" s="48" t="n"/>
    </row>
    <row r="2490">
      <c r="M2490" s="25" t="n"/>
      <c r="Q2490" s="25" t="n"/>
      <c r="U2490" s="194" t="n"/>
      <c r="AA2490" s="25" t="n"/>
      <c r="AB2490" s="25" t="n"/>
      <c r="AC2490" s="195" t="n"/>
      <c r="AD2490" s="25" t="n"/>
      <c r="AE2490" s="25" t="n"/>
      <c r="AG2490" s="25" t="n"/>
      <c r="AH2490" s="25" t="n"/>
      <c r="AI2490" s="394" t="n"/>
      <c r="AM2490" s="48" t="n"/>
      <c r="AN2490" s="48" t="n"/>
      <c r="AO2490" s="48" t="n"/>
    </row>
    <row r="2491">
      <c r="M2491" s="25" t="n"/>
      <c r="Q2491" s="25" t="n"/>
      <c r="U2491" s="194" t="n"/>
      <c r="AA2491" s="25" t="n"/>
      <c r="AB2491" s="25" t="n"/>
      <c r="AC2491" s="195" t="n"/>
      <c r="AD2491" s="25" t="n"/>
      <c r="AE2491" s="25" t="n"/>
      <c r="AG2491" s="25" t="n"/>
      <c r="AH2491" s="25" t="n"/>
      <c r="AI2491" s="394" t="n"/>
      <c r="AM2491" s="48" t="n"/>
      <c r="AN2491" s="48" t="n"/>
      <c r="AO2491" s="48" t="n"/>
    </row>
    <row r="2492">
      <c r="M2492" s="25" t="n"/>
      <c r="Q2492" s="25" t="n"/>
      <c r="U2492" s="194" t="n"/>
      <c r="AA2492" s="25" t="n"/>
      <c r="AB2492" s="25" t="n"/>
      <c r="AC2492" s="195" t="n"/>
      <c r="AD2492" s="25" t="n"/>
      <c r="AE2492" s="25" t="n"/>
      <c r="AG2492" s="25" t="n"/>
      <c r="AH2492" s="25" t="n"/>
      <c r="AI2492" s="394" t="n"/>
      <c r="AM2492" s="48" t="n"/>
      <c r="AN2492" s="48" t="n"/>
      <c r="AO2492" s="48" t="n"/>
    </row>
    <row r="2493">
      <c r="M2493" s="25" t="n"/>
      <c r="Q2493" s="25" t="n"/>
      <c r="U2493" s="194" t="n"/>
      <c r="AA2493" s="25" t="n"/>
      <c r="AB2493" s="25" t="n"/>
      <c r="AC2493" s="195" t="n"/>
      <c r="AD2493" s="25" t="n"/>
      <c r="AE2493" s="25" t="n"/>
      <c r="AG2493" s="25" t="n"/>
      <c r="AH2493" s="25" t="n"/>
      <c r="AI2493" s="394" t="n"/>
      <c r="AM2493" s="48" t="n"/>
      <c r="AN2493" s="48" t="n"/>
      <c r="AO2493" s="48" t="n"/>
    </row>
    <row r="2494">
      <c r="M2494" s="25" t="n"/>
      <c r="Q2494" s="25" t="n"/>
      <c r="U2494" s="194" t="n"/>
      <c r="AA2494" s="25" t="n"/>
      <c r="AB2494" s="25" t="n"/>
      <c r="AC2494" s="195" t="n"/>
      <c r="AD2494" s="25" t="n"/>
      <c r="AE2494" s="25" t="n"/>
      <c r="AG2494" s="25" t="n"/>
      <c r="AH2494" s="25" t="n"/>
      <c r="AI2494" s="394" t="n"/>
      <c r="AM2494" s="48" t="n"/>
      <c r="AN2494" s="48" t="n"/>
      <c r="AO2494" s="48" t="n"/>
    </row>
    <row r="2495">
      <c r="M2495" s="25" t="n"/>
      <c r="Q2495" s="25" t="n"/>
      <c r="U2495" s="194" t="n"/>
      <c r="AA2495" s="25" t="n"/>
      <c r="AB2495" s="25" t="n"/>
      <c r="AC2495" s="195" t="n"/>
      <c r="AD2495" s="25" t="n"/>
      <c r="AE2495" s="25" t="n"/>
      <c r="AG2495" s="25" t="n"/>
      <c r="AH2495" s="25" t="n"/>
      <c r="AI2495" s="394" t="n"/>
      <c r="AM2495" s="48" t="n"/>
      <c r="AN2495" s="48" t="n"/>
      <c r="AO2495" s="48" t="n"/>
    </row>
    <row r="2496">
      <c r="M2496" s="25" t="n"/>
      <c r="Q2496" s="25" t="n"/>
      <c r="U2496" s="194" t="n"/>
      <c r="AA2496" s="25" t="n"/>
      <c r="AB2496" s="25" t="n"/>
      <c r="AC2496" s="195" t="n"/>
      <c r="AD2496" s="25" t="n"/>
      <c r="AE2496" s="25" t="n"/>
      <c r="AG2496" s="25" t="n"/>
      <c r="AH2496" s="25" t="n"/>
      <c r="AI2496" s="394" t="n"/>
      <c r="AM2496" s="48" t="n"/>
      <c r="AN2496" s="48" t="n"/>
      <c r="AO2496" s="48" t="n"/>
    </row>
    <row r="2497">
      <c r="M2497" s="25" t="n"/>
      <c r="Q2497" s="25" t="n"/>
      <c r="U2497" s="194" t="n"/>
      <c r="AA2497" s="25" t="n"/>
      <c r="AB2497" s="25" t="n"/>
      <c r="AC2497" s="195" t="n"/>
      <c r="AD2497" s="25" t="n"/>
      <c r="AE2497" s="25" t="n"/>
      <c r="AG2497" s="25" t="n"/>
      <c r="AH2497" s="25" t="n"/>
      <c r="AI2497" s="394" t="n"/>
      <c r="AM2497" s="48" t="n"/>
      <c r="AN2497" s="48" t="n"/>
      <c r="AO2497" s="48" t="n"/>
    </row>
    <row r="2498">
      <c r="M2498" s="25" t="n"/>
      <c r="Q2498" s="25" t="n"/>
      <c r="U2498" s="194" t="n"/>
      <c r="AA2498" s="25" t="n"/>
      <c r="AB2498" s="25" t="n"/>
      <c r="AC2498" s="195" t="n"/>
      <c r="AD2498" s="25" t="n"/>
      <c r="AE2498" s="25" t="n"/>
      <c r="AG2498" s="25" t="n"/>
      <c r="AH2498" s="25" t="n"/>
      <c r="AI2498" s="394" t="n"/>
      <c r="AM2498" s="48" t="n"/>
      <c r="AN2498" s="48" t="n"/>
      <c r="AO2498" s="48" t="n"/>
    </row>
    <row r="2499">
      <c r="M2499" s="25" t="n"/>
      <c r="Q2499" s="25" t="n"/>
      <c r="U2499" s="194" t="n"/>
      <c r="AA2499" s="25" t="n"/>
      <c r="AB2499" s="25" t="n"/>
      <c r="AC2499" s="195" t="n"/>
      <c r="AD2499" s="25" t="n"/>
      <c r="AE2499" s="25" t="n"/>
      <c r="AG2499" s="25" t="n"/>
      <c r="AH2499" s="25" t="n"/>
      <c r="AI2499" s="394" t="n"/>
      <c r="AM2499" s="48" t="n"/>
      <c r="AN2499" s="48" t="n"/>
      <c r="AO2499" s="48" t="n"/>
    </row>
    <row r="2500">
      <c r="M2500" s="25" t="n"/>
      <c r="Q2500" s="25" t="n"/>
      <c r="U2500" s="194" t="n"/>
      <c r="AA2500" s="25" t="n"/>
      <c r="AB2500" s="25" t="n"/>
      <c r="AC2500" s="195" t="n"/>
      <c r="AD2500" s="25" t="n"/>
      <c r="AE2500" s="25" t="n"/>
      <c r="AG2500" s="25" t="n"/>
      <c r="AH2500" s="25" t="n"/>
      <c r="AI2500" s="394" t="n"/>
      <c r="AM2500" s="48" t="n"/>
      <c r="AN2500" s="48" t="n"/>
      <c r="AO2500" s="48" t="n"/>
    </row>
    <row r="2501">
      <c r="M2501" s="25" t="n"/>
      <c r="Q2501" s="25" t="n"/>
      <c r="U2501" s="194" t="n"/>
      <c r="AA2501" s="25" t="n"/>
      <c r="AB2501" s="25" t="n"/>
      <c r="AC2501" s="195" t="n"/>
      <c r="AD2501" s="25" t="n"/>
      <c r="AE2501" s="25" t="n"/>
      <c r="AG2501" s="25" t="n"/>
      <c r="AH2501" s="25" t="n"/>
      <c r="AI2501" s="394" t="n"/>
      <c r="AM2501" s="48" t="n"/>
      <c r="AN2501" s="48" t="n"/>
      <c r="AO2501" s="48" t="n"/>
    </row>
    <row r="2502">
      <c r="M2502" s="25" t="n"/>
      <c r="Q2502" s="25" t="n"/>
      <c r="U2502" s="194" t="n"/>
      <c r="AA2502" s="25" t="n"/>
      <c r="AB2502" s="25" t="n"/>
      <c r="AC2502" s="195" t="n"/>
      <c r="AD2502" s="25" t="n"/>
      <c r="AE2502" s="25" t="n"/>
      <c r="AG2502" s="25" t="n"/>
      <c r="AH2502" s="25" t="n"/>
      <c r="AI2502" s="394" t="n"/>
      <c r="AM2502" s="48" t="n"/>
      <c r="AN2502" s="48" t="n"/>
      <c r="AO2502" s="48" t="n"/>
    </row>
    <row r="2503">
      <c r="M2503" s="25" t="n"/>
      <c r="Q2503" s="25" t="n"/>
      <c r="U2503" s="194" t="n"/>
      <c r="AA2503" s="25" t="n"/>
      <c r="AB2503" s="25" t="n"/>
      <c r="AC2503" s="195" t="n"/>
      <c r="AD2503" s="25" t="n"/>
      <c r="AE2503" s="25" t="n"/>
      <c r="AG2503" s="25" t="n"/>
      <c r="AH2503" s="25" t="n"/>
      <c r="AI2503" s="394" t="n"/>
      <c r="AM2503" s="48" t="n"/>
      <c r="AN2503" s="48" t="n"/>
      <c r="AO2503" s="48" t="n"/>
    </row>
    <row r="2504">
      <c r="M2504" s="25" t="n"/>
      <c r="Q2504" s="25" t="n"/>
      <c r="U2504" s="194" t="n"/>
      <c r="AA2504" s="25" t="n"/>
      <c r="AB2504" s="25" t="n"/>
      <c r="AC2504" s="195" t="n"/>
      <c r="AD2504" s="25" t="n"/>
      <c r="AE2504" s="25" t="n"/>
      <c r="AG2504" s="25" t="n"/>
      <c r="AH2504" s="25" t="n"/>
      <c r="AI2504" s="394" t="n"/>
      <c r="AM2504" s="48" t="n"/>
      <c r="AN2504" s="48" t="n"/>
      <c r="AO2504" s="48" t="n"/>
    </row>
    <row r="2505">
      <c r="M2505" s="25" t="n"/>
      <c r="Q2505" s="25" t="n"/>
      <c r="U2505" s="194" t="n"/>
      <c r="AA2505" s="25" t="n"/>
      <c r="AB2505" s="25" t="n"/>
      <c r="AC2505" s="195" t="n"/>
      <c r="AD2505" s="25" t="n"/>
      <c r="AE2505" s="25" t="n"/>
      <c r="AG2505" s="25" t="n"/>
      <c r="AH2505" s="25" t="n"/>
      <c r="AI2505" s="394" t="n"/>
      <c r="AM2505" s="48" t="n"/>
      <c r="AN2505" s="48" t="n"/>
      <c r="AO2505" s="48" t="n"/>
    </row>
    <row r="2506">
      <c r="M2506" s="25" t="n"/>
      <c r="Q2506" s="25" t="n"/>
      <c r="U2506" s="194" t="n"/>
      <c r="AA2506" s="25" t="n"/>
      <c r="AB2506" s="25" t="n"/>
      <c r="AC2506" s="195" t="n"/>
      <c r="AD2506" s="25" t="n"/>
      <c r="AE2506" s="25" t="n"/>
      <c r="AG2506" s="25" t="n"/>
      <c r="AH2506" s="25" t="n"/>
      <c r="AI2506" s="394" t="n"/>
      <c r="AM2506" s="48" t="n"/>
      <c r="AN2506" s="48" t="n"/>
      <c r="AO2506" s="48" t="n"/>
    </row>
    <row r="2507">
      <c r="M2507" s="25" t="n"/>
      <c r="Q2507" s="25" t="n"/>
      <c r="U2507" s="194" t="n"/>
      <c r="AA2507" s="25" t="n"/>
      <c r="AB2507" s="25" t="n"/>
      <c r="AC2507" s="195" t="n"/>
      <c r="AD2507" s="25" t="n"/>
      <c r="AE2507" s="25" t="n"/>
      <c r="AG2507" s="25" t="n"/>
      <c r="AH2507" s="25" t="n"/>
      <c r="AI2507" s="394" t="n"/>
      <c r="AM2507" s="48" t="n"/>
      <c r="AN2507" s="48" t="n"/>
      <c r="AO2507" s="48" t="n"/>
    </row>
    <row r="2508">
      <c r="M2508" s="25" t="n"/>
      <c r="Q2508" s="25" t="n"/>
      <c r="U2508" s="194" t="n"/>
      <c r="AA2508" s="25" t="n"/>
      <c r="AB2508" s="25" t="n"/>
      <c r="AC2508" s="195" t="n"/>
      <c r="AD2508" s="25" t="n"/>
      <c r="AE2508" s="25" t="n"/>
      <c r="AG2508" s="25" t="n"/>
      <c r="AH2508" s="25" t="n"/>
      <c r="AI2508" s="394" t="n"/>
      <c r="AM2508" s="48" t="n"/>
      <c r="AN2508" s="48" t="n"/>
      <c r="AO2508" s="48" t="n"/>
    </row>
    <row r="2509">
      <c r="M2509" s="25" t="n"/>
      <c r="Q2509" s="25" t="n"/>
      <c r="U2509" s="194" t="n"/>
      <c r="AA2509" s="25" t="n"/>
      <c r="AB2509" s="25" t="n"/>
      <c r="AC2509" s="195" t="n"/>
      <c r="AD2509" s="25" t="n"/>
      <c r="AE2509" s="25" t="n"/>
      <c r="AG2509" s="25" t="n"/>
      <c r="AH2509" s="25" t="n"/>
      <c r="AI2509" s="394" t="n"/>
      <c r="AM2509" s="48" t="n"/>
      <c r="AN2509" s="48" t="n"/>
      <c r="AO2509" s="48" t="n"/>
    </row>
    <row r="2510">
      <c r="M2510" s="25" t="n"/>
      <c r="Q2510" s="25" t="n"/>
      <c r="U2510" s="194" t="n"/>
      <c r="AA2510" s="25" t="n"/>
      <c r="AB2510" s="25" t="n"/>
      <c r="AC2510" s="195" t="n"/>
      <c r="AD2510" s="25" t="n"/>
      <c r="AE2510" s="25" t="n"/>
      <c r="AG2510" s="25" t="n"/>
      <c r="AH2510" s="25" t="n"/>
      <c r="AI2510" s="394" t="n"/>
      <c r="AM2510" s="48" t="n"/>
      <c r="AN2510" s="48" t="n"/>
      <c r="AO2510" s="48" t="n"/>
    </row>
    <row r="2511">
      <c r="M2511" s="25" t="n"/>
      <c r="Q2511" s="25" t="n"/>
      <c r="U2511" s="194" t="n"/>
      <c r="AA2511" s="25" t="n"/>
      <c r="AB2511" s="25" t="n"/>
      <c r="AC2511" s="195" t="n"/>
      <c r="AD2511" s="25" t="n"/>
      <c r="AE2511" s="25" t="n"/>
      <c r="AG2511" s="25" t="n"/>
      <c r="AH2511" s="25" t="n"/>
      <c r="AI2511" s="394" t="n"/>
      <c r="AM2511" s="48" t="n"/>
      <c r="AN2511" s="48" t="n"/>
      <c r="AO2511" s="48" t="n"/>
    </row>
    <row r="2512">
      <c r="M2512" s="25" t="n"/>
      <c r="Q2512" s="25" t="n"/>
      <c r="U2512" s="194" t="n"/>
      <c r="AA2512" s="25" t="n"/>
      <c r="AB2512" s="25" t="n"/>
      <c r="AC2512" s="195" t="n"/>
      <c r="AD2512" s="25" t="n"/>
      <c r="AE2512" s="25" t="n"/>
      <c r="AG2512" s="25" t="n"/>
      <c r="AH2512" s="25" t="n"/>
      <c r="AI2512" s="394" t="n"/>
      <c r="AM2512" s="48" t="n"/>
      <c r="AN2512" s="48" t="n"/>
      <c r="AO2512" s="48" t="n"/>
    </row>
    <row r="2513">
      <c r="M2513" s="25" t="n"/>
      <c r="Q2513" s="25" t="n"/>
      <c r="U2513" s="194" t="n"/>
      <c r="AA2513" s="25" t="n"/>
      <c r="AB2513" s="25" t="n"/>
      <c r="AC2513" s="195" t="n"/>
      <c r="AD2513" s="25" t="n"/>
      <c r="AE2513" s="25" t="n"/>
      <c r="AG2513" s="25" t="n"/>
      <c r="AH2513" s="25" t="n"/>
      <c r="AI2513" s="394" t="n"/>
      <c r="AM2513" s="48" t="n"/>
      <c r="AN2513" s="48" t="n"/>
      <c r="AO2513" s="48" t="n"/>
    </row>
    <row r="2514">
      <c r="M2514" s="25" t="n"/>
      <c r="Q2514" s="25" t="n"/>
      <c r="U2514" s="194" t="n"/>
      <c r="AA2514" s="25" t="n"/>
      <c r="AB2514" s="25" t="n"/>
      <c r="AC2514" s="195" t="n"/>
      <c r="AD2514" s="25" t="n"/>
      <c r="AE2514" s="25" t="n"/>
      <c r="AG2514" s="25" t="n"/>
      <c r="AH2514" s="25" t="n"/>
      <c r="AI2514" s="394" t="n"/>
      <c r="AM2514" s="48" t="n"/>
      <c r="AN2514" s="48" t="n"/>
      <c r="AO2514" s="48" t="n"/>
    </row>
    <row r="2515">
      <c r="M2515" s="25" t="n"/>
      <c r="Q2515" s="25" t="n"/>
      <c r="U2515" s="194" t="n"/>
      <c r="AA2515" s="25" t="n"/>
      <c r="AB2515" s="25" t="n"/>
      <c r="AC2515" s="195" t="n"/>
      <c r="AD2515" s="25" t="n"/>
      <c r="AE2515" s="25" t="n"/>
      <c r="AG2515" s="25" t="n"/>
      <c r="AH2515" s="25" t="n"/>
      <c r="AI2515" s="394" t="n"/>
      <c r="AM2515" s="48" t="n"/>
      <c r="AN2515" s="48" t="n"/>
      <c r="AO2515" s="48" t="n"/>
    </row>
    <row r="2516">
      <c r="M2516" s="25" t="n"/>
      <c r="Q2516" s="25" t="n"/>
      <c r="U2516" s="194" t="n"/>
      <c r="AA2516" s="25" t="n"/>
      <c r="AB2516" s="25" t="n"/>
      <c r="AC2516" s="195" t="n"/>
      <c r="AD2516" s="25" t="n"/>
      <c r="AE2516" s="25" t="n"/>
      <c r="AG2516" s="25" t="n"/>
      <c r="AH2516" s="25" t="n"/>
      <c r="AI2516" s="394" t="n"/>
      <c r="AM2516" s="48" t="n"/>
      <c r="AN2516" s="48" t="n"/>
      <c r="AO2516" s="48" t="n"/>
    </row>
    <row r="2517">
      <c r="M2517" s="25" t="n"/>
      <c r="Q2517" s="25" t="n"/>
      <c r="U2517" s="194" t="n"/>
      <c r="AA2517" s="25" t="n"/>
      <c r="AB2517" s="25" t="n"/>
      <c r="AC2517" s="195" t="n"/>
      <c r="AD2517" s="25" t="n"/>
      <c r="AE2517" s="25" t="n"/>
      <c r="AG2517" s="25" t="n"/>
      <c r="AH2517" s="25" t="n"/>
      <c r="AI2517" s="394" t="n"/>
      <c r="AM2517" s="48" t="n"/>
      <c r="AN2517" s="48" t="n"/>
      <c r="AO2517" s="48" t="n"/>
    </row>
    <row r="2518">
      <c r="M2518" s="25" t="n"/>
      <c r="Q2518" s="25" t="n"/>
      <c r="U2518" s="194" t="n"/>
      <c r="AA2518" s="25" t="n"/>
      <c r="AB2518" s="25" t="n"/>
      <c r="AC2518" s="195" t="n"/>
      <c r="AD2518" s="25" t="n"/>
      <c r="AE2518" s="25" t="n"/>
      <c r="AG2518" s="25" t="n"/>
      <c r="AH2518" s="25" t="n"/>
      <c r="AI2518" s="394" t="n"/>
      <c r="AM2518" s="48" t="n"/>
      <c r="AN2518" s="48" t="n"/>
      <c r="AO2518" s="48" t="n"/>
    </row>
    <row r="2519">
      <c r="M2519" s="25" t="n"/>
      <c r="Q2519" s="25" t="n"/>
      <c r="U2519" s="194" t="n"/>
      <c r="AA2519" s="25" t="n"/>
      <c r="AB2519" s="25" t="n"/>
      <c r="AC2519" s="195" t="n"/>
      <c r="AD2519" s="25" t="n"/>
      <c r="AE2519" s="25" t="n"/>
      <c r="AG2519" s="25" t="n"/>
      <c r="AH2519" s="25" t="n"/>
      <c r="AI2519" s="394" t="n"/>
      <c r="AM2519" s="48" t="n"/>
      <c r="AN2519" s="48" t="n"/>
      <c r="AO2519" s="48" t="n"/>
    </row>
    <row r="2520">
      <c r="M2520" s="25" t="n"/>
      <c r="Q2520" s="25" t="n"/>
      <c r="U2520" s="194" t="n"/>
      <c r="AA2520" s="25" t="n"/>
      <c r="AB2520" s="25" t="n"/>
      <c r="AC2520" s="195" t="n"/>
      <c r="AD2520" s="25" t="n"/>
      <c r="AE2520" s="25" t="n"/>
      <c r="AG2520" s="25" t="n"/>
      <c r="AH2520" s="25" t="n"/>
      <c r="AI2520" s="394" t="n"/>
      <c r="AM2520" s="48" t="n"/>
      <c r="AN2520" s="48" t="n"/>
      <c r="AO2520" s="48" t="n"/>
    </row>
    <row r="2521">
      <c r="M2521" s="25" t="n"/>
      <c r="Q2521" s="25" t="n"/>
      <c r="U2521" s="194" t="n"/>
      <c r="AA2521" s="25" t="n"/>
      <c r="AB2521" s="25" t="n"/>
      <c r="AC2521" s="195" t="n"/>
      <c r="AD2521" s="25" t="n"/>
      <c r="AE2521" s="25" t="n"/>
      <c r="AG2521" s="25" t="n"/>
      <c r="AH2521" s="25" t="n"/>
      <c r="AI2521" s="394" t="n"/>
      <c r="AM2521" s="48" t="n"/>
      <c r="AN2521" s="48" t="n"/>
      <c r="AO2521" s="48" t="n"/>
    </row>
    <row r="2522">
      <c r="M2522" s="25" t="n"/>
      <c r="Q2522" s="25" t="n"/>
      <c r="U2522" s="194" t="n"/>
      <c r="AA2522" s="25" t="n"/>
      <c r="AB2522" s="25" t="n"/>
      <c r="AC2522" s="195" t="n"/>
      <c r="AD2522" s="25" t="n"/>
      <c r="AE2522" s="25" t="n"/>
      <c r="AG2522" s="25" t="n"/>
      <c r="AH2522" s="25" t="n"/>
      <c r="AI2522" s="394" t="n"/>
      <c r="AM2522" s="48" t="n"/>
      <c r="AN2522" s="48" t="n"/>
      <c r="AO2522" s="48" t="n"/>
    </row>
    <row r="2523">
      <c r="M2523" s="25" t="n"/>
      <c r="Q2523" s="25" t="n"/>
      <c r="U2523" s="194" t="n"/>
      <c r="AA2523" s="25" t="n"/>
      <c r="AB2523" s="25" t="n"/>
      <c r="AC2523" s="195" t="n"/>
      <c r="AD2523" s="25" t="n"/>
      <c r="AE2523" s="25" t="n"/>
      <c r="AG2523" s="25" t="n"/>
      <c r="AH2523" s="25" t="n"/>
      <c r="AI2523" s="394" t="n"/>
      <c r="AM2523" s="48" t="n"/>
      <c r="AN2523" s="48" t="n"/>
      <c r="AO2523" s="48" t="n"/>
    </row>
    <row r="2524">
      <c r="M2524" s="25" t="n"/>
      <c r="Q2524" s="25" t="n"/>
      <c r="U2524" s="194" t="n"/>
      <c r="AA2524" s="25" t="n"/>
      <c r="AB2524" s="25" t="n"/>
      <c r="AC2524" s="195" t="n"/>
      <c r="AD2524" s="25" t="n"/>
      <c r="AE2524" s="25" t="n"/>
      <c r="AG2524" s="25" t="n"/>
      <c r="AH2524" s="25" t="n"/>
      <c r="AI2524" s="394" t="n"/>
      <c r="AM2524" s="48" t="n"/>
      <c r="AN2524" s="48" t="n"/>
      <c r="AO2524" s="48" t="n"/>
    </row>
    <row r="2525">
      <c r="M2525" s="25" t="n"/>
      <c r="Q2525" s="25" t="n"/>
      <c r="U2525" s="194" t="n"/>
      <c r="AA2525" s="25" t="n"/>
      <c r="AB2525" s="25" t="n"/>
      <c r="AC2525" s="195" t="n"/>
      <c r="AD2525" s="25" t="n"/>
      <c r="AE2525" s="25" t="n"/>
      <c r="AG2525" s="25" t="n"/>
      <c r="AH2525" s="25" t="n"/>
      <c r="AI2525" s="394" t="n"/>
      <c r="AM2525" s="48" t="n"/>
      <c r="AN2525" s="48" t="n"/>
      <c r="AO2525" s="48" t="n"/>
    </row>
    <row r="2526">
      <c r="M2526" s="25" t="n"/>
      <c r="Q2526" s="25" t="n"/>
      <c r="U2526" s="194" t="n"/>
      <c r="AA2526" s="25" t="n"/>
      <c r="AB2526" s="25" t="n"/>
      <c r="AC2526" s="195" t="n"/>
      <c r="AD2526" s="25" t="n"/>
      <c r="AE2526" s="25" t="n"/>
      <c r="AG2526" s="25" t="n"/>
      <c r="AH2526" s="25" t="n"/>
      <c r="AI2526" s="394" t="n"/>
      <c r="AM2526" s="48" t="n"/>
      <c r="AN2526" s="48" t="n"/>
      <c r="AO2526" s="48" t="n"/>
    </row>
    <row r="2527">
      <c r="M2527" s="25" t="n"/>
      <c r="Q2527" s="25" t="n"/>
      <c r="U2527" s="194" t="n"/>
      <c r="AA2527" s="25" t="n"/>
      <c r="AB2527" s="25" t="n"/>
      <c r="AC2527" s="195" t="n"/>
      <c r="AD2527" s="25" t="n"/>
      <c r="AE2527" s="25" t="n"/>
      <c r="AG2527" s="25" t="n"/>
      <c r="AH2527" s="25" t="n"/>
      <c r="AI2527" s="394" t="n"/>
      <c r="AM2527" s="48" t="n"/>
      <c r="AN2527" s="48" t="n"/>
      <c r="AO2527" s="48" t="n"/>
    </row>
    <row r="2528">
      <c r="M2528" s="25" t="n"/>
      <c r="Q2528" s="25" t="n"/>
      <c r="U2528" s="194" t="n"/>
      <c r="AA2528" s="25" t="n"/>
      <c r="AB2528" s="25" t="n"/>
      <c r="AC2528" s="195" t="n"/>
      <c r="AD2528" s="25" t="n"/>
      <c r="AE2528" s="25" t="n"/>
      <c r="AG2528" s="25" t="n"/>
      <c r="AH2528" s="25" t="n"/>
      <c r="AI2528" s="394" t="n"/>
      <c r="AM2528" s="48" t="n"/>
      <c r="AN2528" s="48" t="n"/>
      <c r="AO2528" s="48" t="n"/>
    </row>
    <row r="2529">
      <c r="M2529" s="25" t="n"/>
      <c r="Q2529" s="25" t="n"/>
      <c r="U2529" s="194" t="n"/>
      <c r="AA2529" s="25" t="n"/>
      <c r="AB2529" s="25" t="n"/>
      <c r="AC2529" s="195" t="n"/>
      <c r="AD2529" s="25" t="n"/>
      <c r="AE2529" s="25" t="n"/>
      <c r="AG2529" s="25" t="n"/>
      <c r="AH2529" s="25" t="n"/>
      <c r="AI2529" s="394" t="n"/>
      <c r="AM2529" s="48" t="n"/>
      <c r="AN2529" s="48" t="n"/>
      <c r="AO2529" s="48" t="n"/>
    </row>
    <row r="2530">
      <c r="M2530" s="25" t="n"/>
      <c r="Q2530" s="25" t="n"/>
      <c r="U2530" s="194" t="n"/>
      <c r="AA2530" s="25" t="n"/>
      <c r="AB2530" s="25" t="n"/>
      <c r="AC2530" s="195" t="n"/>
      <c r="AD2530" s="25" t="n"/>
      <c r="AE2530" s="25" t="n"/>
      <c r="AG2530" s="25" t="n"/>
      <c r="AH2530" s="25" t="n"/>
      <c r="AI2530" s="394" t="n"/>
      <c r="AM2530" s="48" t="n"/>
      <c r="AN2530" s="48" t="n"/>
      <c r="AO2530" s="48" t="n"/>
    </row>
    <row r="2531">
      <c r="M2531" s="25" t="n"/>
      <c r="Q2531" s="25" t="n"/>
      <c r="U2531" s="194" t="n"/>
      <c r="AA2531" s="25" t="n"/>
      <c r="AB2531" s="25" t="n"/>
      <c r="AC2531" s="195" t="n"/>
      <c r="AD2531" s="25" t="n"/>
      <c r="AE2531" s="25" t="n"/>
      <c r="AG2531" s="25" t="n"/>
      <c r="AH2531" s="25" t="n"/>
      <c r="AI2531" s="394" t="n"/>
      <c r="AM2531" s="48" t="n"/>
      <c r="AN2531" s="48" t="n"/>
      <c r="AO2531" s="48" t="n"/>
    </row>
    <row r="2532">
      <c r="M2532" s="25" t="n"/>
      <c r="Q2532" s="25" t="n"/>
      <c r="U2532" s="194" t="n"/>
      <c r="AA2532" s="25" t="n"/>
      <c r="AB2532" s="25" t="n"/>
      <c r="AC2532" s="195" t="n"/>
      <c r="AD2532" s="25" t="n"/>
      <c r="AE2532" s="25" t="n"/>
      <c r="AG2532" s="25" t="n"/>
      <c r="AH2532" s="25" t="n"/>
      <c r="AI2532" s="394" t="n"/>
      <c r="AM2532" s="48" t="n"/>
      <c r="AN2532" s="48" t="n"/>
      <c r="AO2532" s="48" t="n"/>
    </row>
    <row r="2533">
      <c r="M2533" s="25" t="n"/>
      <c r="Q2533" s="25" t="n"/>
      <c r="U2533" s="194" t="n"/>
      <c r="AA2533" s="25" t="n"/>
      <c r="AB2533" s="25" t="n"/>
      <c r="AC2533" s="195" t="n"/>
      <c r="AD2533" s="25" t="n"/>
      <c r="AE2533" s="25" t="n"/>
      <c r="AG2533" s="25" t="n"/>
      <c r="AH2533" s="25" t="n"/>
      <c r="AI2533" s="394" t="n"/>
      <c r="AM2533" s="48" t="n"/>
      <c r="AN2533" s="48" t="n"/>
      <c r="AO2533" s="48" t="n"/>
    </row>
    <row r="2534">
      <c r="M2534" s="25" t="n"/>
      <c r="Q2534" s="25" t="n"/>
      <c r="U2534" s="194" t="n"/>
      <c r="AA2534" s="25" t="n"/>
      <c r="AB2534" s="25" t="n"/>
      <c r="AC2534" s="195" t="n"/>
      <c r="AD2534" s="25" t="n"/>
      <c r="AE2534" s="25" t="n"/>
      <c r="AG2534" s="25" t="n"/>
      <c r="AH2534" s="25" t="n"/>
      <c r="AI2534" s="394" t="n"/>
      <c r="AM2534" s="48" t="n"/>
      <c r="AN2534" s="48" t="n"/>
      <c r="AO2534" s="48" t="n"/>
    </row>
    <row r="2535">
      <c r="M2535" s="25" t="n"/>
      <c r="Q2535" s="25" t="n"/>
      <c r="U2535" s="194" t="n"/>
      <c r="AA2535" s="25" t="n"/>
      <c r="AB2535" s="25" t="n"/>
      <c r="AC2535" s="195" t="n"/>
      <c r="AD2535" s="25" t="n"/>
      <c r="AE2535" s="25" t="n"/>
      <c r="AG2535" s="25" t="n"/>
      <c r="AH2535" s="25" t="n"/>
      <c r="AI2535" s="394" t="n"/>
      <c r="AM2535" s="48" t="n"/>
      <c r="AN2535" s="48" t="n"/>
      <c r="AO2535" s="48" t="n"/>
    </row>
    <row r="2536">
      <c r="M2536" s="25" t="n"/>
      <c r="Q2536" s="25" t="n"/>
      <c r="U2536" s="194" t="n"/>
      <c r="AA2536" s="25" t="n"/>
      <c r="AB2536" s="25" t="n"/>
      <c r="AC2536" s="195" t="n"/>
      <c r="AD2536" s="25" t="n"/>
      <c r="AE2536" s="25" t="n"/>
      <c r="AG2536" s="25" t="n"/>
      <c r="AH2536" s="25" t="n"/>
      <c r="AI2536" s="394" t="n"/>
      <c r="AM2536" s="48" t="n"/>
      <c r="AN2536" s="48" t="n"/>
      <c r="AO2536" s="48" t="n"/>
    </row>
    <row r="2537">
      <c r="M2537" s="25" t="n"/>
      <c r="Q2537" s="25" t="n"/>
      <c r="U2537" s="194" t="n"/>
      <c r="AA2537" s="25" t="n"/>
      <c r="AB2537" s="25" t="n"/>
      <c r="AC2537" s="195" t="n"/>
      <c r="AD2537" s="25" t="n"/>
      <c r="AE2537" s="25" t="n"/>
      <c r="AG2537" s="25" t="n"/>
      <c r="AH2537" s="25" t="n"/>
      <c r="AI2537" s="394" t="n"/>
      <c r="AM2537" s="48" t="n"/>
      <c r="AN2537" s="48" t="n"/>
      <c r="AO2537" s="48" t="n"/>
    </row>
    <row r="2538">
      <c r="M2538" s="25" t="n"/>
      <c r="Q2538" s="25" t="n"/>
      <c r="U2538" s="194" t="n"/>
      <c r="AA2538" s="25" t="n"/>
      <c r="AB2538" s="25" t="n"/>
      <c r="AC2538" s="195" t="n"/>
      <c r="AD2538" s="25" t="n"/>
      <c r="AE2538" s="25" t="n"/>
      <c r="AG2538" s="25" t="n"/>
      <c r="AH2538" s="25" t="n"/>
      <c r="AI2538" s="394" t="n"/>
      <c r="AM2538" s="48" t="n"/>
      <c r="AN2538" s="48" t="n"/>
      <c r="AO2538" s="48" t="n"/>
    </row>
    <row r="2539">
      <c r="M2539" s="25" t="n"/>
      <c r="Q2539" s="25" t="n"/>
      <c r="U2539" s="194" t="n"/>
      <c r="AA2539" s="25" t="n"/>
      <c r="AB2539" s="25" t="n"/>
      <c r="AC2539" s="195" t="n"/>
      <c r="AD2539" s="25" t="n"/>
      <c r="AE2539" s="25" t="n"/>
      <c r="AG2539" s="25" t="n"/>
      <c r="AH2539" s="25" t="n"/>
      <c r="AI2539" s="394" t="n"/>
      <c r="AM2539" s="48" t="n"/>
      <c r="AN2539" s="48" t="n"/>
      <c r="AO2539" s="48" t="n"/>
    </row>
    <row r="2540">
      <c r="M2540" s="25" t="n"/>
      <c r="Q2540" s="25" t="n"/>
      <c r="U2540" s="194" t="n"/>
      <c r="AA2540" s="25" t="n"/>
      <c r="AB2540" s="25" t="n"/>
      <c r="AC2540" s="195" t="n"/>
      <c r="AD2540" s="25" t="n"/>
      <c r="AE2540" s="25" t="n"/>
      <c r="AG2540" s="25" t="n"/>
      <c r="AH2540" s="25" t="n"/>
      <c r="AI2540" s="394" t="n"/>
      <c r="AM2540" s="48" t="n"/>
      <c r="AN2540" s="48" t="n"/>
      <c r="AO2540" s="48" t="n"/>
    </row>
    <row r="2541">
      <c r="M2541" s="25" t="n"/>
      <c r="Q2541" s="25" t="n"/>
      <c r="U2541" s="194" t="n"/>
      <c r="AA2541" s="25" t="n"/>
      <c r="AB2541" s="25" t="n"/>
      <c r="AC2541" s="195" t="n"/>
      <c r="AD2541" s="25" t="n"/>
      <c r="AE2541" s="25" t="n"/>
      <c r="AG2541" s="25" t="n"/>
      <c r="AH2541" s="25" t="n"/>
      <c r="AI2541" s="394" t="n"/>
      <c r="AM2541" s="48" t="n"/>
      <c r="AN2541" s="48" t="n"/>
      <c r="AO2541" s="48" t="n"/>
    </row>
    <row r="2542">
      <c r="M2542" s="25" t="n"/>
      <c r="Q2542" s="25" t="n"/>
      <c r="U2542" s="194" t="n"/>
      <c r="AA2542" s="25" t="n"/>
      <c r="AB2542" s="25" t="n"/>
      <c r="AC2542" s="195" t="n"/>
      <c r="AD2542" s="25" t="n"/>
      <c r="AE2542" s="25" t="n"/>
      <c r="AG2542" s="25" t="n"/>
      <c r="AH2542" s="25" t="n"/>
      <c r="AI2542" s="394" t="n"/>
      <c r="AM2542" s="48" t="n"/>
      <c r="AN2542" s="48" t="n"/>
      <c r="AO2542" s="48" t="n"/>
    </row>
    <row r="2543">
      <c r="M2543" s="25" t="n"/>
      <c r="Q2543" s="25" t="n"/>
      <c r="U2543" s="194" t="n"/>
      <c r="AA2543" s="25" t="n"/>
      <c r="AB2543" s="25" t="n"/>
      <c r="AC2543" s="195" t="n"/>
      <c r="AD2543" s="25" t="n"/>
      <c r="AE2543" s="25" t="n"/>
      <c r="AG2543" s="25" t="n"/>
      <c r="AH2543" s="25" t="n"/>
      <c r="AI2543" s="394" t="n"/>
      <c r="AM2543" s="48" t="n"/>
      <c r="AN2543" s="48" t="n"/>
      <c r="AO2543" s="48" t="n"/>
    </row>
    <row r="2544">
      <c r="M2544" s="25" t="n"/>
      <c r="Q2544" s="25" t="n"/>
      <c r="U2544" s="194" t="n"/>
      <c r="AA2544" s="25" t="n"/>
      <c r="AB2544" s="25" t="n"/>
      <c r="AC2544" s="195" t="n"/>
      <c r="AD2544" s="25" t="n"/>
      <c r="AE2544" s="25" t="n"/>
      <c r="AG2544" s="25" t="n"/>
      <c r="AH2544" s="25" t="n"/>
      <c r="AI2544" s="394" t="n"/>
      <c r="AM2544" s="48" t="n"/>
      <c r="AN2544" s="48" t="n"/>
      <c r="AO2544" s="48" t="n"/>
    </row>
    <row r="2545">
      <c r="M2545" s="25" t="n"/>
      <c r="Q2545" s="25" t="n"/>
      <c r="U2545" s="194" t="n"/>
      <c r="AA2545" s="25" t="n"/>
      <c r="AB2545" s="25" t="n"/>
      <c r="AC2545" s="195" t="n"/>
      <c r="AD2545" s="25" t="n"/>
      <c r="AE2545" s="25" t="n"/>
      <c r="AG2545" s="25" t="n"/>
      <c r="AH2545" s="25" t="n"/>
      <c r="AI2545" s="394" t="n"/>
      <c r="AM2545" s="48" t="n"/>
      <c r="AN2545" s="48" t="n"/>
      <c r="AO2545" s="48" t="n"/>
    </row>
    <row r="2546">
      <c r="M2546" s="25" t="n"/>
      <c r="Q2546" s="25" t="n"/>
      <c r="U2546" s="194" t="n"/>
      <c r="AA2546" s="25" t="n"/>
      <c r="AB2546" s="25" t="n"/>
      <c r="AC2546" s="195" t="n"/>
      <c r="AD2546" s="25" t="n"/>
      <c r="AE2546" s="25" t="n"/>
      <c r="AG2546" s="25" t="n"/>
      <c r="AH2546" s="25" t="n"/>
      <c r="AI2546" s="394" t="n"/>
      <c r="AM2546" s="48" t="n"/>
      <c r="AN2546" s="48" t="n"/>
      <c r="AO2546" s="48" t="n"/>
    </row>
    <row r="2547">
      <c r="M2547" s="25" t="n"/>
      <c r="Q2547" s="25" t="n"/>
      <c r="U2547" s="194" t="n"/>
      <c r="AA2547" s="25" t="n"/>
      <c r="AB2547" s="25" t="n"/>
      <c r="AC2547" s="195" t="n"/>
      <c r="AD2547" s="25" t="n"/>
      <c r="AE2547" s="25" t="n"/>
      <c r="AG2547" s="25" t="n"/>
      <c r="AH2547" s="25" t="n"/>
      <c r="AI2547" s="394" t="n"/>
      <c r="AM2547" s="48" t="n"/>
      <c r="AN2547" s="48" t="n"/>
      <c r="AO2547" s="48" t="n"/>
    </row>
    <row r="2548">
      <c r="M2548" s="25" t="n"/>
      <c r="Q2548" s="25" t="n"/>
      <c r="U2548" s="194" t="n"/>
      <c r="AA2548" s="25" t="n"/>
      <c r="AB2548" s="25" t="n"/>
      <c r="AC2548" s="195" t="n"/>
      <c r="AD2548" s="25" t="n"/>
      <c r="AE2548" s="25" t="n"/>
      <c r="AG2548" s="25" t="n"/>
      <c r="AH2548" s="25" t="n"/>
      <c r="AI2548" s="394" t="n"/>
      <c r="AM2548" s="48" t="n"/>
      <c r="AN2548" s="48" t="n"/>
      <c r="AO2548" s="48" t="n"/>
    </row>
    <row r="2549">
      <c r="M2549" s="25" t="n"/>
      <c r="Q2549" s="25" t="n"/>
      <c r="U2549" s="194" t="n"/>
      <c r="AA2549" s="25" t="n"/>
      <c r="AB2549" s="25" t="n"/>
      <c r="AC2549" s="195" t="n"/>
      <c r="AD2549" s="25" t="n"/>
      <c r="AE2549" s="25" t="n"/>
      <c r="AG2549" s="25" t="n"/>
      <c r="AH2549" s="25" t="n"/>
      <c r="AI2549" s="394" t="n"/>
      <c r="AM2549" s="48" t="n"/>
      <c r="AN2549" s="48" t="n"/>
      <c r="AO2549" s="48" t="n"/>
    </row>
    <row r="2550">
      <c r="M2550" s="25" t="n"/>
      <c r="Q2550" s="25" t="n"/>
      <c r="U2550" s="194" t="n"/>
      <c r="AA2550" s="25" t="n"/>
      <c r="AB2550" s="25" t="n"/>
      <c r="AC2550" s="195" t="n"/>
      <c r="AD2550" s="25" t="n"/>
      <c r="AE2550" s="25" t="n"/>
      <c r="AG2550" s="25" t="n"/>
      <c r="AH2550" s="25" t="n"/>
      <c r="AI2550" s="394" t="n"/>
      <c r="AM2550" s="48" t="n"/>
      <c r="AN2550" s="48" t="n"/>
      <c r="AO2550" s="48" t="n"/>
    </row>
    <row r="2551">
      <c r="M2551" s="25" t="n"/>
      <c r="Q2551" s="25" t="n"/>
      <c r="U2551" s="194" t="n"/>
      <c r="AA2551" s="25" t="n"/>
      <c r="AB2551" s="25" t="n"/>
      <c r="AC2551" s="195" t="n"/>
      <c r="AD2551" s="25" t="n"/>
      <c r="AE2551" s="25" t="n"/>
      <c r="AG2551" s="25" t="n"/>
      <c r="AH2551" s="25" t="n"/>
      <c r="AI2551" s="394" t="n"/>
      <c r="AM2551" s="48" t="n"/>
      <c r="AN2551" s="48" t="n"/>
      <c r="AO2551" s="48" t="n"/>
    </row>
    <row r="2552">
      <c r="M2552" s="25" t="n"/>
      <c r="Q2552" s="25" t="n"/>
      <c r="U2552" s="194" t="n"/>
      <c r="AA2552" s="25" t="n"/>
      <c r="AB2552" s="25" t="n"/>
      <c r="AC2552" s="195" t="n"/>
      <c r="AD2552" s="25" t="n"/>
      <c r="AE2552" s="25" t="n"/>
      <c r="AG2552" s="25" t="n"/>
      <c r="AH2552" s="25" t="n"/>
      <c r="AI2552" s="394" t="n"/>
      <c r="AM2552" s="48" t="n"/>
      <c r="AN2552" s="48" t="n"/>
      <c r="AO2552" s="48" t="n"/>
    </row>
    <row r="2553">
      <c r="M2553" s="25" t="n"/>
      <c r="Q2553" s="25" t="n"/>
      <c r="U2553" s="194" t="n"/>
      <c r="AA2553" s="25" t="n"/>
      <c r="AB2553" s="25" t="n"/>
      <c r="AC2553" s="195" t="n"/>
      <c r="AD2553" s="25" t="n"/>
      <c r="AE2553" s="25" t="n"/>
      <c r="AG2553" s="25" t="n"/>
      <c r="AH2553" s="25" t="n"/>
      <c r="AI2553" s="394" t="n"/>
      <c r="AM2553" s="48" t="n"/>
      <c r="AN2553" s="48" t="n"/>
      <c r="AO2553" s="48" t="n"/>
    </row>
    <row r="2554">
      <c r="M2554" s="25" t="n"/>
      <c r="Q2554" s="25" t="n"/>
      <c r="U2554" s="194" t="n"/>
      <c r="AA2554" s="25" t="n"/>
      <c r="AB2554" s="25" t="n"/>
      <c r="AC2554" s="195" t="n"/>
      <c r="AD2554" s="25" t="n"/>
      <c r="AE2554" s="25" t="n"/>
      <c r="AG2554" s="25" t="n"/>
      <c r="AH2554" s="25" t="n"/>
      <c r="AI2554" s="394" t="n"/>
      <c r="AM2554" s="48" t="n"/>
      <c r="AN2554" s="48" t="n"/>
      <c r="AO2554" s="48" t="n"/>
    </row>
    <row r="2555">
      <c r="M2555" s="25" t="n"/>
      <c r="Q2555" s="25" t="n"/>
      <c r="U2555" s="194" t="n"/>
      <c r="AA2555" s="25" t="n"/>
      <c r="AB2555" s="25" t="n"/>
      <c r="AC2555" s="195" t="n"/>
      <c r="AD2555" s="25" t="n"/>
      <c r="AE2555" s="25" t="n"/>
      <c r="AG2555" s="25" t="n"/>
      <c r="AH2555" s="25" t="n"/>
      <c r="AI2555" s="394" t="n"/>
      <c r="AM2555" s="48" t="n"/>
      <c r="AN2555" s="48" t="n"/>
      <c r="AO2555" s="48" t="n"/>
    </row>
    <row r="2556">
      <c r="M2556" s="25" t="n"/>
      <c r="Q2556" s="25" t="n"/>
      <c r="U2556" s="194" t="n"/>
      <c r="AA2556" s="25" t="n"/>
      <c r="AB2556" s="25" t="n"/>
      <c r="AC2556" s="195" t="n"/>
      <c r="AD2556" s="25" t="n"/>
      <c r="AE2556" s="25" t="n"/>
      <c r="AG2556" s="25" t="n"/>
      <c r="AH2556" s="25" t="n"/>
      <c r="AI2556" s="394" t="n"/>
      <c r="AM2556" s="48" t="n"/>
      <c r="AN2556" s="48" t="n"/>
      <c r="AO2556" s="48" t="n"/>
    </row>
    <row r="2557">
      <c r="M2557" s="25" t="n"/>
      <c r="Q2557" s="25" t="n"/>
      <c r="U2557" s="194" t="n"/>
      <c r="AA2557" s="25" t="n"/>
      <c r="AB2557" s="25" t="n"/>
      <c r="AC2557" s="195" t="n"/>
      <c r="AD2557" s="25" t="n"/>
      <c r="AE2557" s="25" t="n"/>
      <c r="AG2557" s="25" t="n"/>
      <c r="AH2557" s="25" t="n"/>
      <c r="AI2557" s="394" t="n"/>
      <c r="AM2557" s="48" t="n"/>
      <c r="AN2557" s="48" t="n"/>
      <c r="AO2557" s="48" t="n"/>
    </row>
    <row r="2558">
      <c r="M2558" s="25" t="n"/>
      <c r="Q2558" s="25" t="n"/>
      <c r="U2558" s="194" t="n"/>
      <c r="AA2558" s="25" t="n"/>
      <c r="AB2558" s="25" t="n"/>
      <c r="AC2558" s="195" t="n"/>
      <c r="AD2558" s="25" t="n"/>
      <c r="AE2558" s="25" t="n"/>
      <c r="AG2558" s="25" t="n"/>
      <c r="AH2558" s="25" t="n"/>
      <c r="AI2558" s="394" t="n"/>
      <c r="AM2558" s="48" t="n"/>
      <c r="AN2558" s="48" t="n"/>
      <c r="AO2558" s="48" t="n"/>
    </row>
    <row r="2559">
      <c r="M2559" s="25" t="n"/>
      <c r="Q2559" s="25" t="n"/>
      <c r="U2559" s="194" t="n"/>
      <c r="AA2559" s="25" t="n"/>
      <c r="AB2559" s="25" t="n"/>
      <c r="AC2559" s="195" t="n"/>
      <c r="AD2559" s="25" t="n"/>
      <c r="AE2559" s="25" t="n"/>
      <c r="AG2559" s="25" t="n"/>
      <c r="AH2559" s="25" t="n"/>
      <c r="AI2559" s="394" t="n"/>
      <c r="AM2559" s="48" t="n"/>
      <c r="AN2559" s="48" t="n"/>
      <c r="AO2559" s="48" t="n"/>
    </row>
    <row r="2560">
      <c r="M2560" s="25" t="n"/>
      <c r="Q2560" s="25" t="n"/>
      <c r="U2560" s="194" t="n"/>
      <c r="AA2560" s="25" t="n"/>
      <c r="AB2560" s="25" t="n"/>
      <c r="AC2560" s="195" t="n"/>
      <c r="AD2560" s="25" t="n"/>
      <c r="AE2560" s="25" t="n"/>
      <c r="AG2560" s="25" t="n"/>
      <c r="AH2560" s="25" t="n"/>
      <c r="AI2560" s="394" t="n"/>
      <c r="AM2560" s="48" t="n"/>
      <c r="AN2560" s="48" t="n"/>
      <c r="AO2560" s="48" t="n"/>
    </row>
    <row r="2561">
      <c r="M2561" s="25" t="n"/>
      <c r="Q2561" s="25" t="n"/>
      <c r="U2561" s="194" t="n"/>
      <c r="AA2561" s="25" t="n"/>
      <c r="AB2561" s="25" t="n"/>
      <c r="AC2561" s="195" t="n"/>
      <c r="AD2561" s="25" t="n"/>
      <c r="AE2561" s="25" t="n"/>
      <c r="AG2561" s="25" t="n"/>
      <c r="AH2561" s="25" t="n"/>
      <c r="AI2561" s="394" t="n"/>
      <c r="AM2561" s="48" t="n"/>
      <c r="AN2561" s="48" t="n"/>
      <c r="AO2561" s="48" t="n"/>
    </row>
    <row r="2562">
      <c r="M2562" s="25" t="n"/>
      <c r="Q2562" s="25" t="n"/>
      <c r="U2562" s="194" t="n"/>
      <c r="AA2562" s="25" t="n"/>
      <c r="AB2562" s="25" t="n"/>
      <c r="AC2562" s="195" t="n"/>
      <c r="AD2562" s="25" t="n"/>
      <c r="AE2562" s="25" t="n"/>
      <c r="AG2562" s="25" t="n"/>
      <c r="AH2562" s="25" t="n"/>
      <c r="AI2562" s="394" t="n"/>
      <c r="AM2562" s="48" t="n"/>
      <c r="AN2562" s="48" t="n"/>
      <c r="AO2562" s="48" t="n"/>
    </row>
    <row r="2563">
      <c r="M2563" s="25" t="n"/>
      <c r="Q2563" s="25" t="n"/>
      <c r="U2563" s="194" t="n"/>
      <c r="AA2563" s="25" t="n"/>
      <c r="AB2563" s="25" t="n"/>
      <c r="AC2563" s="195" t="n"/>
      <c r="AD2563" s="25" t="n"/>
      <c r="AE2563" s="25" t="n"/>
      <c r="AG2563" s="25" t="n"/>
      <c r="AH2563" s="25" t="n"/>
      <c r="AI2563" s="394" t="n"/>
      <c r="AM2563" s="48" t="n"/>
      <c r="AN2563" s="48" t="n"/>
      <c r="AO2563" s="48" t="n"/>
    </row>
    <row r="2564">
      <c r="M2564" s="25" t="n"/>
      <c r="Q2564" s="25" t="n"/>
      <c r="U2564" s="194" t="n"/>
      <c r="AA2564" s="25" t="n"/>
      <c r="AB2564" s="25" t="n"/>
      <c r="AC2564" s="195" t="n"/>
      <c r="AD2564" s="25" t="n"/>
      <c r="AE2564" s="25" t="n"/>
      <c r="AG2564" s="25" t="n"/>
      <c r="AH2564" s="25" t="n"/>
      <c r="AI2564" s="394" t="n"/>
      <c r="AM2564" s="48" t="n"/>
      <c r="AN2564" s="48" t="n"/>
      <c r="AO2564" s="48" t="n"/>
    </row>
    <row r="2565">
      <c r="M2565" s="25" t="n"/>
      <c r="Q2565" s="25" t="n"/>
      <c r="U2565" s="194" t="n"/>
      <c r="AA2565" s="25" t="n"/>
      <c r="AB2565" s="25" t="n"/>
      <c r="AC2565" s="195" t="n"/>
      <c r="AD2565" s="25" t="n"/>
      <c r="AE2565" s="25" t="n"/>
      <c r="AG2565" s="25" t="n"/>
      <c r="AH2565" s="25" t="n"/>
      <c r="AI2565" s="394" t="n"/>
      <c r="AM2565" s="48" t="n"/>
      <c r="AN2565" s="48" t="n"/>
      <c r="AO2565" s="48" t="n"/>
    </row>
    <row r="2566">
      <c r="M2566" s="25" t="n"/>
      <c r="Q2566" s="25" t="n"/>
      <c r="U2566" s="194" t="n"/>
      <c r="AA2566" s="25" t="n"/>
      <c r="AB2566" s="25" t="n"/>
      <c r="AC2566" s="195" t="n"/>
      <c r="AD2566" s="25" t="n"/>
      <c r="AE2566" s="25" t="n"/>
      <c r="AG2566" s="25" t="n"/>
      <c r="AH2566" s="25" t="n"/>
      <c r="AI2566" s="394" t="n"/>
      <c r="AM2566" s="48" t="n"/>
      <c r="AN2566" s="48" t="n"/>
      <c r="AO2566" s="48" t="n"/>
    </row>
    <row r="2567">
      <c r="M2567" s="25" t="n"/>
      <c r="Q2567" s="25" t="n"/>
      <c r="U2567" s="194" t="n"/>
      <c r="AA2567" s="25" t="n"/>
      <c r="AB2567" s="25" t="n"/>
      <c r="AC2567" s="195" t="n"/>
      <c r="AD2567" s="25" t="n"/>
      <c r="AE2567" s="25" t="n"/>
      <c r="AG2567" s="25" t="n"/>
      <c r="AH2567" s="25" t="n"/>
      <c r="AI2567" s="394" t="n"/>
      <c r="AM2567" s="48" t="n"/>
      <c r="AN2567" s="48" t="n"/>
      <c r="AO2567" s="48" t="n"/>
    </row>
    <row r="2568">
      <c r="M2568" s="25" t="n"/>
      <c r="Q2568" s="25" t="n"/>
      <c r="U2568" s="194" t="n"/>
      <c r="AA2568" s="25" t="n"/>
      <c r="AB2568" s="25" t="n"/>
      <c r="AC2568" s="195" t="n"/>
      <c r="AD2568" s="25" t="n"/>
      <c r="AE2568" s="25" t="n"/>
      <c r="AG2568" s="25" t="n"/>
      <c r="AH2568" s="25" t="n"/>
      <c r="AI2568" s="394" t="n"/>
      <c r="AM2568" s="48" t="n"/>
      <c r="AN2568" s="48" t="n"/>
      <c r="AO2568" s="48" t="n"/>
    </row>
    <row r="2569">
      <c r="M2569" s="25" t="n"/>
      <c r="Q2569" s="25" t="n"/>
      <c r="U2569" s="194" t="n"/>
      <c r="AA2569" s="25" t="n"/>
      <c r="AB2569" s="25" t="n"/>
      <c r="AC2569" s="195" t="n"/>
      <c r="AD2569" s="25" t="n"/>
      <c r="AE2569" s="25" t="n"/>
      <c r="AG2569" s="25" t="n"/>
      <c r="AH2569" s="25" t="n"/>
      <c r="AI2569" s="394" t="n"/>
      <c r="AM2569" s="48" t="n"/>
      <c r="AN2569" s="48" t="n"/>
      <c r="AO2569" s="48" t="n"/>
    </row>
    <row r="2570">
      <c r="M2570" s="25" t="n"/>
      <c r="Q2570" s="25" t="n"/>
      <c r="U2570" s="194" t="n"/>
      <c r="AA2570" s="25" t="n"/>
      <c r="AB2570" s="25" t="n"/>
      <c r="AC2570" s="195" t="n"/>
      <c r="AD2570" s="25" t="n"/>
      <c r="AE2570" s="25" t="n"/>
      <c r="AG2570" s="25" t="n"/>
      <c r="AH2570" s="25" t="n"/>
      <c r="AI2570" s="394" t="n"/>
      <c r="AM2570" s="48" t="n"/>
      <c r="AN2570" s="48" t="n"/>
      <c r="AO2570" s="48" t="n"/>
    </row>
    <row r="2571">
      <c r="M2571" s="25" t="n"/>
      <c r="Q2571" s="25" t="n"/>
      <c r="U2571" s="194" t="n"/>
      <c r="AA2571" s="25" t="n"/>
      <c r="AB2571" s="25" t="n"/>
      <c r="AC2571" s="195" t="n"/>
      <c r="AD2571" s="25" t="n"/>
      <c r="AE2571" s="25" t="n"/>
      <c r="AG2571" s="25" t="n"/>
      <c r="AH2571" s="25" t="n"/>
      <c r="AI2571" s="394" t="n"/>
      <c r="AM2571" s="48" t="n"/>
      <c r="AN2571" s="48" t="n"/>
      <c r="AO2571" s="48" t="n"/>
    </row>
    <row r="2572">
      <c r="M2572" s="25" t="n"/>
      <c r="Q2572" s="25" t="n"/>
      <c r="U2572" s="194" t="n"/>
      <c r="AA2572" s="25" t="n"/>
      <c r="AB2572" s="25" t="n"/>
      <c r="AC2572" s="195" t="n"/>
      <c r="AD2572" s="25" t="n"/>
      <c r="AE2572" s="25" t="n"/>
      <c r="AG2572" s="25" t="n"/>
      <c r="AH2572" s="25" t="n"/>
      <c r="AI2572" s="394" t="n"/>
      <c r="AM2572" s="48" t="n"/>
      <c r="AN2572" s="48" t="n"/>
      <c r="AO2572" s="48" t="n"/>
    </row>
    <row r="2573">
      <c r="M2573" s="25" t="n"/>
      <c r="Q2573" s="25" t="n"/>
      <c r="U2573" s="194" t="n"/>
      <c r="AA2573" s="25" t="n"/>
      <c r="AB2573" s="25" t="n"/>
      <c r="AC2573" s="195" t="n"/>
      <c r="AD2573" s="25" t="n"/>
      <c r="AE2573" s="25" t="n"/>
      <c r="AG2573" s="25" t="n"/>
      <c r="AH2573" s="25" t="n"/>
      <c r="AI2573" s="394" t="n"/>
      <c r="AM2573" s="48" t="n"/>
      <c r="AN2573" s="48" t="n"/>
      <c r="AO2573" s="48" t="n"/>
    </row>
    <row r="2574">
      <c r="M2574" s="25" t="n"/>
      <c r="Q2574" s="25" t="n"/>
      <c r="U2574" s="194" t="n"/>
      <c r="AA2574" s="25" t="n"/>
      <c r="AB2574" s="25" t="n"/>
      <c r="AC2574" s="195" t="n"/>
      <c r="AD2574" s="25" t="n"/>
      <c r="AE2574" s="25" t="n"/>
      <c r="AG2574" s="25" t="n"/>
      <c r="AH2574" s="25" t="n"/>
      <c r="AI2574" s="394" t="n"/>
      <c r="AM2574" s="48" t="n"/>
      <c r="AN2574" s="48" t="n"/>
      <c r="AO2574" s="48" t="n"/>
    </row>
    <row r="2575">
      <c r="M2575" s="25" t="n"/>
      <c r="Q2575" s="25" t="n"/>
      <c r="U2575" s="194" t="n"/>
      <c r="AA2575" s="25" t="n"/>
      <c r="AB2575" s="25" t="n"/>
      <c r="AC2575" s="195" t="n"/>
      <c r="AD2575" s="25" t="n"/>
      <c r="AE2575" s="25" t="n"/>
      <c r="AG2575" s="25" t="n"/>
      <c r="AH2575" s="25" t="n"/>
      <c r="AI2575" s="394" t="n"/>
      <c r="AM2575" s="48" t="n"/>
      <c r="AN2575" s="48" t="n"/>
      <c r="AO2575" s="48" t="n"/>
    </row>
    <row r="2576">
      <c r="M2576" s="25" t="n"/>
      <c r="Q2576" s="25" t="n"/>
      <c r="U2576" s="194" t="n"/>
      <c r="AA2576" s="25" t="n"/>
      <c r="AB2576" s="25" t="n"/>
      <c r="AC2576" s="195" t="n"/>
      <c r="AD2576" s="25" t="n"/>
      <c r="AE2576" s="25" t="n"/>
      <c r="AG2576" s="25" t="n"/>
      <c r="AH2576" s="25" t="n"/>
      <c r="AI2576" s="394" t="n"/>
      <c r="AM2576" s="48" t="n"/>
      <c r="AN2576" s="48" t="n"/>
      <c r="AO2576" s="48" t="n"/>
    </row>
    <row r="2577">
      <c r="M2577" s="25" t="n"/>
      <c r="Q2577" s="25" t="n"/>
      <c r="U2577" s="194" t="n"/>
      <c r="AA2577" s="25" t="n"/>
      <c r="AB2577" s="25" t="n"/>
      <c r="AC2577" s="195" t="n"/>
      <c r="AD2577" s="25" t="n"/>
      <c r="AE2577" s="25" t="n"/>
      <c r="AG2577" s="25" t="n"/>
      <c r="AH2577" s="25" t="n"/>
      <c r="AI2577" s="394" t="n"/>
      <c r="AM2577" s="48" t="n"/>
      <c r="AN2577" s="48" t="n"/>
      <c r="AO2577" s="48" t="n"/>
    </row>
    <row r="2578">
      <c r="M2578" s="25" t="n"/>
      <c r="Q2578" s="25" t="n"/>
      <c r="U2578" s="194" t="n"/>
      <c r="AA2578" s="25" t="n"/>
      <c r="AB2578" s="25" t="n"/>
      <c r="AC2578" s="195" t="n"/>
      <c r="AD2578" s="25" t="n"/>
      <c r="AE2578" s="25" t="n"/>
      <c r="AG2578" s="25" t="n"/>
      <c r="AH2578" s="25" t="n"/>
      <c r="AI2578" s="394" t="n"/>
      <c r="AM2578" s="48" t="n"/>
      <c r="AN2578" s="48" t="n"/>
      <c r="AO2578" s="48" t="n"/>
    </row>
    <row r="2579">
      <c r="M2579" s="25" t="n"/>
      <c r="Q2579" s="25" t="n"/>
      <c r="U2579" s="194" t="n"/>
      <c r="AA2579" s="25" t="n"/>
      <c r="AB2579" s="25" t="n"/>
      <c r="AC2579" s="195" t="n"/>
      <c r="AD2579" s="25" t="n"/>
      <c r="AE2579" s="25" t="n"/>
      <c r="AG2579" s="25" t="n"/>
      <c r="AH2579" s="25" t="n"/>
      <c r="AI2579" s="394" t="n"/>
      <c r="AM2579" s="48" t="n"/>
      <c r="AN2579" s="48" t="n"/>
      <c r="AO2579" s="48" t="n"/>
    </row>
    <row r="2580">
      <c r="M2580" s="25" t="n"/>
      <c r="Q2580" s="25" t="n"/>
      <c r="U2580" s="194" t="n"/>
      <c r="AA2580" s="25" t="n"/>
      <c r="AB2580" s="25" t="n"/>
      <c r="AC2580" s="195" t="n"/>
      <c r="AD2580" s="25" t="n"/>
      <c r="AE2580" s="25" t="n"/>
      <c r="AG2580" s="25" t="n"/>
      <c r="AH2580" s="25" t="n"/>
      <c r="AI2580" s="394" t="n"/>
      <c r="AM2580" s="48" t="n"/>
      <c r="AN2580" s="48" t="n"/>
      <c r="AO2580" s="48" t="n"/>
    </row>
    <row r="2581">
      <c r="M2581" s="25" t="n"/>
      <c r="Q2581" s="25" t="n"/>
      <c r="U2581" s="194" t="n"/>
      <c r="AA2581" s="25" t="n"/>
      <c r="AB2581" s="25" t="n"/>
      <c r="AC2581" s="195" t="n"/>
      <c r="AD2581" s="25" t="n"/>
      <c r="AE2581" s="25" t="n"/>
      <c r="AG2581" s="25" t="n"/>
      <c r="AH2581" s="25" t="n"/>
      <c r="AI2581" s="394" t="n"/>
      <c r="AM2581" s="48" t="n"/>
      <c r="AN2581" s="48" t="n"/>
      <c r="AO2581" s="48" t="n"/>
    </row>
    <row r="2582">
      <c r="M2582" s="25" t="n"/>
      <c r="Q2582" s="25" t="n"/>
      <c r="U2582" s="194" t="n"/>
      <c r="AA2582" s="25" t="n"/>
      <c r="AB2582" s="25" t="n"/>
      <c r="AC2582" s="195" t="n"/>
      <c r="AD2582" s="25" t="n"/>
      <c r="AE2582" s="25" t="n"/>
      <c r="AG2582" s="25" t="n"/>
      <c r="AH2582" s="25" t="n"/>
      <c r="AI2582" s="394" t="n"/>
      <c r="AM2582" s="48" t="n"/>
      <c r="AN2582" s="48" t="n"/>
      <c r="AO2582" s="48" t="n"/>
    </row>
    <row r="2583">
      <c r="M2583" s="25" t="n"/>
      <c r="Q2583" s="25" t="n"/>
      <c r="U2583" s="194" t="n"/>
      <c r="AA2583" s="25" t="n"/>
      <c r="AB2583" s="25" t="n"/>
      <c r="AC2583" s="195" t="n"/>
      <c r="AD2583" s="25" t="n"/>
      <c r="AE2583" s="25" t="n"/>
      <c r="AG2583" s="25" t="n"/>
      <c r="AH2583" s="25" t="n"/>
      <c r="AI2583" s="394" t="n"/>
      <c r="AM2583" s="48" t="n"/>
      <c r="AN2583" s="48" t="n"/>
      <c r="AO2583" s="48" t="n"/>
    </row>
    <row r="2584">
      <c r="M2584" s="25" t="n"/>
      <c r="Q2584" s="25" t="n"/>
      <c r="U2584" s="194" t="n"/>
      <c r="AA2584" s="25" t="n"/>
      <c r="AB2584" s="25" t="n"/>
      <c r="AC2584" s="195" t="n"/>
      <c r="AD2584" s="25" t="n"/>
      <c r="AE2584" s="25" t="n"/>
      <c r="AG2584" s="25" t="n"/>
      <c r="AH2584" s="25" t="n"/>
      <c r="AI2584" s="394" t="n"/>
      <c r="AM2584" s="48" t="n"/>
      <c r="AN2584" s="48" t="n"/>
      <c r="AO2584" s="48" t="n"/>
    </row>
    <row r="2585">
      <c r="M2585" s="25" t="n"/>
      <c r="Q2585" s="25" t="n"/>
      <c r="U2585" s="194" t="n"/>
      <c r="AA2585" s="25" t="n"/>
      <c r="AB2585" s="25" t="n"/>
      <c r="AC2585" s="195" t="n"/>
      <c r="AD2585" s="25" t="n"/>
      <c r="AE2585" s="25" t="n"/>
      <c r="AG2585" s="25" t="n"/>
      <c r="AH2585" s="25" t="n"/>
      <c r="AI2585" s="394" t="n"/>
      <c r="AM2585" s="48" t="n"/>
      <c r="AN2585" s="48" t="n"/>
      <c r="AO2585" s="48" t="n"/>
    </row>
    <row r="2586">
      <c r="M2586" s="25" t="n"/>
      <c r="Q2586" s="25" t="n"/>
      <c r="U2586" s="194" t="n"/>
      <c r="AA2586" s="25" t="n"/>
      <c r="AB2586" s="25" t="n"/>
      <c r="AC2586" s="195" t="n"/>
      <c r="AD2586" s="25" t="n"/>
      <c r="AE2586" s="25" t="n"/>
      <c r="AG2586" s="25" t="n"/>
      <c r="AH2586" s="25" t="n"/>
      <c r="AI2586" s="394" t="n"/>
      <c r="AM2586" s="48" t="n"/>
      <c r="AN2586" s="48" t="n"/>
      <c r="AO2586" s="48" t="n"/>
    </row>
    <row r="2587">
      <c r="M2587" s="25" t="n"/>
      <c r="Q2587" s="25" t="n"/>
      <c r="U2587" s="194" t="n"/>
      <c r="AA2587" s="25" t="n"/>
      <c r="AB2587" s="25" t="n"/>
      <c r="AC2587" s="195" t="n"/>
      <c r="AD2587" s="25" t="n"/>
      <c r="AE2587" s="25" t="n"/>
      <c r="AG2587" s="25" t="n"/>
      <c r="AH2587" s="25" t="n"/>
      <c r="AI2587" s="394" t="n"/>
      <c r="AM2587" s="48" t="n"/>
      <c r="AN2587" s="48" t="n"/>
      <c r="AO2587" s="48" t="n"/>
    </row>
    <row r="2588">
      <c r="M2588" s="25" t="n"/>
      <c r="Q2588" s="25" t="n"/>
      <c r="U2588" s="194" t="n"/>
      <c r="AA2588" s="25" t="n"/>
      <c r="AB2588" s="25" t="n"/>
      <c r="AC2588" s="195" t="n"/>
      <c r="AD2588" s="25" t="n"/>
      <c r="AE2588" s="25" t="n"/>
      <c r="AG2588" s="25" t="n"/>
      <c r="AH2588" s="25" t="n"/>
      <c r="AI2588" s="394" t="n"/>
      <c r="AM2588" s="48" t="n"/>
      <c r="AN2588" s="48" t="n"/>
      <c r="AO2588" s="48" t="n"/>
    </row>
    <row r="2589">
      <c r="M2589" s="25" t="n"/>
      <c r="Q2589" s="25" t="n"/>
      <c r="U2589" s="194" t="n"/>
      <c r="AA2589" s="25" t="n"/>
      <c r="AB2589" s="25" t="n"/>
      <c r="AC2589" s="195" t="n"/>
      <c r="AD2589" s="25" t="n"/>
      <c r="AE2589" s="25" t="n"/>
      <c r="AG2589" s="25" t="n"/>
      <c r="AH2589" s="25" t="n"/>
      <c r="AI2589" s="394" t="n"/>
      <c r="AM2589" s="48" t="n"/>
      <c r="AN2589" s="48" t="n"/>
      <c r="AO2589" s="48" t="n"/>
    </row>
    <row r="2590">
      <c r="M2590" s="25" t="n"/>
      <c r="Q2590" s="25" t="n"/>
      <c r="U2590" s="194" t="n"/>
      <c r="AA2590" s="25" t="n"/>
      <c r="AB2590" s="25" t="n"/>
      <c r="AC2590" s="195" t="n"/>
      <c r="AD2590" s="25" t="n"/>
      <c r="AE2590" s="25" t="n"/>
      <c r="AG2590" s="25" t="n"/>
      <c r="AH2590" s="25" t="n"/>
      <c r="AI2590" s="394" t="n"/>
      <c r="AM2590" s="48" t="n"/>
      <c r="AN2590" s="48" t="n"/>
      <c r="AO2590" s="48" t="n"/>
    </row>
    <row r="2591">
      <c r="M2591" s="25" t="n"/>
      <c r="Q2591" s="25" t="n"/>
      <c r="U2591" s="194" t="n"/>
      <c r="AA2591" s="25" t="n"/>
      <c r="AB2591" s="25" t="n"/>
      <c r="AC2591" s="195" t="n"/>
      <c r="AD2591" s="25" t="n"/>
      <c r="AE2591" s="25" t="n"/>
      <c r="AG2591" s="25" t="n"/>
      <c r="AH2591" s="25" t="n"/>
      <c r="AI2591" s="394" t="n"/>
      <c r="AM2591" s="48" t="n"/>
      <c r="AN2591" s="48" t="n"/>
      <c r="AO2591" s="48" t="n"/>
    </row>
    <row r="2592">
      <c r="M2592" s="25" t="n"/>
      <c r="Q2592" s="25" t="n"/>
      <c r="U2592" s="194" t="n"/>
      <c r="AA2592" s="25" t="n"/>
      <c r="AB2592" s="25" t="n"/>
      <c r="AC2592" s="195" t="n"/>
      <c r="AD2592" s="25" t="n"/>
      <c r="AE2592" s="25" t="n"/>
      <c r="AG2592" s="25" t="n"/>
      <c r="AH2592" s="25" t="n"/>
      <c r="AI2592" s="394" t="n"/>
      <c r="AM2592" s="48" t="n"/>
      <c r="AN2592" s="48" t="n"/>
      <c r="AO2592" s="48" t="n"/>
    </row>
    <row r="2593">
      <c r="M2593" s="25" t="n"/>
      <c r="Q2593" s="25" t="n"/>
      <c r="U2593" s="194" t="n"/>
      <c r="AA2593" s="25" t="n"/>
      <c r="AB2593" s="25" t="n"/>
      <c r="AC2593" s="195" t="n"/>
      <c r="AD2593" s="25" t="n"/>
      <c r="AE2593" s="25" t="n"/>
      <c r="AG2593" s="25" t="n"/>
      <c r="AH2593" s="25" t="n"/>
      <c r="AI2593" s="394" t="n"/>
      <c r="AM2593" s="48" t="n"/>
      <c r="AN2593" s="48" t="n"/>
      <c r="AO2593" s="48" t="n"/>
    </row>
    <row r="2594">
      <c r="M2594" s="25" t="n"/>
      <c r="Q2594" s="25" t="n"/>
      <c r="U2594" s="194" t="n"/>
      <c r="AA2594" s="25" t="n"/>
      <c r="AB2594" s="25" t="n"/>
      <c r="AC2594" s="195" t="n"/>
      <c r="AD2594" s="25" t="n"/>
      <c r="AE2594" s="25" t="n"/>
      <c r="AG2594" s="25" t="n"/>
      <c r="AH2594" s="25" t="n"/>
      <c r="AI2594" s="394" t="n"/>
      <c r="AM2594" s="48" t="n"/>
      <c r="AN2594" s="48" t="n"/>
      <c r="AO2594" s="48" t="n"/>
    </row>
    <row r="2595">
      <c r="M2595" s="25" t="n"/>
      <c r="Q2595" s="25" t="n"/>
      <c r="U2595" s="194" t="n"/>
      <c r="AA2595" s="25" t="n"/>
      <c r="AB2595" s="25" t="n"/>
      <c r="AC2595" s="195" t="n"/>
      <c r="AD2595" s="25" t="n"/>
      <c r="AE2595" s="25" t="n"/>
      <c r="AG2595" s="25" t="n"/>
      <c r="AH2595" s="25" t="n"/>
      <c r="AI2595" s="394" t="n"/>
      <c r="AM2595" s="48" t="n"/>
      <c r="AN2595" s="48" t="n"/>
      <c r="AO2595" s="48" t="n"/>
    </row>
    <row r="2596">
      <c r="M2596" s="25" t="n"/>
      <c r="Q2596" s="25" t="n"/>
      <c r="U2596" s="194" t="n"/>
      <c r="AA2596" s="25" t="n"/>
      <c r="AB2596" s="25" t="n"/>
      <c r="AC2596" s="195" t="n"/>
      <c r="AD2596" s="25" t="n"/>
      <c r="AE2596" s="25" t="n"/>
      <c r="AG2596" s="25" t="n"/>
      <c r="AH2596" s="25" t="n"/>
      <c r="AI2596" s="394" t="n"/>
      <c r="AM2596" s="48" t="n"/>
      <c r="AN2596" s="48" t="n"/>
      <c r="AO2596" s="48" t="n"/>
    </row>
    <row r="2597">
      <c r="M2597" s="25" t="n"/>
      <c r="Q2597" s="25" t="n"/>
      <c r="U2597" s="194" t="n"/>
      <c r="AA2597" s="25" t="n"/>
      <c r="AB2597" s="25" t="n"/>
      <c r="AC2597" s="195" t="n"/>
      <c r="AD2597" s="25" t="n"/>
      <c r="AE2597" s="25" t="n"/>
      <c r="AG2597" s="25" t="n"/>
      <c r="AH2597" s="25" t="n"/>
      <c r="AI2597" s="394" t="n"/>
      <c r="AM2597" s="48" t="n"/>
      <c r="AN2597" s="48" t="n"/>
      <c r="AO2597" s="48" t="n"/>
    </row>
    <row r="2598">
      <c r="M2598" s="25" t="n"/>
      <c r="Q2598" s="25" t="n"/>
      <c r="U2598" s="194" t="n"/>
      <c r="AA2598" s="25" t="n"/>
      <c r="AB2598" s="25" t="n"/>
      <c r="AC2598" s="195" t="n"/>
      <c r="AD2598" s="25" t="n"/>
      <c r="AE2598" s="25" t="n"/>
      <c r="AG2598" s="25" t="n"/>
      <c r="AH2598" s="25" t="n"/>
      <c r="AI2598" s="394" t="n"/>
      <c r="AM2598" s="48" t="n"/>
      <c r="AN2598" s="48" t="n"/>
      <c r="AO2598" s="48" t="n"/>
    </row>
    <row r="2599">
      <c r="M2599" s="25" t="n"/>
      <c r="Q2599" s="25" t="n"/>
      <c r="U2599" s="194" t="n"/>
      <c r="AA2599" s="25" t="n"/>
      <c r="AB2599" s="25" t="n"/>
      <c r="AC2599" s="195" t="n"/>
      <c r="AD2599" s="25" t="n"/>
      <c r="AE2599" s="25" t="n"/>
      <c r="AG2599" s="25" t="n"/>
      <c r="AH2599" s="25" t="n"/>
      <c r="AI2599" s="394" t="n"/>
      <c r="AM2599" s="48" t="n"/>
      <c r="AN2599" s="48" t="n"/>
      <c r="AO2599" s="48" t="n"/>
    </row>
    <row r="2600">
      <c r="M2600" s="25" t="n"/>
      <c r="Q2600" s="25" t="n"/>
      <c r="U2600" s="194" t="n"/>
      <c r="AA2600" s="25" t="n"/>
      <c r="AB2600" s="25" t="n"/>
      <c r="AC2600" s="195" t="n"/>
      <c r="AD2600" s="25" t="n"/>
      <c r="AE2600" s="25" t="n"/>
      <c r="AG2600" s="25" t="n"/>
      <c r="AH2600" s="25" t="n"/>
      <c r="AI2600" s="394" t="n"/>
      <c r="AM2600" s="48" t="n"/>
      <c r="AN2600" s="48" t="n"/>
      <c r="AO2600" s="48" t="n"/>
    </row>
    <row r="2601">
      <c r="M2601" s="25" t="n"/>
      <c r="Q2601" s="25" t="n"/>
      <c r="U2601" s="194" t="n"/>
      <c r="AA2601" s="25" t="n"/>
      <c r="AB2601" s="25" t="n"/>
      <c r="AC2601" s="195" t="n"/>
      <c r="AD2601" s="25" t="n"/>
      <c r="AE2601" s="25" t="n"/>
      <c r="AG2601" s="25" t="n"/>
      <c r="AH2601" s="25" t="n"/>
      <c r="AI2601" s="394" t="n"/>
      <c r="AM2601" s="48" t="n"/>
      <c r="AN2601" s="48" t="n"/>
      <c r="AO2601" s="48" t="n"/>
    </row>
    <row r="2602">
      <c r="M2602" s="25" t="n"/>
      <c r="Q2602" s="25" t="n"/>
      <c r="U2602" s="194" t="n"/>
      <c r="AA2602" s="25" t="n"/>
      <c r="AB2602" s="25" t="n"/>
      <c r="AC2602" s="195" t="n"/>
      <c r="AD2602" s="25" t="n"/>
      <c r="AE2602" s="25" t="n"/>
      <c r="AG2602" s="25" t="n"/>
      <c r="AH2602" s="25" t="n"/>
      <c r="AI2602" s="394" t="n"/>
      <c r="AM2602" s="48" t="n"/>
      <c r="AN2602" s="48" t="n"/>
      <c r="AO2602" s="48" t="n"/>
    </row>
    <row r="2603">
      <c r="M2603" s="25" t="n"/>
      <c r="Q2603" s="25" t="n"/>
      <c r="U2603" s="194" t="n"/>
      <c r="AA2603" s="25" t="n"/>
      <c r="AB2603" s="25" t="n"/>
      <c r="AC2603" s="195" t="n"/>
      <c r="AD2603" s="25" t="n"/>
      <c r="AE2603" s="25" t="n"/>
      <c r="AG2603" s="25" t="n"/>
      <c r="AH2603" s="25" t="n"/>
      <c r="AI2603" s="394" t="n"/>
      <c r="AM2603" s="48" t="n"/>
      <c r="AN2603" s="48" t="n"/>
      <c r="AO2603" s="48" t="n"/>
    </row>
    <row r="2604">
      <c r="M2604" s="25" t="n"/>
      <c r="Q2604" s="25" t="n"/>
      <c r="U2604" s="194" t="n"/>
      <c r="AA2604" s="25" t="n"/>
      <c r="AB2604" s="25" t="n"/>
      <c r="AC2604" s="195" t="n"/>
      <c r="AD2604" s="25" t="n"/>
      <c r="AE2604" s="25" t="n"/>
      <c r="AG2604" s="25" t="n"/>
      <c r="AH2604" s="25" t="n"/>
      <c r="AI2604" s="394" t="n"/>
      <c r="AM2604" s="48" t="n"/>
      <c r="AN2604" s="48" t="n"/>
      <c r="AO2604" s="48" t="n"/>
    </row>
    <row r="2605">
      <c r="M2605" s="25" t="n"/>
      <c r="Q2605" s="25" t="n"/>
      <c r="U2605" s="194" t="n"/>
      <c r="AA2605" s="25" t="n"/>
      <c r="AB2605" s="25" t="n"/>
      <c r="AC2605" s="195" t="n"/>
      <c r="AD2605" s="25" t="n"/>
      <c r="AE2605" s="25" t="n"/>
      <c r="AG2605" s="25" t="n"/>
      <c r="AH2605" s="25" t="n"/>
      <c r="AI2605" s="394" t="n"/>
      <c r="AM2605" s="48" t="n"/>
      <c r="AN2605" s="48" t="n"/>
      <c r="AO2605" s="48" t="n"/>
    </row>
    <row r="2606">
      <c r="M2606" s="25" t="n"/>
      <c r="Q2606" s="25" t="n"/>
      <c r="U2606" s="194" t="n"/>
      <c r="AA2606" s="25" t="n"/>
      <c r="AB2606" s="25" t="n"/>
      <c r="AC2606" s="195" t="n"/>
      <c r="AD2606" s="25" t="n"/>
      <c r="AE2606" s="25" t="n"/>
      <c r="AG2606" s="25" t="n"/>
      <c r="AH2606" s="25" t="n"/>
      <c r="AI2606" s="394" t="n"/>
      <c r="AM2606" s="48" t="n"/>
      <c r="AN2606" s="48" t="n"/>
      <c r="AO2606" s="48" t="n"/>
    </row>
    <row r="2607">
      <c r="M2607" s="25" t="n"/>
      <c r="Q2607" s="25" t="n"/>
      <c r="U2607" s="194" t="n"/>
      <c r="AA2607" s="25" t="n"/>
      <c r="AB2607" s="25" t="n"/>
      <c r="AC2607" s="195" t="n"/>
      <c r="AD2607" s="25" t="n"/>
      <c r="AE2607" s="25" t="n"/>
      <c r="AG2607" s="25" t="n"/>
      <c r="AH2607" s="25" t="n"/>
      <c r="AI2607" s="394" t="n"/>
      <c r="AM2607" s="48" t="n"/>
      <c r="AN2607" s="48" t="n"/>
      <c r="AO2607" s="48" t="n"/>
    </row>
    <row r="2608">
      <c r="M2608" s="25" t="n"/>
      <c r="Q2608" s="25" t="n"/>
      <c r="U2608" s="194" t="n"/>
      <c r="AA2608" s="25" t="n"/>
      <c r="AB2608" s="25" t="n"/>
      <c r="AC2608" s="195" t="n"/>
      <c r="AD2608" s="25" t="n"/>
      <c r="AE2608" s="25" t="n"/>
      <c r="AG2608" s="25" t="n"/>
      <c r="AH2608" s="25" t="n"/>
      <c r="AI2608" s="394" t="n"/>
      <c r="AM2608" s="48" t="n"/>
      <c r="AN2608" s="48" t="n"/>
      <c r="AO2608" s="48" t="n"/>
    </row>
    <row r="2609">
      <c r="M2609" s="25" t="n"/>
      <c r="Q2609" s="25" t="n"/>
      <c r="U2609" s="194" t="n"/>
      <c r="AA2609" s="25" t="n"/>
      <c r="AB2609" s="25" t="n"/>
      <c r="AC2609" s="195" t="n"/>
      <c r="AD2609" s="25" t="n"/>
      <c r="AE2609" s="25" t="n"/>
      <c r="AG2609" s="25" t="n"/>
      <c r="AH2609" s="25" t="n"/>
      <c r="AI2609" s="394" t="n"/>
      <c r="AM2609" s="48" t="n"/>
      <c r="AN2609" s="48" t="n"/>
      <c r="AO2609" s="48" t="n"/>
    </row>
    <row r="2610">
      <c r="M2610" s="25" t="n"/>
      <c r="Q2610" s="25" t="n"/>
      <c r="U2610" s="194" t="n"/>
      <c r="AA2610" s="25" t="n"/>
      <c r="AB2610" s="25" t="n"/>
      <c r="AC2610" s="195" t="n"/>
      <c r="AD2610" s="25" t="n"/>
      <c r="AE2610" s="25" t="n"/>
      <c r="AG2610" s="25" t="n"/>
      <c r="AH2610" s="25" t="n"/>
      <c r="AI2610" s="394" t="n"/>
      <c r="AM2610" s="48" t="n"/>
      <c r="AN2610" s="48" t="n"/>
      <c r="AO2610" s="48" t="n"/>
    </row>
    <row r="2611">
      <c r="M2611" s="25" t="n"/>
      <c r="Q2611" s="25" t="n"/>
      <c r="U2611" s="194" t="n"/>
      <c r="AA2611" s="25" t="n"/>
      <c r="AB2611" s="25" t="n"/>
      <c r="AC2611" s="195" t="n"/>
      <c r="AD2611" s="25" t="n"/>
      <c r="AE2611" s="25" t="n"/>
      <c r="AG2611" s="25" t="n"/>
      <c r="AH2611" s="25" t="n"/>
      <c r="AI2611" s="394" t="n"/>
      <c r="AM2611" s="48" t="n"/>
      <c r="AN2611" s="48" t="n"/>
      <c r="AO2611" s="48" t="n"/>
    </row>
    <row r="2612">
      <c r="M2612" s="25" t="n"/>
      <c r="Q2612" s="25" t="n"/>
      <c r="U2612" s="194" t="n"/>
      <c r="AA2612" s="25" t="n"/>
      <c r="AB2612" s="25" t="n"/>
      <c r="AC2612" s="195" t="n"/>
      <c r="AD2612" s="25" t="n"/>
      <c r="AE2612" s="25" t="n"/>
      <c r="AG2612" s="25" t="n"/>
      <c r="AH2612" s="25" t="n"/>
      <c r="AI2612" s="394" t="n"/>
      <c r="AM2612" s="48" t="n"/>
      <c r="AN2612" s="48" t="n"/>
      <c r="AO2612" s="48" t="n"/>
    </row>
    <row r="2613">
      <c r="M2613" s="25" t="n"/>
      <c r="Q2613" s="25" t="n"/>
      <c r="U2613" s="194" t="n"/>
      <c r="AA2613" s="25" t="n"/>
      <c r="AB2613" s="25" t="n"/>
      <c r="AC2613" s="195" t="n"/>
      <c r="AD2613" s="25" t="n"/>
      <c r="AE2613" s="25" t="n"/>
      <c r="AG2613" s="25" t="n"/>
      <c r="AH2613" s="25" t="n"/>
      <c r="AI2613" s="394" t="n"/>
      <c r="AM2613" s="48" t="n"/>
      <c r="AN2613" s="48" t="n"/>
      <c r="AO2613" s="48" t="n"/>
    </row>
    <row r="2614">
      <c r="M2614" s="25" t="n"/>
      <c r="Q2614" s="25" t="n"/>
      <c r="U2614" s="194" t="n"/>
      <c r="AA2614" s="25" t="n"/>
      <c r="AB2614" s="25" t="n"/>
      <c r="AC2614" s="195" t="n"/>
      <c r="AD2614" s="25" t="n"/>
      <c r="AE2614" s="25" t="n"/>
      <c r="AG2614" s="25" t="n"/>
      <c r="AH2614" s="25" t="n"/>
      <c r="AI2614" s="394" t="n"/>
      <c r="AM2614" s="48" t="n"/>
      <c r="AN2614" s="48" t="n"/>
      <c r="AO2614" s="48" t="n"/>
    </row>
    <row r="2615">
      <c r="M2615" s="25" t="n"/>
      <c r="Q2615" s="25" t="n"/>
      <c r="U2615" s="194" t="n"/>
      <c r="AA2615" s="25" t="n"/>
      <c r="AB2615" s="25" t="n"/>
      <c r="AC2615" s="195" t="n"/>
      <c r="AD2615" s="25" t="n"/>
      <c r="AE2615" s="25" t="n"/>
      <c r="AG2615" s="25" t="n"/>
      <c r="AH2615" s="25" t="n"/>
      <c r="AI2615" s="394" t="n"/>
      <c r="AM2615" s="48" t="n"/>
      <c r="AN2615" s="48" t="n"/>
      <c r="AO2615" s="48" t="n"/>
    </row>
    <row r="2616">
      <c r="M2616" s="25" t="n"/>
      <c r="Q2616" s="25" t="n"/>
      <c r="U2616" s="194" t="n"/>
      <c r="AA2616" s="25" t="n"/>
      <c r="AB2616" s="25" t="n"/>
      <c r="AC2616" s="195" t="n"/>
      <c r="AD2616" s="25" t="n"/>
      <c r="AE2616" s="25" t="n"/>
      <c r="AG2616" s="25" t="n"/>
      <c r="AH2616" s="25" t="n"/>
      <c r="AI2616" s="394" t="n"/>
      <c r="AM2616" s="48" t="n"/>
      <c r="AN2616" s="48" t="n"/>
      <c r="AO2616" s="48" t="n"/>
    </row>
    <row r="2617">
      <c r="M2617" s="25" t="n"/>
      <c r="Q2617" s="25" t="n"/>
      <c r="U2617" s="194" t="n"/>
      <c r="AA2617" s="25" t="n"/>
      <c r="AB2617" s="25" t="n"/>
      <c r="AC2617" s="195" t="n"/>
      <c r="AD2617" s="25" t="n"/>
      <c r="AE2617" s="25" t="n"/>
      <c r="AG2617" s="25" t="n"/>
      <c r="AH2617" s="25" t="n"/>
      <c r="AI2617" s="394" t="n"/>
      <c r="AM2617" s="48" t="n"/>
      <c r="AN2617" s="48" t="n"/>
      <c r="AO2617" s="48" t="n"/>
    </row>
    <row r="2618">
      <c r="M2618" s="25" t="n"/>
      <c r="Q2618" s="25" t="n"/>
      <c r="U2618" s="194" t="n"/>
      <c r="AA2618" s="25" t="n"/>
      <c r="AB2618" s="25" t="n"/>
      <c r="AC2618" s="195" t="n"/>
      <c r="AD2618" s="25" t="n"/>
      <c r="AE2618" s="25" t="n"/>
      <c r="AG2618" s="25" t="n"/>
      <c r="AH2618" s="25" t="n"/>
      <c r="AI2618" s="394" t="n"/>
      <c r="AM2618" s="48" t="n"/>
      <c r="AN2618" s="48" t="n"/>
      <c r="AO2618" s="48" t="n"/>
    </row>
    <row r="2619">
      <c r="M2619" s="25" t="n"/>
      <c r="Q2619" s="25" t="n"/>
      <c r="U2619" s="194" t="n"/>
      <c r="AA2619" s="25" t="n"/>
      <c r="AB2619" s="25" t="n"/>
      <c r="AC2619" s="195" t="n"/>
      <c r="AD2619" s="25" t="n"/>
      <c r="AE2619" s="25" t="n"/>
      <c r="AG2619" s="25" t="n"/>
      <c r="AH2619" s="25" t="n"/>
      <c r="AI2619" s="394" t="n"/>
      <c r="AM2619" s="48" t="n"/>
      <c r="AN2619" s="48" t="n"/>
      <c r="AO2619" s="48" t="n"/>
    </row>
    <row r="2620">
      <c r="M2620" s="25" t="n"/>
      <c r="Q2620" s="25" t="n"/>
      <c r="U2620" s="194" t="n"/>
      <c r="AA2620" s="25" t="n"/>
      <c r="AB2620" s="25" t="n"/>
      <c r="AC2620" s="195" t="n"/>
      <c r="AD2620" s="25" t="n"/>
      <c r="AE2620" s="25" t="n"/>
      <c r="AG2620" s="25" t="n"/>
      <c r="AH2620" s="25" t="n"/>
      <c r="AI2620" s="394" t="n"/>
      <c r="AM2620" s="48" t="n"/>
      <c r="AN2620" s="48" t="n"/>
      <c r="AO2620" s="48" t="n"/>
    </row>
    <row r="2621">
      <c r="M2621" s="25" t="n"/>
      <c r="Q2621" s="25" t="n"/>
      <c r="U2621" s="194" t="n"/>
      <c r="AA2621" s="25" t="n"/>
      <c r="AB2621" s="25" t="n"/>
      <c r="AC2621" s="195" t="n"/>
      <c r="AD2621" s="25" t="n"/>
      <c r="AE2621" s="25" t="n"/>
      <c r="AG2621" s="25" t="n"/>
      <c r="AH2621" s="25" t="n"/>
      <c r="AI2621" s="394" t="n"/>
      <c r="AM2621" s="48" t="n"/>
      <c r="AN2621" s="48" t="n"/>
      <c r="AO2621" s="48" t="n"/>
    </row>
    <row r="2622">
      <c r="M2622" s="25" t="n"/>
      <c r="Q2622" s="25" t="n"/>
      <c r="U2622" s="194" t="n"/>
      <c r="AA2622" s="25" t="n"/>
      <c r="AB2622" s="25" t="n"/>
      <c r="AC2622" s="195" t="n"/>
      <c r="AD2622" s="25" t="n"/>
      <c r="AE2622" s="25" t="n"/>
      <c r="AG2622" s="25" t="n"/>
      <c r="AH2622" s="25" t="n"/>
      <c r="AI2622" s="394" t="n"/>
      <c r="AM2622" s="48" t="n"/>
      <c r="AN2622" s="48" t="n"/>
      <c r="AO2622" s="48" t="n"/>
    </row>
    <row r="2623">
      <c r="M2623" s="25" t="n"/>
      <c r="Q2623" s="25" t="n"/>
      <c r="U2623" s="194" t="n"/>
      <c r="AA2623" s="25" t="n"/>
      <c r="AB2623" s="25" t="n"/>
      <c r="AC2623" s="195" t="n"/>
      <c r="AD2623" s="25" t="n"/>
      <c r="AE2623" s="25" t="n"/>
      <c r="AG2623" s="25" t="n"/>
      <c r="AH2623" s="25" t="n"/>
      <c r="AI2623" s="394" t="n"/>
      <c r="AM2623" s="48" t="n"/>
      <c r="AN2623" s="48" t="n"/>
      <c r="AO2623" s="48" t="n"/>
    </row>
    <row r="2624">
      <c r="M2624" s="25" t="n"/>
      <c r="Q2624" s="25" t="n"/>
      <c r="U2624" s="194" t="n"/>
      <c r="AA2624" s="25" t="n"/>
      <c r="AB2624" s="25" t="n"/>
      <c r="AC2624" s="195" t="n"/>
      <c r="AD2624" s="25" t="n"/>
      <c r="AE2624" s="25" t="n"/>
      <c r="AG2624" s="25" t="n"/>
      <c r="AH2624" s="25" t="n"/>
      <c r="AI2624" s="394" t="n"/>
      <c r="AM2624" s="48" t="n"/>
      <c r="AN2624" s="48" t="n"/>
      <c r="AO2624" s="48" t="n"/>
    </row>
    <row r="2625">
      <c r="M2625" s="25" t="n"/>
      <c r="Q2625" s="25" t="n"/>
      <c r="U2625" s="194" t="n"/>
      <c r="AA2625" s="25" t="n"/>
      <c r="AB2625" s="25" t="n"/>
      <c r="AC2625" s="195" t="n"/>
      <c r="AD2625" s="25" t="n"/>
      <c r="AE2625" s="25" t="n"/>
      <c r="AG2625" s="25" t="n"/>
      <c r="AH2625" s="25" t="n"/>
      <c r="AI2625" s="394" t="n"/>
      <c r="AM2625" s="48" t="n"/>
      <c r="AN2625" s="48" t="n"/>
      <c r="AO2625" s="48" t="n"/>
    </row>
    <row r="2626">
      <c r="M2626" s="25" t="n"/>
      <c r="Q2626" s="25" t="n"/>
      <c r="U2626" s="194" t="n"/>
      <c r="AA2626" s="25" t="n"/>
      <c r="AB2626" s="25" t="n"/>
      <c r="AC2626" s="195" t="n"/>
      <c r="AD2626" s="25" t="n"/>
      <c r="AE2626" s="25" t="n"/>
      <c r="AG2626" s="25" t="n"/>
      <c r="AH2626" s="25" t="n"/>
      <c r="AI2626" s="394" t="n"/>
      <c r="AM2626" s="48" t="n"/>
      <c r="AN2626" s="48" t="n"/>
      <c r="AO2626" s="48" t="n"/>
    </row>
    <row r="2627">
      <c r="M2627" s="25" t="n"/>
      <c r="Q2627" s="25" t="n"/>
      <c r="U2627" s="194" t="n"/>
      <c r="AA2627" s="25" t="n"/>
      <c r="AB2627" s="25" t="n"/>
      <c r="AC2627" s="195" t="n"/>
      <c r="AD2627" s="25" t="n"/>
      <c r="AE2627" s="25" t="n"/>
      <c r="AG2627" s="25" t="n"/>
      <c r="AH2627" s="25" t="n"/>
      <c r="AI2627" s="394" t="n"/>
      <c r="AM2627" s="48" t="n"/>
      <c r="AN2627" s="48" t="n"/>
      <c r="AO2627" s="48" t="n"/>
    </row>
    <row r="2628">
      <c r="M2628" s="25" t="n"/>
      <c r="Q2628" s="25" t="n"/>
      <c r="U2628" s="194" t="n"/>
      <c r="AA2628" s="25" t="n"/>
      <c r="AB2628" s="25" t="n"/>
      <c r="AC2628" s="195" t="n"/>
      <c r="AD2628" s="25" t="n"/>
      <c r="AE2628" s="25" t="n"/>
      <c r="AG2628" s="25" t="n"/>
      <c r="AH2628" s="25" t="n"/>
      <c r="AI2628" s="394" t="n"/>
      <c r="AM2628" s="48" t="n"/>
      <c r="AN2628" s="48" t="n"/>
      <c r="AO2628" s="48" t="n"/>
    </row>
    <row r="2629">
      <c r="M2629" s="25" t="n"/>
      <c r="Q2629" s="25" t="n"/>
      <c r="U2629" s="194" t="n"/>
      <c r="AA2629" s="25" t="n"/>
      <c r="AB2629" s="25" t="n"/>
      <c r="AC2629" s="195" t="n"/>
      <c r="AD2629" s="25" t="n"/>
      <c r="AE2629" s="25" t="n"/>
      <c r="AG2629" s="25" t="n"/>
      <c r="AH2629" s="25" t="n"/>
      <c r="AI2629" s="394" t="n"/>
      <c r="AM2629" s="48" t="n"/>
      <c r="AN2629" s="48" t="n"/>
      <c r="AO2629" s="48" t="n"/>
    </row>
    <row r="2630">
      <c r="M2630" s="25" t="n"/>
      <c r="Q2630" s="25" t="n"/>
      <c r="U2630" s="194" t="n"/>
      <c r="AA2630" s="25" t="n"/>
      <c r="AB2630" s="25" t="n"/>
      <c r="AC2630" s="195" t="n"/>
      <c r="AD2630" s="25" t="n"/>
      <c r="AE2630" s="25" t="n"/>
      <c r="AG2630" s="25" t="n"/>
      <c r="AH2630" s="25" t="n"/>
      <c r="AI2630" s="394" t="n"/>
      <c r="AM2630" s="48" t="n"/>
      <c r="AN2630" s="48" t="n"/>
      <c r="AO2630" s="48" t="n"/>
    </row>
    <row r="2631">
      <c r="M2631" s="25" t="n"/>
      <c r="Q2631" s="25" t="n"/>
      <c r="U2631" s="194" t="n"/>
      <c r="AA2631" s="25" t="n"/>
      <c r="AB2631" s="25" t="n"/>
      <c r="AC2631" s="195" t="n"/>
      <c r="AD2631" s="25" t="n"/>
      <c r="AE2631" s="25" t="n"/>
      <c r="AG2631" s="25" t="n"/>
      <c r="AH2631" s="25" t="n"/>
      <c r="AI2631" s="394" t="n"/>
      <c r="AM2631" s="48" t="n"/>
      <c r="AN2631" s="48" t="n"/>
      <c r="AO2631" s="48" t="n"/>
    </row>
    <row r="2632">
      <c r="M2632" s="25" t="n"/>
      <c r="Q2632" s="25" t="n"/>
      <c r="U2632" s="194" t="n"/>
      <c r="AA2632" s="25" t="n"/>
      <c r="AB2632" s="25" t="n"/>
      <c r="AC2632" s="195" t="n"/>
      <c r="AD2632" s="25" t="n"/>
      <c r="AE2632" s="25" t="n"/>
      <c r="AG2632" s="25" t="n"/>
      <c r="AH2632" s="25" t="n"/>
      <c r="AI2632" s="394" t="n"/>
      <c r="AM2632" s="48" t="n"/>
      <c r="AN2632" s="48" t="n"/>
      <c r="AO2632" s="48" t="n"/>
    </row>
    <row r="2633">
      <c r="M2633" s="25" t="n"/>
      <c r="Q2633" s="25" t="n"/>
      <c r="U2633" s="194" t="n"/>
      <c r="AA2633" s="25" t="n"/>
      <c r="AB2633" s="25" t="n"/>
      <c r="AC2633" s="195" t="n"/>
      <c r="AD2633" s="25" t="n"/>
      <c r="AE2633" s="25" t="n"/>
      <c r="AG2633" s="25" t="n"/>
      <c r="AH2633" s="25" t="n"/>
      <c r="AI2633" s="394" t="n"/>
      <c r="AM2633" s="48" t="n"/>
      <c r="AN2633" s="48" t="n"/>
      <c r="AO2633" s="48" t="n"/>
    </row>
    <row r="2634">
      <c r="M2634" s="25" t="n"/>
      <c r="Q2634" s="25" t="n"/>
      <c r="U2634" s="194" t="n"/>
      <c r="AA2634" s="25" t="n"/>
      <c r="AB2634" s="25" t="n"/>
      <c r="AC2634" s="195" t="n"/>
      <c r="AD2634" s="25" t="n"/>
      <c r="AE2634" s="25" t="n"/>
      <c r="AG2634" s="25" t="n"/>
      <c r="AH2634" s="25" t="n"/>
      <c r="AI2634" s="394" t="n"/>
      <c r="AM2634" s="48" t="n"/>
      <c r="AN2634" s="48" t="n"/>
      <c r="AO2634" s="48" t="n"/>
    </row>
    <row r="2635">
      <c r="M2635" s="25" t="n"/>
      <c r="Q2635" s="25" t="n"/>
      <c r="U2635" s="194" t="n"/>
      <c r="AA2635" s="25" t="n"/>
      <c r="AB2635" s="25" t="n"/>
      <c r="AC2635" s="195" t="n"/>
      <c r="AD2635" s="25" t="n"/>
      <c r="AE2635" s="25" t="n"/>
      <c r="AG2635" s="25" t="n"/>
      <c r="AH2635" s="25" t="n"/>
      <c r="AI2635" s="394" t="n"/>
      <c r="AM2635" s="48" t="n"/>
      <c r="AN2635" s="48" t="n"/>
      <c r="AO2635" s="48" t="n"/>
    </row>
    <row r="2636">
      <c r="M2636" s="25" t="n"/>
      <c r="Q2636" s="25" t="n"/>
      <c r="U2636" s="194" t="n"/>
      <c r="AA2636" s="25" t="n"/>
      <c r="AB2636" s="25" t="n"/>
      <c r="AC2636" s="195" t="n"/>
      <c r="AD2636" s="25" t="n"/>
      <c r="AE2636" s="25" t="n"/>
      <c r="AG2636" s="25" t="n"/>
      <c r="AH2636" s="25" t="n"/>
      <c r="AI2636" s="394" t="n"/>
      <c r="AM2636" s="48" t="n"/>
      <c r="AN2636" s="48" t="n"/>
      <c r="AO2636" s="48" t="n"/>
    </row>
    <row r="2637">
      <c r="M2637" s="25" t="n"/>
      <c r="Q2637" s="25" t="n"/>
      <c r="U2637" s="194" t="n"/>
      <c r="AA2637" s="25" t="n"/>
      <c r="AB2637" s="25" t="n"/>
      <c r="AC2637" s="195" t="n"/>
      <c r="AD2637" s="25" t="n"/>
      <c r="AE2637" s="25" t="n"/>
      <c r="AG2637" s="25" t="n"/>
      <c r="AH2637" s="25" t="n"/>
      <c r="AI2637" s="394" t="n"/>
      <c r="AM2637" s="48" t="n"/>
      <c r="AN2637" s="48" t="n"/>
      <c r="AO2637" s="48" t="n"/>
    </row>
    <row r="2638">
      <c r="M2638" s="25" t="n"/>
      <c r="Q2638" s="25" t="n"/>
      <c r="U2638" s="194" t="n"/>
      <c r="AA2638" s="25" t="n"/>
      <c r="AB2638" s="25" t="n"/>
      <c r="AC2638" s="195" t="n"/>
      <c r="AD2638" s="25" t="n"/>
      <c r="AE2638" s="25" t="n"/>
      <c r="AG2638" s="25" t="n"/>
      <c r="AH2638" s="25" t="n"/>
      <c r="AI2638" s="394" t="n"/>
      <c r="AM2638" s="48" t="n"/>
      <c r="AN2638" s="48" t="n"/>
      <c r="AO2638" s="48" t="n"/>
    </row>
    <row r="2639">
      <c r="M2639" s="25" t="n"/>
      <c r="Q2639" s="25" t="n"/>
      <c r="U2639" s="194" t="n"/>
      <c r="AA2639" s="25" t="n"/>
      <c r="AB2639" s="25" t="n"/>
      <c r="AC2639" s="195" t="n"/>
      <c r="AD2639" s="25" t="n"/>
      <c r="AE2639" s="25" t="n"/>
      <c r="AG2639" s="25" t="n"/>
      <c r="AH2639" s="25" t="n"/>
      <c r="AI2639" s="394" t="n"/>
      <c r="AM2639" s="48" t="n"/>
      <c r="AN2639" s="48" t="n"/>
      <c r="AO2639" s="48" t="n"/>
    </row>
    <row r="2640">
      <c r="M2640" s="25" t="n"/>
      <c r="Q2640" s="25" t="n"/>
      <c r="U2640" s="194" t="n"/>
      <c r="AA2640" s="25" t="n"/>
      <c r="AB2640" s="25" t="n"/>
      <c r="AC2640" s="195" t="n"/>
      <c r="AD2640" s="25" t="n"/>
      <c r="AE2640" s="25" t="n"/>
      <c r="AG2640" s="25" t="n"/>
      <c r="AH2640" s="25" t="n"/>
      <c r="AI2640" s="394" t="n"/>
      <c r="AM2640" s="48" t="n"/>
      <c r="AN2640" s="48" t="n"/>
      <c r="AO2640" s="48" t="n"/>
    </row>
    <row r="2641">
      <c r="M2641" s="25" t="n"/>
      <c r="Q2641" s="25" t="n"/>
      <c r="U2641" s="194" t="n"/>
      <c r="AA2641" s="25" t="n"/>
      <c r="AB2641" s="25" t="n"/>
      <c r="AC2641" s="195" t="n"/>
      <c r="AD2641" s="25" t="n"/>
      <c r="AE2641" s="25" t="n"/>
      <c r="AG2641" s="25" t="n"/>
      <c r="AH2641" s="25" t="n"/>
      <c r="AI2641" s="394" t="n"/>
      <c r="AM2641" s="48" t="n"/>
      <c r="AN2641" s="48" t="n"/>
      <c r="AO2641" s="48" t="n"/>
    </row>
    <row r="2642">
      <c r="M2642" s="25" t="n"/>
      <c r="Q2642" s="25" t="n"/>
      <c r="U2642" s="194" t="n"/>
      <c r="AA2642" s="25" t="n"/>
      <c r="AB2642" s="25" t="n"/>
      <c r="AC2642" s="195" t="n"/>
      <c r="AD2642" s="25" t="n"/>
      <c r="AE2642" s="25" t="n"/>
      <c r="AG2642" s="25" t="n"/>
      <c r="AH2642" s="25" t="n"/>
      <c r="AI2642" s="394" t="n"/>
      <c r="AM2642" s="48" t="n"/>
      <c r="AN2642" s="48" t="n"/>
      <c r="AO2642" s="48" t="n"/>
    </row>
    <row r="2643">
      <c r="M2643" s="25" t="n"/>
      <c r="Q2643" s="25" t="n"/>
      <c r="U2643" s="194" t="n"/>
      <c r="AA2643" s="25" t="n"/>
      <c r="AB2643" s="25" t="n"/>
      <c r="AC2643" s="195" t="n"/>
      <c r="AD2643" s="25" t="n"/>
      <c r="AE2643" s="25" t="n"/>
      <c r="AG2643" s="25" t="n"/>
      <c r="AH2643" s="25" t="n"/>
      <c r="AI2643" s="394" t="n"/>
      <c r="AM2643" s="48" t="n"/>
      <c r="AN2643" s="48" t="n"/>
      <c r="AO2643" s="48" t="n"/>
    </row>
    <row r="2644">
      <c r="M2644" s="25" t="n"/>
      <c r="Q2644" s="25" t="n"/>
      <c r="U2644" s="194" t="n"/>
      <c r="AA2644" s="25" t="n"/>
      <c r="AB2644" s="25" t="n"/>
      <c r="AC2644" s="195" t="n"/>
      <c r="AD2644" s="25" t="n"/>
      <c r="AE2644" s="25" t="n"/>
      <c r="AG2644" s="25" t="n"/>
      <c r="AH2644" s="25" t="n"/>
      <c r="AI2644" s="394" t="n"/>
      <c r="AM2644" s="48" t="n"/>
      <c r="AN2644" s="48" t="n"/>
      <c r="AO2644" s="48" t="n"/>
    </row>
    <row r="2645">
      <c r="M2645" s="25" t="n"/>
      <c r="Q2645" s="25" t="n"/>
      <c r="U2645" s="194" t="n"/>
      <c r="AA2645" s="25" t="n"/>
      <c r="AB2645" s="25" t="n"/>
      <c r="AC2645" s="195" t="n"/>
      <c r="AD2645" s="25" t="n"/>
      <c r="AE2645" s="25" t="n"/>
      <c r="AG2645" s="25" t="n"/>
      <c r="AH2645" s="25" t="n"/>
      <c r="AI2645" s="394" t="n"/>
      <c r="AM2645" s="48" t="n"/>
      <c r="AN2645" s="48" t="n"/>
      <c r="AO2645" s="48" t="n"/>
    </row>
    <row r="2646">
      <c r="M2646" s="25" t="n"/>
      <c r="Q2646" s="25" t="n"/>
      <c r="U2646" s="194" t="n"/>
      <c r="AA2646" s="25" t="n"/>
      <c r="AB2646" s="25" t="n"/>
      <c r="AC2646" s="195" t="n"/>
      <c r="AD2646" s="25" t="n"/>
      <c r="AE2646" s="25" t="n"/>
      <c r="AG2646" s="25" t="n"/>
      <c r="AH2646" s="25" t="n"/>
      <c r="AI2646" s="394" t="n"/>
      <c r="AM2646" s="48" t="n"/>
      <c r="AN2646" s="48" t="n"/>
      <c r="AO2646" s="48" t="n"/>
    </row>
    <row r="2647">
      <c r="M2647" s="25" t="n"/>
      <c r="Q2647" s="25" t="n"/>
      <c r="U2647" s="194" t="n"/>
      <c r="AA2647" s="25" t="n"/>
      <c r="AB2647" s="25" t="n"/>
      <c r="AC2647" s="195" t="n"/>
      <c r="AD2647" s="25" t="n"/>
      <c r="AE2647" s="25" t="n"/>
      <c r="AG2647" s="25" t="n"/>
      <c r="AH2647" s="25" t="n"/>
      <c r="AI2647" s="394" t="n"/>
      <c r="AM2647" s="48" t="n"/>
      <c r="AN2647" s="48" t="n"/>
      <c r="AO2647" s="48" t="n"/>
    </row>
    <row r="2648">
      <c r="M2648" s="25" t="n"/>
      <c r="Q2648" s="25" t="n"/>
      <c r="U2648" s="194" t="n"/>
      <c r="AA2648" s="25" t="n"/>
      <c r="AB2648" s="25" t="n"/>
      <c r="AC2648" s="195" t="n"/>
      <c r="AD2648" s="25" t="n"/>
      <c r="AE2648" s="25" t="n"/>
      <c r="AG2648" s="25" t="n"/>
      <c r="AH2648" s="25" t="n"/>
      <c r="AI2648" s="394" t="n"/>
      <c r="AM2648" s="48" t="n"/>
      <c r="AN2648" s="48" t="n"/>
      <c r="AO2648" s="48" t="n"/>
    </row>
    <row r="2649">
      <c r="M2649" s="25" t="n"/>
      <c r="Q2649" s="25" t="n"/>
      <c r="U2649" s="194" t="n"/>
      <c r="AA2649" s="25" t="n"/>
      <c r="AB2649" s="25" t="n"/>
      <c r="AC2649" s="195" t="n"/>
      <c r="AD2649" s="25" t="n"/>
      <c r="AE2649" s="25" t="n"/>
      <c r="AG2649" s="25" t="n"/>
      <c r="AH2649" s="25" t="n"/>
      <c r="AI2649" s="394" t="n"/>
      <c r="AM2649" s="48" t="n"/>
      <c r="AN2649" s="48" t="n"/>
      <c r="AO2649" s="48" t="n"/>
    </row>
    <row r="2650">
      <c r="M2650" s="25" t="n"/>
      <c r="Q2650" s="25" t="n"/>
      <c r="U2650" s="194" t="n"/>
      <c r="AA2650" s="25" t="n"/>
      <c r="AB2650" s="25" t="n"/>
      <c r="AC2650" s="195" t="n"/>
      <c r="AD2650" s="25" t="n"/>
      <c r="AE2650" s="25" t="n"/>
      <c r="AG2650" s="25" t="n"/>
      <c r="AH2650" s="25" t="n"/>
      <c r="AI2650" s="394" t="n"/>
      <c r="AM2650" s="48" t="n"/>
      <c r="AN2650" s="48" t="n"/>
      <c r="AO2650" s="48" t="n"/>
    </row>
    <row r="2651">
      <c r="M2651" s="25" t="n"/>
      <c r="Q2651" s="25" t="n"/>
      <c r="U2651" s="194" t="n"/>
      <c r="AA2651" s="25" t="n"/>
      <c r="AB2651" s="25" t="n"/>
      <c r="AC2651" s="195" t="n"/>
      <c r="AD2651" s="25" t="n"/>
      <c r="AE2651" s="25" t="n"/>
      <c r="AG2651" s="25" t="n"/>
      <c r="AH2651" s="25" t="n"/>
      <c r="AI2651" s="394" t="n"/>
      <c r="AM2651" s="48" t="n"/>
      <c r="AN2651" s="48" t="n"/>
      <c r="AO2651" s="48" t="n"/>
    </row>
    <row r="2652">
      <c r="M2652" s="25" t="n"/>
      <c r="Q2652" s="25" t="n"/>
      <c r="U2652" s="194" t="n"/>
      <c r="AA2652" s="25" t="n"/>
      <c r="AB2652" s="25" t="n"/>
      <c r="AC2652" s="195" t="n"/>
      <c r="AD2652" s="25" t="n"/>
      <c r="AE2652" s="25" t="n"/>
      <c r="AG2652" s="25" t="n"/>
      <c r="AH2652" s="25" t="n"/>
      <c r="AI2652" s="394" t="n"/>
      <c r="AM2652" s="48" t="n"/>
      <c r="AN2652" s="48" t="n"/>
      <c r="AO2652" s="48" t="n"/>
    </row>
    <row r="2653">
      <c r="M2653" s="25" t="n"/>
      <c r="Q2653" s="25" t="n"/>
      <c r="U2653" s="194" t="n"/>
      <c r="AA2653" s="25" t="n"/>
      <c r="AB2653" s="25" t="n"/>
      <c r="AC2653" s="195" t="n"/>
      <c r="AD2653" s="25" t="n"/>
      <c r="AE2653" s="25" t="n"/>
      <c r="AG2653" s="25" t="n"/>
      <c r="AH2653" s="25" t="n"/>
      <c r="AI2653" s="394" t="n"/>
      <c r="AM2653" s="48" t="n"/>
      <c r="AN2653" s="48" t="n"/>
      <c r="AO2653" s="48" t="n"/>
    </row>
    <row r="2654">
      <c r="M2654" s="25" t="n"/>
      <c r="Q2654" s="25" t="n"/>
      <c r="U2654" s="194" t="n"/>
      <c r="AA2654" s="25" t="n"/>
      <c r="AB2654" s="25" t="n"/>
      <c r="AC2654" s="195" t="n"/>
      <c r="AD2654" s="25" t="n"/>
      <c r="AE2654" s="25" t="n"/>
      <c r="AG2654" s="25" t="n"/>
      <c r="AH2654" s="25" t="n"/>
      <c r="AI2654" s="394" t="n"/>
      <c r="AM2654" s="48" t="n"/>
      <c r="AN2654" s="48" t="n"/>
      <c r="AO2654" s="48" t="n"/>
    </row>
    <row r="2655">
      <c r="M2655" s="25" t="n"/>
      <c r="Q2655" s="25" t="n"/>
      <c r="U2655" s="194" t="n"/>
      <c r="AA2655" s="25" t="n"/>
      <c r="AB2655" s="25" t="n"/>
      <c r="AC2655" s="195" t="n"/>
      <c r="AD2655" s="25" t="n"/>
      <c r="AE2655" s="25" t="n"/>
      <c r="AG2655" s="25" t="n"/>
      <c r="AH2655" s="25" t="n"/>
      <c r="AI2655" s="394" t="n"/>
      <c r="AM2655" s="48" t="n"/>
      <c r="AN2655" s="48" t="n"/>
      <c r="AO2655" s="48" t="n"/>
    </row>
    <row r="2656">
      <c r="M2656" s="25" t="n"/>
      <c r="Q2656" s="25" t="n"/>
      <c r="U2656" s="194" t="n"/>
      <c r="AA2656" s="25" t="n"/>
      <c r="AB2656" s="25" t="n"/>
      <c r="AC2656" s="195" t="n"/>
      <c r="AD2656" s="25" t="n"/>
      <c r="AE2656" s="25" t="n"/>
      <c r="AG2656" s="25" t="n"/>
      <c r="AH2656" s="25" t="n"/>
      <c r="AI2656" s="394" t="n"/>
      <c r="AM2656" s="48" t="n"/>
      <c r="AN2656" s="48" t="n"/>
      <c r="AO2656" s="48" t="n"/>
    </row>
    <row r="2657">
      <c r="M2657" s="25" t="n"/>
      <c r="Q2657" s="25" t="n"/>
      <c r="U2657" s="194" t="n"/>
      <c r="AA2657" s="25" t="n"/>
      <c r="AB2657" s="25" t="n"/>
      <c r="AC2657" s="195" t="n"/>
      <c r="AD2657" s="25" t="n"/>
      <c r="AE2657" s="25" t="n"/>
      <c r="AG2657" s="25" t="n"/>
      <c r="AH2657" s="25" t="n"/>
      <c r="AI2657" s="394" t="n"/>
      <c r="AM2657" s="48" t="n"/>
      <c r="AN2657" s="48" t="n"/>
      <c r="AO2657" s="48" t="n"/>
    </row>
    <row r="2658">
      <c r="M2658" s="25" t="n"/>
      <c r="Q2658" s="25" t="n"/>
      <c r="U2658" s="194" t="n"/>
      <c r="AA2658" s="25" t="n"/>
      <c r="AB2658" s="25" t="n"/>
      <c r="AC2658" s="195" t="n"/>
      <c r="AD2658" s="25" t="n"/>
      <c r="AE2658" s="25" t="n"/>
      <c r="AG2658" s="25" t="n"/>
      <c r="AH2658" s="25" t="n"/>
      <c r="AI2658" s="394" t="n"/>
      <c r="AM2658" s="48" t="n"/>
      <c r="AN2658" s="48" t="n"/>
      <c r="AO2658" s="48" t="n"/>
    </row>
    <row r="2659">
      <c r="M2659" s="25" t="n"/>
      <c r="Q2659" s="25" t="n"/>
      <c r="U2659" s="194" t="n"/>
      <c r="AA2659" s="25" t="n"/>
      <c r="AB2659" s="25" t="n"/>
      <c r="AC2659" s="195" t="n"/>
      <c r="AD2659" s="25" t="n"/>
      <c r="AE2659" s="25" t="n"/>
      <c r="AG2659" s="25" t="n"/>
      <c r="AH2659" s="25" t="n"/>
      <c r="AI2659" s="394" t="n"/>
      <c r="AM2659" s="48" t="n"/>
      <c r="AN2659" s="48" t="n"/>
      <c r="AO2659" s="48" t="n"/>
    </row>
    <row r="2660">
      <c r="M2660" s="25" t="n"/>
      <c r="Q2660" s="25" t="n"/>
      <c r="U2660" s="194" t="n"/>
      <c r="AA2660" s="25" t="n"/>
      <c r="AB2660" s="25" t="n"/>
      <c r="AC2660" s="195" t="n"/>
      <c r="AD2660" s="25" t="n"/>
      <c r="AE2660" s="25" t="n"/>
      <c r="AG2660" s="25" t="n"/>
      <c r="AH2660" s="25" t="n"/>
      <c r="AI2660" s="394" t="n"/>
      <c r="AM2660" s="48" t="n"/>
      <c r="AN2660" s="48" t="n"/>
      <c r="AO2660" s="48" t="n"/>
    </row>
    <row r="2661">
      <c r="M2661" s="25" t="n"/>
      <c r="Q2661" s="25" t="n"/>
      <c r="U2661" s="194" t="n"/>
      <c r="AA2661" s="25" t="n"/>
      <c r="AB2661" s="25" t="n"/>
      <c r="AC2661" s="195" t="n"/>
      <c r="AD2661" s="25" t="n"/>
      <c r="AE2661" s="25" t="n"/>
      <c r="AG2661" s="25" t="n"/>
      <c r="AH2661" s="25" t="n"/>
      <c r="AI2661" s="394" t="n"/>
      <c r="AM2661" s="48" t="n"/>
      <c r="AN2661" s="48" t="n"/>
      <c r="AO2661" s="48" t="n"/>
    </row>
    <row r="2662">
      <c r="M2662" s="25" t="n"/>
      <c r="Q2662" s="25" t="n"/>
      <c r="U2662" s="194" t="n"/>
      <c r="AA2662" s="25" t="n"/>
      <c r="AB2662" s="25" t="n"/>
      <c r="AC2662" s="195" t="n"/>
      <c r="AD2662" s="25" t="n"/>
      <c r="AE2662" s="25" t="n"/>
      <c r="AG2662" s="25" t="n"/>
      <c r="AH2662" s="25" t="n"/>
      <c r="AI2662" s="394" t="n"/>
      <c r="AM2662" s="48" t="n"/>
      <c r="AN2662" s="48" t="n"/>
      <c r="AO2662" s="48" t="n"/>
    </row>
    <row r="2663">
      <c r="M2663" s="25" t="n"/>
      <c r="Q2663" s="25" t="n"/>
      <c r="U2663" s="194" t="n"/>
      <c r="AA2663" s="25" t="n"/>
      <c r="AB2663" s="25" t="n"/>
      <c r="AC2663" s="195" t="n"/>
      <c r="AD2663" s="25" t="n"/>
      <c r="AE2663" s="25" t="n"/>
      <c r="AG2663" s="25" t="n"/>
      <c r="AH2663" s="25" t="n"/>
      <c r="AI2663" s="394" t="n"/>
      <c r="AM2663" s="48" t="n"/>
      <c r="AN2663" s="48" t="n"/>
      <c r="AO2663" s="48" t="n"/>
    </row>
    <row r="2664">
      <c r="M2664" s="25" t="n"/>
      <c r="Q2664" s="25" t="n"/>
      <c r="U2664" s="194" t="n"/>
      <c r="AA2664" s="25" t="n"/>
      <c r="AB2664" s="25" t="n"/>
      <c r="AC2664" s="195" t="n"/>
      <c r="AD2664" s="25" t="n"/>
      <c r="AE2664" s="25" t="n"/>
      <c r="AG2664" s="25" t="n"/>
      <c r="AH2664" s="25" t="n"/>
      <c r="AI2664" s="394" t="n"/>
      <c r="AM2664" s="48" t="n"/>
      <c r="AN2664" s="48" t="n"/>
      <c r="AO2664" s="48" t="n"/>
    </row>
    <row r="2665">
      <c r="M2665" s="25" t="n"/>
      <c r="Q2665" s="25" t="n"/>
      <c r="U2665" s="194" t="n"/>
      <c r="AA2665" s="25" t="n"/>
      <c r="AB2665" s="25" t="n"/>
      <c r="AC2665" s="195" t="n"/>
      <c r="AD2665" s="25" t="n"/>
      <c r="AE2665" s="25" t="n"/>
      <c r="AG2665" s="25" t="n"/>
      <c r="AH2665" s="25" t="n"/>
      <c r="AI2665" s="394" t="n"/>
      <c r="AM2665" s="48" t="n"/>
      <c r="AN2665" s="48" t="n"/>
      <c r="AO2665" s="48" t="n"/>
    </row>
    <row r="2666">
      <c r="M2666" s="25" t="n"/>
      <c r="Q2666" s="25" t="n"/>
      <c r="U2666" s="194" t="n"/>
      <c r="AA2666" s="25" t="n"/>
      <c r="AB2666" s="25" t="n"/>
      <c r="AC2666" s="195" t="n"/>
      <c r="AD2666" s="25" t="n"/>
      <c r="AE2666" s="25" t="n"/>
      <c r="AG2666" s="25" t="n"/>
      <c r="AH2666" s="25" t="n"/>
      <c r="AI2666" s="394" t="n"/>
      <c r="AM2666" s="48" t="n"/>
      <c r="AN2666" s="48" t="n"/>
      <c r="AO2666" s="48" t="n"/>
    </row>
    <row r="2667">
      <c r="M2667" s="25" t="n"/>
      <c r="Q2667" s="25" t="n"/>
      <c r="U2667" s="194" t="n"/>
      <c r="AA2667" s="25" t="n"/>
      <c r="AB2667" s="25" t="n"/>
      <c r="AC2667" s="195" t="n"/>
      <c r="AD2667" s="25" t="n"/>
      <c r="AE2667" s="25" t="n"/>
      <c r="AG2667" s="25" t="n"/>
      <c r="AH2667" s="25" t="n"/>
      <c r="AI2667" s="394" t="n"/>
      <c r="AM2667" s="48" t="n"/>
      <c r="AN2667" s="48" t="n"/>
      <c r="AO2667" s="48" t="n"/>
    </row>
    <row r="2668">
      <c r="M2668" s="25" t="n"/>
      <c r="Q2668" s="25" t="n"/>
      <c r="U2668" s="194" t="n"/>
      <c r="AA2668" s="25" t="n"/>
      <c r="AB2668" s="25" t="n"/>
      <c r="AC2668" s="195" t="n"/>
      <c r="AD2668" s="25" t="n"/>
      <c r="AE2668" s="25" t="n"/>
      <c r="AG2668" s="25" t="n"/>
      <c r="AH2668" s="25" t="n"/>
      <c r="AI2668" s="394" t="n"/>
      <c r="AM2668" s="48" t="n"/>
      <c r="AN2668" s="48" t="n"/>
      <c r="AO2668" s="48" t="n"/>
    </row>
    <row r="2669">
      <c r="M2669" s="25" t="n"/>
      <c r="Q2669" s="25" t="n"/>
      <c r="U2669" s="194" t="n"/>
      <c r="AA2669" s="25" t="n"/>
      <c r="AB2669" s="25" t="n"/>
      <c r="AC2669" s="195" t="n"/>
      <c r="AD2669" s="25" t="n"/>
      <c r="AE2669" s="25" t="n"/>
      <c r="AG2669" s="25" t="n"/>
      <c r="AH2669" s="25" t="n"/>
      <c r="AI2669" s="394" t="n"/>
      <c r="AM2669" s="48" t="n"/>
      <c r="AN2669" s="48" t="n"/>
      <c r="AO2669" s="48" t="n"/>
    </row>
    <row r="2670">
      <c r="M2670" s="25" t="n"/>
      <c r="Q2670" s="25" t="n"/>
      <c r="U2670" s="194" t="n"/>
      <c r="AA2670" s="25" t="n"/>
      <c r="AB2670" s="25" t="n"/>
      <c r="AC2670" s="195" t="n"/>
      <c r="AD2670" s="25" t="n"/>
      <c r="AE2670" s="25" t="n"/>
      <c r="AG2670" s="25" t="n"/>
      <c r="AH2670" s="25" t="n"/>
      <c r="AI2670" s="394" t="n"/>
      <c r="AM2670" s="48" t="n"/>
      <c r="AN2670" s="48" t="n"/>
      <c r="AO2670" s="48" t="n"/>
    </row>
    <row r="2671">
      <c r="M2671" s="25" t="n"/>
      <c r="Q2671" s="25" t="n"/>
      <c r="U2671" s="194" t="n"/>
      <c r="AA2671" s="25" t="n"/>
      <c r="AB2671" s="25" t="n"/>
      <c r="AC2671" s="195" t="n"/>
      <c r="AD2671" s="25" t="n"/>
      <c r="AE2671" s="25" t="n"/>
      <c r="AG2671" s="25" t="n"/>
      <c r="AH2671" s="25" t="n"/>
      <c r="AI2671" s="394" t="n"/>
      <c r="AM2671" s="48" t="n"/>
      <c r="AN2671" s="48" t="n"/>
      <c r="AO2671" s="48" t="n"/>
    </row>
    <row r="2672">
      <c r="M2672" s="25" t="n"/>
      <c r="Q2672" s="25" t="n"/>
      <c r="U2672" s="194" t="n"/>
      <c r="AA2672" s="25" t="n"/>
      <c r="AB2672" s="25" t="n"/>
      <c r="AC2672" s="195" t="n"/>
      <c r="AD2672" s="25" t="n"/>
      <c r="AE2672" s="25" t="n"/>
      <c r="AG2672" s="25" t="n"/>
      <c r="AH2672" s="25" t="n"/>
      <c r="AI2672" s="394" t="n"/>
      <c r="AM2672" s="48" t="n"/>
      <c r="AN2672" s="48" t="n"/>
      <c r="AO2672" s="48" t="n"/>
    </row>
    <row r="2673">
      <c r="M2673" s="25" t="n"/>
      <c r="Q2673" s="25" t="n"/>
      <c r="U2673" s="194" t="n"/>
      <c r="AA2673" s="25" t="n"/>
      <c r="AB2673" s="25" t="n"/>
      <c r="AC2673" s="195" t="n"/>
      <c r="AD2673" s="25" t="n"/>
      <c r="AE2673" s="25" t="n"/>
      <c r="AG2673" s="25" t="n"/>
      <c r="AH2673" s="25" t="n"/>
      <c r="AI2673" s="394" t="n"/>
      <c r="AM2673" s="48" t="n"/>
      <c r="AN2673" s="48" t="n"/>
      <c r="AO2673" s="48" t="n"/>
    </row>
    <row r="2674">
      <c r="M2674" s="25" t="n"/>
      <c r="Q2674" s="25" t="n"/>
      <c r="U2674" s="194" t="n"/>
      <c r="AA2674" s="25" t="n"/>
      <c r="AB2674" s="25" t="n"/>
      <c r="AC2674" s="195" t="n"/>
      <c r="AD2674" s="25" t="n"/>
      <c r="AE2674" s="25" t="n"/>
      <c r="AG2674" s="25" t="n"/>
      <c r="AH2674" s="25" t="n"/>
      <c r="AI2674" s="394" t="n"/>
      <c r="AM2674" s="48" t="n"/>
      <c r="AN2674" s="48" t="n"/>
      <c r="AO2674" s="48" t="n"/>
    </row>
    <row r="2675">
      <c r="M2675" s="25" t="n"/>
      <c r="Q2675" s="25" t="n"/>
      <c r="U2675" s="194" t="n"/>
      <c r="AA2675" s="25" t="n"/>
      <c r="AB2675" s="25" t="n"/>
      <c r="AC2675" s="195" t="n"/>
      <c r="AD2675" s="25" t="n"/>
      <c r="AE2675" s="25" t="n"/>
      <c r="AG2675" s="25" t="n"/>
      <c r="AH2675" s="25" t="n"/>
      <c r="AI2675" s="394" t="n"/>
      <c r="AM2675" s="48" t="n"/>
      <c r="AN2675" s="48" t="n"/>
      <c r="AO2675" s="48" t="n"/>
    </row>
    <row r="2676">
      <c r="M2676" s="25" t="n"/>
      <c r="Q2676" s="25" t="n"/>
      <c r="U2676" s="194" t="n"/>
      <c r="AA2676" s="25" t="n"/>
      <c r="AB2676" s="25" t="n"/>
      <c r="AC2676" s="195" t="n"/>
      <c r="AD2676" s="25" t="n"/>
      <c r="AE2676" s="25" t="n"/>
      <c r="AG2676" s="25" t="n"/>
      <c r="AH2676" s="25" t="n"/>
      <c r="AI2676" s="394" t="n"/>
      <c r="AM2676" s="48" t="n"/>
      <c r="AN2676" s="48" t="n"/>
      <c r="AO2676" s="48" t="n"/>
    </row>
    <row r="2677">
      <c r="M2677" s="25" t="n"/>
      <c r="Q2677" s="25" t="n"/>
      <c r="U2677" s="194" t="n"/>
      <c r="AA2677" s="25" t="n"/>
      <c r="AB2677" s="25" t="n"/>
      <c r="AC2677" s="195" t="n"/>
      <c r="AD2677" s="25" t="n"/>
      <c r="AE2677" s="25" t="n"/>
      <c r="AG2677" s="25" t="n"/>
      <c r="AH2677" s="25" t="n"/>
      <c r="AI2677" s="394" t="n"/>
      <c r="AM2677" s="48" t="n"/>
      <c r="AN2677" s="48" t="n"/>
      <c r="AO2677" s="48" t="n"/>
    </row>
    <row r="2678">
      <c r="M2678" s="25" t="n"/>
      <c r="Q2678" s="25" t="n"/>
      <c r="U2678" s="194" t="n"/>
      <c r="AA2678" s="25" t="n"/>
      <c r="AB2678" s="25" t="n"/>
      <c r="AC2678" s="195" t="n"/>
      <c r="AD2678" s="25" t="n"/>
      <c r="AE2678" s="25" t="n"/>
      <c r="AG2678" s="25" t="n"/>
      <c r="AH2678" s="25" t="n"/>
      <c r="AI2678" s="394" t="n"/>
      <c r="AM2678" s="48" t="n"/>
      <c r="AN2678" s="48" t="n"/>
      <c r="AO2678" s="48" t="n"/>
    </row>
    <row r="2679">
      <c r="M2679" s="25" t="n"/>
      <c r="Q2679" s="25" t="n"/>
      <c r="U2679" s="194" t="n"/>
      <c r="AA2679" s="25" t="n"/>
      <c r="AB2679" s="25" t="n"/>
      <c r="AC2679" s="195" t="n"/>
      <c r="AD2679" s="25" t="n"/>
      <c r="AE2679" s="25" t="n"/>
      <c r="AG2679" s="25" t="n"/>
      <c r="AH2679" s="25" t="n"/>
      <c r="AI2679" s="394" t="n"/>
      <c r="AM2679" s="48" t="n"/>
      <c r="AN2679" s="48" t="n"/>
      <c r="AO2679" s="48" t="n"/>
    </row>
    <row r="2680">
      <c r="M2680" s="25" t="n"/>
      <c r="Q2680" s="25" t="n"/>
      <c r="U2680" s="194" t="n"/>
      <c r="AA2680" s="25" t="n"/>
      <c r="AB2680" s="25" t="n"/>
      <c r="AC2680" s="195" t="n"/>
      <c r="AD2680" s="25" t="n"/>
      <c r="AE2680" s="25" t="n"/>
      <c r="AG2680" s="25" t="n"/>
      <c r="AH2680" s="25" t="n"/>
      <c r="AI2680" s="394" t="n"/>
      <c r="AM2680" s="48" t="n"/>
      <c r="AN2680" s="48" t="n"/>
      <c r="AO2680" s="48" t="n"/>
    </row>
    <row r="2681">
      <c r="M2681" s="25" t="n"/>
      <c r="Q2681" s="25" t="n"/>
      <c r="U2681" s="194" t="n"/>
      <c r="AA2681" s="25" t="n"/>
      <c r="AB2681" s="25" t="n"/>
      <c r="AC2681" s="195" t="n"/>
      <c r="AD2681" s="25" t="n"/>
      <c r="AE2681" s="25" t="n"/>
      <c r="AG2681" s="25" t="n"/>
      <c r="AH2681" s="25" t="n"/>
      <c r="AI2681" s="394" t="n"/>
      <c r="AM2681" s="48" t="n"/>
      <c r="AN2681" s="48" t="n"/>
      <c r="AO2681" s="48" t="n"/>
    </row>
    <row r="2682">
      <c r="M2682" s="25" t="n"/>
      <c r="Q2682" s="25" t="n"/>
      <c r="U2682" s="194" t="n"/>
      <c r="AA2682" s="25" t="n"/>
      <c r="AB2682" s="25" t="n"/>
      <c r="AC2682" s="195" t="n"/>
      <c r="AD2682" s="25" t="n"/>
      <c r="AE2682" s="25" t="n"/>
      <c r="AG2682" s="25" t="n"/>
      <c r="AH2682" s="25" t="n"/>
      <c r="AI2682" s="394" t="n"/>
      <c r="AM2682" s="48" t="n"/>
      <c r="AN2682" s="48" t="n"/>
      <c r="AO2682" s="48" t="n"/>
    </row>
    <row r="2683">
      <c r="M2683" s="25" t="n"/>
      <c r="Q2683" s="25" t="n"/>
      <c r="U2683" s="194" t="n"/>
      <c r="AA2683" s="25" t="n"/>
      <c r="AB2683" s="25" t="n"/>
      <c r="AC2683" s="195" t="n"/>
      <c r="AD2683" s="25" t="n"/>
      <c r="AE2683" s="25" t="n"/>
      <c r="AG2683" s="25" t="n"/>
      <c r="AH2683" s="25" t="n"/>
      <c r="AI2683" s="394" t="n"/>
      <c r="AM2683" s="48" t="n"/>
      <c r="AN2683" s="48" t="n"/>
      <c r="AO2683" s="48" t="n"/>
    </row>
    <row r="2684">
      <c r="M2684" s="25" t="n"/>
      <c r="Q2684" s="25" t="n"/>
      <c r="U2684" s="194" t="n"/>
      <c r="AA2684" s="25" t="n"/>
      <c r="AB2684" s="25" t="n"/>
      <c r="AC2684" s="195" t="n"/>
      <c r="AD2684" s="25" t="n"/>
      <c r="AE2684" s="25" t="n"/>
      <c r="AG2684" s="25" t="n"/>
      <c r="AH2684" s="25" t="n"/>
      <c r="AI2684" s="394" t="n"/>
      <c r="AM2684" s="48" t="n"/>
      <c r="AN2684" s="48" t="n"/>
      <c r="AO2684" s="48" t="n"/>
    </row>
    <row r="2685">
      <c r="M2685" s="25" t="n"/>
      <c r="Q2685" s="25" t="n"/>
      <c r="U2685" s="194" t="n"/>
      <c r="AA2685" s="25" t="n"/>
      <c r="AB2685" s="25" t="n"/>
      <c r="AC2685" s="195" t="n"/>
      <c r="AD2685" s="25" t="n"/>
      <c r="AE2685" s="25" t="n"/>
      <c r="AG2685" s="25" t="n"/>
      <c r="AH2685" s="25" t="n"/>
      <c r="AI2685" s="394" t="n"/>
      <c r="AM2685" s="48" t="n"/>
      <c r="AN2685" s="48" t="n"/>
      <c r="AO2685" s="48" t="n"/>
    </row>
    <row r="2686">
      <c r="M2686" s="25" t="n"/>
      <c r="Q2686" s="25" t="n"/>
      <c r="U2686" s="194" t="n"/>
      <c r="AA2686" s="25" t="n"/>
      <c r="AB2686" s="25" t="n"/>
      <c r="AC2686" s="195" t="n"/>
      <c r="AD2686" s="25" t="n"/>
      <c r="AE2686" s="25" t="n"/>
      <c r="AG2686" s="25" t="n"/>
      <c r="AH2686" s="25" t="n"/>
      <c r="AI2686" s="394" t="n"/>
      <c r="AM2686" s="48" t="n"/>
      <c r="AN2686" s="48" t="n"/>
      <c r="AO2686" s="48" t="n"/>
    </row>
    <row r="2687">
      <c r="M2687" s="25" t="n"/>
      <c r="Q2687" s="25" t="n"/>
      <c r="U2687" s="194" t="n"/>
      <c r="AA2687" s="25" t="n"/>
      <c r="AB2687" s="25" t="n"/>
      <c r="AC2687" s="195" t="n"/>
      <c r="AD2687" s="25" t="n"/>
      <c r="AE2687" s="25" t="n"/>
      <c r="AG2687" s="25" t="n"/>
      <c r="AH2687" s="25" t="n"/>
      <c r="AI2687" s="394" t="n"/>
      <c r="AM2687" s="48" t="n"/>
      <c r="AN2687" s="48" t="n"/>
      <c r="AO2687" s="48" t="n"/>
    </row>
    <row r="2688">
      <c r="M2688" s="25" t="n"/>
      <c r="Q2688" s="25" t="n"/>
      <c r="U2688" s="194" t="n"/>
      <c r="AA2688" s="25" t="n"/>
      <c r="AB2688" s="25" t="n"/>
      <c r="AC2688" s="195" t="n"/>
      <c r="AD2688" s="25" t="n"/>
      <c r="AE2688" s="25" t="n"/>
      <c r="AG2688" s="25" t="n"/>
      <c r="AH2688" s="25" t="n"/>
      <c r="AI2688" s="394" t="n"/>
      <c r="AM2688" s="48" t="n"/>
      <c r="AN2688" s="48" t="n"/>
      <c r="AO2688" s="48" t="n"/>
    </row>
    <row r="2689">
      <c r="M2689" s="25" t="n"/>
      <c r="Q2689" s="25" t="n"/>
      <c r="U2689" s="194" t="n"/>
      <c r="AA2689" s="25" t="n"/>
      <c r="AB2689" s="25" t="n"/>
      <c r="AC2689" s="195" t="n"/>
      <c r="AD2689" s="25" t="n"/>
      <c r="AE2689" s="25" t="n"/>
      <c r="AG2689" s="25" t="n"/>
      <c r="AH2689" s="25" t="n"/>
      <c r="AI2689" s="394" t="n"/>
      <c r="AM2689" s="48" t="n"/>
      <c r="AN2689" s="48" t="n"/>
      <c r="AO2689" s="48" t="n"/>
    </row>
    <row r="2690">
      <c r="M2690" s="25" t="n"/>
      <c r="Q2690" s="25" t="n"/>
      <c r="U2690" s="194" t="n"/>
      <c r="AA2690" s="25" t="n"/>
      <c r="AB2690" s="25" t="n"/>
      <c r="AC2690" s="195" t="n"/>
      <c r="AD2690" s="25" t="n"/>
      <c r="AE2690" s="25" t="n"/>
      <c r="AG2690" s="25" t="n"/>
      <c r="AH2690" s="25" t="n"/>
      <c r="AI2690" s="394" t="n"/>
      <c r="AM2690" s="48" t="n"/>
      <c r="AN2690" s="48" t="n"/>
      <c r="AO2690" s="48" t="n"/>
    </row>
    <row r="2691">
      <c r="M2691" s="25" t="n"/>
      <c r="Q2691" s="25" t="n"/>
      <c r="U2691" s="194" t="n"/>
      <c r="AA2691" s="25" t="n"/>
      <c r="AB2691" s="25" t="n"/>
      <c r="AC2691" s="195" t="n"/>
      <c r="AD2691" s="25" t="n"/>
      <c r="AE2691" s="25" t="n"/>
      <c r="AG2691" s="25" t="n"/>
      <c r="AH2691" s="25" t="n"/>
      <c r="AI2691" s="394" t="n"/>
      <c r="AM2691" s="48" t="n"/>
      <c r="AN2691" s="48" t="n"/>
      <c r="AO2691" s="48" t="n"/>
    </row>
    <row r="2692">
      <c r="M2692" s="25" t="n"/>
      <c r="Q2692" s="25" t="n"/>
      <c r="U2692" s="194" t="n"/>
      <c r="AA2692" s="25" t="n"/>
      <c r="AB2692" s="25" t="n"/>
      <c r="AC2692" s="195" t="n"/>
      <c r="AD2692" s="25" t="n"/>
      <c r="AE2692" s="25" t="n"/>
      <c r="AG2692" s="25" t="n"/>
      <c r="AH2692" s="25" t="n"/>
      <c r="AI2692" s="394" t="n"/>
      <c r="AM2692" s="48" t="n"/>
      <c r="AN2692" s="48" t="n"/>
      <c r="AO2692" s="48" t="n"/>
    </row>
    <row r="2693">
      <c r="M2693" s="25" t="n"/>
      <c r="Q2693" s="25" t="n"/>
      <c r="U2693" s="194" t="n"/>
      <c r="AA2693" s="25" t="n"/>
      <c r="AB2693" s="25" t="n"/>
      <c r="AC2693" s="195" t="n"/>
      <c r="AD2693" s="25" t="n"/>
      <c r="AE2693" s="25" t="n"/>
      <c r="AG2693" s="25" t="n"/>
      <c r="AH2693" s="25" t="n"/>
      <c r="AI2693" s="394" t="n"/>
      <c r="AM2693" s="48" t="n"/>
      <c r="AN2693" s="48" t="n"/>
      <c r="AO2693" s="48" t="n"/>
    </row>
    <row r="2694">
      <c r="M2694" s="25" t="n"/>
      <c r="Q2694" s="25" t="n"/>
      <c r="U2694" s="194" t="n"/>
      <c r="AA2694" s="25" t="n"/>
      <c r="AB2694" s="25" t="n"/>
      <c r="AC2694" s="195" t="n"/>
      <c r="AD2694" s="25" t="n"/>
      <c r="AE2694" s="25" t="n"/>
      <c r="AG2694" s="25" t="n"/>
      <c r="AH2694" s="25" t="n"/>
      <c r="AI2694" s="394" t="n"/>
      <c r="AM2694" s="48" t="n"/>
      <c r="AN2694" s="48" t="n"/>
      <c r="AO2694" s="48" t="n"/>
    </row>
    <row r="2695">
      <c r="M2695" s="25" t="n"/>
      <c r="Q2695" s="25" t="n"/>
      <c r="U2695" s="194" t="n"/>
      <c r="AA2695" s="25" t="n"/>
      <c r="AB2695" s="25" t="n"/>
      <c r="AC2695" s="195" t="n"/>
      <c r="AD2695" s="25" t="n"/>
      <c r="AE2695" s="25" t="n"/>
      <c r="AG2695" s="25" t="n"/>
      <c r="AH2695" s="25" t="n"/>
      <c r="AI2695" s="394" t="n"/>
      <c r="AM2695" s="48" t="n"/>
      <c r="AN2695" s="48" t="n"/>
      <c r="AO2695" s="48" t="n"/>
    </row>
    <row r="2696">
      <c r="M2696" s="25" t="n"/>
      <c r="Q2696" s="25" t="n"/>
      <c r="U2696" s="194" t="n"/>
      <c r="AA2696" s="25" t="n"/>
      <c r="AB2696" s="25" t="n"/>
      <c r="AC2696" s="195" t="n"/>
      <c r="AD2696" s="25" t="n"/>
      <c r="AE2696" s="25" t="n"/>
      <c r="AG2696" s="25" t="n"/>
      <c r="AH2696" s="25" t="n"/>
      <c r="AI2696" s="394" t="n"/>
      <c r="AM2696" s="48" t="n"/>
      <c r="AN2696" s="48" t="n"/>
      <c r="AO2696" s="48" t="n"/>
    </row>
    <row r="2697">
      <c r="M2697" s="25" t="n"/>
      <c r="Q2697" s="25" t="n"/>
      <c r="U2697" s="194" t="n"/>
      <c r="AA2697" s="25" t="n"/>
      <c r="AB2697" s="25" t="n"/>
      <c r="AC2697" s="195" t="n"/>
      <c r="AD2697" s="25" t="n"/>
      <c r="AE2697" s="25" t="n"/>
      <c r="AG2697" s="25" t="n"/>
      <c r="AH2697" s="25" t="n"/>
      <c r="AI2697" s="394" t="n"/>
      <c r="AM2697" s="48" t="n"/>
      <c r="AN2697" s="48" t="n"/>
      <c r="AO2697" s="48" t="n"/>
    </row>
    <row r="2698">
      <c r="M2698" s="25" t="n"/>
      <c r="Q2698" s="25" t="n"/>
      <c r="U2698" s="194" t="n"/>
      <c r="AA2698" s="25" t="n"/>
      <c r="AB2698" s="25" t="n"/>
      <c r="AC2698" s="195" t="n"/>
      <c r="AD2698" s="25" t="n"/>
      <c r="AE2698" s="25" t="n"/>
      <c r="AG2698" s="25" t="n"/>
      <c r="AH2698" s="25" t="n"/>
      <c r="AI2698" s="394" t="n"/>
      <c r="AM2698" s="48" t="n"/>
      <c r="AN2698" s="48" t="n"/>
      <c r="AO2698" s="48" t="n"/>
    </row>
    <row r="2699">
      <c r="M2699" s="25" t="n"/>
      <c r="Q2699" s="25" t="n"/>
      <c r="U2699" s="194" t="n"/>
      <c r="AA2699" s="25" t="n"/>
      <c r="AB2699" s="25" t="n"/>
      <c r="AC2699" s="195" t="n"/>
      <c r="AD2699" s="25" t="n"/>
      <c r="AE2699" s="25" t="n"/>
      <c r="AG2699" s="25" t="n"/>
      <c r="AH2699" s="25" t="n"/>
      <c r="AI2699" s="394" t="n"/>
      <c r="AM2699" s="48" t="n"/>
      <c r="AN2699" s="48" t="n"/>
      <c r="AO2699" s="48" t="n"/>
    </row>
    <row r="2700">
      <c r="M2700" s="25" t="n"/>
      <c r="Q2700" s="25" t="n"/>
      <c r="U2700" s="194" t="n"/>
      <c r="AA2700" s="25" t="n"/>
      <c r="AB2700" s="25" t="n"/>
      <c r="AC2700" s="195" t="n"/>
      <c r="AD2700" s="25" t="n"/>
      <c r="AE2700" s="25" t="n"/>
      <c r="AG2700" s="25" t="n"/>
      <c r="AH2700" s="25" t="n"/>
      <c r="AI2700" s="394" t="n"/>
      <c r="AM2700" s="48" t="n"/>
      <c r="AN2700" s="48" t="n"/>
      <c r="AO2700" s="48" t="n"/>
    </row>
    <row r="2701">
      <c r="M2701" s="25" t="n"/>
      <c r="Q2701" s="25" t="n"/>
      <c r="U2701" s="194" t="n"/>
      <c r="AA2701" s="25" t="n"/>
      <c r="AB2701" s="25" t="n"/>
      <c r="AC2701" s="195" t="n"/>
      <c r="AD2701" s="25" t="n"/>
      <c r="AE2701" s="25" t="n"/>
      <c r="AG2701" s="25" t="n"/>
      <c r="AH2701" s="25" t="n"/>
      <c r="AI2701" s="394" t="n"/>
      <c r="AM2701" s="48" t="n"/>
      <c r="AN2701" s="48" t="n"/>
      <c r="AO2701" s="48" t="n"/>
    </row>
    <row r="2702">
      <c r="M2702" s="25" t="n"/>
      <c r="Q2702" s="25" t="n"/>
      <c r="U2702" s="194" t="n"/>
      <c r="AA2702" s="25" t="n"/>
      <c r="AB2702" s="25" t="n"/>
      <c r="AC2702" s="195" t="n"/>
      <c r="AD2702" s="25" t="n"/>
      <c r="AE2702" s="25" t="n"/>
      <c r="AG2702" s="25" t="n"/>
      <c r="AH2702" s="25" t="n"/>
      <c r="AI2702" s="394" t="n"/>
      <c r="AM2702" s="48" t="n"/>
      <c r="AN2702" s="48" t="n"/>
      <c r="AO2702" s="48" t="n"/>
    </row>
    <row r="2703">
      <c r="M2703" s="25" t="n"/>
      <c r="Q2703" s="25" t="n"/>
      <c r="U2703" s="194" t="n"/>
      <c r="AA2703" s="25" t="n"/>
      <c r="AB2703" s="25" t="n"/>
      <c r="AC2703" s="195" t="n"/>
      <c r="AD2703" s="25" t="n"/>
      <c r="AE2703" s="25" t="n"/>
      <c r="AG2703" s="25" t="n"/>
      <c r="AH2703" s="25" t="n"/>
      <c r="AI2703" s="394" t="n"/>
      <c r="AM2703" s="48" t="n"/>
      <c r="AN2703" s="48" t="n"/>
      <c r="AO2703" s="48" t="n"/>
    </row>
    <row r="2704">
      <c r="M2704" s="25" t="n"/>
      <c r="Q2704" s="25" t="n"/>
      <c r="U2704" s="194" t="n"/>
      <c r="AA2704" s="25" t="n"/>
      <c r="AB2704" s="25" t="n"/>
      <c r="AC2704" s="195" t="n"/>
      <c r="AD2704" s="25" t="n"/>
      <c r="AE2704" s="25" t="n"/>
      <c r="AG2704" s="25" t="n"/>
      <c r="AH2704" s="25" t="n"/>
      <c r="AI2704" s="394" t="n"/>
      <c r="AM2704" s="48" t="n"/>
      <c r="AN2704" s="48" t="n"/>
      <c r="AO2704" s="48" t="n"/>
    </row>
    <row r="2705">
      <c r="M2705" s="25" t="n"/>
      <c r="Q2705" s="25" t="n"/>
      <c r="U2705" s="194" t="n"/>
      <c r="AA2705" s="25" t="n"/>
      <c r="AB2705" s="25" t="n"/>
      <c r="AC2705" s="195" t="n"/>
      <c r="AD2705" s="25" t="n"/>
      <c r="AE2705" s="25" t="n"/>
      <c r="AG2705" s="25" t="n"/>
      <c r="AH2705" s="25" t="n"/>
      <c r="AI2705" s="394" t="n"/>
      <c r="AM2705" s="48" t="n"/>
      <c r="AN2705" s="48" t="n"/>
      <c r="AO2705" s="48" t="n"/>
    </row>
    <row r="2706">
      <c r="M2706" s="25" t="n"/>
      <c r="Q2706" s="25" t="n"/>
      <c r="U2706" s="194" t="n"/>
      <c r="AA2706" s="25" t="n"/>
      <c r="AB2706" s="25" t="n"/>
      <c r="AC2706" s="195" t="n"/>
      <c r="AD2706" s="25" t="n"/>
      <c r="AE2706" s="25" t="n"/>
      <c r="AG2706" s="25" t="n"/>
      <c r="AH2706" s="25" t="n"/>
      <c r="AI2706" s="394" t="n"/>
      <c r="AM2706" s="48" t="n"/>
      <c r="AN2706" s="48" t="n"/>
      <c r="AO2706" s="48" t="n"/>
    </row>
    <row r="2707">
      <c r="M2707" s="25" t="n"/>
      <c r="Q2707" s="25" t="n"/>
      <c r="U2707" s="194" t="n"/>
      <c r="AA2707" s="25" t="n"/>
      <c r="AB2707" s="25" t="n"/>
      <c r="AC2707" s="195" t="n"/>
      <c r="AD2707" s="25" t="n"/>
      <c r="AE2707" s="25" t="n"/>
      <c r="AG2707" s="25" t="n"/>
      <c r="AH2707" s="25" t="n"/>
      <c r="AI2707" s="394" t="n"/>
      <c r="AM2707" s="48" t="n"/>
      <c r="AN2707" s="48" t="n"/>
      <c r="AO2707" s="48" t="n"/>
    </row>
    <row r="2708">
      <c r="M2708" s="25" t="n"/>
      <c r="Q2708" s="25" t="n"/>
      <c r="U2708" s="194" t="n"/>
      <c r="AA2708" s="25" t="n"/>
      <c r="AB2708" s="25" t="n"/>
      <c r="AC2708" s="195" t="n"/>
      <c r="AD2708" s="25" t="n"/>
      <c r="AE2708" s="25" t="n"/>
      <c r="AG2708" s="25" t="n"/>
      <c r="AH2708" s="25" t="n"/>
      <c r="AI2708" s="394" t="n"/>
      <c r="AM2708" s="48" t="n"/>
      <c r="AN2708" s="48" t="n"/>
      <c r="AO2708" s="48" t="n"/>
    </row>
    <row r="2709">
      <c r="M2709" s="25" t="n"/>
      <c r="Q2709" s="25" t="n"/>
      <c r="U2709" s="194" t="n"/>
      <c r="AA2709" s="25" t="n"/>
      <c r="AB2709" s="25" t="n"/>
      <c r="AC2709" s="195" t="n"/>
      <c r="AD2709" s="25" t="n"/>
      <c r="AE2709" s="25" t="n"/>
      <c r="AG2709" s="25" t="n"/>
      <c r="AH2709" s="25" t="n"/>
      <c r="AI2709" s="394" t="n"/>
      <c r="AM2709" s="48" t="n"/>
      <c r="AN2709" s="48" t="n"/>
      <c r="AO2709" s="48" t="n"/>
    </row>
    <row r="2710">
      <c r="M2710" s="25" t="n"/>
      <c r="Q2710" s="25" t="n"/>
      <c r="U2710" s="194" t="n"/>
      <c r="AA2710" s="25" t="n"/>
      <c r="AB2710" s="25" t="n"/>
      <c r="AC2710" s="195" t="n"/>
      <c r="AD2710" s="25" t="n"/>
      <c r="AE2710" s="25" t="n"/>
      <c r="AG2710" s="25" t="n"/>
      <c r="AH2710" s="25" t="n"/>
      <c r="AI2710" s="394" t="n"/>
      <c r="AM2710" s="48" t="n"/>
      <c r="AN2710" s="48" t="n"/>
      <c r="AO2710" s="48" t="n"/>
    </row>
    <row r="2711">
      <c r="M2711" s="25" t="n"/>
      <c r="Q2711" s="25" t="n"/>
      <c r="U2711" s="194" t="n"/>
      <c r="AA2711" s="25" t="n"/>
      <c r="AB2711" s="25" t="n"/>
      <c r="AC2711" s="195" t="n"/>
      <c r="AD2711" s="25" t="n"/>
      <c r="AE2711" s="25" t="n"/>
      <c r="AG2711" s="25" t="n"/>
      <c r="AH2711" s="25" t="n"/>
      <c r="AI2711" s="394" t="n"/>
      <c r="AM2711" s="48" t="n"/>
      <c r="AN2711" s="48" t="n"/>
      <c r="AO2711" s="48" t="n"/>
    </row>
    <row r="2712">
      <c r="M2712" s="25" t="n"/>
      <c r="Q2712" s="25" t="n"/>
      <c r="U2712" s="194" t="n"/>
      <c r="AA2712" s="25" t="n"/>
      <c r="AB2712" s="25" t="n"/>
      <c r="AC2712" s="195" t="n"/>
      <c r="AD2712" s="25" t="n"/>
      <c r="AE2712" s="25" t="n"/>
      <c r="AG2712" s="25" t="n"/>
      <c r="AH2712" s="25" t="n"/>
      <c r="AI2712" s="394" t="n"/>
      <c r="AM2712" s="48" t="n"/>
      <c r="AN2712" s="48" t="n"/>
      <c r="AO2712" s="48" t="n"/>
    </row>
    <row r="2713">
      <c r="M2713" s="25" t="n"/>
      <c r="Q2713" s="25" t="n"/>
      <c r="U2713" s="194" t="n"/>
      <c r="AA2713" s="25" t="n"/>
      <c r="AB2713" s="25" t="n"/>
      <c r="AC2713" s="195" t="n"/>
      <c r="AD2713" s="25" t="n"/>
      <c r="AE2713" s="25" t="n"/>
      <c r="AG2713" s="25" t="n"/>
      <c r="AH2713" s="25" t="n"/>
      <c r="AI2713" s="394" t="n"/>
      <c r="AM2713" s="48" t="n"/>
      <c r="AN2713" s="48" t="n"/>
      <c r="AO2713" s="48" t="n"/>
    </row>
    <row r="2714">
      <c r="M2714" s="25" t="n"/>
      <c r="Q2714" s="25" t="n"/>
      <c r="U2714" s="194" t="n"/>
      <c r="AA2714" s="25" t="n"/>
      <c r="AB2714" s="25" t="n"/>
      <c r="AC2714" s="195" t="n"/>
      <c r="AD2714" s="25" t="n"/>
      <c r="AE2714" s="25" t="n"/>
      <c r="AG2714" s="25" t="n"/>
      <c r="AH2714" s="25" t="n"/>
      <c r="AI2714" s="394" t="n"/>
      <c r="AM2714" s="48" t="n"/>
      <c r="AN2714" s="48" t="n"/>
      <c r="AO2714" s="48" t="n"/>
    </row>
    <row r="2715">
      <c r="M2715" s="25" t="n"/>
      <c r="Q2715" s="25" t="n"/>
      <c r="U2715" s="194" t="n"/>
      <c r="AA2715" s="25" t="n"/>
      <c r="AB2715" s="25" t="n"/>
      <c r="AC2715" s="195" t="n"/>
      <c r="AD2715" s="25" t="n"/>
      <c r="AE2715" s="25" t="n"/>
      <c r="AG2715" s="25" t="n"/>
      <c r="AH2715" s="25" t="n"/>
      <c r="AI2715" s="394" t="n"/>
      <c r="AM2715" s="48" t="n"/>
      <c r="AN2715" s="48" t="n"/>
      <c r="AO2715" s="48" t="n"/>
    </row>
    <row r="2716">
      <c r="M2716" s="25" t="n"/>
      <c r="Q2716" s="25" t="n"/>
      <c r="U2716" s="194" t="n"/>
      <c r="AA2716" s="25" t="n"/>
      <c r="AB2716" s="25" t="n"/>
      <c r="AC2716" s="195" t="n"/>
      <c r="AD2716" s="25" t="n"/>
      <c r="AE2716" s="25" t="n"/>
      <c r="AG2716" s="25" t="n"/>
      <c r="AH2716" s="25" t="n"/>
      <c r="AI2716" s="394" t="n"/>
      <c r="AM2716" s="48" t="n"/>
      <c r="AN2716" s="48" t="n"/>
      <c r="AO2716" s="48" t="n"/>
    </row>
    <row r="2717">
      <c r="M2717" s="25" t="n"/>
      <c r="Q2717" s="25" t="n"/>
      <c r="U2717" s="194" t="n"/>
      <c r="AA2717" s="25" t="n"/>
      <c r="AB2717" s="25" t="n"/>
      <c r="AC2717" s="195" t="n"/>
      <c r="AD2717" s="25" t="n"/>
      <c r="AE2717" s="25" t="n"/>
      <c r="AG2717" s="25" t="n"/>
      <c r="AH2717" s="25" t="n"/>
      <c r="AI2717" s="394" t="n"/>
      <c r="AM2717" s="48" t="n"/>
      <c r="AN2717" s="48" t="n"/>
      <c r="AO2717" s="48" t="n"/>
    </row>
    <row r="2718">
      <c r="M2718" s="25" t="n"/>
      <c r="Q2718" s="25" t="n"/>
      <c r="U2718" s="194" t="n"/>
      <c r="AA2718" s="25" t="n"/>
      <c r="AB2718" s="25" t="n"/>
      <c r="AC2718" s="195" t="n"/>
      <c r="AD2718" s="25" t="n"/>
      <c r="AE2718" s="25" t="n"/>
      <c r="AG2718" s="25" t="n"/>
      <c r="AH2718" s="25" t="n"/>
      <c r="AI2718" s="394" t="n"/>
      <c r="AM2718" s="48" t="n"/>
      <c r="AN2718" s="48" t="n"/>
      <c r="AO2718" s="48" t="n"/>
    </row>
    <row r="2719">
      <c r="M2719" s="25" t="n"/>
      <c r="Q2719" s="25" t="n"/>
      <c r="U2719" s="194" t="n"/>
      <c r="AA2719" s="25" t="n"/>
      <c r="AB2719" s="25" t="n"/>
      <c r="AC2719" s="195" t="n"/>
      <c r="AD2719" s="25" t="n"/>
      <c r="AE2719" s="25" t="n"/>
      <c r="AG2719" s="25" t="n"/>
      <c r="AH2719" s="25" t="n"/>
      <c r="AI2719" s="394" t="n"/>
      <c r="AM2719" s="48" t="n"/>
      <c r="AN2719" s="48" t="n"/>
      <c r="AO2719" s="48" t="n"/>
    </row>
    <row r="2720">
      <c r="M2720" s="25" t="n"/>
      <c r="Q2720" s="25" t="n"/>
      <c r="U2720" s="194" t="n"/>
      <c r="AA2720" s="25" t="n"/>
      <c r="AB2720" s="25" t="n"/>
      <c r="AC2720" s="195" t="n"/>
      <c r="AD2720" s="25" t="n"/>
      <c r="AE2720" s="25" t="n"/>
      <c r="AG2720" s="25" t="n"/>
      <c r="AH2720" s="25" t="n"/>
      <c r="AI2720" s="394" t="n"/>
      <c r="AM2720" s="48" t="n"/>
      <c r="AN2720" s="48" t="n"/>
      <c r="AO2720" s="48" t="n"/>
    </row>
    <row r="2721">
      <c r="M2721" s="25" t="n"/>
      <c r="Q2721" s="25" t="n"/>
      <c r="U2721" s="194" t="n"/>
      <c r="AA2721" s="25" t="n"/>
      <c r="AB2721" s="25" t="n"/>
      <c r="AC2721" s="195" t="n"/>
      <c r="AD2721" s="25" t="n"/>
      <c r="AE2721" s="25" t="n"/>
      <c r="AG2721" s="25" t="n"/>
      <c r="AH2721" s="25" t="n"/>
      <c r="AI2721" s="394" t="n"/>
      <c r="AM2721" s="48" t="n"/>
      <c r="AN2721" s="48" t="n"/>
      <c r="AO2721" s="48" t="n"/>
    </row>
    <row r="2722">
      <c r="M2722" s="25" t="n"/>
      <c r="Q2722" s="25" t="n"/>
      <c r="U2722" s="194" t="n"/>
      <c r="AA2722" s="25" t="n"/>
      <c r="AB2722" s="25" t="n"/>
      <c r="AC2722" s="195" t="n"/>
      <c r="AD2722" s="25" t="n"/>
      <c r="AE2722" s="25" t="n"/>
      <c r="AG2722" s="25" t="n"/>
      <c r="AH2722" s="25" t="n"/>
      <c r="AI2722" s="394" t="n"/>
      <c r="AM2722" s="48" t="n"/>
      <c r="AN2722" s="48" t="n"/>
      <c r="AO2722" s="48" t="n"/>
    </row>
    <row r="2723">
      <c r="M2723" s="25" t="n"/>
      <c r="Q2723" s="25" t="n"/>
      <c r="U2723" s="194" t="n"/>
      <c r="AA2723" s="25" t="n"/>
      <c r="AB2723" s="25" t="n"/>
      <c r="AC2723" s="195" t="n"/>
      <c r="AD2723" s="25" t="n"/>
      <c r="AE2723" s="25" t="n"/>
      <c r="AG2723" s="25" t="n"/>
      <c r="AH2723" s="25" t="n"/>
      <c r="AI2723" s="394" t="n"/>
      <c r="AM2723" s="48" t="n"/>
      <c r="AN2723" s="48" t="n"/>
      <c r="AO2723" s="48" t="n"/>
    </row>
    <row r="2724">
      <c r="M2724" s="25" t="n"/>
      <c r="Q2724" s="25" t="n"/>
      <c r="U2724" s="194" t="n"/>
      <c r="AA2724" s="25" t="n"/>
      <c r="AB2724" s="25" t="n"/>
      <c r="AC2724" s="195" t="n"/>
      <c r="AD2724" s="25" t="n"/>
      <c r="AE2724" s="25" t="n"/>
      <c r="AG2724" s="25" t="n"/>
      <c r="AH2724" s="25" t="n"/>
      <c r="AI2724" s="394" t="n"/>
      <c r="AM2724" s="48" t="n"/>
      <c r="AN2724" s="48" t="n"/>
      <c r="AO2724" s="48" t="n"/>
    </row>
    <row r="2725">
      <c r="M2725" s="25" t="n"/>
      <c r="Q2725" s="25" t="n"/>
      <c r="U2725" s="194" t="n"/>
      <c r="AA2725" s="25" t="n"/>
      <c r="AB2725" s="25" t="n"/>
      <c r="AC2725" s="195" t="n"/>
      <c r="AD2725" s="25" t="n"/>
      <c r="AE2725" s="25" t="n"/>
      <c r="AG2725" s="25" t="n"/>
      <c r="AH2725" s="25" t="n"/>
      <c r="AI2725" s="394" t="n"/>
      <c r="AM2725" s="48" t="n"/>
      <c r="AN2725" s="48" t="n"/>
      <c r="AO2725" s="48" t="n"/>
    </row>
    <row r="2726">
      <c r="M2726" s="25" t="n"/>
      <c r="Q2726" s="25" t="n"/>
      <c r="U2726" s="194" t="n"/>
      <c r="AA2726" s="25" t="n"/>
      <c r="AB2726" s="25" t="n"/>
      <c r="AC2726" s="195" t="n"/>
      <c r="AD2726" s="25" t="n"/>
      <c r="AE2726" s="25" t="n"/>
      <c r="AG2726" s="25" t="n"/>
      <c r="AH2726" s="25" t="n"/>
      <c r="AI2726" s="394" t="n"/>
      <c r="AM2726" s="48" t="n"/>
      <c r="AN2726" s="48" t="n"/>
      <c r="AO2726" s="48" t="n"/>
    </row>
    <row r="2727">
      <c r="M2727" s="25" t="n"/>
      <c r="Q2727" s="25" t="n"/>
      <c r="U2727" s="194" t="n"/>
      <c r="AA2727" s="25" t="n"/>
      <c r="AB2727" s="25" t="n"/>
      <c r="AC2727" s="195" t="n"/>
      <c r="AD2727" s="25" t="n"/>
      <c r="AE2727" s="25" t="n"/>
      <c r="AG2727" s="25" t="n"/>
      <c r="AH2727" s="25" t="n"/>
      <c r="AI2727" s="394" t="n"/>
      <c r="AM2727" s="48" t="n"/>
      <c r="AN2727" s="48" t="n"/>
      <c r="AO2727" s="48" t="n"/>
    </row>
    <row r="2728">
      <c r="M2728" s="25" t="n"/>
      <c r="Q2728" s="25" t="n"/>
      <c r="U2728" s="194" t="n"/>
      <c r="AA2728" s="25" t="n"/>
      <c r="AB2728" s="25" t="n"/>
      <c r="AC2728" s="195" t="n"/>
      <c r="AD2728" s="25" t="n"/>
      <c r="AE2728" s="25" t="n"/>
      <c r="AG2728" s="25" t="n"/>
      <c r="AH2728" s="25" t="n"/>
      <c r="AI2728" s="394" t="n"/>
      <c r="AM2728" s="48" t="n"/>
      <c r="AN2728" s="48" t="n"/>
      <c r="AO2728" s="48" t="n"/>
    </row>
    <row r="2729">
      <c r="M2729" s="25" t="n"/>
      <c r="Q2729" s="25" t="n"/>
      <c r="U2729" s="194" t="n"/>
      <c r="AA2729" s="25" t="n"/>
      <c r="AB2729" s="25" t="n"/>
      <c r="AC2729" s="195" t="n"/>
      <c r="AD2729" s="25" t="n"/>
      <c r="AE2729" s="25" t="n"/>
      <c r="AG2729" s="25" t="n"/>
      <c r="AH2729" s="25" t="n"/>
      <c r="AI2729" s="394" t="n"/>
      <c r="AM2729" s="48" t="n"/>
      <c r="AN2729" s="48" t="n"/>
      <c r="AO2729" s="48" t="n"/>
    </row>
    <row r="2730">
      <c r="M2730" s="25" t="n"/>
      <c r="Q2730" s="25" t="n"/>
      <c r="U2730" s="194" t="n"/>
      <c r="AA2730" s="25" t="n"/>
      <c r="AB2730" s="25" t="n"/>
      <c r="AC2730" s="195" t="n"/>
      <c r="AD2730" s="25" t="n"/>
      <c r="AE2730" s="25" t="n"/>
      <c r="AG2730" s="25" t="n"/>
      <c r="AH2730" s="25" t="n"/>
      <c r="AI2730" s="394" t="n"/>
      <c r="AM2730" s="48" t="n"/>
      <c r="AN2730" s="48" t="n"/>
      <c r="AO2730" s="48" t="n"/>
    </row>
    <row r="2731">
      <c r="M2731" s="25" t="n"/>
      <c r="Q2731" s="25" t="n"/>
      <c r="U2731" s="194" t="n"/>
      <c r="AA2731" s="25" t="n"/>
      <c r="AB2731" s="25" t="n"/>
      <c r="AC2731" s="195" t="n"/>
      <c r="AD2731" s="25" t="n"/>
      <c r="AE2731" s="25" t="n"/>
      <c r="AG2731" s="25" t="n"/>
      <c r="AH2731" s="25" t="n"/>
      <c r="AI2731" s="394" t="n"/>
      <c r="AM2731" s="48" t="n"/>
      <c r="AN2731" s="48" t="n"/>
      <c r="AO2731" s="48" t="n"/>
    </row>
    <row r="2732">
      <c r="M2732" s="25" t="n"/>
      <c r="Q2732" s="25" t="n"/>
      <c r="U2732" s="194" t="n"/>
      <c r="AA2732" s="25" t="n"/>
      <c r="AB2732" s="25" t="n"/>
      <c r="AC2732" s="195" t="n"/>
      <c r="AD2732" s="25" t="n"/>
      <c r="AE2732" s="25" t="n"/>
      <c r="AG2732" s="25" t="n"/>
      <c r="AH2732" s="25" t="n"/>
      <c r="AI2732" s="394" t="n"/>
      <c r="AM2732" s="48" t="n"/>
      <c r="AN2732" s="48" t="n"/>
      <c r="AO2732" s="48" t="n"/>
    </row>
    <row r="2733">
      <c r="M2733" s="25" t="n"/>
      <c r="Q2733" s="25" t="n"/>
      <c r="U2733" s="194" t="n"/>
      <c r="AA2733" s="25" t="n"/>
      <c r="AB2733" s="25" t="n"/>
      <c r="AC2733" s="195" t="n"/>
      <c r="AD2733" s="25" t="n"/>
      <c r="AE2733" s="25" t="n"/>
      <c r="AG2733" s="25" t="n"/>
      <c r="AH2733" s="25" t="n"/>
      <c r="AI2733" s="394" t="n"/>
      <c r="AM2733" s="48" t="n"/>
      <c r="AN2733" s="48" t="n"/>
      <c r="AO2733" s="48" t="n"/>
    </row>
    <row r="2734">
      <c r="M2734" s="25" t="n"/>
      <c r="Q2734" s="25" t="n"/>
      <c r="U2734" s="194" t="n"/>
      <c r="AA2734" s="25" t="n"/>
      <c r="AB2734" s="25" t="n"/>
      <c r="AC2734" s="195" t="n"/>
      <c r="AD2734" s="25" t="n"/>
      <c r="AE2734" s="25" t="n"/>
      <c r="AG2734" s="25" t="n"/>
      <c r="AH2734" s="25" t="n"/>
      <c r="AI2734" s="394" t="n"/>
      <c r="AM2734" s="48" t="n"/>
      <c r="AN2734" s="48" t="n"/>
      <c r="AO2734" s="48" t="n"/>
    </row>
    <row r="2735">
      <c r="M2735" s="25" t="n"/>
      <c r="Q2735" s="25" t="n"/>
      <c r="U2735" s="194" t="n"/>
      <c r="AA2735" s="25" t="n"/>
      <c r="AB2735" s="25" t="n"/>
      <c r="AC2735" s="195" t="n"/>
      <c r="AD2735" s="25" t="n"/>
      <c r="AE2735" s="25" t="n"/>
      <c r="AG2735" s="25" t="n"/>
      <c r="AH2735" s="25" t="n"/>
      <c r="AI2735" s="394" t="n"/>
      <c r="AM2735" s="48" t="n"/>
      <c r="AN2735" s="48" t="n"/>
      <c r="AO2735" s="48" t="n"/>
    </row>
    <row r="2736">
      <c r="M2736" s="25" t="n"/>
      <c r="Q2736" s="25" t="n"/>
      <c r="U2736" s="194" t="n"/>
      <c r="AA2736" s="25" t="n"/>
      <c r="AB2736" s="25" t="n"/>
      <c r="AC2736" s="195" t="n"/>
      <c r="AD2736" s="25" t="n"/>
      <c r="AE2736" s="25" t="n"/>
      <c r="AG2736" s="25" t="n"/>
      <c r="AH2736" s="25" t="n"/>
      <c r="AI2736" s="394" t="n"/>
      <c r="AM2736" s="48" t="n"/>
      <c r="AN2736" s="48" t="n"/>
      <c r="AO2736" s="48" t="n"/>
    </row>
    <row r="2737">
      <c r="M2737" s="25" t="n"/>
      <c r="Q2737" s="25" t="n"/>
      <c r="U2737" s="194" t="n"/>
      <c r="AA2737" s="25" t="n"/>
      <c r="AB2737" s="25" t="n"/>
      <c r="AC2737" s="195" t="n"/>
      <c r="AD2737" s="25" t="n"/>
      <c r="AE2737" s="25" t="n"/>
      <c r="AG2737" s="25" t="n"/>
      <c r="AH2737" s="25" t="n"/>
      <c r="AI2737" s="394" t="n"/>
      <c r="AM2737" s="48" t="n"/>
      <c r="AN2737" s="48" t="n"/>
      <c r="AO2737" s="48" t="n"/>
    </row>
    <row r="2738">
      <c r="M2738" s="25" t="n"/>
      <c r="Q2738" s="25" t="n"/>
      <c r="U2738" s="194" t="n"/>
      <c r="AA2738" s="25" t="n"/>
      <c r="AB2738" s="25" t="n"/>
      <c r="AC2738" s="195" t="n"/>
      <c r="AD2738" s="25" t="n"/>
      <c r="AE2738" s="25" t="n"/>
      <c r="AG2738" s="25" t="n"/>
      <c r="AH2738" s="25" t="n"/>
      <c r="AI2738" s="394" t="n"/>
      <c r="AM2738" s="48" t="n"/>
      <c r="AN2738" s="48" t="n"/>
      <c r="AO2738" s="48" t="n"/>
    </row>
    <row r="2739">
      <c r="M2739" s="25" t="n"/>
      <c r="Q2739" s="25" t="n"/>
      <c r="U2739" s="194" t="n"/>
      <c r="AA2739" s="25" t="n"/>
      <c r="AB2739" s="25" t="n"/>
      <c r="AC2739" s="195" t="n"/>
      <c r="AD2739" s="25" t="n"/>
      <c r="AE2739" s="25" t="n"/>
      <c r="AG2739" s="25" t="n"/>
      <c r="AH2739" s="25" t="n"/>
      <c r="AI2739" s="394" t="n"/>
      <c r="AM2739" s="48" t="n"/>
      <c r="AN2739" s="48" t="n"/>
      <c r="AO2739" s="48" t="n"/>
    </row>
    <row r="2740">
      <c r="M2740" s="25" t="n"/>
      <c r="Q2740" s="25" t="n"/>
      <c r="U2740" s="194" t="n"/>
      <c r="AA2740" s="25" t="n"/>
      <c r="AB2740" s="25" t="n"/>
      <c r="AC2740" s="195" t="n"/>
      <c r="AD2740" s="25" t="n"/>
      <c r="AE2740" s="25" t="n"/>
      <c r="AG2740" s="25" t="n"/>
      <c r="AH2740" s="25" t="n"/>
      <c r="AI2740" s="394" t="n"/>
      <c r="AM2740" s="48" t="n"/>
      <c r="AN2740" s="48" t="n"/>
      <c r="AO2740" s="48" t="n"/>
    </row>
    <row r="2741">
      <c r="M2741" s="25" t="n"/>
      <c r="Q2741" s="25" t="n"/>
      <c r="U2741" s="194" t="n"/>
      <c r="AA2741" s="25" t="n"/>
      <c r="AB2741" s="25" t="n"/>
      <c r="AC2741" s="195" t="n"/>
      <c r="AD2741" s="25" t="n"/>
      <c r="AE2741" s="25" t="n"/>
      <c r="AG2741" s="25" t="n"/>
      <c r="AH2741" s="25" t="n"/>
      <c r="AI2741" s="394" t="n"/>
      <c r="AM2741" s="48" t="n"/>
      <c r="AN2741" s="48" t="n"/>
      <c r="AO2741" s="48" t="n"/>
    </row>
    <row r="2742">
      <c r="M2742" s="25" t="n"/>
      <c r="Q2742" s="25" t="n"/>
      <c r="U2742" s="194" t="n"/>
      <c r="AA2742" s="25" t="n"/>
      <c r="AB2742" s="25" t="n"/>
      <c r="AC2742" s="195" t="n"/>
      <c r="AD2742" s="25" t="n"/>
      <c r="AE2742" s="25" t="n"/>
      <c r="AG2742" s="25" t="n"/>
      <c r="AH2742" s="25" t="n"/>
      <c r="AI2742" s="394" t="n"/>
      <c r="AM2742" s="48" t="n"/>
      <c r="AN2742" s="48" t="n"/>
      <c r="AO2742" s="48" t="n"/>
    </row>
    <row r="2743">
      <c r="M2743" s="25" t="n"/>
      <c r="Q2743" s="25" t="n"/>
      <c r="U2743" s="194" t="n"/>
      <c r="AA2743" s="25" t="n"/>
      <c r="AB2743" s="25" t="n"/>
      <c r="AC2743" s="195" t="n"/>
      <c r="AD2743" s="25" t="n"/>
      <c r="AE2743" s="25" t="n"/>
      <c r="AG2743" s="25" t="n"/>
      <c r="AH2743" s="25" t="n"/>
      <c r="AI2743" s="394" t="n"/>
      <c r="AM2743" s="48" t="n"/>
      <c r="AN2743" s="48" t="n"/>
      <c r="AO2743" s="48" t="n"/>
    </row>
    <row r="2744">
      <c r="M2744" s="25" t="n"/>
      <c r="Q2744" s="25" t="n"/>
      <c r="U2744" s="194" t="n"/>
      <c r="AA2744" s="25" t="n"/>
      <c r="AB2744" s="25" t="n"/>
      <c r="AC2744" s="195" t="n"/>
      <c r="AD2744" s="25" t="n"/>
      <c r="AE2744" s="25" t="n"/>
      <c r="AG2744" s="25" t="n"/>
      <c r="AH2744" s="25" t="n"/>
      <c r="AI2744" s="394" t="n"/>
      <c r="AM2744" s="48" t="n"/>
      <c r="AN2744" s="48" t="n"/>
      <c r="AO2744" s="48" t="n"/>
    </row>
    <row r="2745">
      <c r="M2745" s="25" t="n"/>
      <c r="Q2745" s="25" t="n"/>
      <c r="U2745" s="194" t="n"/>
      <c r="AA2745" s="25" t="n"/>
      <c r="AB2745" s="25" t="n"/>
      <c r="AC2745" s="195" t="n"/>
      <c r="AD2745" s="25" t="n"/>
      <c r="AE2745" s="25" t="n"/>
      <c r="AG2745" s="25" t="n"/>
      <c r="AH2745" s="25" t="n"/>
      <c r="AI2745" s="394" t="n"/>
      <c r="AM2745" s="48" t="n"/>
      <c r="AN2745" s="48" t="n"/>
      <c r="AO2745" s="48" t="n"/>
    </row>
    <row r="2746">
      <c r="M2746" s="25" t="n"/>
      <c r="Q2746" s="25" t="n"/>
      <c r="U2746" s="194" t="n"/>
      <c r="AA2746" s="25" t="n"/>
      <c r="AB2746" s="25" t="n"/>
      <c r="AC2746" s="195" t="n"/>
      <c r="AD2746" s="25" t="n"/>
      <c r="AE2746" s="25" t="n"/>
      <c r="AG2746" s="25" t="n"/>
      <c r="AH2746" s="25" t="n"/>
      <c r="AI2746" s="394" t="n"/>
      <c r="AM2746" s="48" t="n"/>
      <c r="AN2746" s="48" t="n"/>
      <c r="AO2746" s="48" t="n"/>
    </row>
    <row r="2747">
      <c r="M2747" s="25" t="n"/>
      <c r="Q2747" s="25" t="n"/>
      <c r="U2747" s="194" t="n"/>
      <c r="AA2747" s="25" t="n"/>
      <c r="AB2747" s="25" t="n"/>
      <c r="AC2747" s="195" t="n"/>
      <c r="AD2747" s="25" t="n"/>
      <c r="AE2747" s="25" t="n"/>
      <c r="AG2747" s="25" t="n"/>
      <c r="AH2747" s="25" t="n"/>
      <c r="AI2747" s="394" t="n"/>
      <c r="AM2747" s="48" t="n"/>
      <c r="AN2747" s="48" t="n"/>
      <c r="AO2747" s="48" t="n"/>
    </row>
    <row r="2748">
      <c r="M2748" s="25" t="n"/>
      <c r="Q2748" s="25" t="n"/>
      <c r="U2748" s="194" t="n"/>
      <c r="AA2748" s="25" t="n"/>
      <c r="AB2748" s="25" t="n"/>
      <c r="AC2748" s="195" t="n"/>
      <c r="AD2748" s="25" t="n"/>
      <c r="AE2748" s="25" t="n"/>
      <c r="AG2748" s="25" t="n"/>
      <c r="AH2748" s="25" t="n"/>
      <c r="AI2748" s="394" t="n"/>
      <c r="AM2748" s="48" t="n"/>
      <c r="AN2748" s="48" t="n"/>
      <c r="AO2748" s="48" t="n"/>
    </row>
    <row r="2749">
      <c r="M2749" s="25" t="n"/>
      <c r="Q2749" s="25" t="n"/>
      <c r="U2749" s="194" t="n"/>
      <c r="AA2749" s="25" t="n"/>
      <c r="AB2749" s="25" t="n"/>
      <c r="AC2749" s="195" t="n"/>
      <c r="AD2749" s="25" t="n"/>
      <c r="AE2749" s="25" t="n"/>
      <c r="AG2749" s="25" t="n"/>
      <c r="AH2749" s="25" t="n"/>
      <c r="AI2749" s="394" t="n"/>
      <c r="AM2749" s="48" t="n"/>
      <c r="AN2749" s="48" t="n"/>
      <c r="AO2749" s="48" t="n"/>
    </row>
    <row r="2750">
      <c r="M2750" s="25" t="n"/>
      <c r="Q2750" s="25" t="n"/>
      <c r="U2750" s="194" t="n"/>
      <c r="AA2750" s="25" t="n"/>
      <c r="AB2750" s="25" t="n"/>
      <c r="AC2750" s="195" t="n"/>
      <c r="AD2750" s="25" t="n"/>
      <c r="AE2750" s="25" t="n"/>
      <c r="AG2750" s="25" t="n"/>
      <c r="AH2750" s="25" t="n"/>
      <c r="AI2750" s="394" t="n"/>
      <c r="AM2750" s="48" t="n"/>
      <c r="AN2750" s="48" t="n"/>
      <c r="AO2750" s="48" t="n"/>
    </row>
    <row r="2751">
      <c r="M2751" s="25" t="n"/>
      <c r="Q2751" s="25" t="n"/>
      <c r="U2751" s="194" t="n"/>
      <c r="AA2751" s="25" t="n"/>
      <c r="AB2751" s="25" t="n"/>
      <c r="AC2751" s="195" t="n"/>
      <c r="AD2751" s="25" t="n"/>
      <c r="AE2751" s="25" t="n"/>
      <c r="AG2751" s="25" t="n"/>
      <c r="AH2751" s="25" t="n"/>
      <c r="AI2751" s="394" t="n"/>
      <c r="AM2751" s="48" t="n"/>
      <c r="AN2751" s="48" t="n"/>
      <c r="AO2751" s="48" t="n"/>
    </row>
    <row r="2752">
      <c r="M2752" s="25" t="n"/>
      <c r="Q2752" s="25" t="n"/>
      <c r="U2752" s="194" t="n"/>
      <c r="AA2752" s="25" t="n"/>
      <c r="AB2752" s="25" t="n"/>
      <c r="AC2752" s="195" t="n"/>
      <c r="AD2752" s="25" t="n"/>
      <c r="AE2752" s="25" t="n"/>
      <c r="AG2752" s="25" t="n"/>
      <c r="AH2752" s="25" t="n"/>
      <c r="AI2752" s="394" t="n"/>
      <c r="AM2752" s="48" t="n"/>
      <c r="AN2752" s="48" t="n"/>
      <c r="AO2752" s="48" t="n"/>
    </row>
    <row r="2753">
      <c r="M2753" s="25" t="n"/>
      <c r="Q2753" s="25" t="n"/>
      <c r="U2753" s="194" t="n"/>
      <c r="AA2753" s="25" t="n"/>
      <c r="AB2753" s="25" t="n"/>
      <c r="AC2753" s="195" t="n"/>
      <c r="AD2753" s="25" t="n"/>
      <c r="AE2753" s="25" t="n"/>
      <c r="AG2753" s="25" t="n"/>
      <c r="AH2753" s="25" t="n"/>
      <c r="AI2753" s="394" t="n"/>
      <c r="AM2753" s="48" t="n"/>
      <c r="AN2753" s="48" t="n"/>
      <c r="AO2753" s="48" t="n"/>
    </row>
    <row r="2754">
      <c r="M2754" s="25" t="n"/>
      <c r="Q2754" s="25" t="n"/>
      <c r="U2754" s="194" t="n"/>
      <c r="AA2754" s="25" t="n"/>
      <c r="AB2754" s="25" t="n"/>
      <c r="AC2754" s="195" t="n"/>
      <c r="AD2754" s="25" t="n"/>
      <c r="AE2754" s="25" t="n"/>
      <c r="AG2754" s="25" t="n"/>
      <c r="AH2754" s="25" t="n"/>
      <c r="AI2754" s="394" t="n"/>
      <c r="AM2754" s="48" t="n"/>
      <c r="AN2754" s="48" t="n"/>
      <c r="AO2754" s="48" t="n"/>
    </row>
    <row r="2755">
      <c r="M2755" s="25" t="n"/>
      <c r="Q2755" s="25" t="n"/>
      <c r="U2755" s="194" t="n"/>
      <c r="AA2755" s="25" t="n"/>
      <c r="AB2755" s="25" t="n"/>
      <c r="AC2755" s="195" t="n"/>
      <c r="AD2755" s="25" t="n"/>
      <c r="AE2755" s="25" t="n"/>
      <c r="AG2755" s="25" t="n"/>
      <c r="AH2755" s="25" t="n"/>
      <c r="AI2755" s="394" t="n"/>
      <c r="AM2755" s="48" t="n"/>
      <c r="AN2755" s="48" t="n"/>
      <c r="AO2755" s="48" t="n"/>
    </row>
    <row r="2756">
      <c r="M2756" s="25" t="n"/>
      <c r="Q2756" s="25" t="n"/>
      <c r="U2756" s="194" t="n"/>
      <c r="AA2756" s="25" t="n"/>
      <c r="AB2756" s="25" t="n"/>
      <c r="AC2756" s="195" t="n"/>
      <c r="AD2756" s="25" t="n"/>
      <c r="AE2756" s="25" t="n"/>
      <c r="AG2756" s="25" t="n"/>
      <c r="AH2756" s="25" t="n"/>
      <c r="AI2756" s="394" t="n"/>
      <c r="AM2756" s="48" t="n"/>
      <c r="AN2756" s="48" t="n"/>
      <c r="AO2756" s="48" t="n"/>
    </row>
    <row r="2757">
      <c r="M2757" s="25" t="n"/>
      <c r="Q2757" s="25" t="n"/>
      <c r="U2757" s="194" t="n"/>
      <c r="AA2757" s="25" t="n"/>
      <c r="AB2757" s="25" t="n"/>
      <c r="AC2757" s="195" t="n"/>
      <c r="AD2757" s="25" t="n"/>
      <c r="AE2757" s="25" t="n"/>
      <c r="AG2757" s="25" t="n"/>
      <c r="AH2757" s="25" t="n"/>
      <c r="AI2757" s="394" t="n"/>
      <c r="AM2757" s="48" t="n"/>
      <c r="AN2757" s="48" t="n"/>
      <c r="AO2757" s="48" t="n"/>
    </row>
    <row r="2758">
      <c r="M2758" s="25" t="n"/>
      <c r="Q2758" s="25" t="n"/>
      <c r="U2758" s="194" t="n"/>
      <c r="AA2758" s="25" t="n"/>
      <c r="AB2758" s="25" t="n"/>
      <c r="AC2758" s="195" t="n"/>
      <c r="AD2758" s="25" t="n"/>
      <c r="AE2758" s="25" t="n"/>
      <c r="AG2758" s="25" t="n"/>
      <c r="AH2758" s="25" t="n"/>
      <c r="AI2758" s="394" t="n"/>
      <c r="AM2758" s="48" t="n"/>
      <c r="AN2758" s="48" t="n"/>
      <c r="AO2758" s="48" t="n"/>
    </row>
    <row r="2759">
      <c r="M2759" s="25" t="n"/>
      <c r="Q2759" s="25" t="n"/>
      <c r="U2759" s="194" t="n"/>
      <c r="AA2759" s="25" t="n"/>
      <c r="AB2759" s="25" t="n"/>
      <c r="AC2759" s="195" t="n"/>
      <c r="AD2759" s="25" t="n"/>
      <c r="AE2759" s="25" t="n"/>
      <c r="AG2759" s="25" t="n"/>
      <c r="AH2759" s="25" t="n"/>
      <c r="AI2759" s="394" t="n"/>
      <c r="AM2759" s="48" t="n"/>
      <c r="AN2759" s="48" t="n"/>
      <c r="AO2759" s="48" t="n"/>
    </row>
    <row r="2760">
      <c r="M2760" s="25" t="n"/>
      <c r="Q2760" s="25" t="n"/>
      <c r="U2760" s="194" t="n"/>
      <c r="AA2760" s="25" t="n"/>
      <c r="AB2760" s="25" t="n"/>
      <c r="AC2760" s="195" t="n"/>
      <c r="AD2760" s="25" t="n"/>
      <c r="AE2760" s="25" t="n"/>
      <c r="AG2760" s="25" t="n"/>
      <c r="AH2760" s="25" t="n"/>
      <c r="AI2760" s="394" t="n"/>
      <c r="AM2760" s="48" t="n"/>
      <c r="AN2760" s="48" t="n"/>
      <c r="AO2760" s="48" t="n"/>
    </row>
    <row r="2761">
      <c r="M2761" s="25" t="n"/>
      <c r="Q2761" s="25" t="n"/>
      <c r="U2761" s="194" t="n"/>
      <c r="AA2761" s="25" t="n"/>
      <c r="AB2761" s="25" t="n"/>
      <c r="AC2761" s="195" t="n"/>
      <c r="AD2761" s="25" t="n"/>
      <c r="AE2761" s="25" t="n"/>
      <c r="AG2761" s="25" t="n"/>
      <c r="AH2761" s="25" t="n"/>
      <c r="AI2761" s="394" t="n"/>
      <c r="AM2761" s="48" t="n"/>
      <c r="AN2761" s="48" t="n"/>
      <c r="AO2761" s="48" t="n"/>
    </row>
    <row r="2762">
      <c r="M2762" s="25" t="n"/>
      <c r="Q2762" s="25" t="n"/>
      <c r="U2762" s="194" t="n"/>
      <c r="AA2762" s="25" t="n"/>
      <c r="AB2762" s="25" t="n"/>
      <c r="AC2762" s="195" t="n"/>
      <c r="AD2762" s="25" t="n"/>
      <c r="AE2762" s="25" t="n"/>
      <c r="AG2762" s="25" t="n"/>
      <c r="AH2762" s="25" t="n"/>
      <c r="AI2762" s="394" t="n"/>
      <c r="AM2762" s="48" t="n"/>
      <c r="AN2762" s="48" t="n"/>
      <c r="AO2762" s="48" t="n"/>
    </row>
    <row r="2763">
      <c r="M2763" s="25" t="n"/>
      <c r="Q2763" s="25" t="n"/>
      <c r="U2763" s="194" t="n"/>
      <c r="AA2763" s="25" t="n"/>
      <c r="AB2763" s="25" t="n"/>
      <c r="AC2763" s="195" t="n"/>
      <c r="AD2763" s="25" t="n"/>
      <c r="AE2763" s="25" t="n"/>
      <c r="AG2763" s="25" t="n"/>
      <c r="AH2763" s="25" t="n"/>
      <c r="AI2763" s="394" t="n"/>
      <c r="AM2763" s="48" t="n"/>
      <c r="AN2763" s="48" t="n"/>
      <c r="AO2763" s="48" t="n"/>
    </row>
    <row r="2764">
      <c r="M2764" s="25" t="n"/>
      <c r="Q2764" s="25" t="n"/>
      <c r="U2764" s="194" t="n"/>
      <c r="AA2764" s="25" t="n"/>
      <c r="AB2764" s="25" t="n"/>
      <c r="AC2764" s="195" t="n"/>
      <c r="AD2764" s="25" t="n"/>
      <c r="AE2764" s="25" t="n"/>
      <c r="AG2764" s="25" t="n"/>
      <c r="AH2764" s="25" t="n"/>
      <c r="AI2764" s="394" t="n"/>
      <c r="AM2764" s="48" t="n"/>
      <c r="AN2764" s="48" t="n"/>
      <c r="AO2764" s="48" t="n"/>
    </row>
    <row r="2765">
      <c r="M2765" s="25" t="n"/>
      <c r="Q2765" s="25" t="n"/>
      <c r="U2765" s="194" t="n"/>
      <c r="AA2765" s="25" t="n"/>
      <c r="AB2765" s="25" t="n"/>
      <c r="AC2765" s="195" t="n"/>
      <c r="AD2765" s="25" t="n"/>
      <c r="AE2765" s="25" t="n"/>
      <c r="AG2765" s="25" t="n"/>
      <c r="AH2765" s="25" t="n"/>
      <c r="AI2765" s="394" t="n"/>
      <c r="AM2765" s="48" t="n"/>
      <c r="AN2765" s="48" t="n"/>
      <c r="AO2765" s="48" t="n"/>
    </row>
    <row r="2766">
      <c r="M2766" s="25" t="n"/>
      <c r="Q2766" s="25" t="n"/>
      <c r="U2766" s="194" t="n"/>
      <c r="AA2766" s="25" t="n"/>
      <c r="AB2766" s="25" t="n"/>
      <c r="AC2766" s="195" t="n"/>
      <c r="AD2766" s="25" t="n"/>
      <c r="AE2766" s="25" t="n"/>
      <c r="AG2766" s="25" t="n"/>
      <c r="AH2766" s="25" t="n"/>
      <c r="AI2766" s="394" t="n"/>
      <c r="AM2766" s="48" t="n"/>
      <c r="AN2766" s="48" t="n"/>
      <c r="AO2766" s="48" t="n"/>
    </row>
    <row r="2767">
      <c r="M2767" s="25" t="n"/>
      <c r="Q2767" s="25" t="n"/>
      <c r="U2767" s="194" t="n"/>
      <c r="AA2767" s="25" t="n"/>
      <c r="AB2767" s="25" t="n"/>
      <c r="AC2767" s="195" t="n"/>
      <c r="AD2767" s="25" t="n"/>
      <c r="AE2767" s="25" t="n"/>
      <c r="AG2767" s="25" t="n"/>
      <c r="AH2767" s="25" t="n"/>
      <c r="AI2767" s="394" t="n"/>
      <c r="AM2767" s="48" t="n"/>
      <c r="AN2767" s="48" t="n"/>
      <c r="AO2767" s="48" t="n"/>
    </row>
    <row r="2768">
      <c r="M2768" s="25" t="n"/>
      <c r="Q2768" s="25" t="n"/>
      <c r="U2768" s="194" t="n"/>
      <c r="AA2768" s="25" t="n"/>
      <c r="AB2768" s="25" t="n"/>
      <c r="AC2768" s="195" t="n"/>
      <c r="AD2768" s="25" t="n"/>
      <c r="AE2768" s="25" t="n"/>
      <c r="AG2768" s="25" t="n"/>
      <c r="AH2768" s="25" t="n"/>
      <c r="AI2768" s="394" t="n"/>
      <c r="AM2768" s="48" t="n"/>
      <c r="AN2768" s="48" t="n"/>
      <c r="AO2768" s="48" t="n"/>
    </row>
    <row r="2769">
      <c r="M2769" s="25" t="n"/>
      <c r="Q2769" s="25" t="n"/>
      <c r="U2769" s="194" t="n"/>
      <c r="AA2769" s="25" t="n"/>
      <c r="AB2769" s="25" t="n"/>
      <c r="AC2769" s="195" t="n"/>
      <c r="AD2769" s="25" t="n"/>
      <c r="AE2769" s="25" t="n"/>
      <c r="AG2769" s="25" t="n"/>
      <c r="AH2769" s="25" t="n"/>
      <c r="AI2769" s="394" t="n"/>
      <c r="AM2769" s="48" t="n"/>
      <c r="AN2769" s="48" t="n"/>
      <c r="AO2769" s="48" t="n"/>
    </row>
    <row r="2770">
      <c r="M2770" s="25" t="n"/>
      <c r="Q2770" s="25" t="n"/>
      <c r="U2770" s="194" t="n"/>
      <c r="AA2770" s="25" t="n"/>
      <c r="AB2770" s="25" t="n"/>
      <c r="AC2770" s="195" t="n"/>
      <c r="AD2770" s="25" t="n"/>
      <c r="AE2770" s="25" t="n"/>
      <c r="AG2770" s="25" t="n"/>
      <c r="AH2770" s="25" t="n"/>
      <c r="AI2770" s="394" t="n"/>
      <c r="AM2770" s="48" t="n"/>
      <c r="AN2770" s="48" t="n"/>
      <c r="AO2770" s="48" t="n"/>
    </row>
    <row r="2771">
      <c r="M2771" s="25" t="n"/>
      <c r="Q2771" s="25" t="n"/>
      <c r="U2771" s="194" t="n"/>
      <c r="AA2771" s="25" t="n"/>
      <c r="AB2771" s="25" t="n"/>
      <c r="AC2771" s="195" t="n"/>
      <c r="AD2771" s="25" t="n"/>
      <c r="AE2771" s="25" t="n"/>
      <c r="AG2771" s="25" t="n"/>
      <c r="AH2771" s="25" t="n"/>
      <c r="AI2771" s="394" t="n"/>
      <c r="AM2771" s="48" t="n"/>
      <c r="AN2771" s="48" t="n"/>
      <c r="AO2771" s="48" t="n"/>
    </row>
    <row r="2772">
      <c r="M2772" s="25" t="n"/>
      <c r="Q2772" s="25" t="n"/>
      <c r="U2772" s="194" t="n"/>
      <c r="AA2772" s="25" t="n"/>
      <c r="AB2772" s="25" t="n"/>
      <c r="AC2772" s="195" t="n"/>
      <c r="AD2772" s="25" t="n"/>
      <c r="AE2772" s="25" t="n"/>
      <c r="AG2772" s="25" t="n"/>
      <c r="AH2772" s="25" t="n"/>
      <c r="AI2772" s="394" t="n"/>
      <c r="AM2772" s="48" t="n"/>
      <c r="AN2772" s="48" t="n"/>
      <c r="AO2772" s="48" t="n"/>
    </row>
    <row r="2773">
      <c r="M2773" s="25" t="n"/>
      <c r="Q2773" s="25" t="n"/>
      <c r="U2773" s="194" t="n"/>
      <c r="AA2773" s="25" t="n"/>
      <c r="AB2773" s="25" t="n"/>
      <c r="AC2773" s="195" t="n"/>
      <c r="AD2773" s="25" t="n"/>
      <c r="AE2773" s="25" t="n"/>
      <c r="AG2773" s="25" t="n"/>
      <c r="AH2773" s="25" t="n"/>
      <c r="AI2773" s="394" t="n"/>
      <c r="AM2773" s="48" t="n"/>
      <c r="AN2773" s="48" t="n"/>
      <c r="AO2773" s="48" t="n"/>
    </row>
    <row r="2774">
      <c r="M2774" s="25" t="n"/>
      <c r="Q2774" s="25" t="n"/>
      <c r="U2774" s="194" t="n"/>
      <c r="AA2774" s="25" t="n"/>
      <c r="AB2774" s="25" t="n"/>
      <c r="AC2774" s="195" t="n"/>
      <c r="AD2774" s="25" t="n"/>
      <c r="AE2774" s="25" t="n"/>
      <c r="AG2774" s="25" t="n"/>
      <c r="AH2774" s="25" t="n"/>
      <c r="AI2774" s="394" t="n"/>
      <c r="AM2774" s="48" t="n"/>
      <c r="AN2774" s="48" t="n"/>
      <c r="AO2774" s="48" t="n"/>
    </row>
    <row r="2775">
      <c r="M2775" s="25" t="n"/>
      <c r="Q2775" s="25" t="n"/>
      <c r="U2775" s="194" t="n"/>
      <c r="AA2775" s="25" t="n"/>
      <c r="AB2775" s="25" t="n"/>
      <c r="AC2775" s="195" t="n"/>
      <c r="AD2775" s="25" t="n"/>
      <c r="AE2775" s="25" t="n"/>
      <c r="AG2775" s="25" t="n"/>
      <c r="AH2775" s="25" t="n"/>
      <c r="AI2775" s="394" t="n"/>
      <c r="AM2775" s="48" t="n"/>
      <c r="AN2775" s="48" t="n"/>
      <c r="AO2775" s="48" t="n"/>
    </row>
    <row r="2776">
      <c r="M2776" s="25" t="n"/>
      <c r="Q2776" s="25" t="n"/>
      <c r="U2776" s="194" t="n"/>
      <c r="AA2776" s="25" t="n"/>
      <c r="AB2776" s="25" t="n"/>
      <c r="AC2776" s="195" t="n"/>
      <c r="AD2776" s="25" t="n"/>
      <c r="AE2776" s="25" t="n"/>
      <c r="AG2776" s="25" t="n"/>
      <c r="AH2776" s="25" t="n"/>
      <c r="AI2776" s="394" t="n"/>
      <c r="AM2776" s="48" t="n"/>
      <c r="AN2776" s="48" t="n"/>
      <c r="AO2776" s="48" t="n"/>
    </row>
    <row r="2777">
      <c r="M2777" s="25" t="n"/>
      <c r="Q2777" s="25" t="n"/>
      <c r="U2777" s="194" t="n"/>
      <c r="AA2777" s="25" t="n"/>
      <c r="AB2777" s="25" t="n"/>
      <c r="AC2777" s="195" t="n"/>
      <c r="AD2777" s="25" t="n"/>
      <c r="AE2777" s="25" t="n"/>
      <c r="AG2777" s="25" t="n"/>
      <c r="AH2777" s="25" t="n"/>
      <c r="AI2777" s="394" t="n"/>
      <c r="AM2777" s="48" t="n"/>
      <c r="AN2777" s="48" t="n"/>
      <c r="AO2777" s="48" t="n"/>
    </row>
    <row r="2778">
      <c r="M2778" s="25" t="n"/>
      <c r="Q2778" s="25" t="n"/>
      <c r="U2778" s="194" t="n"/>
      <c r="AA2778" s="25" t="n"/>
      <c r="AB2778" s="25" t="n"/>
      <c r="AC2778" s="195" t="n"/>
      <c r="AD2778" s="25" t="n"/>
      <c r="AE2778" s="25" t="n"/>
      <c r="AG2778" s="25" t="n"/>
      <c r="AH2778" s="25" t="n"/>
      <c r="AI2778" s="394" t="n"/>
      <c r="AM2778" s="48" t="n"/>
      <c r="AN2778" s="48" t="n"/>
      <c r="AO2778" s="48" t="n"/>
    </row>
    <row r="2779">
      <c r="M2779" s="25" t="n"/>
      <c r="Q2779" s="25" t="n"/>
      <c r="U2779" s="194" t="n"/>
      <c r="AA2779" s="25" t="n"/>
      <c r="AB2779" s="25" t="n"/>
      <c r="AC2779" s="195" t="n"/>
      <c r="AD2779" s="25" t="n"/>
      <c r="AE2779" s="25" t="n"/>
      <c r="AG2779" s="25" t="n"/>
      <c r="AH2779" s="25" t="n"/>
      <c r="AI2779" s="394" t="n"/>
      <c r="AM2779" s="48" t="n"/>
      <c r="AN2779" s="48" t="n"/>
      <c r="AO2779" s="48" t="n"/>
    </row>
    <row r="2780">
      <c r="M2780" s="25" t="n"/>
      <c r="Q2780" s="25" t="n"/>
      <c r="U2780" s="194" t="n"/>
      <c r="AA2780" s="25" t="n"/>
      <c r="AB2780" s="25" t="n"/>
      <c r="AC2780" s="195" t="n"/>
      <c r="AD2780" s="25" t="n"/>
      <c r="AE2780" s="25" t="n"/>
      <c r="AG2780" s="25" t="n"/>
      <c r="AH2780" s="25" t="n"/>
      <c r="AI2780" s="394" t="n"/>
      <c r="AM2780" s="48" t="n"/>
      <c r="AN2780" s="48" t="n"/>
      <c r="AO2780" s="48" t="n"/>
    </row>
    <row r="2781">
      <c r="M2781" s="25" t="n"/>
      <c r="Q2781" s="25" t="n"/>
      <c r="U2781" s="194" t="n"/>
      <c r="AA2781" s="25" t="n"/>
      <c r="AB2781" s="25" t="n"/>
      <c r="AC2781" s="195" t="n"/>
      <c r="AD2781" s="25" t="n"/>
      <c r="AE2781" s="25" t="n"/>
      <c r="AG2781" s="25" t="n"/>
      <c r="AH2781" s="25" t="n"/>
      <c r="AI2781" s="394" t="n"/>
      <c r="AM2781" s="48" t="n"/>
      <c r="AN2781" s="48" t="n"/>
      <c r="AO2781" s="48" t="n"/>
    </row>
    <row r="2782">
      <c r="M2782" s="25" t="n"/>
      <c r="Q2782" s="25" t="n"/>
      <c r="U2782" s="194" t="n"/>
      <c r="AA2782" s="25" t="n"/>
      <c r="AB2782" s="25" t="n"/>
      <c r="AC2782" s="195" t="n"/>
      <c r="AD2782" s="25" t="n"/>
      <c r="AE2782" s="25" t="n"/>
      <c r="AG2782" s="25" t="n"/>
      <c r="AH2782" s="25" t="n"/>
      <c r="AI2782" s="394" t="n"/>
      <c r="AM2782" s="48" t="n"/>
      <c r="AN2782" s="48" t="n"/>
      <c r="AO2782" s="48" t="n"/>
    </row>
    <row r="2783">
      <c r="M2783" s="25" t="n"/>
      <c r="Q2783" s="25" t="n"/>
      <c r="U2783" s="194" t="n"/>
      <c r="AA2783" s="25" t="n"/>
      <c r="AB2783" s="25" t="n"/>
      <c r="AC2783" s="195" t="n"/>
      <c r="AD2783" s="25" t="n"/>
      <c r="AE2783" s="25" t="n"/>
      <c r="AG2783" s="25" t="n"/>
      <c r="AH2783" s="25" t="n"/>
      <c r="AI2783" s="394" t="n"/>
      <c r="AM2783" s="48" t="n"/>
      <c r="AN2783" s="48" t="n"/>
      <c r="AO2783" s="48" t="n"/>
    </row>
    <row r="2784">
      <c r="M2784" s="25" t="n"/>
      <c r="Q2784" s="25" t="n"/>
      <c r="U2784" s="194" t="n"/>
      <c r="AA2784" s="25" t="n"/>
      <c r="AB2784" s="25" t="n"/>
      <c r="AC2784" s="195" t="n"/>
      <c r="AD2784" s="25" t="n"/>
      <c r="AE2784" s="25" t="n"/>
      <c r="AG2784" s="25" t="n"/>
      <c r="AH2784" s="25" t="n"/>
      <c r="AI2784" s="394" t="n"/>
      <c r="AM2784" s="48" t="n"/>
      <c r="AN2784" s="48" t="n"/>
      <c r="AO2784" s="48" t="n"/>
    </row>
    <row r="2785">
      <c r="M2785" s="25" t="n"/>
      <c r="Q2785" s="25" t="n"/>
      <c r="U2785" s="194" t="n"/>
      <c r="AA2785" s="25" t="n"/>
      <c r="AB2785" s="25" t="n"/>
      <c r="AC2785" s="195" t="n"/>
      <c r="AD2785" s="25" t="n"/>
      <c r="AE2785" s="25" t="n"/>
      <c r="AG2785" s="25" t="n"/>
      <c r="AH2785" s="25" t="n"/>
      <c r="AI2785" s="394" t="n"/>
      <c r="AM2785" s="48" t="n"/>
      <c r="AN2785" s="48" t="n"/>
      <c r="AO2785" s="48" t="n"/>
    </row>
    <row r="2786">
      <c r="M2786" s="25" t="n"/>
      <c r="Q2786" s="25" t="n"/>
      <c r="U2786" s="194" t="n"/>
      <c r="AA2786" s="25" t="n"/>
      <c r="AB2786" s="25" t="n"/>
      <c r="AC2786" s="195" t="n"/>
      <c r="AD2786" s="25" t="n"/>
      <c r="AE2786" s="25" t="n"/>
      <c r="AG2786" s="25" t="n"/>
      <c r="AH2786" s="25" t="n"/>
      <c r="AI2786" s="394" t="n"/>
      <c r="AM2786" s="48" t="n"/>
      <c r="AN2786" s="48" t="n"/>
      <c r="AO2786" s="48" t="n"/>
    </row>
    <row r="2787">
      <c r="M2787" s="25" t="n"/>
      <c r="Q2787" s="25" t="n"/>
      <c r="U2787" s="194" t="n"/>
      <c r="AA2787" s="25" t="n"/>
      <c r="AB2787" s="25" t="n"/>
      <c r="AC2787" s="195" t="n"/>
      <c r="AD2787" s="25" t="n"/>
      <c r="AE2787" s="25" t="n"/>
      <c r="AG2787" s="25" t="n"/>
      <c r="AH2787" s="25" t="n"/>
      <c r="AI2787" s="394" t="n"/>
      <c r="AM2787" s="48" t="n"/>
      <c r="AN2787" s="48" t="n"/>
      <c r="AO2787" s="48" t="n"/>
    </row>
    <row r="2788">
      <c r="M2788" s="25" t="n"/>
      <c r="Q2788" s="25" t="n"/>
      <c r="U2788" s="194" t="n"/>
      <c r="AA2788" s="25" t="n"/>
      <c r="AB2788" s="25" t="n"/>
      <c r="AC2788" s="195" t="n"/>
      <c r="AD2788" s="25" t="n"/>
      <c r="AE2788" s="25" t="n"/>
      <c r="AG2788" s="25" t="n"/>
      <c r="AH2788" s="25" t="n"/>
      <c r="AI2788" s="394" t="n"/>
      <c r="AM2788" s="48" t="n"/>
      <c r="AN2788" s="48" t="n"/>
      <c r="AO2788" s="48" t="n"/>
    </row>
    <row r="2789">
      <c r="M2789" s="25" t="n"/>
      <c r="Q2789" s="25" t="n"/>
      <c r="U2789" s="194" t="n"/>
      <c r="AA2789" s="25" t="n"/>
      <c r="AB2789" s="25" t="n"/>
      <c r="AC2789" s="195" t="n"/>
      <c r="AD2789" s="25" t="n"/>
      <c r="AE2789" s="25" t="n"/>
      <c r="AG2789" s="25" t="n"/>
      <c r="AH2789" s="25" t="n"/>
      <c r="AI2789" s="394" t="n"/>
      <c r="AM2789" s="48" t="n"/>
      <c r="AN2789" s="48" t="n"/>
      <c r="AO2789" s="48" t="n"/>
    </row>
    <row r="2790">
      <c r="M2790" s="25" t="n"/>
      <c r="Q2790" s="25" t="n"/>
      <c r="U2790" s="194" t="n"/>
      <c r="AA2790" s="25" t="n"/>
      <c r="AB2790" s="25" t="n"/>
      <c r="AC2790" s="195" t="n"/>
      <c r="AD2790" s="25" t="n"/>
      <c r="AE2790" s="25" t="n"/>
      <c r="AG2790" s="25" t="n"/>
      <c r="AH2790" s="25" t="n"/>
      <c r="AI2790" s="394" t="n"/>
      <c r="AM2790" s="48" t="n"/>
      <c r="AN2790" s="48" t="n"/>
      <c r="AO2790" s="48" t="n"/>
    </row>
    <row r="2791">
      <c r="M2791" s="25" t="n"/>
      <c r="Q2791" s="25" t="n"/>
      <c r="U2791" s="194" t="n"/>
      <c r="AA2791" s="25" t="n"/>
      <c r="AB2791" s="25" t="n"/>
      <c r="AC2791" s="195" t="n"/>
      <c r="AD2791" s="25" t="n"/>
      <c r="AE2791" s="25" t="n"/>
      <c r="AG2791" s="25" t="n"/>
      <c r="AH2791" s="25" t="n"/>
      <c r="AI2791" s="394" t="n"/>
      <c r="AM2791" s="48" t="n"/>
      <c r="AN2791" s="48" t="n"/>
      <c r="AO2791" s="48" t="n"/>
    </row>
    <row r="2792">
      <c r="M2792" s="25" t="n"/>
      <c r="Q2792" s="25" t="n"/>
      <c r="U2792" s="194" t="n"/>
      <c r="AA2792" s="25" t="n"/>
      <c r="AB2792" s="25" t="n"/>
      <c r="AC2792" s="195" t="n"/>
      <c r="AD2792" s="25" t="n"/>
      <c r="AE2792" s="25" t="n"/>
      <c r="AG2792" s="25" t="n"/>
      <c r="AH2792" s="25" t="n"/>
      <c r="AI2792" s="394" t="n"/>
      <c r="AM2792" s="48" t="n"/>
      <c r="AN2792" s="48" t="n"/>
      <c r="AO2792" s="48" t="n"/>
    </row>
    <row r="2793">
      <c r="M2793" s="25" t="n"/>
      <c r="Q2793" s="25" t="n"/>
      <c r="U2793" s="194" t="n"/>
      <c r="AA2793" s="25" t="n"/>
      <c r="AB2793" s="25" t="n"/>
      <c r="AC2793" s="195" t="n"/>
      <c r="AD2793" s="25" t="n"/>
      <c r="AE2793" s="25" t="n"/>
      <c r="AG2793" s="25" t="n"/>
      <c r="AH2793" s="25" t="n"/>
      <c r="AI2793" s="394" t="n"/>
      <c r="AM2793" s="48" t="n"/>
      <c r="AN2793" s="48" t="n"/>
      <c r="AO2793" s="48" t="n"/>
    </row>
    <row r="2794">
      <c r="M2794" s="25" t="n"/>
      <c r="Q2794" s="25" t="n"/>
      <c r="U2794" s="194" t="n"/>
      <c r="AA2794" s="25" t="n"/>
      <c r="AB2794" s="25" t="n"/>
      <c r="AC2794" s="195" t="n"/>
      <c r="AD2794" s="25" t="n"/>
      <c r="AE2794" s="25" t="n"/>
      <c r="AG2794" s="25" t="n"/>
      <c r="AH2794" s="25" t="n"/>
      <c r="AI2794" s="394" t="n"/>
      <c r="AM2794" s="48" t="n"/>
      <c r="AN2794" s="48" t="n"/>
      <c r="AO2794" s="48" t="n"/>
    </row>
    <row r="2795">
      <c r="M2795" s="25" t="n"/>
      <c r="Q2795" s="25" t="n"/>
      <c r="U2795" s="194" t="n"/>
      <c r="AA2795" s="25" t="n"/>
      <c r="AB2795" s="25" t="n"/>
      <c r="AC2795" s="195" t="n"/>
      <c r="AD2795" s="25" t="n"/>
      <c r="AE2795" s="25" t="n"/>
      <c r="AG2795" s="25" t="n"/>
      <c r="AH2795" s="25" t="n"/>
      <c r="AI2795" s="394" t="n"/>
      <c r="AM2795" s="48" t="n"/>
      <c r="AN2795" s="48" t="n"/>
      <c r="AO2795" s="48" t="n"/>
    </row>
    <row r="2796">
      <c r="M2796" s="25" t="n"/>
      <c r="Q2796" s="25" t="n"/>
      <c r="U2796" s="194" t="n"/>
      <c r="AA2796" s="25" t="n"/>
      <c r="AB2796" s="25" t="n"/>
      <c r="AC2796" s="195" t="n"/>
      <c r="AD2796" s="25" t="n"/>
      <c r="AE2796" s="25" t="n"/>
      <c r="AG2796" s="25" t="n"/>
      <c r="AH2796" s="25" t="n"/>
      <c r="AI2796" s="394" t="n"/>
      <c r="AM2796" s="48" t="n"/>
      <c r="AN2796" s="48" t="n"/>
      <c r="AO2796" s="48" t="n"/>
    </row>
    <row r="2797">
      <c r="M2797" s="25" t="n"/>
      <c r="Q2797" s="25" t="n"/>
      <c r="U2797" s="194" t="n"/>
      <c r="AA2797" s="25" t="n"/>
      <c r="AB2797" s="25" t="n"/>
      <c r="AC2797" s="195" t="n"/>
      <c r="AD2797" s="25" t="n"/>
      <c r="AE2797" s="25" t="n"/>
      <c r="AG2797" s="25" t="n"/>
      <c r="AH2797" s="25" t="n"/>
      <c r="AI2797" s="394" t="n"/>
      <c r="AM2797" s="48" t="n"/>
      <c r="AN2797" s="48" t="n"/>
      <c r="AO2797" s="48" t="n"/>
    </row>
    <row r="2798">
      <c r="M2798" s="25" t="n"/>
      <c r="Q2798" s="25" t="n"/>
      <c r="U2798" s="194" t="n"/>
      <c r="AA2798" s="25" t="n"/>
      <c r="AB2798" s="25" t="n"/>
      <c r="AC2798" s="195" t="n"/>
      <c r="AD2798" s="25" t="n"/>
      <c r="AE2798" s="25" t="n"/>
      <c r="AG2798" s="25" t="n"/>
      <c r="AH2798" s="25" t="n"/>
      <c r="AI2798" s="394" t="n"/>
      <c r="AM2798" s="48" t="n"/>
      <c r="AN2798" s="48" t="n"/>
      <c r="AO2798" s="48" t="n"/>
    </row>
    <row r="2799">
      <c r="M2799" s="25" t="n"/>
      <c r="Q2799" s="25" t="n"/>
      <c r="U2799" s="194" t="n"/>
      <c r="AA2799" s="25" t="n"/>
      <c r="AB2799" s="25" t="n"/>
      <c r="AC2799" s="195" t="n"/>
      <c r="AD2799" s="25" t="n"/>
      <c r="AE2799" s="25" t="n"/>
      <c r="AG2799" s="25" t="n"/>
      <c r="AH2799" s="25" t="n"/>
      <c r="AI2799" s="394" t="n"/>
      <c r="AM2799" s="48" t="n"/>
      <c r="AN2799" s="48" t="n"/>
      <c r="AO2799" s="48" t="n"/>
    </row>
    <row r="2800">
      <c r="M2800" s="25" t="n"/>
      <c r="Q2800" s="25" t="n"/>
      <c r="U2800" s="194" t="n"/>
      <c r="AA2800" s="25" t="n"/>
      <c r="AB2800" s="25" t="n"/>
      <c r="AC2800" s="195" t="n"/>
      <c r="AD2800" s="25" t="n"/>
      <c r="AE2800" s="25" t="n"/>
      <c r="AG2800" s="25" t="n"/>
      <c r="AH2800" s="25" t="n"/>
      <c r="AI2800" s="394" t="n"/>
      <c r="AM2800" s="48" t="n"/>
      <c r="AN2800" s="48" t="n"/>
      <c r="AO2800" s="48" t="n"/>
    </row>
    <row r="2801">
      <c r="M2801" s="25" t="n"/>
      <c r="Q2801" s="25" t="n"/>
      <c r="U2801" s="194" t="n"/>
      <c r="AA2801" s="25" t="n"/>
      <c r="AB2801" s="25" t="n"/>
      <c r="AC2801" s="195" t="n"/>
      <c r="AD2801" s="25" t="n"/>
      <c r="AE2801" s="25" t="n"/>
      <c r="AG2801" s="25" t="n"/>
      <c r="AH2801" s="25" t="n"/>
      <c r="AI2801" s="394" t="n"/>
      <c r="AM2801" s="48" t="n"/>
      <c r="AN2801" s="48" t="n"/>
      <c r="AO2801" s="48" t="n"/>
    </row>
    <row r="2802">
      <c r="M2802" s="25" t="n"/>
      <c r="Q2802" s="25" t="n"/>
      <c r="U2802" s="194" t="n"/>
      <c r="AA2802" s="25" t="n"/>
      <c r="AB2802" s="25" t="n"/>
      <c r="AC2802" s="195" t="n"/>
      <c r="AD2802" s="25" t="n"/>
      <c r="AE2802" s="25" t="n"/>
      <c r="AG2802" s="25" t="n"/>
      <c r="AH2802" s="25" t="n"/>
      <c r="AI2802" s="394" t="n"/>
      <c r="AM2802" s="48" t="n"/>
      <c r="AN2802" s="48" t="n"/>
      <c r="AO2802" s="48" t="n"/>
    </row>
    <row r="2803">
      <c r="M2803" s="25" t="n"/>
      <c r="Q2803" s="25" t="n"/>
      <c r="U2803" s="194" t="n"/>
      <c r="AA2803" s="25" t="n"/>
      <c r="AB2803" s="25" t="n"/>
      <c r="AC2803" s="195" t="n"/>
      <c r="AD2803" s="25" t="n"/>
      <c r="AE2803" s="25" t="n"/>
      <c r="AG2803" s="25" t="n"/>
      <c r="AH2803" s="25" t="n"/>
      <c r="AI2803" s="394" t="n"/>
      <c r="AM2803" s="48" t="n"/>
      <c r="AN2803" s="48" t="n"/>
      <c r="AO2803" s="48" t="n"/>
    </row>
    <row r="2804">
      <c r="M2804" s="25" t="n"/>
      <c r="Q2804" s="25" t="n"/>
      <c r="U2804" s="194" t="n"/>
      <c r="AA2804" s="25" t="n"/>
      <c r="AB2804" s="25" t="n"/>
      <c r="AC2804" s="195" t="n"/>
      <c r="AD2804" s="25" t="n"/>
      <c r="AE2804" s="25" t="n"/>
      <c r="AG2804" s="25" t="n"/>
      <c r="AH2804" s="25" t="n"/>
      <c r="AI2804" s="394" t="n"/>
      <c r="AM2804" s="48" t="n"/>
      <c r="AN2804" s="48" t="n"/>
      <c r="AO2804" s="48" t="n"/>
    </row>
    <row r="2805">
      <c r="M2805" s="25" t="n"/>
      <c r="Q2805" s="25" t="n"/>
      <c r="U2805" s="194" t="n"/>
      <c r="AA2805" s="25" t="n"/>
      <c r="AB2805" s="25" t="n"/>
      <c r="AC2805" s="195" t="n"/>
      <c r="AD2805" s="25" t="n"/>
      <c r="AE2805" s="25" t="n"/>
      <c r="AG2805" s="25" t="n"/>
      <c r="AH2805" s="25" t="n"/>
      <c r="AI2805" s="394" t="n"/>
      <c r="AM2805" s="48" t="n"/>
      <c r="AN2805" s="48" t="n"/>
      <c r="AO2805" s="48" t="n"/>
    </row>
    <row r="2806">
      <c r="M2806" s="25" t="n"/>
      <c r="Q2806" s="25" t="n"/>
      <c r="U2806" s="194" t="n"/>
      <c r="AA2806" s="25" t="n"/>
      <c r="AB2806" s="25" t="n"/>
      <c r="AC2806" s="195" t="n"/>
      <c r="AD2806" s="25" t="n"/>
      <c r="AE2806" s="25" t="n"/>
      <c r="AG2806" s="25" t="n"/>
      <c r="AH2806" s="25" t="n"/>
      <c r="AI2806" s="394" t="n"/>
      <c r="AM2806" s="48" t="n"/>
      <c r="AN2806" s="48" t="n"/>
      <c r="AO2806" s="48" t="n"/>
    </row>
    <row r="2807">
      <c r="M2807" s="25" t="n"/>
      <c r="Q2807" s="25" t="n"/>
      <c r="U2807" s="194" t="n"/>
      <c r="AA2807" s="25" t="n"/>
      <c r="AB2807" s="25" t="n"/>
      <c r="AC2807" s="195" t="n"/>
      <c r="AD2807" s="25" t="n"/>
      <c r="AE2807" s="25" t="n"/>
      <c r="AG2807" s="25" t="n"/>
      <c r="AH2807" s="25" t="n"/>
      <c r="AI2807" s="394" t="n"/>
      <c r="AM2807" s="48" t="n"/>
      <c r="AN2807" s="48" t="n"/>
      <c r="AO2807" s="48" t="n"/>
    </row>
    <row r="2808">
      <c r="M2808" s="25" t="n"/>
      <c r="Q2808" s="25" t="n"/>
      <c r="U2808" s="194" t="n"/>
      <c r="AA2808" s="25" t="n"/>
      <c r="AB2808" s="25" t="n"/>
      <c r="AC2808" s="195" t="n"/>
      <c r="AD2808" s="25" t="n"/>
      <c r="AE2808" s="25" t="n"/>
      <c r="AG2808" s="25" t="n"/>
      <c r="AH2808" s="25" t="n"/>
      <c r="AI2808" s="394" t="n"/>
      <c r="AM2808" s="48" t="n"/>
      <c r="AN2808" s="48" t="n"/>
      <c r="AO2808" s="48" t="n"/>
    </row>
    <row r="2809">
      <c r="M2809" s="25" t="n"/>
      <c r="Q2809" s="25" t="n"/>
      <c r="U2809" s="194" t="n"/>
      <c r="AA2809" s="25" t="n"/>
      <c r="AB2809" s="25" t="n"/>
      <c r="AC2809" s="195" t="n"/>
      <c r="AD2809" s="25" t="n"/>
      <c r="AE2809" s="25" t="n"/>
      <c r="AG2809" s="25" t="n"/>
      <c r="AH2809" s="25" t="n"/>
      <c r="AI2809" s="394" t="n"/>
      <c r="AM2809" s="48" t="n"/>
      <c r="AN2809" s="48" t="n"/>
      <c r="AO2809" s="48" t="n"/>
    </row>
    <row r="2810">
      <c r="M2810" s="25" t="n"/>
      <c r="Q2810" s="25" t="n"/>
      <c r="U2810" s="194" t="n"/>
      <c r="AA2810" s="25" t="n"/>
      <c r="AB2810" s="25" t="n"/>
      <c r="AC2810" s="195" t="n"/>
      <c r="AD2810" s="25" t="n"/>
      <c r="AE2810" s="25" t="n"/>
      <c r="AG2810" s="25" t="n"/>
      <c r="AH2810" s="25" t="n"/>
      <c r="AI2810" s="394" t="n"/>
      <c r="AM2810" s="48" t="n"/>
      <c r="AN2810" s="48" t="n"/>
      <c r="AO2810" s="48" t="n"/>
    </row>
    <row r="2811">
      <c r="M2811" s="25" t="n"/>
      <c r="Q2811" s="25" t="n"/>
      <c r="U2811" s="194" t="n"/>
      <c r="AA2811" s="25" t="n"/>
      <c r="AB2811" s="25" t="n"/>
      <c r="AC2811" s="195" t="n"/>
      <c r="AD2811" s="25" t="n"/>
      <c r="AE2811" s="25" t="n"/>
      <c r="AG2811" s="25" t="n"/>
      <c r="AH2811" s="25" t="n"/>
      <c r="AI2811" s="394" t="n"/>
      <c r="AM2811" s="48" t="n"/>
      <c r="AN2811" s="48" t="n"/>
      <c r="AO2811" s="48" t="n"/>
    </row>
    <row r="2812">
      <c r="M2812" s="25" t="n"/>
      <c r="Q2812" s="25" t="n"/>
      <c r="U2812" s="194" t="n"/>
      <c r="AA2812" s="25" t="n"/>
      <c r="AB2812" s="25" t="n"/>
      <c r="AC2812" s="195" t="n"/>
      <c r="AD2812" s="25" t="n"/>
      <c r="AE2812" s="25" t="n"/>
      <c r="AG2812" s="25" t="n"/>
      <c r="AH2812" s="25" t="n"/>
      <c r="AI2812" s="394" t="n"/>
      <c r="AM2812" s="48" t="n"/>
      <c r="AN2812" s="48" t="n"/>
      <c r="AO2812" s="48" t="n"/>
    </row>
    <row r="2813">
      <c r="M2813" s="25" t="n"/>
      <c r="Q2813" s="25" t="n"/>
      <c r="U2813" s="194" t="n"/>
      <c r="AA2813" s="25" t="n"/>
      <c r="AB2813" s="25" t="n"/>
      <c r="AC2813" s="195" t="n"/>
      <c r="AD2813" s="25" t="n"/>
      <c r="AE2813" s="25" t="n"/>
      <c r="AG2813" s="25" t="n"/>
      <c r="AH2813" s="25" t="n"/>
      <c r="AI2813" s="394" t="n"/>
      <c r="AM2813" s="48" t="n"/>
      <c r="AN2813" s="48" t="n"/>
      <c r="AO2813" s="48" t="n"/>
    </row>
    <row r="2814">
      <c r="M2814" s="25" t="n"/>
      <c r="Q2814" s="25" t="n"/>
      <c r="U2814" s="194" t="n"/>
      <c r="AA2814" s="25" t="n"/>
      <c r="AB2814" s="25" t="n"/>
      <c r="AC2814" s="195" t="n"/>
      <c r="AD2814" s="25" t="n"/>
      <c r="AE2814" s="25" t="n"/>
      <c r="AG2814" s="25" t="n"/>
      <c r="AH2814" s="25" t="n"/>
      <c r="AI2814" s="394" t="n"/>
      <c r="AM2814" s="48" t="n"/>
      <c r="AN2814" s="48" t="n"/>
      <c r="AO2814" s="48" t="n"/>
    </row>
    <row r="2815">
      <c r="M2815" s="25" t="n"/>
      <c r="Q2815" s="25" t="n"/>
      <c r="U2815" s="194" t="n"/>
      <c r="AA2815" s="25" t="n"/>
      <c r="AB2815" s="25" t="n"/>
      <c r="AC2815" s="195" t="n"/>
      <c r="AD2815" s="25" t="n"/>
      <c r="AE2815" s="25" t="n"/>
      <c r="AG2815" s="25" t="n"/>
      <c r="AH2815" s="25" t="n"/>
      <c r="AI2815" s="394" t="n"/>
      <c r="AM2815" s="48" t="n"/>
      <c r="AN2815" s="48" t="n"/>
      <c r="AO2815" s="48" t="n"/>
    </row>
    <row r="2816">
      <c r="M2816" s="25" t="n"/>
      <c r="Q2816" s="25" t="n"/>
      <c r="U2816" s="194" t="n"/>
      <c r="AA2816" s="25" t="n"/>
      <c r="AB2816" s="25" t="n"/>
      <c r="AC2816" s="195" t="n"/>
      <c r="AD2816" s="25" t="n"/>
      <c r="AE2816" s="25" t="n"/>
      <c r="AG2816" s="25" t="n"/>
      <c r="AH2816" s="25" t="n"/>
      <c r="AI2816" s="394" t="n"/>
      <c r="AM2816" s="48" t="n"/>
      <c r="AN2816" s="48" t="n"/>
      <c r="AO2816" s="48" t="n"/>
    </row>
    <row r="2817">
      <c r="M2817" s="25" t="n"/>
      <c r="Q2817" s="25" t="n"/>
      <c r="U2817" s="194" t="n"/>
      <c r="AA2817" s="25" t="n"/>
      <c r="AB2817" s="25" t="n"/>
      <c r="AC2817" s="195" t="n"/>
      <c r="AD2817" s="25" t="n"/>
      <c r="AE2817" s="25" t="n"/>
      <c r="AG2817" s="25" t="n"/>
      <c r="AH2817" s="25" t="n"/>
      <c r="AI2817" s="394" t="n"/>
      <c r="AM2817" s="48" t="n"/>
      <c r="AN2817" s="48" t="n"/>
      <c r="AO2817" s="48" t="n"/>
    </row>
    <row r="2818">
      <c r="M2818" s="25" t="n"/>
      <c r="Q2818" s="25" t="n"/>
      <c r="U2818" s="194" t="n"/>
      <c r="AA2818" s="25" t="n"/>
      <c r="AB2818" s="25" t="n"/>
      <c r="AC2818" s="195" t="n"/>
      <c r="AD2818" s="25" t="n"/>
      <c r="AE2818" s="25" t="n"/>
      <c r="AG2818" s="25" t="n"/>
      <c r="AH2818" s="25" t="n"/>
      <c r="AI2818" s="394" t="n"/>
      <c r="AM2818" s="48" t="n"/>
      <c r="AN2818" s="48" t="n"/>
      <c r="AO2818" s="48" t="n"/>
    </row>
    <row r="2819">
      <c r="M2819" s="25" t="n"/>
      <c r="Q2819" s="25" t="n"/>
      <c r="U2819" s="194" t="n"/>
      <c r="AA2819" s="25" t="n"/>
      <c r="AB2819" s="25" t="n"/>
      <c r="AC2819" s="195" t="n"/>
      <c r="AD2819" s="25" t="n"/>
      <c r="AE2819" s="25" t="n"/>
      <c r="AG2819" s="25" t="n"/>
      <c r="AH2819" s="25" t="n"/>
      <c r="AI2819" s="394" t="n"/>
      <c r="AM2819" s="48" t="n"/>
      <c r="AN2819" s="48" t="n"/>
      <c r="AO2819" s="48" t="n"/>
    </row>
    <row r="2820">
      <c r="M2820" s="25" t="n"/>
      <c r="Q2820" s="25" t="n"/>
      <c r="U2820" s="194" t="n"/>
      <c r="AA2820" s="25" t="n"/>
      <c r="AB2820" s="25" t="n"/>
      <c r="AC2820" s="195" t="n"/>
      <c r="AD2820" s="25" t="n"/>
      <c r="AE2820" s="25" t="n"/>
      <c r="AG2820" s="25" t="n"/>
      <c r="AH2820" s="25" t="n"/>
      <c r="AI2820" s="394" t="n"/>
      <c r="AM2820" s="48" t="n"/>
      <c r="AN2820" s="48" t="n"/>
      <c r="AO2820" s="48" t="n"/>
    </row>
    <row r="2821">
      <c r="M2821" s="25" t="n"/>
      <c r="Q2821" s="25" t="n"/>
      <c r="U2821" s="194" t="n"/>
      <c r="AA2821" s="25" t="n"/>
      <c r="AB2821" s="25" t="n"/>
      <c r="AC2821" s="195" t="n"/>
      <c r="AD2821" s="25" t="n"/>
      <c r="AE2821" s="25" t="n"/>
      <c r="AG2821" s="25" t="n"/>
      <c r="AH2821" s="25" t="n"/>
      <c r="AI2821" s="394" t="n"/>
      <c r="AM2821" s="48" t="n"/>
      <c r="AN2821" s="48" t="n"/>
      <c r="AO2821" s="48" t="n"/>
    </row>
    <row r="2822">
      <c r="M2822" s="25" t="n"/>
      <c r="Q2822" s="25" t="n"/>
      <c r="U2822" s="194" t="n"/>
      <c r="AA2822" s="25" t="n"/>
      <c r="AB2822" s="25" t="n"/>
      <c r="AC2822" s="195" t="n"/>
      <c r="AD2822" s="25" t="n"/>
      <c r="AE2822" s="25" t="n"/>
      <c r="AG2822" s="25" t="n"/>
      <c r="AH2822" s="25" t="n"/>
      <c r="AI2822" s="394" t="n"/>
      <c r="AM2822" s="48" t="n"/>
      <c r="AN2822" s="48" t="n"/>
      <c r="AO2822" s="48" t="n"/>
    </row>
    <row r="2823">
      <c r="M2823" s="25" t="n"/>
      <c r="Q2823" s="25" t="n"/>
      <c r="U2823" s="194" t="n"/>
      <c r="AA2823" s="25" t="n"/>
      <c r="AB2823" s="25" t="n"/>
      <c r="AC2823" s="195" t="n"/>
      <c r="AD2823" s="25" t="n"/>
      <c r="AE2823" s="25" t="n"/>
      <c r="AG2823" s="25" t="n"/>
      <c r="AH2823" s="25" t="n"/>
      <c r="AI2823" s="394" t="n"/>
      <c r="AM2823" s="48" t="n"/>
      <c r="AN2823" s="48" t="n"/>
      <c r="AO2823" s="48" t="n"/>
    </row>
    <row r="2824">
      <c r="M2824" s="25" t="n"/>
      <c r="Q2824" s="25" t="n"/>
      <c r="U2824" s="194" t="n"/>
      <c r="AA2824" s="25" t="n"/>
      <c r="AB2824" s="25" t="n"/>
      <c r="AC2824" s="195" t="n"/>
      <c r="AD2824" s="25" t="n"/>
      <c r="AE2824" s="25" t="n"/>
      <c r="AG2824" s="25" t="n"/>
      <c r="AH2824" s="25" t="n"/>
      <c r="AI2824" s="394" t="n"/>
      <c r="AM2824" s="48" t="n"/>
      <c r="AN2824" s="48" t="n"/>
      <c r="AO2824" s="48" t="n"/>
    </row>
    <row r="2825">
      <c r="M2825" s="25" t="n"/>
      <c r="Q2825" s="25" t="n"/>
      <c r="U2825" s="194" t="n"/>
      <c r="AA2825" s="25" t="n"/>
      <c r="AB2825" s="25" t="n"/>
      <c r="AC2825" s="195" t="n"/>
      <c r="AD2825" s="25" t="n"/>
      <c r="AE2825" s="25" t="n"/>
      <c r="AG2825" s="25" t="n"/>
      <c r="AH2825" s="25" t="n"/>
      <c r="AI2825" s="394" t="n"/>
      <c r="AM2825" s="48" t="n"/>
      <c r="AN2825" s="48" t="n"/>
      <c r="AO2825" s="48" t="n"/>
    </row>
    <row r="2826">
      <c r="M2826" s="25" t="n"/>
      <c r="Q2826" s="25" t="n"/>
      <c r="U2826" s="194" t="n"/>
      <c r="AA2826" s="25" t="n"/>
      <c r="AB2826" s="25" t="n"/>
      <c r="AC2826" s="195" t="n"/>
      <c r="AD2826" s="25" t="n"/>
      <c r="AE2826" s="25" t="n"/>
      <c r="AG2826" s="25" t="n"/>
      <c r="AH2826" s="25" t="n"/>
      <c r="AI2826" s="394" t="n"/>
      <c r="AM2826" s="48" t="n"/>
      <c r="AN2826" s="48" t="n"/>
      <c r="AO2826" s="48" t="n"/>
    </row>
    <row r="2827">
      <c r="M2827" s="25" t="n"/>
      <c r="Q2827" s="25" t="n"/>
      <c r="U2827" s="194" t="n"/>
      <c r="AA2827" s="25" t="n"/>
      <c r="AB2827" s="25" t="n"/>
      <c r="AC2827" s="195" t="n"/>
      <c r="AD2827" s="25" t="n"/>
      <c r="AE2827" s="25" t="n"/>
      <c r="AG2827" s="25" t="n"/>
      <c r="AH2827" s="25" t="n"/>
      <c r="AI2827" s="394" t="n"/>
      <c r="AM2827" s="48" t="n"/>
      <c r="AN2827" s="48" t="n"/>
      <c r="AO2827" s="48" t="n"/>
    </row>
    <row r="2828">
      <c r="M2828" s="25" t="n"/>
      <c r="Q2828" s="25" t="n"/>
      <c r="U2828" s="194" t="n"/>
      <c r="AA2828" s="25" t="n"/>
      <c r="AB2828" s="25" t="n"/>
      <c r="AC2828" s="195" t="n"/>
      <c r="AD2828" s="25" t="n"/>
      <c r="AE2828" s="25" t="n"/>
      <c r="AG2828" s="25" t="n"/>
      <c r="AH2828" s="25" t="n"/>
      <c r="AI2828" s="394" t="n"/>
      <c r="AM2828" s="48" t="n"/>
      <c r="AN2828" s="48" t="n"/>
      <c r="AO2828" s="48" t="n"/>
    </row>
    <row r="2829">
      <c r="M2829" s="25" t="n"/>
      <c r="Q2829" s="25" t="n"/>
      <c r="U2829" s="194" t="n"/>
      <c r="AA2829" s="25" t="n"/>
      <c r="AB2829" s="25" t="n"/>
      <c r="AC2829" s="195" t="n"/>
      <c r="AD2829" s="25" t="n"/>
      <c r="AE2829" s="25" t="n"/>
      <c r="AG2829" s="25" t="n"/>
      <c r="AH2829" s="25" t="n"/>
      <c r="AI2829" s="394" t="n"/>
      <c r="AM2829" s="48" t="n"/>
      <c r="AN2829" s="48" t="n"/>
      <c r="AO2829" s="48" t="n"/>
    </row>
    <row r="2830">
      <c r="M2830" s="25" t="n"/>
      <c r="Q2830" s="25" t="n"/>
      <c r="U2830" s="194" t="n"/>
      <c r="AA2830" s="25" t="n"/>
      <c r="AB2830" s="25" t="n"/>
      <c r="AC2830" s="195" t="n"/>
      <c r="AD2830" s="25" t="n"/>
      <c r="AE2830" s="25" t="n"/>
      <c r="AG2830" s="25" t="n"/>
      <c r="AH2830" s="25" t="n"/>
      <c r="AI2830" s="394" t="n"/>
      <c r="AM2830" s="48" t="n"/>
      <c r="AN2830" s="48" t="n"/>
      <c r="AO2830" s="48" t="n"/>
    </row>
    <row r="2831">
      <c r="M2831" s="25" t="n"/>
      <c r="Q2831" s="25" t="n"/>
      <c r="U2831" s="194" t="n"/>
      <c r="AA2831" s="25" t="n"/>
      <c r="AB2831" s="25" t="n"/>
      <c r="AC2831" s="195" t="n"/>
      <c r="AD2831" s="25" t="n"/>
      <c r="AE2831" s="25" t="n"/>
      <c r="AG2831" s="25" t="n"/>
      <c r="AH2831" s="25" t="n"/>
      <c r="AI2831" s="394" t="n"/>
      <c r="AM2831" s="48" t="n"/>
      <c r="AN2831" s="48" t="n"/>
      <c r="AO2831" s="48" t="n"/>
    </row>
    <row r="2832">
      <c r="M2832" s="25" t="n"/>
      <c r="Q2832" s="25" t="n"/>
      <c r="U2832" s="194" t="n"/>
      <c r="AA2832" s="25" t="n"/>
      <c r="AB2832" s="25" t="n"/>
      <c r="AC2832" s="195" t="n"/>
      <c r="AD2832" s="25" t="n"/>
      <c r="AE2832" s="25" t="n"/>
      <c r="AG2832" s="25" t="n"/>
      <c r="AH2832" s="25" t="n"/>
      <c r="AI2832" s="394" t="n"/>
      <c r="AM2832" s="48" t="n"/>
      <c r="AN2832" s="48" t="n"/>
      <c r="AO2832" s="48" t="n"/>
    </row>
    <row r="2833">
      <c r="M2833" s="25" t="n"/>
      <c r="Q2833" s="25" t="n"/>
      <c r="U2833" s="194" t="n"/>
      <c r="AA2833" s="25" t="n"/>
      <c r="AB2833" s="25" t="n"/>
      <c r="AC2833" s="195" t="n"/>
      <c r="AD2833" s="25" t="n"/>
      <c r="AE2833" s="25" t="n"/>
      <c r="AG2833" s="25" t="n"/>
      <c r="AH2833" s="25" t="n"/>
      <c r="AI2833" s="394" t="n"/>
      <c r="AM2833" s="48" t="n"/>
      <c r="AN2833" s="48" t="n"/>
      <c r="AO2833" s="48" t="n"/>
    </row>
    <row r="2834">
      <c r="M2834" s="25" t="n"/>
      <c r="Q2834" s="25" t="n"/>
      <c r="U2834" s="194" t="n"/>
      <c r="AA2834" s="25" t="n"/>
      <c r="AB2834" s="25" t="n"/>
      <c r="AC2834" s="195" t="n"/>
      <c r="AD2834" s="25" t="n"/>
      <c r="AE2834" s="25" t="n"/>
      <c r="AG2834" s="25" t="n"/>
      <c r="AH2834" s="25" t="n"/>
      <c r="AI2834" s="394" t="n"/>
      <c r="AM2834" s="48" t="n"/>
      <c r="AN2834" s="48" t="n"/>
      <c r="AO2834" s="48" t="n"/>
    </row>
    <row r="2835">
      <c r="M2835" s="25" t="n"/>
      <c r="Q2835" s="25" t="n"/>
      <c r="U2835" s="194" t="n"/>
      <c r="AA2835" s="25" t="n"/>
      <c r="AB2835" s="25" t="n"/>
      <c r="AC2835" s="195" t="n"/>
      <c r="AD2835" s="25" t="n"/>
      <c r="AE2835" s="25" t="n"/>
      <c r="AG2835" s="25" t="n"/>
      <c r="AH2835" s="25" t="n"/>
      <c r="AI2835" s="394" t="n"/>
      <c r="AM2835" s="48" t="n"/>
      <c r="AN2835" s="48" t="n"/>
      <c r="AO2835" s="48" t="n"/>
    </row>
    <row r="2836">
      <c r="M2836" s="25" t="n"/>
      <c r="Q2836" s="25" t="n"/>
      <c r="U2836" s="194" t="n"/>
      <c r="AA2836" s="25" t="n"/>
      <c r="AB2836" s="25" t="n"/>
      <c r="AC2836" s="195" t="n"/>
      <c r="AD2836" s="25" t="n"/>
      <c r="AE2836" s="25" t="n"/>
      <c r="AG2836" s="25" t="n"/>
      <c r="AH2836" s="25" t="n"/>
      <c r="AI2836" s="394" t="n"/>
      <c r="AM2836" s="48" t="n"/>
      <c r="AN2836" s="48" t="n"/>
      <c r="AO2836" s="48" t="n"/>
    </row>
    <row r="2837">
      <c r="M2837" s="25" t="n"/>
      <c r="Q2837" s="25" t="n"/>
      <c r="U2837" s="194" t="n"/>
      <c r="AA2837" s="25" t="n"/>
      <c r="AB2837" s="25" t="n"/>
      <c r="AC2837" s="195" t="n"/>
      <c r="AD2837" s="25" t="n"/>
      <c r="AE2837" s="25" t="n"/>
      <c r="AG2837" s="25" t="n"/>
      <c r="AH2837" s="25" t="n"/>
      <c r="AI2837" s="394" t="n"/>
      <c r="AM2837" s="48" t="n"/>
      <c r="AN2837" s="48" t="n"/>
      <c r="AO2837" s="48" t="n"/>
    </row>
    <row r="2838">
      <c r="M2838" s="25" t="n"/>
      <c r="Q2838" s="25" t="n"/>
      <c r="U2838" s="194" t="n"/>
      <c r="AA2838" s="25" t="n"/>
      <c r="AB2838" s="25" t="n"/>
      <c r="AC2838" s="195" t="n"/>
      <c r="AD2838" s="25" t="n"/>
      <c r="AE2838" s="25" t="n"/>
      <c r="AG2838" s="25" t="n"/>
      <c r="AH2838" s="25" t="n"/>
      <c r="AI2838" s="394" t="n"/>
      <c r="AM2838" s="48" t="n"/>
      <c r="AN2838" s="48" t="n"/>
      <c r="AO2838" s="48" t="n"/>
    </row>
    <row r="2839">
      <c r="M2839" s="25" t="n"/>
      <c r="Q2839" s="25" t="n"/>
      <c r="U2839" s="194" t="n"/>
      <c r="AA2839" s="25" t="n"/>
      <c r="AB2839" s="25" t="n"/>
      <c r="AC2839" s="195" t="n"/>
      <c r="AD2839" s="25" t="n"/>
      <c r="AE2839" s="25" t="n"/>
      <c r="AG2839" s="25" t="n"/>
      <c r="AH2839" s="25" t="n"/>
      <c r="AI2839" s="394" t="n"/>
      <c r="AM2839" s="48" t="n"/>
      <c r="AN2839" s="48" t="n"/>
      <c r="AO2839" s="48" t="n"/>
    </row>
    <row r="2840">
      <c r="M2840" s="25" t="n"/>
      <c r="Q2840" s="25" t="n"/>
      <c r="U2840" s="194" t="n"/>
      <c r="AA2840" s="25" t="n"/>
      <c r="AB2840" s="25" t="n"/>
      <c r="AC2840" s="195" t="n"/>
      <c r="AD2840" s="25" t="n"/>
      <c r="AE2840" s="25" t="n"/>
      <c r="AG2840" s="25" t="n"/>
      <c r="AH2840" s="25" t="n"/>
      <c r="AI2840" s="394" t="n"/>
      <c r="AM2840" s="48" t="n"/>
      <c r="AN2840" s="48" t="n"/>
      <c r="AO2840" s="48" t="n"/>
    </row>
    <row r="2841">
      <c r="M2841" s="25" t="n"/>
      <c r="Q2841" s="25" t="n"/>
      <c r="U2841" s="194" t="n"/>
      <c r="AA2841" s="25" t="n"/>
      <c r="AB2841" s="25" t="n"/>
      <c r="AC2841" s="195" t="n"/>
      <c r="AD2841" s="25" t="n"/>
      <c r="AE2841" s="25" t="n"/>
      <c r="AG2841" s="25" t="n"/>
      <c r="AH2841" s="25" t="n"/>
      <c r="AI2841" s="394" t="n"/>
      <c r="AM2841" s="48" t="n"/>
      <c r="AN2841" s="48" t="n"/>
      <c r="AO2841" s="48" t="n"/>
    </row>
    <row r="2842">
      <c r="M2842" s="25" t="n"/>
      <c r="Q2842" s="25" t="n"/>
      <c r="U2842" s="194" t="n"/>
      <c r="AA2842" s="25" t="n"/>
      <c r="AB2842" s="25" t="n"/>
      <c r="AC2842" s="195" t="n"/>
      <c r="AD2842" s="25" t="n"/>
      <c r="AE2842" s="25" t="n"/>
      <c r="AG2842" s="25" t="n"/>
      <c r="AH2842" s="25" t="n"/>
      <c r="AI2842" s="394" t="n"/>
      <c r="AM2842" s="48" t="n"/>
      <c r="AN2842" s="48" t="n"/>
      <c r="AO2842" s="48" t="n"/>
    </row>
    <row r="2843">
      <c r="M2843" s="25" t="n"/>
      <c r="Q2843" s="25" t="n"/>
      <c r="U2843" s="194" t="n"/>
      <c r="AA2843" s="25" t="n"/>
      <c r="AB2843" s="25" t="n"/>
      <c r="AC2843" s="195" t="n"/>
      <c r="AD2843" s="25" t="n"/>
      <c r="AE2843" s="25" t="n"/>
      <c r="AG2843" s="25" t="n"/>
      <c r="AH2843" s="25" t="n"/>
      <c r="AI2843" s="394" t="n"/>
      <c r="AM2843" s="48" t="n"/>
      <c r="AN2843" s="48" t="n"/>
      <c r="AO2843" s="48" t="n"/>
    </row>
    <row r="2844">
      <c r="M2844" s="25" t="n"/>
      <c r="Q2844" s="25" t="n"/>
      <c r="U2844" s="194" t="n"/>
      <c r="AA2844" s="25" t="n"/>
      <c r="AB2844" s="25" t="n"/>
      <c r="AC2844" s="195" t="n"/>
      <c r="AD2844" s="25" t="n"/>
      <c r="AE2844" s="25" t="n"/>
      <c r="AG2844" s="25" t="n"/>
      <c r="AH2844" s="25" t="n"/>
      <c r="AI2844" s="394" t="n"/>
      <c r="AM2844" s="48" t="n"/>
      <c r="AN2844" s="48" t="n"/>
      <c r="AO2844" s="48" t="n"/>
    </row>
    <row r="2845">
      <c r="M2845" s="25" t="n"/>
      <c r="Q2845" s="25" t="n"/>
      <c r="U2845" s="194" t="n"/>
      <c r="AA2845" s="25" t="n"/>
      <c r="AB2845" s="25" t="n"/>
      <c r="AC2845" s="195" t="n"/>
      <c r="AD2845" s="25" t="n"/>
      <c r="AE2845" s="25" t="n"/>
      <c r="AG2845" s="25" t="n"/>
      <c r="AH2845" s="25" t="n"/>
      <c r="AI2845" s="394" t="n"/>
      <c r="AM2845" s="48" t="n"/>
      <c r="AN2845" s="48" t="n"/>
      <c r="AO2845" s="48" t="n"/>
    </row>
    <row r="2846">
      <c r="M2846" s="25" t="n"/>
      <c r="Q2846" s="25" t="n"/>
      <c r="U2846" s="194" t="n"/>
      <c r="AA2846" s="25" t="n"/>
      <c r="AB2846" s="25" t="n"/>
      <c r="AC2846" s="195" t="n"/>
      <c r="AD2846" s="25" t="n"/>
      <c r="AE2846" s="25" t="n"/>
      <c r="AG2846" s="25" t="n"/>
      <c r="AH2846" s="25" t="n"/>
      <c r="AI2846" s="394" t="n"/>
      <c r="AM2846" s="48" t="n"/>
      <c r="AN2846" s="48" t="n"/>
      <c r="AO2846" s="48" t="n"/>
    </row>
    <row r="2847">
      <c r="M2847" s="25" t="n"/>
      <c r="Q2847" s="25" t="n"/>
      <c r="U2847" s="194" t="n"/>
      <c r="AA2847" s="25" t="n"/>
      <c r="AB2847" s="25" t="n"/>
      <c r="AC2847" s="195" t="n"/>
      <c r="AD2847" s="25" t="n"/>
      <c r="AE2847" s="25" t="n"/>
      <c r="AG2847" s="25" t="n"/>
      <c r="AH2847" s="25" t="n"/>
      <c r="AI2847" s="394" t="n"/>
      <c r="AM2847" s="48" t="n"/>
      <c r="AN2847" s="48" t="n"/>
      <c r="AO2847" s="48" t="n"/>
    </row>
    <row r="2848">
      <c r="M2848" s="25" t="n"/>
      <c r="Q2848" s="25" t="n"/>
      <c r="U2848" s="194" t="n"/>
      <c r="AA2848" s="25" t="n"/>
      <c r="AB2848" s="25" t="n"/>
      <c r="AC2848" s="195" t="n"/>
      <c r="AD2848" s="25" t="n"/>
      <c r="AE2848" s="25" t="n"/>
      <c r="AG2848" s="25" t="n"/>
      <c r="AH2848" s="25" t="n"/>
      <c r="AI2848" s="394" t="n"/>
      <c r="AM2848" s="48" t="n"/>
      <c r="AN2848" s="48" t="n"/>
      <c r="AO2848" s="48" t="n"/>
    </row>
    <row r="2849">
      <c r="M2849" s="25" t="n"/>
      <c r="Q2849" s="25" t="n"/>
      <c r="U2849" s="194" t="n"/>
      <c r="AA2849" s="25" t="n"/>
      <c r="AB2849" s="25" t="n"/>
      <c r="AC2849" s="195" t="n"/>
      <c r="AD2849" s="25" t="n"/>
      <c r="AE2849" s="25" t="n"/>
      <c r="AG2849" s="25" t="n"/>
      <c r="AH2849" s="25" t="n"/>
      <c r="AI2849" s="394" t="n"/>
      <c r="AM2849" s="48" t="n"/>
      <c r="AN2849" s="48" t="n"/>
      <c r="AO2849" s="48" t="n"/>
    </row>
    <row r="2850">
      <c r="M2850" s="25" t="n"/>
      <c r="Q2850" s="25" t="n"/>
      <c r="U2850" s="194" t="n"/>
      <c r="AA2850" s="25" t="n"/>
      <c r="AB2850" s="25" t="n"/>
      <c r="AC2850" s="195" t="n"/>
      <c r="AD2850" s="25" t="n"/>
      <c r="AE2850" s="25" t="n"/>
      <c r="AG2850" s="25" t="n"/>
      <c r="AH2850" s="25" t="n"/>
      <c r="AI2850" s="394" t="n"/>
      <c r="AM2850" s="48" t="n"/>
      <c r="AN2850" s="48" t="n"/>
      <c r="AO2850" s="48" t="n"/>
    </row>
    <row r="2851">
      <c r="M2851" s="25" t="n"/>
      <c r="Q2851" s="25" t="n"/>
      <c r="U2851" s="194" t="n"/>
      <c r="AA2851" s="25" t="n"/>
      <c r="AB2851" s="25" t="n"/>
      <c r="AC2851" s="195" t="n"/>
      <c r="AD2851" s="25" t="n"/>
      <c r="AE2851" s="25" t="n"/>
      <c r="AG2851" s="25" t="n"/>
      <c r="AH2851" s="25" t="n"/>
      <c r="AI2851" s="394" t="n"/>
      <c r="AM2851" s="48" t="n"/>
      <c r="AN2851" s="48" t="n"/>
      <c r="AO2851" s="48" t="n"/>
    </row>
    <row r="2852">
      <c r="M2852" s="25" t="n"/>
      <c r="Q2852" s="25" t="n"/>
      <c r="U2852" s="194" t="n"/>
      <c r="AA2852" s="25" t="n"/>
      <c r="AB2852" s="25" t="n"/>
      <c r="AC2852" s="195" t="n"/>
      <c r="AD2852" s="25" t="n"/>
      <c r="AE2852" s="25" t="n"/>
      <c r="AG2852" s="25" t="n"/>
      <c r="AH2852" s="25" t="n"/>
      <c r="AI2852" s="394" t="n"/>
      <c r="AM2852" s="48" t="n"/>
      <c r="AN2852" s="48" t="n"/>
      <c r="AO2852" s="48" t="n"/>
    </row>
    <row r="2853">
      <c r="M2853" s="25" t="n"/>
      <c r="Q2853" s="25" t="n"/>
      <c r="U2853" s="194" t="n"/>
      <c r="AA2853" s="25" t="n"/>
      <c r="AB2853" s="25" t="n"/>
      <c r="AC2853" s="195" t="n"/>
      <c r="AD2853" s="25" t="n"/>
      <c r="AE2853" s="25" t="n"/>
      <c r="AG2853" s="25" t="n"/>
      <c r="AH2853" s="25" t="n"/>
      <c r="AI2853" s="394" t="n"/>
      <c r="AM2853" s="48" t="n"/>
      <c r="AN2853" s="48" t="n"/>
      <c r="AO2853" s="48" t="n"/>
    </row>
    <row r="2854">
      <c r="M2854" s="25" t="n"/>
      <c r="Q2854" s="25" t="n"/>
      <c r="U2854" s="194" t="n"/>
      <c r="AA2854" s="25" t="n"/>
      <c r="AB2854" s="25" t="n"/>
      <c r="AC2854" s="195" t="n"/>
      <c r="AD2854" s="25" t="n"/>
      <c r="AE2854" s="25" t="n"/>
      <c r="AG2854" s="25" t="n"/>
      <c r="AH2854" s="25" t="n"/>
      <c r="AI2854" s="394" t="n"/>
      <c r="AM2854" s="48" t="n"/>
      <c r="AN2854" s="48" t="n"/>
      <c r="AO2854" s="48" t="n"/>
    </row>
    <row r="2855">
      <c r="M2855" s="25" t="n"/>
      <c r="Q2855" s="25" t="n"/>
      <c r="U2855" s="194" t="n"/>
      <c r="AA2855" s="25" t="n"/>
      <c r="AB2855" s="25" t="n"/>
      <c r="AC2855" s="195" t="n"/>
      <c r="AD2855" s="25" t="n"/>
      <c r="AE2855" s="25" t="n"/>
      <c r="AG2855" s="25" t="n"/>
      <c r="AH2855" s="25" t="n"/>
      <c r="AI2855" s="394" t="n"/>
      <c r="AM2855" s="48" t="n"/>
      <c r="AN2855" s="48" t="n"/>
      <c r="AO2855" s="48" t="n"/>
    </row>
    <row r="2856">
      <c r="M2856" s="25" t="n"/>
      <c r="Q2856" s="25" t="n"/>
      <c r="U2856" s="194" t="n"/>
      <c r="AA2856" s="25" t="n"/>
      <c r="AB2856" s="25" t="n"/>
      <c r="AC2856" s="195" t="n"/>
      <c r="AD2856" s="25" t="n"/>
      <c r="AE2856" s="25" t="n"/>
      <c r="AG2856" s="25" t="n"/>
      <c r="AH2856" s="25" t="n"/>
      <c r="AI2856" s="394" t="n"/>
      <c r="AM2856" s="48" t="n"/>
      <c r="AN2856" s="48" t="n"/>
      <c r="AO2856" s="48" t="n"/>
    </row>
    <row r="2857">
      <c r="M2857" s="25" t="n"/>
      <c r="Q2857" s="25" t="n"/>
      <c r="U2857" s="194" t="n"/>
      <c r="AA2857" s="25" t="n"/>
      <c r="AB2857" s="25" t="n"/>
      <c r="AC2857" s="195" t="n"/>
      <c r="AD2857" s="25" t="n"/>
      <c r="AE2857" s="25" t="n"/>
      <c r="AG2857" s="25" t="n"/>
      <c r="AH2857" s="25" t="n"/>
      <c r="AI2857" s="394" t="n"/>
      <c r="AM2857" s="48" t="n"/>
      <c r="AN2857" s="48" t="n"/>
      <c r="AO2857" s="48" t="n"/>
    </row>
    <row r="2858">
      <c r="M2858" s="25" t="n"/>
      <c r="Q2858" s="25" t="n"/>
      <c r="U2858" s="194" t="n"/>
      <c r="AA2858" s="25" t="n"/>
      <c r="AB2858" s="25" t="n"/>
      <c r="AC2858" s="195" t="n"/>
      <c r="AD2858" s="25" t="n"/>
      <c r="AE2858" s="25" t="n"/>
      <c r="AG2858" s="25" t="n"/>
      <c r="AH2858" s="25" t="n"/>
      <c r="AI2858" s="394" t="n"/>
      <c r="AM2858" s="48" t="n"/>
      <c r="AN2858" s="48" t="n"/>
      <c r="AO2858" s="48" t="n"/>
    </row>
    <row r="2859">
      <c r="M2859" s="25" t="n"/>
      <c r="Q2859" s="25" t="n"/>
      <c r="U2859" s="194" t="n"/>
      <c r="AA2859" s="25" t="n"/>
      <c r="AB2859" s="25" t="n"/>
      <c r="AC2859" s="195" t="n"/>
      <c r="AD2859" s="25" t="n"/>
      <c r="AE2859" s="25" t="n"/>
      <c r="AG2859" s="25" t="n"/>
      <c r="AH2859" s="25" t="n"/>
      <c r="AI2859" s="394" t="n"/>
      <c r="AM2859" s="48" t="n"/>
      <c r="AN2859" s="48" t="n"/>
      <c r="AO2859" s="48" t="n"/>
    </row>
    <row r="2860">
      <c r="M2860" s="25" t="n"/>
      <c r="Q2860" s="25" t="n"/>
      <c r="U2860" s="194" t="n"/>
      <c r="AA2860" s="25" t="n"/>
      <c r="AB2860" s="25" t="n"/>
      <c r="AC2860" s="195" t="n"/>
      <c r="AD2860" s="25" t="n"/>
      <c r="AE2860" s="25" t="n"/>
      <c r="AG2860" s="25" t="n"/>
      <c r="AH2860" s="25" t="n"/>
      <c r="AI2860" s="394" t="n"/>
      <c r="AM2860" s="48" t="n"/>
      <c r="AN2860" s="48" t="n"/>
      <c r="AO2860" s="48" t="n"/>
    </row>
    <row r="2861">
      <c r="M2861" s="25" t="n"/>
      <c r="Q2861" s="25" t="n"/>
      <c r="U2861" s="194" t="n"/>
      <c r="AA2861" s="25" t="n"/>
      <c r="AB2861" s="25" t="n"/>
      <c r="AC2861" s="195" t="n"/>
      <c r="AD2861" s="25" t="n"/>
      <c r="AE2861" s="25" t="n"/>
      <c r="AG2861" s="25" t="n"/>
      <c r="AH2861" s="25" t="n"/>
      <c r="AI2861" s="394" t="n"/>
      <c r="AM2861" s="48" t="n"/>
      <c r="AN2861" s="48" t="n"/>
      <c r="AO2861" s="48" t="n"/>
    </row>
    <row r="2862">
      <c r="M2862" s="25" t="n"/>
      <c r="Q2862" s="25" t="n"/>
      <c r="U2862" s="194" t="n"/>
      <c r="AA2862" s="25" t="n"/>
      <c r="AB2862" s="25" t="n"/>
      <c r="AC2862" s="195" t="n"/>
      <c r="AD2862" s="25" t="n"/>
      <c r="AE2862" s="25" t="n"/>
      <c r="AG2862" s="25" t="n"/>
      <c r="AH2862" s="25" t="n"/>
      <c r="AI2862" s="394" t="n"/>
      <c r="AM2862" s="48" t="n"/>
      <c r="AN2862" s="48" t="n"/>
      <c r="AO2862" s="48" t="n"/>
    </row>
    <row r="2863">
      <c r="M2863" s="25" t="n"/>
      <c r="Q2863" s="25" t="n"/>
      <c r="U2863" s="194" t="n"/>
      <c r="AA2863" s="25" t="n"/>
      <c r="AB2863" s="25" t="n"/>
      <c r="AC2863" s="195" t="n"/>
      <c r="AD2863" s="25" t="n"/>
      <c r="AE2863" s="25" t="n"/>
      <c r="AG2863" s="25" t="n"/>
      <c r="AH2863" s="25" t="n"/>
      <c r="AI2863" s="394" t="n"/>
      <c r="AM2863" s="48" t="n"/>
      <c r="AN2863" s="48" t="n"/>
      <c r="AO2863" s="48" t="n"/>
    </row>
    <row r="2864">
      <c r="M2864" s="25" t="n"/>
      <c r="Q2864" s="25" t="n"/>
      <c r="U2864" s="194" t="n"/>
      <c r="AA2864" s="25" t="n"/>
      <c r="AB2864" s="25" t="n"/>
      <c r="AC2864" s="195" t="n"/>
      <c r="AD2864" s="25" t="n"/>
      <c r="AE2864" s="25" t="n"/>
      <c r="AG2864" s="25" t="n"/>
      <c r="AH2864" s="25" t="n"/>
      <c r="AI2864" s="394" t="n"/>
      <c r="AM2864" s="48" t="n"/>
      <c r="AN2864" s="48" t="n"/>
      <c r="AO2864" s="48" t="n"/>
    </row>
    <row r="2865">
      <c r="M2865" s="25" t="n"/>
      <c r="Q2865" s="25" t="n"/>
      <c r="U2865" s="194" t="n"/>
      <c r="AA2865" s="25" t="n"/>
      <c r="AB2865" s="25" t="n"/>
      <c r="AC2865" s="195" t="n"/>
      <c r="AD2865" s="25" t="n"/>
      <c r="AE2865" s="25" t="n"/>
      <c r="AG2865" s="25" t="n"/>
      <c r="AH2865" s="25" t="n"/>
      <c r="AI2865" s="394" t="n"/>
      <c r="AM2865" s="48" t="n"/>
      <c r="AN2865" s="48" t="n"/>
      <c r="AO2865" s="48" t="n"/>
    </row>
    <row r="2866">
      <c r="M2866" s="25" t="n"/>
      <c r="Q2866" s="25" t="n"/>
      <c r="U2866" s="194" t="n"/>
      <c r="AA2866" s="25" t="n"/>
      <c r="AB2866" s="25" t="n"/>
      <c r="AC2866" s="195" t="n"/>
      <c r="AD2866" s="25" t="n"/>
      <c r="AE2866" s="25" t="n"/>
      <c r="AG2866" s="25" t="n"/>
      <c r="AH2866" s="25" t="n"/>
      <c r="AI2866" s="394" t="n"/>
      <c r="AM2866" s="48" t="n"/>
      <c r="AN2866" s="48" t="n"/>
      <c r="AO2866" s="48" t="n"/>
    </row>
    <row r="2867">
      <c r="M2867" s="25" t="n"/>
      <c r="Q2867" s="25" t="n"/>
      <c r="U2867" s="194" t="n"/>
      <c r="AA2867" s="25" t="n"/>
      <c r="AB2867" s="25" t="n"/>
      <c r="AC2867" s="195" t="n"/>
      <c r="AD2867" s="25" t="n"/>
      <c r="AE2867" s="25" t="n"/>
      <c r="AG2867" s="25" t="n"/>
      <c r="AH2867" s="25" t="n"/>
      <c r="AI2867" s="394" t="n"/>
      <c r="AM2867" s="48" t="n"/>
      <c r="AN2867" s="48" t="n"/>
      <c r="AO2867" s="48" t="n"/>
    </row>
    <row r="2868">
      <c r="M2868" s="25" t="n"/>
      <c r="Q2868" s="25" t="n"/>
      <c r="U2868" s="194" t="n"/>
      <c r="AA2868" s="25" t="n"/>
      <c r="AB2868" s="25" t="n"/>
      <c r="AC2868" s="195" t="n"/>
      <c r="AD2868" s="25" t="n"/>
      <c r="AE2868" s="25" t="n"/>
      <c r="AG2868" s="25" t="n"/>
      <c r="AH2868" s="25" t="n"/>
      <c r="AI2868" s="394" t="n"/>
      <c r="AM2868" s="48" t="n"/>
      <c r="AN2868" s="48" t="n"/>
      <c r="AO2868" s="48" t="n"/>
    </row>
    <row r="2869">
      <c r="M2869" s="25" t="n"/>
      <c r="Q2869" s="25" t="n"/>
      <c r="U2869" s="194" t="n"/>
      <c r="AA2869" s="25" t="n"/>
      <c r="AB2869" s="25" t="n"/>
      <c r="AC2869" s="195" t="n"/>
      <c r="AD2869" s="25" t="n"/>
      <c r="AE2869" s="25" t="n"/>
      <c r="AG2869" s="25" t="n"/>
      <c r="AH2869" s="25" t="n"/>
      <c r="AI2869" s="394" t="n"/>
      <c r="AM2869" s="48" t="n"/>
      <c r="AN2869" s="48" t="n"/>
      <c r="AO2869" s="48" t="n"/>
    </row>
    <row r="2870">
      <c r="M2870" s="25" t="n"/>
      <c r="Q2870" s="25" t="n"/>
      <c r="U2870" s="194" t="n"/>
      <c r="AA2870" s="25" t="n"/>
      <c r="AB2870" s="25" t="n"/>
      <c r="AC2870" s="195" t="n"/>
      <c r="AD2870" s="25" t="n"/>
      <c r="AE2870" s="25" t="n"/>
      <c r="AG2870" s="25" t="n"/>
      <c r="AH2870" s="25" t="n"/>
      <c r="AI2870" s="394" t="n"/>
      <c r="AM2870" s="48" t="n"/>
      <c r="AN2870" s="48" t="n"/>
      <c r="AO2870" s="48" t="n"/>
    </row>
    <row r="2871">
      <c r="M2871" s="25" t="n"/>
      <c r="Q2871" s="25" t="n"/>
      <c r="U2871" s="194" t="n"/>
      <c r="AA2871" s="25" t="n"/>
      <c r="AB2871" s="25" t="n"/>
      <c r="AC2871" s="195" t="n"/>
      <c r="AD2871" s="25" t="n"/>
      <c r="AE2871" s="25" t="n"/>
      <c r="AG2871" s="25" t="n"/>
      <c r="AH2871" s="25" t="n"/>
      <c r="AI2871" s="394" t="n"/>
      <c r="AM2871" s="48" t="n"/>
      <c r="AN2871" s="48" t="n"/>
      <c r="AO2871" s="48" t="n"/>
    </row>
    <row r="2872">
      <c r="M2872" s="25" t="n"/>
      <c r="Q2872" s="25" t="n"/>
      <c r="U2872" s="194" t="n"/>
      <c r="AA2872" s="25" t="n"/>
      <c r="AB2872" s="25" t="n"/>
      <c r="AC2872" s="195" t="n"/>
      <c r="AD2872" s="25" t="n"/>
      <c r="AE2872" s="25" t="n"/>
      <c r="AG2872" s="25" t="n"/>
      <c r="AH2872" s="25" t="n"/>
      <c r="AI2872" s="394" t="n"/>
      <c r="AM2872" s="48" t="n"/>
      <c r="AN2872" s="48" t="n"/>
      <c r="AO2872" s="48" t="n"/>
    </row>
    <row r="2873">
      <c r="M2873" s="25" t="n"/>
      <c r="Q2873" s="25" t="n"/>
      <c r="U2873" s="194" t="n"/>
      <c r="AA2873" s="25" t="n"/>
      <c r="AB2873" s="25" t="n"/>
      <c r="AC2873" s="195" t="n"/>
      <c r="AD2873" s="25" t="n"/>
      <c r="AE2873" s="25" t="n"/>
      <c r="AG2873" s="25" t="n"/>
      <c r="AH2873" s="25" t="n"/>
      <c r="AI2873" s="394" t="n"/>
      <c r="AM2873" s="48" t="n"/>
      <c r="AN2873" s="48" t="n"/>
      <c r="AO2873" s="48" t="n"/>
    </row>
    <row r="2874">
      <c r="M2874" s="25" t="n"/>
      <c r="Q2874" s="25" t="n"/>
      <c r="U2874" s="194" t="n"/>
      <c r="AA2874" s="25" t="n"/>
      <c r="AB2874" s="25" t="n"/>
      <c r="AC2874" s="195" t="n"/>
      <c r="AD2874" s="25" t="n"/>
      <c r="AE2874" s="25" t="n"/>
      <c r="AG2874" s="25" t="n"/>
      <c r="AH2874" s="25" t="n"/>
      <c r="AI2874" s="394" t="n"/>
      <c r="AM2874" s="48" t="n"/>
      <c r="AN2874" s="48" t="n"/>
      <c r="AO2874" s="48" t="n"/>
    </row>
    <row r="2875">
      <c r="M2875" s="25" t="n"/>
      <c r="Q2875" s="25" t="n"/>
      <c r="U2875" s="194" t="n"/>
      <c r="AA2875" s="25" t="n"/>
      <c r="AB2875" s="25" t="n"/>
      <c r="AC2875" s="195" t="n"/>
      <c r="AD2875" s="25" t="n"/>
      <c r="AE2875" s="25" t="n"/>
      <c r="AG2875" s="25" t="n"/>
      <c r="AH2875" s="25" t="n"/>
      <c r="AI2875" s="394" t="n"/>
      <c r="AM2875" s="48" t="n"/>
      <c r="AN2875" s="48" t="n"/>
      <c r="AO2875" s="48" t="n"/>
    </row>
    <row r="2876">
      <c r="M2876" s="25" t="n"/>
      <c r="Q2876" s="25" t="n"/>
      <c r="U2876" s="194" t="n"/>
      <c r="AA2876" s="25" t="n"/>
      <c r="AB2876" s="25" t="n"/>
      <c r="AC2876" s="195" t="n"/>
      <c r="AD2876" s="25" t="n"/>
      <c r="AE2876" s="25" t="n"/>
      <c r="AG2876" s="25" t="n"/>
      <c r="AH2876" s="25" t="n"/>
      <c r="AI2876" s="394" t="n"/>
      <c r="AM2876" s="48" t="n"/>
      <c r="AN2876" s="48" t="n"/>
      <c r="AO2876" s="48" t="n"/>
    </row>
    <row r="2877">
      <c r="M2877" s="25" t="n"/>
      <c r="Q2877" s="25" t="n"/>
      <c r="U2877" s="194" t="n"/>
      <c r="AA2877" s="25" t="n"/>
      <c r="AB2877" s="25" t="n"/>
      <c r="AC2877" s="195" t="n"/>
      <c r="AD2877" s="25" t="n"/>
      <c r="AE2877" s="25" t="n"/>
      <c r="AG2877" s="25" t="n"/>
      <c r="AH2877" s="25" t="n"/>
      <c r="AI2877" s="394" t="n"/>
      <c r="AM2877" s="48" t="n"/>
      <c r="AN2877" s="48" t="n"/>
      <c r="AO2877" s="48" t="n"/>
    </row>
    <row r="2878">
      <c r="M2878" s="25" t="n"/>
      <c r="Q2878" s="25" t="n"/>
      <c r="U2878" s="194" t="n"/>
      <c r="AA2878" s="25" t="n"/>
      <c r="AB2878" s="25" t="n"/>
      <c r="AC2878" s="195" t="n"/>
      <c r="AD2878" s="25" t="n"/>
      <c r="AE2878" s="25" t="n"/>
      <c r="AG2878" s="25" t="n"/>
      <c r="AH2878" s="25" t="n"/>
      <c r="AI2878" s="394" t="n"/>
      <c r="AM2878" s="48" t="n"/>
      <c r="AN2878" s="48" t="n"/>
      <c r="AO2878" s="48" t="n"/>
    </row>
    <row r="2879">
      <c r="M2879" s="25" t="n"/>
      <c r="Q2879" s="25" t="n"/>
      <c r="U2879" s="194" t="n"/>
      <c r="AA2879" s="25" t="n"/>
      <c r="AB2879" s="25" t="n"/>
      <c r="AC2879" s="195" t="n"/>
      <c r="AD2879" s="25" t="n"/>
      <c r="AE2879" s="25" t="n"/>
      <c r="AG2879" s="25" t="n"/>
      <c r="AH2879" s="25" t="n"/>
      <c r="AI2879" s="394" t="n"/>
      <c r="AM2879" s="48" t="n"/>
      <c r="AN2879" s="48" t="n"/>
      <c r="AO2879" s="48" t="n"/>
    </row>
    <row r="2880">
      <c r="M2880" s="25" t="n"/>
      <c r="Q2880" s="25" t="n"/>
      <c r="U2880" s="194" t="n"/>
      <c r="AA2880" s="25" t="n"/>
      <c r="AB2880" s="25" t="n"/>
      <c r="AC2880" s="195" t="n"/>
      <c r="AD2880" s="25" t="n"/>
      <c r="AE2880" s="25" t="n"/>
      <c r="AG2880" s="25" t="n"/>
      <c r="AH2880" s="25" t="n"/>
      <c r="AI2880" s="394" t="n"/>
      <c r="AM2880" s="48" t="n"/>
      <c r="AN2880" s="48" t="n"/>
      <c r="AO2880" s="48" t="n"/>
    </row>
    <row r="2881">
      <c r="M2881" s="25" t="n"/>
      <c r="Q2881" s="25" t="n"/>
      <c r="U2881" s="194" t="n"/>
      <c r="AA2881" s="25" t="n"/>
      <c r="AB2881" s="25" t="n"/>
      <c r="AC2881" s="195" t="n"/>
      <c r="AD2881" s="25" t="n"/>
      <c r="AE2881" s="25" t="n"/>
      <c r="AG2881" s="25" t="n"/>
      <c r="AH2881" s="25" t="n"/>
      <c r="AI2881" s="394" t="n"/>
      <c r="AM2881" s="48" t="n"/>
      <c r="AN2881" s="48" t="n"/>
      <c r="AO2881" s="48" t="n"/>
    </row>
    <row r="2882">
      <c r="M2882" s="25" t="n"/>
      <c r="Q2882" s="25" t="n"/>
      <c r="U2882" s="194" t="n"/>
      <c r="AA2882" s="25" t="n"/>
      <c r="AB2882" s="25" t="n"/>
      <c r="AC2882" s="195" t="n"/>
      <c r="AD2882" s="25" t="n"/>
      <c r="AE2882" s="25" t="n"/>
      <c r="AG2882" s="25" t="n"/>
      <c r="AH2882" s="25" t="n"/>
      <c r="AI2882" s="394" t="n"/>
      <c r="AM2882" s="48" t="n"/>
      <c r="AN2882" s="48" t="n"/>
      <c r="AO2882" s="48" t="n"/>
    </row>
    <row r="2883">
      <c r="M2883" s="25" t="n"/>
      <c r="Q2883" s="25" t="n"/>
      <c r="U2883" s="194" t="n"/>
      <c r="AA2883" s="25" t="n"/>
      <c r="AB2883" s="25" t="n"/>
      <c r="AC2883" s="195" t="n"/>
      <c r="AD2883" s="25" t="n"/>
      <c r="AE2883" s="25" t="n"/>
      <c r="AG2883" s="25" t="n"/>
      <c r="AH2883" s="25" t="n"/>
      <c r="AI2883" s="394" t="n"/>
      <c r="AM2883" s="48" t="n"/>
      <c r="AN2883" s="48" t="n"/>
      <c r="AO2883" s="48" t="n"/>
    </row>
    <row r="2884">
      <c r="M2884" s="25" t="n"/>
      <c r="Q2884" s="25" t="n"/>
      <c r="U2884" s="194" t="n"/>
      <c r="AA2884" s="25" t="n"/>
      <c r="AB2884" s="25" t="n"/>
      <c r="AC2884" s="195" t="n"/>
      <c r="AD2884" s="25" t="n"/>
      <c r="AE2884" s="25" t="n"/>
      <c r="AG2884" s="25" t="n"/>
      <c r="AH2884" s="25" t="n"/>
      <c r="AI2884" s="394" t="n"/>
      <c r="AM2884" s="48" t="n"/>
      <c r="AN2884" s="48" t="n"/>
      <c r="AO2884" s="48" t="n"/>
    </row>
    <row r="2885">
      <c r="M2885" s="25" t="n"/>
      <c r="Q2885" s="25" t="n"/>
      <c r="U2885" s="194" t="n"/>
      <c r="AA2885" s="25" t="n"/>
      <c r="AB2885" s="25" t="n"/>
      <c r="AC2885" s="195" t="n"/>
      <c r="AD2885" s="25" t="n"/>
      <c r="AE2885" s="25" t="n"/>
      <c r="AG2885" s="25" t="n"/>
      <c r="AH2885" s="25" t="n"/>
      <c r="AI2885" s="394" t="n"/>
      <c r="AM2885" s="48" t="n"/>
      <c r="AN2885" s="48" t="n"/>
      <c r="AO2885" s="48" t="n"/>
    </row>
    <row r="2886">
      <c r="M2886" s="25" t="n"/>
      <c r="Q2886" s="25" t="n"/>
      <c r="U2886" s="194" t="n"/>
      <c r="AA2886" s="25" t="n"/>
      <c r="AB2886" s="25" t="n"/>
      <c r="AC2886" s="195" t="n"/>
      <c r="AD2886" s="25" t="n"/>
      <c r="AE2886" s="25" t="n"/>
      <c r="AG2886" s="25" t="n"/>
      <c r="AH2886" s="25" t="n"/>
      <c r="AI2886" s="394" t="n"/>
      <c r="AM2886" s="48" t="n"/>
      <c r="AN2886" s="48" t="n"/>
      <c r="AO2886" s="48" t="n"/>
    </row>
    <row r="2887">
      <c r="M2887" s="25" t="n"/>
      <c r="Q2887" s="25" t="n"/>
      <c r="U2887" s="194" t="n"/>
      <c r="AA2887" s="25" t="n"/>
      <c r="AB2887" s="25" t="n"/>
      <c r="AC2887" s="195" t="n"/>
      <c r="AD2887" s="25" t="n"/>
      <c r="AE2887" s="25" t="n"/>
      <c r="AG2887" s="25" t="n"/>
      <c r="AH2887" s="25" t="n"/>
      <c r="AI2887" s="394" t="n"/>
      <c r="AM2887" s="48" t="n"/>
      <c r="AN2887" s="48" t="n"/>
      <c r="AO2887" s="48" t="n"/>
    </row>
    <row r="2888">
      <c r="M2888" s="25" t="n"/>
      <c r="Q2888" s="25" t="n"/>
      <c r="U2888" s="194" t="n"/>
      <c r="AA2888" s="25" t="n"/>
      <c r="AB2888" s="25" t="n"/>
      <c r="AC2888" s="195" t="n"/>
      <c r="AD2888" s="25" t="n"/>
      <c r="AE2888" s="25" t="n"/>
      <c r="AG2888" s="25" t="n"/>
      <c r="AH2888" s="25" t="n"/>
      <c r="AI2888" s="394" t="n"/>
      <c r="AM2888" s="48" t="n"/>
      <c r="AN2888" s="48" t="n"/>
      <c r="AO2888" s="48" t="n"/>
    </row>
    <row r="2889">
      <c r="M2889" s="25" t="n"/>
      <c r="Q2889" s="25" t="n"/>
      <c r="U2889" s="194" t="n"/>
      <c r="AA2889" s="25" t="n"/>
      <c r="AB2889" s="25" t="n"/>
      <c r="AC2889" s="195" t="n"/>
      <c r="AD2889" s="25" t="n"/>
      <c r="AE2889" s="25" t="n"/>
      <c r="AG2889" s="25" t="n"/>
      <c r="AH2889" s="25" t="n"/>
      <c r="AI2889" s="394" t="n"/>
      <c r="AM2889" s="48" t="n"/>
      <c r="AN2889" s="48" t="n"/>
      <c r="AO2889" s="48" t="n"/>
    </row>
    <row r="2890">
      <c r="M2890" s="25" t="n"/>
      <c r="Q2890" s="25" t="n"/>
      <c r="U2890" s="194" t="n"/>
      <c r="AA2890" s="25" t="n"/>
      <c r="AB2890" s="25" t="n"/>
      <c r="AC2890" s="195" t="n"/>
      <c r="AD2890" s="25" t="n"/>
      <c r="AE2890" s="25" t="n"/>
      <c r="AG2890" s="25" t="n"/>
      <c r="AH2890" s="25" t="n"/>
      <c r="AI2890" s="394" t="n"/>
      <c r="AM2890" s="48" t="n"/>
      <c r="AN2890" s="48" t="n"/>
      <c r="AO2890" s="48" t="n"/>
    </row>
    <row r="2891">
      <c r="M2891" s="25" t="n"/>
      <c r="Q2891" s="25" t="n"/>
      <c r="U2891" s="194" t="n"/>
      <c r="AA2891" s="25" t="n"/>
      <c r="AB2891" s="25" t="n"/>
      <c r="AC2891" s="195" t="n"/>
      <c r="AD2891" s="25" t="n"/>
      <c r="AE2891" s="25" t="n"/>
      <c r="AG2891" s="25" t="n"/>
      <c r="AH2891" s="25" t="n"/>
      <c r="AI2891" s="394" t="n"/>
      <c r="AM2891" s="48" t="n"/>
      <c r="AN2891" s="48" t="n"/>
      <c r="AO2891" s="48" t="n"/>
    </row>
    <row r="2892">
      <c r="M2892" s="25" t="n"/>
      <c r="Q2892" s="25" t="n"/>
      <c r="U2892" s="194" t="n"/>
      <c r="AA2892" s="25" t="n"/>
      <c r="AB2892" s="25" t="n"/>
      <c r="AC2892" s="195" t="n"/>
      <c r="AD2892" s="25" t="n"/>
      <c r="AE2892" s="25" t="n"/>
      <c r="AG2892" s="25" t="n"/>
      <c r="AH2892" s="25" t="n"/>
      <c r="AI2892" s="394" t="n"/>
      <c r="AM2892" s="48" t="n"/>
      <c r="AN2892" s="48" t="n"/>
      <c r="AO2892" s="48" t="n"/>
    </row>
    <row r="2893">
      <c r="M2893" s="25" t="n"/>
      <c r="Q2893" s="25" t="n"/>
      <c r="U2893" s="194" t="n"/>
      <c r="AA2893" s="25" t="n"/>
      <c r="AB2893" s="25" t="n"/>
      <c r="AC2893" s="195" t="n"/>
      <c r="AD2893" s="25" t="n"/>
      <c r="AE2893" s="25" t="n"/>
      <c r="AG2893" s="25" t="n"/>
      <c r="AH2893" s="25" t="n"/>
      <c r="AI2893" s="394" t="n"/>
      <c r="AM2893" s="48" t="n"/>
      <c r="AN2893" s="48" t="n"/>
      <c r="AO2893" s="48" t="n"/>
    </row>
    <row r="2894">
      <c r="M2894" s="25" t="n"/>
      <c r="Q2894" s="25" t="n"/>
      <c r="U2894" s="194" t="n"/>
      <c r="AA2894" s="25" t="n"/>
      <c r="AB2894" s="25" t="n"/>
      <c r="AC2894" s="195" t="n"/>
      <c r="AD2894" s="25" t="n"/>
      <c r="AE2894" s="25" t="n"/>
      <c r="AG2894" s="25" t="n"/>
      <c r="AH2894" s="25" t="n"/>
      <c r="AI2894" s="394" t="n"/>
      <c r="AM2894" s="48" t="n"/>
      <c r="AN2894" s="48" t="n"/>
      <c r="AO2894" s="48" t="n"/>
    </row>
    <row r="2895">
      <c r="M2895" s="25" t="n"/>
      <c r="Q2895" s="25" t="n"/>
      <c r="U2895" s="194" t="n"/>
      <c r="AA2895" s="25" t="n"/>
      <c r="AB2895" s="25" t="n"/>
      <c r="AC2895" s="195" t="n"/>
      <c r="AD2895" s="25" t="n"/>
      <c r="AE2895" s="25" t="n"/>
      <c r="AG2895" s="25" t="n"/>
      <c r="AH2895" s="25" t="n"/>
      <c r="AI2895" s="394" t="n"/>
      <c r="AM2895" s="48" t="n"/>
      <c r="AN2895" s="48" t="n"/>
      <c r="AO2895" s="48" t="n"/>
    </row>
    <row r="2896">
      <c r="M2896" s="25" t="n"/>
      <c r="Q2896" s="25" t="n"/>
      <c r="U2896" s="194" t="n"/>
      <c r="AA2896" s="25" t="n"/>
      <c r="AB2896" s="25" t="n"/>
      <c r="AC2896" s="195" t="n"/>
      <c r="AD2896" s="25" t="n"/>
      <c r="AE2896" s="25" t="n"/>
      <c r="AG2896" s="25" t="n"/>
      <c r="AH2896" s="25" t="n"/>
      <c r="AI2896" s="394" t="n"/>
      <c r="AM2896" s="48" t="n"/>
      <c r="AN2896" s="48" t="n"/>
      <c r="AO2896" s="48" t="n"/>
    </row>
    <row r="2897">
      <c r="M2897" s="25" t="n"/>
      <c r="Q2897" s="25" t="n"/>
      <c r="U2897" s="194" t="n"/>
      <c r="AA2897" s="25" t="n"/>
      <c r="AB2897" s="25" t="n"/>
      <c r="AC2897" s="195" t="n"/>
      <c r="AD2897" s="25" t="n"/>
      <c r="AE2897" s="25" t="n"/>
      <c r="AG2897" s="25" t="n"/>
      <c r="AH2897" s="25" t="n"/>
      <c r="AI2897" s="394" t="n"/>
      <c r="AM2897" s="48" t="n"/>
      <c r="AN2897" s="48" t="n"/>
      <c r="AO2897" s="48" t="n"/>
    </row>
    <row r="2898">
      <c r="M2898" s="25" t="n"/>
      <c r="Q2898" s="25" t="n"/>
      <c r="U2898" s="194" t="n"/>
      <c r="AA2898" s="25" t="n"/>
      <c r="AB2898" s="25" t="n"/>
      <c r="AC2898" s="195" t="n"/>
      <c r="AD2898" s="25" t="n"/>
      <c r="AE2898" s="25" t="n"/>
      <c r="AG2898" s="25" t="n"/>
      <c r="AH2898" s="25" t="n"/>
      <c r="AI2898" s="394" t="n"/>
      <c r="AM2898" s="48" t="n"/>
      <c r="AN2898" s="48" t="n"/>
      <c r="AO2898" s="48" t="n"/>
    </row>
    <row r="2899">
      <c r="M2899" s="25" t="n"/>
      <c r="Q2899" s="25" t="n"/>
      <c r="U2899" s="194" t="n"/>
      <c r="AA2899" s="25" t="n"/>
      <c r="AB2899" s="25" t="n"/>
      <c r="AC2899" s="195" t="n"/>
      <c r="AD2899" s="25" t="n"/>
      <c r="AE2899" s="25" t="n"/>
      <c r="AG2899" s="25" t="n"/>
      <c r="AH2899" s="25" t="n"/>
      <c r="AI2899" s="394" t="n"/>
      <c r="AM2899" s="48" t="n"/>
      <c r="AN2899" s="48" t="n"/>
      <c r="AO2899" s="48" t="n"/>
    </row>
    <row r="2900">
      <c r="M2900" s="25" t="n"/>
      <c r="Q2900" s="25" t="n"/>
      <c r="U2900" s="194" t="n"/>
      <c r="AA2900" s="25" t="n"/>
      <c r="AB2900" s="25" t="n"/>
      <c r="AC2900" s="195" t="n"/>
      <c r="AD2900" s="25" t="n"/>
      <c r="AE2900" s="25" t="n"/>
      <c r="AG2900" s="25" t="n"/>
      <c r="AH2900" s="25" t="n"/>
      <c r="AI2900" s="394" t="n"/>
      <c r="AM2900" s="48" t="n"/>
      <c r="AN2900" s="48" t="n"/>
      <c r="AO2900" s="48" t="n"/>
    </row>
    <row r="2901">
      <c r="M2901" s="25" t="n"/>
      <c r="Q2901" s="25" t="n"/>
      <c r="U2901" s="194" t="n"/>
      <c r="AA2901" s="25" t="n"/>
      <c r="AB2901" s="25" t="n"/>
      <c r="AC2901" s="195" t="n"/>
      <c r="AD2901" s="25" t="n"/>
      <c r="AE2901" s="25" t="n"/>
      <c r="AG2901" s="25" t="n"/>
      <c r="AH2901" s="25" t="n"/>
      <c r="AI2901" s="394" t="n"/>
      <c r="AM2901" s="48" t="n"/>
      <c r="AN2901" s="48" t="n"/>
      <c r="AO2901" s="48" t="n"/>
    </row>
    <row r="2902">
      <c r="M2902" s="25" t="n"/>
      <c r="Q2902" s="25" t="n"/>
      <c r="U2902" s="194" t="n"/>
      <c r="AA2902" s="25" t="n"/>
      <c r="AB2902" s="25" t="n"/>
      <c r="AC2902" s="195" t="n"/>
      <c r="AD2902" s="25" t="n"/>
      <c r="AE2902" s="25" t="n"/>
      <c r="AG2902" s="25" t="n"/>
      <c r="AH2902" s="25" t="n"/>
      <c r="AI2902" s="394" t="n"/>
      <c r="AM2902" s="48" t="n"/>
      <c r="AN2902" s="48" t="n"/>
      <c r="AO2902" s="48" t="n"/>
    </row>
    <row r="2903">
      <c r="M2903" s="25" t="n"/>
      <c r="Q2903" s="25" t="n"/>
      <c r="U2903" s="194" t="n"/>
      <c r="AA2903" s="25" t="n"/>
      <c r="AB2903" s="25" t="n"/>
      <c r="AC2903" s="195" t="n"/>
      <c r="AD2903" s="25" t="n"/>
      <c r="AE2903" s="25" t="n"/>
      <c r="AG2903" s="25" t="n"/>
      <c r="AH2903" s="25" t="n"/>
      <c r="AI2903" s="394" t="n"/>
      <c r="AM2903" s="48" t="n"/>
      <c r="AN2903" s="48" t="n"/>
      <c r="AO2903" s="48" t="n"/>
    </row>
    <row r="2904">
      <c r="M2904" s="25" t="n"/>
      <c r="Q2904" s="25" t="n"/>
      <c r="U2904" s="194" t="n"/>
      <c r="AA2904" s="25" t="n"/>
      <c r="AB2904" s="25" t="n"/>
      <c r="AC2904" s="195" t="n"/>
      <c r="AD2904" s="25" t="n"/>
      <c r="AE2904" s="25" t="n"/>
      <c r="AG2904" s="25" t="n"/>
      <c r="AH2904" s="25" t="n"/>
      <c r="AI2904" s="394" t="n"/>
      <c r="AM2904" s="48" t="n"/>
      <c r="AN2904" s="48" t="n"/>
      <c r="AO2904" s="48" t="n"/>
    </row>
    <row r="2905">
      <c r="M2905" s="25" t="n"/>
      <c r="Q2905" s="25" t="n"/>
      <c r="U2905" s="194" t="n"/>
      <c r="AA2905" s="25" t="n"/>
      <c r="AB2905" s="25" t="n"/>
      <c r="AC2905" s="195" t="n"/>
      <c r="AD2905" s="25" t="n"/>
      <c r="AE2905" s="25" t="n"/>
      <c r="AG2905" s="25" t="n"/>
      <c r="AH2905" s="25" t="n"/>
      <c r="AI2905" s="394" t="n"/>
      <c r="AM2905" s="48" t="n"/>
      <c r="AN2905" s="48" t="n"/>
      <c r="AO2905" s="48" t="n"/>
    </row>
    <row r="2906">
      <c r="M2906" s="25" t="n"/>
      <c r="Q2906" s="25" t="n"/>
      <c r="U2906" s="194" t="n"/>
      <c r="AA2906" s="25" t="n"/>
      <c r="AB2906" s="25" t="n"/>
      <c r="AC2906" s="195" t="n"/>
      <c r="AD2906" s="25" t="n"/>
      <c r="AE2906" s="25" t="n"/>
      <c r="AG2906" s="25" t="n"/>
      <c r="AH2906" s="25" t="n"/>
      <c r="AI2906" s="394" t="n"/>
      <c r="AM2906" s="48" t="n"/>
      <c r="AN2906" s="48" t="n"/>
      <c r="AO2906" s="48" t="n"/>
    </row>
    <row r="2907">
      <c r="M2907" s="25" t="n"/>
      <c r="Q2907" s="25" t="n"/>
      <c r="U2907" s="194" t="n"/>
      <c r="AA2907" s="25" t="n"/>
      <c r="AB2907" s="25" t="n"/>
      <c r="AC2907" s="195" t="n"/>
      <c r="AD2907" s="25" t="n"/>
      <c r="AE2907" s="25" t="n"/>
      <c r="AG2907" s="25" t="n"/>
      <c r="AH2907" s="25" t="n"/>
      <c r="AI2907" s="394" t="n"/>
      <c r="AM2907" s="48" t="n"/>
      <c r="AN2907" s="48" t="n"/>
      <c r="AO2907" s="48" t="n"/>
    </row>
    <row r="2908">
      <c r="M2908" s="25" t="n"/>
      <c r="Q2908" s="25" t="n"/>
      <c r="U2908" s="194" t="n"/>
      <c r="AA2908" s="25" t="n"/>
      <c r="AB2908" s="25" t="n"/>
      <c r="AC2908" s="195" t="n"/>
      <c r="AD2908" s="25" t="n"/>
      <c r="AE2908" s="25" t="n"/>
      <c r="AG2908" s="25" t="n"/>
      <c r="AH2908" s="25" t="n"/>
      <c r="AI2908" s="394" t="n"/>
      <c r="AM2908" s="48" t="n"/>
      <c r="AN2908" s="48" t="n"/>
      <c r="AO2908" s="48" t="n"/>
    </row>
    <row r="2909">
      <c r="M2909" s="25" t="n"/>
      <c r="Q2909" s="25" t="n"/>
      <c r="U2909" s="194" t="n"/>
      <c r="AA2909" s="25" t="n"/>
      <c r="AB2909" s="25" t="n"/>
      <c r="AC2909" s="195" t="n"/>
      <c r="AD2909" s="25" t="n"/>
      <c r="AE2909" s="25" t="n"/>
      <c r="AG2909" s="25" t="n"/>
      <c r="AH2909" s="25" t="n"/>
      <c r="AI2909" s="394" t="n"/>
      <c r="AM2909" s="48" t="n"/>
      <c r="AN2909" s="48" t="n"/>
      <c r="AO2909" s="48" t="n"/>
    </row>
    <row r="2910">
      <c r="M2910" s="25" t="n"/>
      <c r="Q2910" s="25" t="n"/>
      <c r="U2910" s="194" t="n"/>
      <c r="AA2910" s="25" t="n"/>
      <c r="AB2910" s="25" t="n"/>
      <c r="AC2910" s="195" t="n"/>
      <c r="AD2910" s="25" t="n"/>
      <c r="AE2910" s="25" t="n"/>
      <c r="AG2910" s="25" t="n"/>
      <c r="AH2910" s="25" t="n"/>
      <c r="AI2910" s="394" t="n"/>
      <c r="AM2910" s="48" t="n"/>
      <c r="AN2910" s="48" t="n"/>
      <c r="AO2910" s="48" t="n"/>
    </row>
    <row r="2911">
      <c r="M2911" s="25" t="n"/>
      <c r="Q2911" s="25" t="n"/>
      <c r="U2911" s="194" t="n"/>
      <c r="AA2911" s="25" t="n"/>
      <c r="AB2911" s="25" t="n"/>
      <c r="AC2911" s="195" t="n"/>
      <c r="AD2911" s="25" t="n"/>
      <c r="AE2911" s="25" t="n"/>
      <c r="AG2911" s="25" t="n"/>
      <c r="AH2911" s="25" t="n"/>
      <c r="AI2911" s="394" t="n"/>
      <c r="AM2911" s="48" t="n"/>
      <c r="AN2911" s="48" t="n"/>
      <c r="AO2911" s="48" t="n"/>
    </row>
    <row r="2912">
      <c r="M2912" s="25" t="n"/>
      <c r="Q2912" s="25" t="n"/>
      <c r="U2912" s="194" t="n"/>
      <c r="AA2912" s="25" t="n"/>
      <c r="AB2912" s="25" t="n"/>
      <c r="AC2912" s="195" t="n"/>
      <c r="AD2912" s="25" t="n"/>
      <c r="AE2912" s="25" t="n"/>
      <c r="AG2912" s="25" t="n"/>
      <c r="AH2912" s="25" t="n"/>
      <c r="AI2912" s="394" t="n"/>
      <c r="AM2912" s="48" t="n"/>
      <c r="AN2912" s="48" t="n"/>
      <c r="AO2912" s="48" t="n"/>
    </row>
    <row r="2913">
      <c r="M2913" s="25" t="n"/>
      <c r="Q2913" s="25" t="n"/>
      <c r="U2913" s="194" t="n"/>
      <c r="AA2913" s="25" t="n"/>
      <c r="AB2913" s="25" t="n"/>
      <c r="AC2913" s="195" t="n"/>
      <c r="AD2913" s="25" t="n"/>
      <c r="AE2913" s="25" t="n"/>
      <c r="AG2913" s="25" t="n"/>
      <c r="AH2913" s="25" t="n"/>
      <c r="AI2913" s="394" t="n"/>
      <c r="AM2913" s="48" t="n"/>
      <c r="AN2913" s="48" t="n"/>
      <c r="AO2913" s="48" t="n"/>
    </row>
    <row r="2914">
      <c r="M2914" s="25" t="n"/>
      <c r="Q2914" s="25" t="n"/>
      <c r="U2914" s="194" t="n"/>
      <c r="AA2914" s="25" t="n"/>
      <c r="AB2914" s="25" t="n"/>
      <c r="AC2914" s="195" t="n"/>
      <c r="AD2914" s="25" t="n"/>
      <c r="AE2914" s="25" t="n"/>
      <c r="AG2914" s="25" t="n"/>
      <c r="AH2914" s="25" t="n"/>
      <c r="AI2914" s="394" t="n"/>
      <c r="AM2914" s="48" t="n"/>
      <c r="AN2914" s="48" t="n"/>
      <c r="AO2914" s="48" t="n"/>
    </row>
    <row r="2915">
      <c r="M2915" s="25" t="n"/>
      <c r="Q2915" s="25" t="n"/>
      <c r="U2915" s="194" t="n"/>
      <c r="AA2915" s="25" t="n"/>
      <c r="AB2915" s="25" t="n"/>
      <c r="AC2915" s="195" t="n"/>
      <c r="AD2915" s="25" t="n"/>
      <c r="AE2915" s="25" t="n"/>
      <c r="AG2915" s="25" t="n"/>
      <c r="AH2915" s="25" t="n"/>
      <c r="AI2915" s="394" t="n"/>
      <c r="AM2915" s="48" t="n"/>
      <c r="AN2915" s="48" t="n"/>
      <c r="AO2915" s="48" t="n"/>
    </row>
    <row r="2916">
      <c r="M2916" s="25" t="n"/>
      <c r="Q2916" s="25" t="n"/>
      <c r="U2916" s="194" t="n"/>
      <c r="AA2916" s="25" t="n"/>
      <c r="AB2916" s="25" t="n"/>
      <c r="AC2916" s="195" t="n"/>
      <c r="AD2916" s="25" t="n"/>
      <c r="AE2916" s="25" t="n"/>
      <c r="AG2916" s="25" t="n"/>
      <c r="AH2916" s="25" t="n"/>
      <c r="AI2916" s="394" t="n"/>
      <c r="AM2916" s="48" t="n"/>
      <c r="AN2916" s="48" t="n"/>
      <c r="AO2916" s="48" t="n"/>
    </row>
    <row r="2917">
      <c r="M2917" s="25" t="n"/>
      <c r="Q2917" s="25" t="n"/>
      <c r="U2917" s="194" t="n"/>
      <c r="AA2917" s="25" t="n"/>
      <c r="AB2917" s="25" t="n"/>
      <c r="AC2917" s="195" t="n"/>
      <c r="AD2917" s="25" t="n"/>
      <c r="AE2917" s="25" t="n"/>
      <c r="AG2917" s="25" t="n"/>
      <c r="AH2917" s="25" t="n"/>
      <c r="AI2917" s="394" t="n"/>
      <c r="AM2917" s="48" t="n"/>
      <c r="AN2917" s="48" t="n"/>
      <c r="AO2917" s="48" t="n"/>
    </row>
    <row r="2918">
      <c r="M2918" s="25" t="n"/>
      <c r="Q2918" s="25" t="n"/>
      <c r="U2918" s="194" t="n"/>
      <c r="AA2918" s="25" t="n"/>
      <c r="AB2918" s="25" t="n"/>
      <c r="AC2918" s="195" t="n"/>
      <c r="AD2918" s="25" t="n"/>
      <c r="AE2918" s="25" t="n"/>
      <c r="AG2918" s="25" t="n"/>
      <c r="AH2918" s="25" t="n"/>
      <c r="AI2918" s="394" t="n"/>
      <c r="AM2918" s="48" t="n"/>
      <c r="AN2918" s="48" t="n"/>
      <c r="AO2918" s="48" t="n"/>
    </row>
    <row r="2919">
      <c r="M2919" s="25" t="n"/>
      <c r="Q2919" s="25" t="n"/>
      <c r="U2919" s="194" t="n"/>
      <c r="AA2919" s="25" t="n"/>
      <c r="AB2919" s="25" t="n"/>
      <c r="AC2919" s="195" t="n"/>
      <c r="AD2919" s="25" t="n"/>
      <c r="AE2919" s="25" t="n"/>
      <c r="AG2919" s="25" t="n"/>
      <c r="AH2919" s="25" t="n"/>
      <c r="AI2919" s="394" t="n"/>
      <c r="AM2919" s="48" t="n"/>
      <c r="AN2919" s="48" t="n"/>
      <c r="AO2919" s="48" t="n"/>
    </row>
    <row r="2920">
      <c r="M2920" s="25" t="n"/>
      <c r="Q2920" s="25" t="n"/>
      <c r="U2920" s="194" t="n"/>
      <c r="AA2920" s="25" t="n"/>
      <c r="AB2920" s="25" t="n"/>
      <c r="AC2920" s="195" t="n"/>
      <c r="AD2920" s="25" t="n"/>
      <c r="AE2920" s="25" t="n"/>
      <c r="AG2920" s="25" t="n"/>
      <c r="AH2920" s="25" t="n"/>
      <c r="AI2920" s="394" t="n"/>
      <c r="AM2920" s="48" t="n"/>
      <c r="AN2920" s="48" t="n"/>
      <c r="AO2920" s="48" t="n"/>
    </row>
    <row r="2921">
      <c r="M2921" s="25" t="n"/>
      <c r="Q2921" s="25" t="n"/>
      <c r="U2921" s="194" t="n"/>
      <c r="AA2921" s="25" t="n"/>
      <c r="AB2921" s="25" t="n"/>
      <c r="AC2921" s="195" t="n"/>
      <c r="AD2921" s="25" t="n"/>
      <c r="AE2921" s="25" t="n"/>
      <c r="AG2921" s="25" t="n"/>
      <c r="AH2921" s="25" t="n"/>
      <c r="AI2921" s="394" t="n"/>
      <c r="AM2921" s="48" t="n"/>
      <c r="AN2921" s="48" t="n"/>
      <c r="AO2921" s="48" t="n"/>
    </row>
    <row r="2922">
      <c r="M2922" s="25" t="n"/>
      <c r="Q2922" s="25" t="n"/>
      <c r="U2922" s="194" t="n"/>
      <c r="AA2922" s="25" t="n"/>
      <c r="AB2922" s="25" t="n"/>
      <c r="AC2922" s="195" t="n"/>
      <c r="AD2922" s="25" t="n"/>
      <c r="AE2922" s="25" t="n"/>
      <c r="AG2922" s="25" t="n"/>
      <c r="AH2922" s="25" t="n"/>
      <c r="AI2922" s="394" t="n"/>
      <c r="AM2922" s="48" t="n"/>
      <c r="AN2922" s="48" t="n"/>
      <c r="AO2922" s="48" t="n"/>
    </row>
    <row r="2923">
      <c r="M2923" s="25" t="n"/>
      <c r="Q2923" s="25" t="n"/>
      <c r="U2923" s="194" t="n"/>
      <c r="AA2923" s="25" t="n"/>
      <c r="AB2923" s="25" t="n"/>
      <c r="AC2923" s="195" t="n"/>
      <c r="AD2923" s="25" t="n"/>
      <c r="AE2923" s="25" t="n"/>
      <c r="AG2923" s="25" t="n"/>
      <c r="AH2923" s="25" t="n"/>
      <c r="AI2923" s="394" t="n"/>
      <c r="AM2923" s="48" t="n"/>
      <c r="AN2923" s="48" t="n"/>
      <c r="AO2923" s="48" t="n"/>
    </row>
    <row r="2924">
      <c r="M2924" s="25" t="n"/>
      <c r="Q2924" s="25" t="n"/>
      <c r="U2924" s="194" t="n"/>
      <c r="AA2924" s="25" t="n"/>
      <c r="AB2924" s="25" t="n"/>
      <c r="AC2924" s="195" t="n"/>
      <c r="AD2924" s="25" t="n"/>
      <c r="AE2924" s="25" t="n"/>
      <c r="AG2924" s="25" t="n"/>
      <c r="AH2924" s="25" t="n"/>
      <c r="AI2924" s="394" t="n"/>
      <c r="AM2924" s="48" t="n"/>
      <c r="AN2924" s="48" t="n"/>
      <c r="AO2924" s="48" t="n"/>
    </row>
    <row r="2925">
      <c r="M2925" s="25" t="n"/>
      <c r="Q2925" s="25" t="n"/>
      <c r="U2925" s="194" t="n"/>
      <c r="AA2925" s="25" t="n"/>
      <c r="AB2925" s="25" t="n"/>
      <c r="AC2925" s="195" t="n"/>
      <c r="AD2925" s="25" t="n"/>
      <c r="AE2925" s="25" t="n"/>
      <c r="AG2925" s="25" t="n"/>
      <c r="AH2925" s="25" t="n"/>
      <c r="AI2925" s="394" t="n"/>
      <c r="AM2925" s="48" t="n"/>
      <c r="AN2925" s="48" t="n"/>
      <c r="AO2925" s="48" t="n"/>
    </row>
    <row r="2926">
      <c r="M2926" s="25" t="n"/>
      <c r="Q2926" s="25" t="n"/>
      <c r="U2926" s="194" t="n"/>
      <c r="AA2926" s="25" t="n"/>
      <c r="AB2926" s="25" t="n"/>
      <c r="AC2926" s="195" t="n"/>
      <c r="AD2926" s="25" t="n"/>
      <c r="AE2926" s="25" t="n"/>
      <c r="AG2926" s="25" t="n"/>
      <c r="AH2926" s="25" t="n"/>
      <c r="AI2926" s="394" t="n"/>
      <c r="AM2926" s="48" t="n"/>
      <c r="AN2926" s="48" t="n"/>
      <c r="AO2926" s="48" t="n"/>
    </row>
    <row r="2927">
      <c r="M2927" s="25" t="n"/>
      <c r="Q2927" s="25" t="n"/>
      <c r="U2927" s="194" t="n"/>
      <c r="AA2927" s="25" t="n"/>
      <c r="AB2927" s="25" t="n"/>
      <c r="AC2927" s="195" t="n"/>
      <c r="AD2927" s="25" t="n"/>
      <c r="AE2927" s="25" t="n"/>
      <c r="AG2927" s="25" t="n"/>
      <c r="AH2927" s="25" t="n"/>
      <c r="AI2927" s="394" t="n"/>
      <c r="AM2927" s="48" t="n"/>
      <c r="AN2927" s="48" t="n"/>
      <c r="AO2927" s="48" t="n"/>
    </row>
    <row r="2928">
      <c r="M2928" s="25" t="n"/>
      <c r="Q2928" s="25" t="n"/>
      <c r="U2928" s="194" t="n"/>
      <c r="AA2928" s="25" t="n"/>
      <c r="AB2928" s="25" t="n"/>
      <c r="AC2928" s="195" t="n"/>
      <c r="AD2928" s="25" t="n"/>
      <c r="AE2928" s="25" t="n"/>
      <c r="AG2928" s="25" t="n"/>
      <c r="AH2928" s="25" t="n"/>
      <c r="AI2928" s="394" t="n"/>
      <c r="AM2928" s="48" t="n"/>
      <c r="AN2928" s="48" t="n"/>
      <c r="AO2928" s="48" t="n"/>
    </row>
    <row r="2929">
      <c r="M2929" s="25" t="n"/>
      <c r="Q2929" s="25" t="n"/>
      <c r="U2929" s="194" t="n"/>
      <c r="AA2929" s="25" t="n"/>
      <c r="AB2929" s="25" t="n"/>
      <c r="AC2929" s="195" t="n"/>
      <c r="AD2929" s="25" t="n"/>
      <c r="AE2929" s="25" t="n"/>
      <c r="AG2929" s="25" t="n"/>
      <c r="AH2929" s="25" t="n"/>
      <c r="AI2929" s="394" t="n"/>
      <c r="AM2929" s="48" t="n"/>
      <c r="AN2929" s="48" t="n"/>
      <c r="AO2929" s="48" t="n"/>
    </row>
    <row r="2930">
      <c r="M2930" s="25" t="n"/>
      <c r="Q2930" s="25" t="n"/>
      <c r="U2930" s="194" t="n"/>
      <c r="AA2930" s="25" t="n"/>
      <c r="AB2930" s="25" t="n"/>
      <c r="AC2930" s="195" t="n"/>
      <c r="AD2930" s="25" t="n"/>
      <c r="AE2930" s="25" t="n"/>
      <c r="AG2930" s="25" t="n"/>
      <c r="AH2930" s="25" t="n"/>
      <c r="AI2930" s="394" t="n"/>
      <c r="AM2930" s="48" t="n"/>
      <c r="AN2930" s="48" t="n"/>
      <c r="AO2930" s="48" t="n"/>
    </row>
    <row r="2931">
      <c r="M2931" s="25" t="n"/>
      <c r="Q2931" s="25" t="n"/>
      <c r="U2931" s="194" t="n"/>
      <c r="AA2931" s="25" t="n"/>
      <c r="AB2931" s="25" t="n"/>
      <c r="AC2931" s="195" t="n"/>
      <c r="AD2931" s="25" t="n"/>
      <c r="AE2931" s="25" t="n"/>
      <c r="AG2931" s="25" t="n"/>
      <c r="AH2931" s="25" t="n"/>
      <c r="AI2931" s="394" t="n"/>
      <c r="AM2931" s="48" t="n"/>
      <c r="AN2931" s="48" t="n"/>
      <c r="AO2931" s="48" t="n"/>
    </row>
    <row r="2932">
      <c r="M2932" s="25" t="n"/>
      <c r="Q2932" s="25" t="n"/>
      <c r="U2932" s="194" t="n"/>
      <c r="AA2932" s="25" t="n"/>
      <c r="AB2932" s="25" t="n"/>
      <c r="AC2932" s="195" t="n"/>
      <c r="AD2932" s="25" t="n"/>
      <c r="AE2932" s="25" t="n"/>
      <c r="AG2932" s="25" t="n"/>
      <c r="AH2932" s="25" t="n"/>
      <c r="AI2932" s="394" t="n"/>
      <c r="AM2932" s="48" t="n"/>
      <c r="AN2932" s="48" t="n"/>
      <c r="AO2932" s="48" t="n"/>
    </row>
    <row r="2933">
      <c r="M2933" s="25" t="n"/>
      <c r="Q2933" s="25" t="n"/>
      <c r="U2933" s="194" t="n"/>
      <c r="AA2933" s="25" t="n"/>
      <c r="AB2933" s="25" t="n"/>
      <c r="AC2933" s="195" t="n"/>
      <c r="AD2933" s="25" t="n"/>
      <c r="AE2933" s="25" t="n"/>
      <c r="AG2933" s="25" t="n"/>
      <c r="AH2933" s="25" t="n"/>
      <c r="AI2933" s="394" t="n"/>
      <c r="AM2933" s="48" t="n"/>
      <c r="AN2933" s="48" t="n"/>
      <c r="AO2933" s="48" t="n"/>
    </row>
    <row r="2934">
      <c r="M2934" s="25" t="n"/>
      <c r="Q2934" s="25" t="n"/>
      <c r="U2934" s="194" t="n"/>
      <c r="AA2934" s="25" t="n"/>
      <c r="AB2934" s="25" t="n"/>
      <c r="AC2934" s="195" t="n"/>
      <c r="AD2934" s="25" t="n"/>
      <c r="AE2934" s="25" t="n"/>
      <c r="AG2934" s="25" t="n"/>
      <c r="AH2934" s="25" t="n"/>
      <c r="AI2934" s="394" t="n"/>
      <c r="AM2934" s="48" t="n"/>
      <c r="AN2934" s="48" t="n"/>
      <c r="AO2934" s="48" t="n"/>
    </row>
    <row r="2935">
      <c r="M2935" s="25" t="n"/>
      <c r="Q2935" s="25" t="n"/>
      <c r="U2935" s="194" t="n"/>
      <c r="AA2935" s="25" t="n"/>
      <c r="AB2935" s="25" t="n"/>
      <c r="AC2935" s="195" t="n"/>
      <c r="AD2935" s="25" t="n"/>
      <c r="AE2935" s="25" t="n"/>
      <c r="AG2935" s="25" t="n"/>
      <c r="AH2935" s="25" t="n"/>
      <c r="AI2935" s="394" t="n"/>
      <c r="AM2935" s="48" t="n"/>
      <c r="AN2935" s="48" t="n"/>
      <c r="AO2935" s="48" t="n"/>
    </row>
    <row r="2936">
      <c r="M2936" s="25" t="n"/>
      <c r="Q2936" s="25" t="n"/>
      <c r="U2936" s="194" t="n"/>
      <c r="AA2936" s="25" t="n"/>
      <c r="AB2936" s="25" t="n"/>
      <c r="AC2936" s="195" t="n"/>
      <c r="AD2936" s="25" t="n"/>
      <c r="AE2936" s="25" t="n"/>
      <c r="AG2936" s="25" t="n"/>
      <c r="AH2936" s="25" t="n"/>
      <c r="AI2936" s="394" t="n"/>
      <c r="AM2936" s="48" t="n"/>
      <c r="AN2936" s="48" t="n"/>
      <c r="AO2936" s="48" t="n"/>
    </row>
    <row r="2937">
      <c r="M2937" s="25" t="n"/>
      <c r="Q2937" s="25" t="n"/>
      <c r="U2937" s="194" t="n"/>
      <c r="AA2937" s="25" t="n"/>
      <c r="AB2937" s="25" t="n"/>
      <c r="AC2937" s="195" t="n"/>
      <c r="AD2937" s="25" t="n"/>
      <c r="AE2937" s="25" t="n"/>
      <c r="AG2937" s="25" t="n"/>
      <c r="AH2937" s="25" t="n"/>
      <c r="AI2937" s="394" t="n"/>
      <c r="AM2937" s="48" t="n"/>
      <c r="AN2937" s="48" t="n"/>
      <c r="AO2937" s="48" t="n"/>
    </row>
    <row r="2938">
      <c r="M2938" s="25" t="n"/>
      <c r="Q2938" s="25" t="n"/>
      <c r="U2938" s="194" t="n"/>
      <c r="AA2938" s="25" t="n"/>
      <c r="AB2938" s="25" t="n"/>
      <c r="AC2938" s="195" t="n"/>
      <c r="AD2938" s="25" t="n"/>
      <c r="AE2938" s="25" t="n"/>
      <c r="AG2938" s="25" t="n"/>
      <c r="AH2938" s="25" t="n"/>
      <c r="AI2938" s="394" t="n"/>
      <c r="AM2938" s="48" t="n"/>
      <c r="AN2938" s="48" t="n"/>
      <c r="AO2938" s="48" t="n"/>
    </row>
    <row r="2939">
      <c r="M2939" s="25" t="n"/>
      <c r="Q2939" s="25" t="n"/>
      <c r="U2939" s="194" t="n"/>
      <c r="AA2939" s="25" t="n"/>
      <c r="AB2939" s="25" t="n"/>
      <c r="AC2939" s="195" t="n"/>
      <c r="AD2939" s="25" t="n"/>
      <c r="AE2939" s="25" t="n"/>
      <c r="AG2939" s="25" t="n"/>
      <c r="AH2939" s="25" t="n"/>
      <c r="AI2939" s="394" t="n"/>
      <c r="AM2939" s="48" t="n"/>
      <c r="AN2939" s="48" t="n"/>
      <c r="AO2939" s="48" t="n"/>
    </row>
    <row r="2940">
      <c r="M2940" s="25" t="n"/>
      <c r="Q2940" s="25" t="n"/>
      <c r="U2940" s="194" t="n"/>
      <c r="AA2940" s="25" t="n"/>
      <c r="AB2940" s="25" t="n"/>
      <c r="AC2940" s="195" t="n"/>
      <c r="AD2940" s="25" t="n"/>
      <c r="AE2940" s="25" t="n"/>
      <c r="AG2940" s="25" t="n"/>
      <c r="AH2940" s="25" t="n"/>
      <c r="AI2940" s="394" t="n"/>
      <c r="AM2940" s="48" t="n"/>
      <c r="AN2940" s="48" t="n"/>
      <c r="AO2940" s="48" t="n"/>
    </row>
    <row r="2941">
      <c r="M2941" s="25" t="n"/>
      <c r="Q2941" s="25" t="n"/>
      <c r="U2941" s="194" t="n"/>
      <c r="AA2941" s="25" t="n"/>
      <c r="AB2941" s="25" t="n"/>
      <c r="AC2941" s="195" t="n"/>
      <c r="AD2941" s="25" t="n"/>
      <c r="AE2941" s="25" t="n"/>
      <c r="AG2941" s="25" t="n"/>
      <c r="AH2941" s="25" t="n"/>
      <c r="AI2941" s="394" t="n"/>
      <c r="AM2941" s="48" t="n"/>
      <c r="AN2941" s="48" t="n"/>
      <c r="AO2941" s="48" t="n"/>
    </row>
    <row r="2942">
      <c r="M2942" s="25" t="n"/>
      <c r="Q2942" s="25" t="n"/>
      <c r="U2942" s="194" t="n"/>
      <c r="AA2942" s="25" t="n"/>
      <c r="AB2942" s="25" t="n"/>
      <c r="AC2942" s="195" t="n"/>
      <c r="AD2942" s="25" t="n"/>
      <c r="AE2942" s="25" t="n"/>
      <c r="AG2942" s="25" t="n"/>
      <c r="AH2942" s="25" t="n"/>
      <c r="AI2942" s="394" t="n"/>
      <c r="AM2942" s="48" t="n"/>
      <c r="AN2942" s="48" t="n"/>
      <c r="AO2942" s="48" t="n"/>
    </row>
    <row r="2943">
      <c r="M2943" s="25" t="n"/>
      <c r="Q2943" s="25" t="n"/>
      <c r="U2943" s="194" t="n"/>
      <c r="AA2943" s="25" t="n"/>
      <c r="AB2943" s="25" t="n"/>
      <c r="AC2943" s="195" t="n"/>
      <c r="AD2943" s="25" t="n"/>
      <c r="AE2943" s="25" t="n"/>
      <c r="AG2943" s="25" t="n"/>
      <c r="AH2943" s="25" t="n"/>
      <c r="AI2943" s="394" t="n"/>
      <c r="AM2943" s="48" t="n"/>
      <c r="AN2943" s="48" t="n"/>
      <c r="AO2943" s="48" t="n"/>
    </row>
    <row r="2944">
      <c r="M2944" s="25" t="n"/>
      <c r="Q2944" s="25" t="n"/>
      <c r="U2944" s="194" t="n"/>
      <c r="AA2944" s="25" t="n"/>
      <c r="AB2944" s="25" t="n"/>
      <c r="AC2944" s="195" t="n"/>
      <c r="AD2944" s="25" t="n"/>
      <c r="AE2944" s="25" t="n"/>
      <c r="AG2944" s="25" t="n"/>
      <c r="AH2944" s="25" t="n"/>
      <c r="AI2944" s="394" t="n"/>
      <c r="AM2944" s="48" t="n"/>
      <c r="AN2944" s="48" t="n"/>
      <c r="AO2944" s="48" t="n"/>
    </row>
    <row r="2945">
      <c r="M2945" s="25" t="n"/>
      <c r="Q2945" s="25" t="n"/>
      <c r="U2945" s="194" t="n"/>
      <c r="AA2945" s="25" t="n"/>
      <c r="AB2945" s="25" t="n"/>
      <c r="AC2945" s="195" t="n"/>
      <c r="AD2945" s="25" t="n"/>
      <c r="AE2945" s="25" t="n"/>
      <c r="AG2945" s="25" t="n"/>
      <c r="AH2945" s="25" t="n"/>
      <c r="AI2945" s="394" t="n"/>
      <c r="AM2945" s="48" t="n"/>
      <c r="AN2945" s="48" t="n"/>
      <c r="AO2945" s="48" t="n"/>
    </row>
    <row r="2946">
      <c r="M2946" s="25" t="n"/>
      <c r="Q2946" s="25" t="n"/>
      <c r="U2946" s="194" t="n"/>
      <c r="AA2946" s="25" t="n"/>
      <c r="AB2946" s="25" t="n"/>
      <c r="AC2946" s="195" t="n"/>
      <c r="AD2946" s="25" t="n"/>
      <c r="AE2946" s="25" t="n"/>
      <c r="AG2946" s="25" t="n"/>
      <c r="AH2946" s="25" t="n"/>
      <c r="AI2946" s="394" t="n"/>
      <c r="AM2946" s="48" t="n"/>
      <c r="AN2946" s="48" t="n"/>
      <c r="AO2946" s="48" t="n"/>
    </row>
    <row r="2947">
      <c r="M2947" s="25" t="n"/>
      <c r="Q2947" s="25" t="n"/>
      <c r="U2947" s="194" t="n"/>
      <c r="AA2947" s="25" t="n"/>
      <c r="AB2947" s="25" t="n"/>
      <c r="AC2947" s="195" t="n"/>
      <c r="AD2947" s="25" t="n"/>
      <c r="AE2947" s="25" t="n"/>
      <c r="AG2947" s="25" t="n"/>
      <c r="AH2947" s="25" t="n"/>
      <c r="AI2947" s="394" t="n"/>
      <c r="AM2947" s="48" t="n"/>
      <c r="AN2947" s="48" t="n"/>
      <c r="AO2947" s="48" t="n"/>
    </row>
    <row r="2948">
      <c r="M2948" s="25" t="n"/>
      <c r="Q2948" s="25" t="n"/>
      <c r="U2948" s="194" t="n"/>
      <c r="AA2948" s="25" t="n"/>
      <c r="AB2948" s="25" t="n"/>
      <c r="AC2948" s="195" t="n"/>
      <c r="AD2948" s="25" t="n"/>
      <c r="AE2948" s="25" t="n"/>
      <c r="AG2948" s="25" t="n"/>
      <c r="AH2948" s="25" t="n"/>
      <c r="AI2948" s="394" t="n"/>
      <c r="AM2948" s="48" t="n"/>
      <c r="AN2948" s="48" t="n"/>
      <c r="AO2948" s="48" t="n"/>
    </row>
    <row r="2949">
      <c r="M2949" s="25" t="n"/>
      <c r="Q2949" s="25" t="n"/>
      <c r="U2949" s="194" t="n"/>
      <c r="AA2949" s="25" t="n"/>
      <c r="AB2949" s="25" t="n"/>
      <c r="AC2949" s="195" t="n"/>
      <c r="AD2949" s="25" t="n"/>
      <c r="AE2949" s="25" t="n"/>
      <c r="AG2949" s="25" t="n"/>
      <c r="AH2949" s="25" t="n"/>
      <c r="AI2949" s="394" t="n"/>
      <c r="AM2949" s="48" t="n"/>
      <c r="AN2949" s="48" t="n"/>
      <c r="AO2949" s="48" t="n"/>
    </row>
    <row r="2950">
      <c r="M2950" s="25" t="n"/>
      <c r="Q2950" s="25" t="n"/>
      <c r="U2950" s="194" t="n"/>
      <c r="AA2950" s="25" t="n"/>
      <c r="AB2950" s="25" t="n"/>
      <c r="AC2950" s="195" t="n"/>
      <c r="AD2950" s="25" t="n"/>
      <c r="AE2950" s="25" t="n"/>
      <c r="AG2950" s="25" t="n"/>
      <c r="AH2950" s="25" t="n"/>
      <c r="AI2950" s="394" t="n"/>
      <c r="AM2950" s="48" t="n"/>
      <c r="AN2950" s="48" t="n"/>
      <c r="AO2950" s="48" t="n"/>
    </row>
    <row r="2951">
      <c r="M2951" s="25" t="n"/>
      <c r="Q2951" s="25" t="n"/>
      <c r="U2951" s="194" t="n"/>
      <c r="AA2951" s="25" t="n"/>
      <c r="AB2951" s="25" t="n"/>
      <c r="AC2951" s="195" t="n"/>
      <c r="AD2951" s="25" t="n"/>
      <c r="AE2951" s="25" t="n"/>
      <c r="AG2951" s="25" t="n"/>
      <c r="AH2951" s="25" t="n"/>
      <c r="AI2951" s="394" t="n"/>
      <c r="AM2951" s="48" t="n"/>
      <c r="AN2951" s="48" t="n"/>
      <c r="AO2951" s="48" t="n"/>
    </row>
    <row r="2952">
      <c r="M2952" s="25" t="n"/>
      <c r="Q2952" s="25" t="n"/>
      <c r="U2952" s="194" t="n"/>
      <c r="AA2952" s="25" t="n"/>
      <c r="AB2952" s="25" t="n"/>
      <c r="AC2952" s="195" t="n"/>
      <c r="AD2952" s="25" t="n"/>
      <c r="AE2952" s="25" t="n"/>
      <c r="AG2952" s="25" t="n"/>
      <c r="AH2952" s="25" t="n"/>
      <c r="AI2952" s="394" t="n"/>
      <c r="AM2952" s="48" t="n"/>
      <c r="AN2952" s="48" t="n"/>
      <c r="AO2952" s="48" t="n"/>
    </row>
    <row r="2953">
      <c r="M2953" s="25" t="n"/>
      <c r="Q2953" s="25" t="n"/>
      <c r="U2953" s="194" t="n"/>
      <c r="AA2953" s="25" t="n"/>
      <c r="AB2953" s="25" t="n"/>
      <c r="AC2953" s="195" t="n"/>
      <c r="AD2953" s="25" t="n"/>
      <c r="AE2953" s="25" t="n"/>
      <c r="AG2953" s="25" t="n"/>
      <c r="AH2953" s="25" t="n"/>
      <c r="AI2953" s="394" t="n"/>
      <c r="AM2953" s="48" t="n"/>
      <c r="AN2953" s="48" t="n"/>
      <c r="AO2953" s="48" t="n"/>
    </row>
    <row r="2954">
      <c r="M2954" s="25" t="n"/>
      <c r="Q2954" s="25" t="n"/>
      <c r="U2954" s="194" t="n"/>
      <c r="AA2954" s="25" t="n"/>
      <c r="AB2954" s="25" t="n"/>
      <c r="AC2954" s="195" t="n"/>
      <c r="AD2954" s="25" t="n"/>
      <c r="AE2954" s="25" t="n"/>
      <c r="AG2954" s="25" t="n"/>
      <c r="AH2954" s="25" t="n"/>
      <c r="AI2954" s="394" t="n"/>
      <c r="AM2954" s="48" t="n"/>
      <c r="AN2954" s="48" t="n"/>
      <c r="AO2954" s="48" t="n"/>
    </row>
    <row r="2955">
      <c r="M2955" s="25" t="n"/>
      <c r="Q2955" s="25" t="n"/>
      <c r="U2955" s="194" t="n"/>
      <c r="AA2955" s="25" t="n"/>
      <c r="AB2955" s="25" t="n"/>
      <c r="AC2955" s="195" t="n"/>
      <c r="AD2955" s="25" t="n"/>
      <c r="AE2955" s="25" t="n"/>
      <c r="AG2955" s="25" t="n"/>
      <c r="AH2955" s="25" t="n"/>
      <c r="AI2955" s="394" t="n"/>
      <c r="AM2955" s="48" t="n"/>
      <c r="AN2955" s="48" t="n"/>
      <c r="AO2955" s="48" t="n"/>
    </row>
    <row r="2956">
      <c r="M2956" s="25" t="n"/>
      <c r="Q2956" s="25" t="n"/>
      <c r="U2956" s="194" t="n"/>
      <c r="AA2956" s="25" t="n"/>
      <c r="AB2956" s="25" t="n"/>
      <c r="AC2956" s="195" t="n"/>
      <c r="AD2956" s="25" t="n"/>
      <c r="AE2956" s="25" t="n"/>
      <c r="AG2956" s="25" t="n"/>
      <c r="AH2956" s="25" t="n"/>
      <c r="AI2956" s="394" t="n"/>
      <c r="AM2956" s="48" t="n"/>
      <c r="AN2956" s="48" t="n"/>
      <c r="AO2956" s="48" t="n"/>
    </row>
    <row r="2957">
      <c r="M2957" s="25" t="n"/>
      <c r="Q2957" s="25" t="n"/>
      <c r="U2957" s="194" t="n"/>
      <c r="AA2957" s="25" t="n"/>
      <c r="AB2957" s="25" t="n"/>
      <c r="AC2957" s="195" t="n"/>
      <c r="AD2957" s="25" t="n"/>
      <c r="AE2957" s="25" t="n"/>
      <c r="AG2957" s="25" t="n"/>
      <c r="AH2957" s="25" t="n"/>
      <c r="AI2957" s="394" t="n"/>
      <c r="AM2957" s="48" t="n"/>
      <c r="AN2957" s="48" t="n"/>
      <c r="AO2957" s="48" t="n"/>
    </row>
    <row r="2958">
      <c r="M2958" s="25" t="n"/>
      <c r="Q2958" s="25" t="n"/>
      <c r="U2958" s="194" t="n"/>
      <c r="AA2958" s="25" t="n"/>
      <c r="AB2958" s="25" t="n"/>
      <c r="AC2958" s="195" t="n"/>
      <c r="AD2958" s="25" t="n"/>
      <c r="AE2958" s="25" t="n"/>
      <c r="AG2958" s="25" t="n"/>
      <c r="AH2958" s="25" t="n"/>
      <c r="AI2958" s="394" t="n"/>
      <c r="AM2958" s="48" t="n"/>
      <c r="AN2958" s="48" t="n"/>
      <c r="AO2958" s="48" t="n"/>
    </row>
    <row r="2959">
      <c r="M2959" s="25" t="n"/>
      <c r="Q2959" s="25" t="n"/>
      <c r="U2959" s="194" t="n"/>
      <c r="AA2959" s="25" t="n"/>
      <c r="AB2959" s="25" t="n"/>
      <c r="AC2959" s="195" t="n"/>
      <c r="AD2959" s="25" t="n"/>
      <c r="AE2959" s="25" t="n"/>
      <c r="AG2959" s="25" t="n"/>
      <c r="AH2959" s="25" t="n"/>
      <c r="AI2959" s="394" t="n"/>
      <c r="AM2959" s="48" t="n"/>
      <c r="AN2959" s="48" t="n"/>
      <c r="AO2959" s="48" t="n"/>
    </row>
    <row r="2960">
      <c r="M2960" s="25" t="n"/>
      <c r="Q2960" s="25" t="n"/>
      <c r="U2960" s="194" t="n"/>
      <c r="AA2960" s="25" t="n"/>
      <c r="AB2960" s="25" t="n"/>
      <c r="AC2960" s="195" t="n"/>
      <c r="AD2960" s="25" t="n"/>
      <c r="AE2960" s="25" t="n"/>
      <c r="AG2960" s="25" t="n"/>
      <c r="AH2960" s="25" t="n"/>
      <c r="AI2960" s="394" t="n"/>
      <c r="AM2960" s="48" t="n"/>
      <c r="AN2960" s="48" t="n"/>
      <c r="AO2960" s="48" t="n"/>
    </row>
    <row r="2961">
      <c r="M2961" s="25" t="n"/>
      <c r="Q2961" s="25" t="n"/>
      <c r="U2961" s="194" t="n"/>
      <c r="AA2961" s="25" t="n"/>
      <c r="AB2961" s="25" t="n"/>
      <c r="AC2961" s="195" t="n"/>
      <c r="AD2961" s="25" t="n"/>
      <c r="AE2961" s="25" t="n"/>
      <c r="AG2961" s="25" t="n"/>
      <c r="AH2961" s="25" t="n"/>
      <c r="AI2961" s="394" t="n"/>
      <c r="AM2961" s="48" t="n"/>
      <c r="AN2961" s="48" t="n"/>
      <c r="AO2961" s="48" t="n"/>
    </row>
    <row r="2962">
      <c r="M2962" s="25" t="n"/>
      <c r="Q2962" s="25" t="n"/>
      <c r="U2962" s="194" t="n"/>
      <c r="AA2962" s="25" t="n"/>
      <c r="AB2962" s="25" t="n"/>
      <c r="AC2962" s="195" t="n"/>
      <c r="AD2962" s="25" t="n"/>
      <c r="AE2962" s="25" t="n"/>
      <c r="AG2962" s="25" t="n"/>
      <c r="AH2962" s="25" t="n"/>
      <c r="AI2962" s="394" t="n"/>
      <c r="AM2962" s="48" t="n"/>
      <c r="AN2962" s="48" t="n"/>
      <c r="AO2962" s="48" t="n"/>
    </row>
    <row r="2963">
      <c r="M2963" s="25" t="n"/>
      <c r="Q2963" s="25" t="n"/>
      <c r="U2963" s="194" t="n"/>
      <c r="AA2963" s="25" t="n"/>
      <c r="AB2963" s="25" t="n"/>
      <c r="AC2963" s="195" t="n"/>
      <c r="AD2963" s="25" t="n"/>
      <c r="AE2963" s="25" t="n"/>
      <c r="AG2963" s="25" t="n"/>
      <c r="AH2963" s="25" t="n"/>
      <c r="AI2963" s="394" t="n"/>
      <c r="AM2963" s="48" t="n"/>
      <c r="AN2963" s="48" t="n"/>
      <c r="AO2963" s="48" t="n"/>
    </row>
    <row r="2964">
      <c r="M2964" s="25" t="n"/>
      <c r="Q2964" s="25" t="n"/>
      <c r="U2964" s="194" t="n"/>
      <c r="AA2964" s="25" t="n"/>
      <c r="AB2964" s="25" t="n"/>
      <c r="AC2964" s="195" t="n"/>
      <c r="AD2964" s="25" t="n"/>
      <c r="AE2964" s="25" t="n"/>
      <c r="AG2964" s="25" t="n"/>
      <c r="AH2964" s="25" t="n"/>
      <c r="AI2964" s="394" t="n"/>
      <c r="AM2964" s="48" t="n"/>
      <c r="AN2964" s="48" t="n"/>
      <c r="AO2964" s="48" t="n"/>
    </row>
    <row r="2965">
      <c r="M2965" s="25" t="n"/>
      <c r="Q2965" s="25" t="n"/>
      <c r="U2965" s="194" t="n"/>
      <c r="AA2965" s="25" t="n"/>
      <c r="AB2965" s="25" t="n"/>
      <c r="AC2965" s="195" t="n"/>
      <c r="AD2965" s="25" t="n"/>
      <c r="AE2965" s="25" t="n"/>
      <c r="AG2965" s="25" t="n"/>
      <c r="AH2965" s="25" t="n"/>
      <c r="AI2965" s="394" t="n"/>
      <c r="AM2965" s="48" t="n"/>
      <c r="AN2965" s="48" t="n"/>
      <c r="AO2965" s="48" t="n"/>
    </row>
    <row r="2966">
      <c r="M2966" s="25" t="n"/>
      <c r="Q2966" s="25" t="n"/>
      <c r="U2966" s="194" t="n"/>
      <c r="AA2966" s="25" t="n"/>
      <c r="AB2966" s="25" t="n"/>
      <c r="AC2966" s="195" t="n"/>
      <c r="AD2966" s="25" t="n"/>
      <c r="AE2966" s="25" t="n"/>
      <c r="AG2966" s="25" t="n"/>
      <c r="AH2966" s="25" t="n"/>
      <c r="AI2966" s="394" t="n"/>
      <c r="AM2966" s="48" t="n"/>
      <c r="AN2966" s="48" t="n"/>
      <c r="AO2966" s="48" t="n"/>
    </row>
    <row r="2967">
      <c r="M2967" s="25" t="n"/>
      <c r="Q2967" s="25" t="n"/>
      <c r="U2967" s="194" t="n"/>
      <c r="AA2967" s="25" t="n"/>
      <c r="AB2967" s="25" t="n"/>
      <c r="AC2967" s="195" t="n"/>
      <c r="AD2967" s="25" t="n"/>
      <c r="AE2967" s="25" t="n"/>
      <c r="AG2967" s="25" t="n"/>
      <c r="AH2967" s="25" t="n"/>
      <c r="AI2967" s="394" t="n"/>
      <c r="AM2967" s="48" t="n"/>
      <c r="AN2967" s="48" t="n"/>
      <c r="AO2967" s="48" t="n"/>
    </row>
    <row r="2968">
      <c r="M2968" s="25" t="n"/>
      <c r="Q2968" s="25" t="n"/>
      <c r="U2968" s="194" t="n"/>
      <c r="AA2968" s="25" t="n"/>
      <c r="AB2968" s="25" t="n"/>
      <c r="AC2968" s="195" t="n"/>
      <c r="AD2968" s="25" t="n"/>
      <c r="AE2968" s="25" t="n"/>
      <c r="AG2968" s="25" t="n"/>
      <c r="AH2968" s="25" t="n"/>
      <c r="AI2968" s="394" t="n"/>
      <c r="AM2968" s="48" t="n"/>
      <c r="AN2968" s="48" t="n"/>
      <c r="AO2968" s="48" t="n"/>
    </row>
    <row r="2969">
      <c r="M2969" s="25" t="n"/>
      <c r="Q2969" s="25" t="n"/>
      <c r="U2969" s="194" t="n"/>
      <c r="AA2969" s="25" t="n"/>
      <c r="AB2969" s="25" t="n"/>
      <c r="AC2969" s="195" t="n"/>
      <c r="AD2969" s="25" t="n"/>
      <c r="AE2969" s="25" t="n"/>
      <c r="AG2969" s="25" t="n"/>
      <c r="AH2969" s="25" t="n"/>
      <c r="AI2969" s="394" t="n"/>
      <c r="AM2969" s="48" t="n"/>
      <c r="AN2969" s="48" t="n"/>
      <c r="AO2969" s="48" t="n"/>
    </row>
    <row r="2970">
      <c r="M2970" s="25" t="n"/>
      <c r="Q2970" s="25" t="n"/>
      <c r="U2970" s="194" t="n"/>
      <c r="AA2970" s="25" t="n"/>
      <c r="AB2970" s="25" t="n"/>
      <c r="AC2970" s="195" t="n"/>
      <c r="AD2970" s="25" t="n"/>
      <c r="AE2970" s="25" t="n"/>
      <c r="AG2970" s="25" t="n"/>
      <c r="AH2970" s="25" t="n"/>
      <c r="AI2970" s="394" t="n"/>
      <c r="AM2970" s="48" t="n"/>
      <c r="AN2970" s="48" t="n"/>
      <c r="AO2970" s="48" t="n"/>
    </row>
    <row r="2971">
      <c r="M2971" s="25" t="n"/>
      <c r="Q2971" s="25" t="n"/>
      <c r="U2971" s="194" t="n"/>
      <c r="AA2971" s="25" t="n"/>
      <c r="AB2971" s="25" t="n"/>
      <c r="AC2971" s="195" t="n"/>
      <c r="AD2971" s="25" t="n"/>
      <c r="AE2971" s="25" t="n"/>
      <c r="AG2971" s="25" t="n"/>
      <c r="AH2971" s="25" t="n"/>
      <c r="AI2971" s="394" t="n"/>
      <c r="AM2971" s="48" t="n"/>
      <c r="AN2971" s="48" t="n"/>
      <c r="AO2971" s="48" t="n"/>
    </row>
    <row r="2972">
      <c r="M2972" s="25" t="n"/>
      <c r="Q2972" s="25" t="n"/>
      <c r="U2972" s="194" t="n"/>
      <c r="AA2972" s="25" t="n"/>
      <c r="AB2972" s="25" t="n"/>
      <c r="AC2972" s="195" t="n"/>
      <c r="AD2972" s="25" t="n"/>
      <c r="AE2972" s="25" t="n"/>
      <c r="AG2972" s="25" t="n"/>
      <c r="AH2972" s="25" t="n"/>
      <c r="AI2972" s="394" t="n"/>
      <c r="AM2972" s="48" t="n"/>
      <c r="AN2972" s="48" t="n"/>
      <c r="AO2972" s="48" t="n"/>
    </row>
    <row r="2973">
      <c r="M2973" s="25" t="n"/>
      <c r="Q2973" s="25" t="n"/>
      <c r="U2973" s="194" t="n"/>
      <c r="AA2973" s="25" t="n"/>
      <c r="AB2973" s="25" t="n"/>
      <c r="AC2973" s="195" t="n"/>
      <c r="AD2973" s="25" t="n"/>
      <c r="AE2973" s="25" t="n"/>
      <c r="AG2973" s="25" t="n"/>
      <c r="AH2973" s="25" t="n"/>
      <c r="AI2973" s="394" t="n"/>
      <c r="AM2973" s="48" t="n"/>
      <c r="AN2973" s="48" t="n"/>
      <c r="AO2973" s="48" t="n"/>
    </row>
    <row r="2974">
      <c r="M2974" s="25" t="n"/>
      <c r="Q2974" s="25" t="n"/>
      <c r="U2974" s="194" t="n"/>
      <c r="AA2974" s="25" t="n"/>
      <c r="AB2974" s="25" t="n"/>
      <c r="AC2974" s="195" t="n"/>
      <c r="AD2974" s="25" t="n"/>
      <c r="AE2974" s="25" t="n"/>
      <c r="AG2974" s="25" t="n"/>
      <c r="AH2974" s="25" t="n"/>
      <c r="AI2974" s="394" t="n"/>
      <c r="AM2974" s="48" t="n"/>
      <c r="AN2974" s="48" t="n"/>
      <c r="AO2974" s="48" t="n"/>
    </row>
    <row r="2975">
      <c r="M2975" s="25" t="n"/>
      <c r="Q2975" s="25" t="n"/>
      <c r="U2975" s="194" t="n"/>
      <c r="AA2975" s="25" t="n"/>
      <c r="AB2975" s="25" t="n"/>
      <c r="AC2975" s="195" t="n"/>
      <c r="AD2975" s="25" t="n"/>
      <c r="AE2975" s="25" t="n"/>
      <c r="AG2975" s="25" t="n"/>
      <c r="AH2975" s="25" t="n"/>
      <c r="AI2975" s="394" t="n"/>
      <c r="AM2975" s="48" t="n"/>
      <c r="AN2975" s="48" t="n"/>
      <c r="AO2975" s="48" t="n"/>
    </row>
    <row r="2976">
      <c r="M2976" s="25" t="n"/>
      <c r="Q2976" s="25" t="n"/>
      <c r="U2976" s="194" t="n"/>
      <c r="AA2976" s="25" t="n"/>
      <c r="AB2976" s="25" t="n"/>
      <c r="AC2976" s="195" t="n"/>
      <c r="AD2976" s="25" t="n"/>
      <c r="AE2976" s="25" t="n"/>
      <c r="AG2976" s="25" t="n"/>
      <c r="AH2976" s="25" t="n"/>
      <c r="AI2976" s="394" t="n"/>
      <c r="AM2976" s="48" t="n"/>
      <c r="AN2976" s="48" t="n"/>
      <c r="AO2976" s="48" t="n"/>
    </row>
    <row r="2977">
      <c r="M2977" s="25" t="n"/>
      <c r="Q2977" s="25" t="n"/>
      <c r="U2977" s="194" t="n"/>
      <c r="AA2977" s="25" t="n"/>
      <c r="AB2977" s="25" t="n"/>
      <c r="AC2977" s="195" t="n"/>
      <c r="AD2977" s="25" t="n"/>
      <c r="AE2977" s="25" t="n"/>
      <c r="AG2977" s="25" t="n"/>
      <c r="AH2977" s="25" t="n"/>
      <c r="AI2977" s="394" t="n"/>
      <c r="AM2977" s="48" t="n"/>
      <c r="AN2977" s="48" t="n"/>
      <c r="AO2977" s="48" t="n"/>
    </row>
    <row r="2978">
      <c r="M2978" s="25" t="n"/>
      <c r="Q2978" s="25" t="n"/>
      <c r="U2978" s="194" t="n"/>
      <c r="AA2978" s="25" t="n"/>
      <c r="AB2978" s="25" t="n"/>
      <c r="AC2978" s="195" t="n"/>
      <c r="AD2978" s="25" t="n"/>
      <c r="AE2978" s="25" t="n"/>
      <c r="AG2978" s="25" t="n"/>
      <c r="AH2978" s="25" t="n"/>
      <c r="AI2978" s="394" t="n"/>
      <c r="AM2978" s="48" t="n"/>
      <c r="AN2978" s="48" t="n"/>
      <c r="AO2978" s="48" t="n"/>
    </row>
    <row r="2979">
      <c r="M2979" s="25" t="n"/>
      <c r="Q2979" s="25" t="n"/>
      <c r="U2979" s="194" t="n"/>
      <c r="AA2979" s="25" t="n"/>
      <c r="AB2979" s="25" t="n"/>
      <c r="AC2979" s="195" t="n"/>
      <c r="AD2979" s="25" t="n"/>
      <c r="AE2979" s="25" t="n"/>
      <c r="AG2979" s="25" t="n"/>
      <c r="AH2979" s="25" t="n"/>
      <c r="AI2979" s="394" t="n"/>
      <c r="AM2979" s="48" t="n"/>
      <c r="AN2979" s="48" t="n"/>
      <c r="AO2979" s="48" t="n"/>
    </row>
    <row r="2980">
      <c r="M2980" s="25" t="n"/>
      <c r="Q2980" s="25" t="n"/>
      <c r="U2980" s="194" t="n"/>
      <c r="AA2980" s="25" t="n"/>
      <c r="AB2980" s="25" t="n"/>
      <c r="AC2980" s="195" t="n"/>
      <c r="AD2980" s="25" t="n"/>
      <c r="AE2980" s="25" t="n"/>
      <c r="AG2980" s="25" t="n"/>
      <c r="AH2980" s="25" t="n"/>
      <c r="AI2980" s="394" t="n"/>
      <c r="AM2980" s="48" t="n"/>
      <c r="AN2980" s="48" t="n"/>
      <c r="AO2980" s="48" t="n"/>
    </row>
    <row r="2981">
      <c r="M2981" s="25" t="n"/>
      <c r="Q2981" s="25" t="n"/>
      <c r="U2981" s="194" t="n"/>
      <c r="AA2981" s="25" t="n"/>
      <c r="AB2981" s="25" t="n"/>
      <c r="AC2981" s="195" t="n"/>
      <c r="AD2981" s="25" t="n"/>
      <c r="AE2981" s="25" t="n"/>
      <c r="AG2981" s="25" t="n"/>
      <c r="AH2981" s="25" t="n"/>
      <c r="AI2981" s="394" t="n"/>
      <c r="AM2981" s="48" t="n"/>
      <c r="AN2981" s="48" t="n"/>
      <c r="AO2981" s="48" t="n"/>
    </row>
    <row r="2982">
      <c r="M2982" s="25" t="n"/>
      <c r="Q2982" s="25" t="n"/>
      <c r="U2982" s="194" t="n"/>
      <c r="AA2982" s="25" t="n"/>
      <c r="AB2982" s="25" t="n"/>
      <c r="AC2982" s="195" t="n"/>
      <c r="AD2982" s="25" t="n"/>
      <c r="AE2982" s="25" t="n"/>
      <c r="AG2982" s="25" t="n"/>
      <c r="AH2982" s="25" t="n"/>
      <c r="AI2982" s="394" t="n"/>
      <c r="AM2982" s="48" t="n"/>
      <c r="AN2982" s="48" t="n"/>
      <c r="AO2982" s="48" t="n"/>
    </row>
    <row r="2983">
      <c r="M2983" s="25" t="n"/>
      <c r="Q2983" s="25" t="n"/>
      <c r="U2983" s="194" t="n"/>
      <c r="AA2983" s="25" t="n"/>
      <c r="AB2983" s="25" t="n"/>
      <c r="AC2983" s="195" t="n"/>
      <c r="AD2983" s="25" t="n"/>
      <c r="AE2983" s="25" t="n"/>
      <c r="AG2983" s="25" t="n"/>
      <c r="AH2983" s="25" t="n"/>
      <c r="AI2983" s="394" t="n"/>
      <c r="AM2983" s="48" t="n"/>
      <c r="AN2983" s="48" t="n"/>
      <c r="AO2983" s="48" t="n"/>
    </row>
    <row r="2984">
      <c r="M2984" s="25" t="n"/>
      <c r="Q2984" s="25" t="n"/>
      <c r="U2984" s="194" t="n"/>
      <c r="AA2984" s="25" t="n"/>
      <c r="AB2984" s="25" t="n"/>
      <c r="AC2984" s="195" t="n"/>
      <c r="AD2984" s="25" t="n"/>
      <c r="AE2984" s="25" t="n"/>
      <c r="AG2984" s="25" t="n"/>
      <c r="AH2984" s="25" t="n"/>
      <c r="AI2984" s="394" t="n"/>
      <c r="AM2984" s="48" t="n"/>
      <c r="AN2984" s="48" t="n"/>
      <c r="AO2984" s="48" t="n"/>
    </row>
    <row r="2985">
      <c r="M2985" s="25" t="n"/>
      <c r="Q2985" s="25" t="n"/>
      <c r="U2985" s="194" t="n"/>
      <c r="AA2985" s="25" t="n"/>
      <c r="AB2985" s="25" t="n"/>
      <c r="AC2985" s="195" t="n"/>
      <c r="AD2985" s="25" t="n"/>
      <c r="AE2985" s="25" t="n"/>
      <c r="AG2985" s="25" t="n"/>
      <c r="AH2985" s="25" t="n"/>
      <c r="AI2985" s="394" t="n"/>
      <c r="AM2985" s="48" t="n"/>
      <c r="AN2985" s="48" t="n"/>
      <c r="AO2985" s="48" t="n"/>
    </row>
    <row r="2986">
      <c r="M2986" s="25" t="n"/>
      <c r="Q2986" s="25" t="n"/>
      <c r="U2986" s="194" t="n"/>
      <c r="AA2986" s="25" t="n"/>
      <c r="AB2986" s="25" t="n"/>
      <c r="AC2986" s="195" t="n"/>
      <c r="AD2986" s="25" t="n"/>
      <c r="AE2986" s="25" t="n"/>
      <c r="AG2986" s="25" t="n"/>
      <c r="AH2986" s="25" t="n"/>
      <c r="AI2986" s="394" t="n"/>
      <c r="AM2986" s="48" t="n"/>
      <c r="AN2986" s="48" t="n"/>
      <c r="AO2986" s="48" t="n"/>
    </row>
    <row r="2987">
      <c r="M2987" s="25" t="n"/>
      <c r="Q2987" s="25" t="n"/>
      <c r="U2987" s="194" t="n"/>
      <c r="AA2987" s="25" t="n"/>
      <c r="AB2987" s="25" t="n"/>
      <c r="AC2987" s="195" t="n"/>
      <c r="AD2987" s="25" t="n"/>
      <c r="AE2987" s="25" t="n"/>
      <c r="AG2987" s="25" t="n"/>
      <c r="AH2987" s="25" t="n"/>
      <c r="AI2987" s="394" t="n"/>
      <c r="AM2987" s="48" t="n"/>
      <c r="AN2987" s="48" t="n"/>
      <c r="AO2987" s="48" t="n"/>
    </row>
    <row r="2988">
      <c r="M2988" s="25" t="n"/>
      <c r="Q2988" s="25" t="n"/>
      <c r="U2988" s="194" t="n"/>
      <c r="AA2988" s="25" t="n"/>
      <c r="AB2988" s="25" t="n"/>
      <c r="AC2988" s="195" t="n"/>
      <c r="AD2988" s="25" t="n"/>
      <c r="AE2988" s="25" t="n"/>
      <c r="AG2988" s="25" t="n"/>
      <c r="AH2988" s="25" t="n"/>
      <c r="AI2988" s="394" t="n"/>
      <c r="AM2988" s="48" t="n"/>
      <c r="AN2988" s="48" t="n"/>
      <c r="AO2988" s="48" t="n"/>
    </row>
    <row r="2989">
      <c r="M2989" s="25" t="n"/>
      <c r="Q2989" s="25" t="n"/>
      <c r="U2989" s="194" t="n"/>
      <c r="AA2989" s="25" t="n"/>
      <c r="AB2989" s="25" t="n"/>
      <c r="AC2989" s="195" t="n"/>
      <c r="AD2989" s="25" t="n"/>
      <c r="AE2989" s="25" t="n"/>
      <c r="AG2989" s="25" t="n"/>
      <c r="AH2989" s="25" t="n"/>
      <c r="AI2989" s="394" t="n"/>
      <c r="AM2989" s="48" t="n"/>
      <c r="AN2989" s="48" t="n"/>
      <c r="AO2989" s="48" t="n"/>
    </row>
    <row r="2990">
      <c r="M2990" s="25" t="n"/>
      <c r="Q2990" s="25" t="n"/>
      <c r="U2990" s="194" t="n"/>
      <c r="AA2990" s="25" t="n"/>
      <c r="AB2990" s="25" t="n"/>
      <c r="AC2990" s="195" t="n"/>
      <c r="AD2990" s="25" t="n"/>
      <c r="AE2990" s="25" t="n"/>
      <c r="AG2990" s="25" t="n"/>
      <c r="AH2990" s="25" t="n"/>
      <c r="AI2990" s="394" t="n"/>
      <c r="AM2990" s="48" t="n"/>
      <c r="AN2990" s="48" t="n"/>
      <c r="AO2990" s="48" t="n"/>
    </row>
    <row r="2991">
      <c r="M2991" s="25" t="n"/>
      <c r="Q2991" s="25" t="n"/>
      <c r="U2991" s="194" t="n"/>
      <c r="AA2991" s="25" t="n"/>
      <c r="AB2991" s="25" t="n"/>
      <c r="AC2991" s="195" t="n"/>
      <c r="AD2991" s="25" t="n"/>
      <c r="AE2991" s="25" t="n"/>
      <c r="AG2991" s="25" t="n"/>
      <c r="AH2991" s="25" t="n"/>
      <c r="AI2991" s="394" t="n"/>
      <c r="AM2991" s="48" t="n"/>
      <c r="AN2991" s="48" t="n"/>
      <c r="AO2991" s="48" t="n"/>
    </row>
    <row r="2992">
      <c r="M2992" s="25" t="n"/>
      <c r="Q2992" s="25" t="n"/>
      <c r="U2992" s="194" t="n"/>
      <c r="AA2992" s="25" t="n"/>
      <c r="AB2992" s="25" t="n"/>
      <c r="AC2992" s="195" t="n"/>
      <c r="AD2992" s="25" t="n"/>
      <c r="AE2992" s="25" t="n"/>
      <c r="AG2992" s="25" t="n"/>
      <c r="AH2992" s="25" t="n"/>
      <c r="AI2992" s="394" t="n"/>
      <c r="AM2992" s="48" t="n"/>
      <c r="AN2992" s="48" t="n"/>
      <c r="AO2992" s="48" t="n"/>
    </row>
    <row r="2993">
      <c r="M2993" s="25" t="n"/>
      <c r="Q2993" s="25" t="n"/>
      <c r="U2993" s="194" t="n"/>
      <c r="AA2993" s="25" t="n"/>
      <c r="AB2993" s="25" t="n"/>
      <c r="AC2993" s="195" t="n"/>
      <c r="AD2993" s="25" t="n"/>
      <c r="AE2993" s="25" t="n"/>
      <c r="AG2993" s="25" t="n"/>
      <c r="AH2993" s="25" t="n"/>
      <c r="AI2993" s="394" t="n"/>
      <c r="AM2993" s="48" t="n"/>
      <c r="AN2993" s="48" t="n"/>
      <c r="AO2993" s="48" t="n"/>
    </row>
    <row r="2994">
      <c r="M2994" s="25" t="n"/>
      <c r="Q2994" s="25" t="n"/>
      <c r="U2994" s="194" t="n"/>
      <c r="AA2994" s="25" t="n"/>
      <c r="AB2994" s="25" t="n"/>
      <c r="AC2994" s="195" t="n"/>
      <c r="AD2994" s="25" t="n"/>
      <c r="AE2994" s="25" t="n"/>
      <c r="AG2994" s="25" t="n"/>
      <c r="AH2994" s="25" t="n"/>
      <c r="AI2994" s="394" t="n"/>
      <c r="AM2994" s="48" t="n"/>
      <c r="AN2994" s="48" t="n"/>
      <c r="AO2994" s="48" t="n"/>
    </row>
    <row r="2995">
      <c r="M2995" s="25" t="n"/>
      <c r="Q2995" s="25" t="n"/>
      <c r="U2995" s="194" t="n"/>
      <c r="AA2995" s="25" t="n"/>
      <c r="AB2995" s="25" t="n"/>
      <c r="AC2995" s="195" t="n"/>
      <c r="AD2995" s="25" t="n"/>
      <c r="AE2995" s="25" t="n"/>
      <c r="AG2995" s="25" t="n"/>
      <c r="AH2995" s="25" t="n"/>
      <c r="AI2995" s="394" t="n"/>
      <c r="AM2995" s="48" t="n"/>
      <c r="AN2995" s="48" t="n"/>
      <c r="AO2995" s="48" t="n"/>
    </row>
    <row r="2996">
      <c r="M2996" s="25" t="n"/>
      <c r="Q2996" s="25" t="n"/>
      <c r="U2996" s="194" t="n"/>
      <c r="AA2996" s="25" t="n"/>
      <c r="AB2996" s="25" t="n"/>
      <c r="AC2996" s="195" t="n"/>
      <c r="AD2996" s="25" t="n"/>
      <c r="AE2996" s="25" t="n"/>
      <c r="AG2996" s="25" t="n"/>
      <c r="AH2996" s="25" t="n"/>
      <c r="AI2996" s="394" t="n"/>
      <c r="AM2996" s="48" t="n"/>
      <c r="AN2996" s="48" t="n"/>
      <c r="AO2996" s="48" t="n"/>
    </row>
    <row r="2997">
      <c r="M2997" s="25" t="n"/>
      <c r="Q2997" s="25" t="n"/>
      <c r="U2997" s="194" t="n"/>
      <c r="AA2997" s="25" t="n"/>
      <c r="AB2997" s="25" t="n"/>
      <c r="AC2997" s="195" t="n"/>
      <c r="AD2997" s="25" t="n"/>
      <c r="AE2997" s="25" t="n"/>
      <c r="AG2997" s="25" t="n"/>
      <c r="AH2997" s="25" t="n"/>
      <c r="AI2997" s="394" t="n"/>
      <c r="AM2997" s="48" t="n"/>
      <c r="AN2997" s="48" t="n"/>
      <c r="AO2997" s="48" t="n"/>
    </row>
    <row r="2998">
      <c r="M2998" s="25" t="n"/>
      <c r="Q2998" s="25" t="n"/>
      <c r="U2998" s="194" t="n"/>
      <c r="AA2998" s="25" t="n"/>
      <c r="AB2998" s="25" t="n"/>
      <c r="AC2998" s="195" t="n"/>
      <c r="AD2998" s="25" t="n"/>
      <c r="AE2998" s="25" t="n"/>
      <c r="AG2998" s="25" t="n"/>
      <c r="AH2998" s="25" t="n"/>
      <c r="AI2998" s="394" t="n"/>
      <c r="AM2998" s="48" t="n"/>
      <c r="AN2998" s="48" t="n"/>
      <c r="AO2998" s="48" t="n"/>
    </row>
    <row r="2999">
      <c r="M2999" s="25" t="n"/>
      <c r="Q2999" s="25" t="n"/>
      <c r="U2999" s="194" t="n"/>
      <c r="AA2999" s="25" t="n"/>
      <c r="AB2999" s="25" t="n"/>
      <c r="AC2999" s="195" t="n"/>
      <c r="AD2999" s="25" t="n"/>
      <c r="AE2999" s="25" t="n"/>
      <c r="AG2999" s="25" t="n"/>
      <c r="AH2999" s="25" t="n"/>
      <c r="AI2999" s="394" t="n"/>
      <c r="AM2999" s="48" t="n"/>
      <c r="AN2999" s="48" t="n"/>
      <c r="AO2999" s="48" t="n"/>
    </row>
    <row r="3000">
      <c r="M3000" s="25" t="n"/>
      <c r="Q3000" s="25" t="n"/>
      <c r="U3000" s="194" t="n"/>
      <c r="AA3000" s="25" t="n"/>
      <c r="AB3000" s="25" t="n"/>
      <c r="AC3000" s="195" t="n"/>
      <c r="AD3000" s="25" t="n"/>
      <c r="AE3000" s="25" t="n"/>
      <c r="AG3000" s="25" t="n"/>
      <c r="AH3000" s="25" t="n"/>
      <c r="AI3000" s="394" t="n"/>
      <c r="AM3000" s="48" t="n"/>
      <c r="AN3000" s="48" t="n"/>
      <c r="AO3000" s="48" t="n"/>
    </row>
    <row r="3001">
      <c r="M3001" s="25" t="n"/>
      <c r="Q3001" s="25" t="n"/>
      <c r="U3001" s="194" t="n"/>
      <c r="AA3001" s="25" t="n"/>
      <c r="AB3001" s="25" t="n"/>
      <c r="AC3001" s="195" t="n"/>
      <c r="AD3001" s="25" t="n"/>
      <c r="AE3001" s="25" t="n"/>
      <c r="AG3001" s="25" t="n"/>
      <c r="AH3001" s="25" t="n"/>
      <c r="AI3001" s="394" t="n"/>
      <c r="AM3001" s="48" t="n"/>
      <c r="AN3001" s="48" t="n"/>
      <c r="AO3001" s="48" t="n"/>
    </row>
    <row r="3002">
      <c r="M3002" s="25" t="n"/>
      <c r="Q3002" s="25" t="n"/>
      <c r="U3002" s="194" t="n"/>
      <c r="AA3002" s="25" t="n"/>
      <c r="AB3002" s="25" t="n"/>
      <c r="AC3002" s="195" t="n"/>
      <c r="AD3002" s="25" t="n"/>
      <c r="AE3002" s="25" t="n"/>
      <c r="AG3002" s="25" t="n"/>
      <c r="AH3002" s="25" t="n"/>
      <c r="AI3002" s="394" t="n"/>
      <c r="AM3002" s="48" t="n"/>
      <c r="AN3002" s="48" t="n"/>
      <c r="AO3002" s="48" t="n"/>
    </row>
    <row r="3003">
      <c r="M3003" s="25" t="n"/>
      <c r="Q3003" s="25" t="n"/>
      <c r="U3003" s="194" t="n"/>
      <c r="AA3003" s="25" t="n"/>
      <c r="AB3003" s="25" t="n"/>
      <c r="AC3003" s="195" t="n"/>
      <c r="AD3003" s="25" t="n"/>
      <c r="AE3003" s="25" t="n"/>
      <c r="AG3003" s="25" t="n"/>
      <c r="AH3003" s="25" t="n"/>
      <c r="AI3003" s="394" t="n"/>
      <c r="AM3003" s="48" t="n"/>
      <c r="AN3003" s="48" t="n"/>
      <c r="AO3003" s="48" t="n"/>
    </row>
    <row r="3004">
      <c r="M3004" s="25" t="n"/>
      <c r="Q3004" s="25" t="n"/>
      <c r="U3004" s="194" t="n"/>
      <c r="AA3004" s="25" t="n"/>
      <c r="AB3004" s="25" t="n"/>
      <c r="AC3004" s="195" t="n"/>
      <c r="AD3004" s="25" t="n"/>
      <c r="AE3004" s="25" t="n"/>
      <c r="AG3004" s="25" t="n"/>
      <c r="AH3004" s="25" t="n"/>
      <c r="AI3004" s="394" t="n"/>
      <c r="AM3004" s="48" t="n"/>
      <c r="AN3004" s="48" t="n"/>
      <c r="AO3004" s="48" t="n"/>
    </row>
    <row r="3005">
      <c r="M3005" s="25" t="n"/>
      <c r="Q3005" s="25" t="n"/>
      <c r="U3005" s="194" t="n"/>
      <c r="AA3005" s="25" t="n"/>
      <c r="AB3005" s="25" t="n"/>
      <c r="AC3005" s="195" t="n"/>
      <c r="AD3005" s="25" t="n"/>
      <c r="AE3005" s="25" t="n"/>
      <c r="AG3005" s="25" t="n"/>
      <c r="AH3005" s="25" t="n"/>
      <c r="AI3005" s="394" t="n"/>
      <c r="AM3005" s="48" t="n"/>
      <c r="AN3005" s="48" t="n"/>
      <c r="AO3005" s="48" t="n"/>
    </row>
    <row r="3006">
      <c r="M3006" s="25" t="n"/>
      <c r="Q3006" s="25" t="n"/>
      <c r="U3006" s="194" t="n"/>
      <c r="AA3006" s="25" t="n"/>
      <c r="AB3006" s="25" t="n"/>
      <c r="AC3006" s="195" t="n"/>
      <c r="AD3006" s="25" t="n"/>
      <c r="AE3006" s="25" t="n"/>
      <c r="AG3006" s="25" t="n"/>
      <c r="AH3006" s="25" t="n"/>
      <c r="AI3006" s="394" t="n"/>
      <c r="AM3006" s="48" t="n"/>
      <c r="AN3006" s="48" t="n"/>
      <c r="AO3006" s="48" t="n"/>
    </row>
    <row r="3007">
      <c r="M3007" s="25" t="n"/>
      <c r="Q3007" s="25" t="n"/>
      <c r="U3007" s="194" t="n"/>
      <c r="AA3007" s="25" t="n"/>
      <c r="AB3007" s="25" t="n"/>
      <c r="AC3007" s="195" t="n"/>
      <c r="AD3007" s="25" t="n"/>
      <c r="AE3007" s="25" t="n"/>
      <c r="AG3007" s="25" t="n"/>
      <c r="AH3007" s="25" t="n"/>
      <c r="AI3007" s="394" t="n"/>
      <c r="AM3007" s="48" t="n"/>
      <c r="AN3007" s="48" t="n"/>
      <c r="AO3007" s="48" t="n"/>
    </row>
    <row r="3008">
      <c r="M3008" s="25" t="n"/>
      <c r="Q3008" s="25" t="n"/>
      <c r="U3008" s="194" t="n"/>
      <c r="AA3008" s="25" t="n"/>
      <c r="AB3008" s="25" t="n"/>
      <c r="AC3008" s="195" t="n"/>
      <c r="AD3008" s="25" t="n"/>
      <c r="AE3008" s="25" t="n"/>
      <c r="AG3008" s="25" t="n"/>
      <c r="AH3008" s="25" t="n"/>
      <c r="AI3008" s="394" t="n"/>
      <c r="AM3008" s="48" t="n"/>
      <c r="AN3008" s="48" t="n"/>
      <c r="AO3008" s="48" t="n"/>
    </row>
    <row r="3009">
      <c r="M3009" s="25" t="n"/>
      <c r="Q3009" s="25" t="n"/>
      <c r="U3009" s="194" t="n"/>
      <c r="AA3009" s="25" t="n"/>
      <c r="AB3009" s="25" t="n"/>
      <c r="AC3009" s="195" t="n"/>
      <c r="AD3009" s="25" t="n"/>
      <c r="AE3009" s="25" t="n"/>
      <c r="AG3009" s="25" t="n"/>
      <c r="AH3009" s="25" t="n"/>
      <c r="AI3009" s="394" t="n"/>
      <c r="AM3009" s="48" t="n"/>
      <c r="AN3009" s="48" t="n"/>
      <c r="AO3009" s="48" t="n"/>
    </row>
    <row r="3010">
      <c r="M3010" s="25" t="n"/>
      <c r="Q3010" s="25" t="n"/>
      <c r="U3010" s="194" t="n"/>
      <c r="AA3010" s="25" t="n"/>
      <c r="AB3010" s="25" t="n"/>
      <c r="AC3010" s="195" t="n"/>
      <c r="AD3010" s="25" t="n"/>
      <c r="AE3010" s="25" t="n"/>
      <c r="AG3010" s="25" t="n"/>
      <c r="AH3010" s="25" t="n"/>
      <c r="AI3010" s="394" t="n"/>
      <c r="AM3010" s="48" t="n"/>
      <c r="AN3010" s="48" t="n"/>
      <c r="AO3010" s="48" t="n"/>
    </row>
    <row r="3011">
      <c r="M3011" s="25" t="n"/>
      <c r="Q3011" s="25" t="n"/>
      <c r="U3011" s="194" t="n"/>
      <c r="AA3011" s="25" t="n"/>
      <c r="AB3011" s="25" t="n"/>
      <c r="AC3011" s="195" t="n"/>
      <c r="AD3011" s="25" t="n"/>
      <c r="AE3011" s="25" t="n"/>
      <c r="AG3011" s="25" t="n"/>
      <c r="AH3011" s="25" t="n"/>
      <c r="AI3011" s="394" t="n"/>
      <c r="AM3011" s="48" t="n"/>
      <c r="AN3011" s="48" t="n"/>
      <c r="AO3011" s="48" t="n"/>
    </row>
    <row r="3012">
      <c r="M3012" s="25" t="n"/>
      <c r="Q3012" s="25" t="n"/>
      <c r="U3012" s="194" t="n"/>
      <c r="AA3012" s="25" t="n"/>
      <c r="AB3012" s="25" t="n"/>
      <c r="AC3012" s="195" t="n"/>
      <c r="AD3012" s="25" t="n"/>
      <c r="AE3012" s="25" t="n"/>
      <c r="AG3012" s="25" t="n"/>
      <c r="AH3012" s="25" t="n"/>
      <c r="AI3012" s="394" t="n"/>
      <c r="AM3012" s="48" t="n"/>
      <c r="AN3012" s="48" t="n"/>
      <c r="AO3012" s="48" t="n"/>
    </row>
    <row r="3013">
      <c r="M3013" s="25" t="n"/>
      <c r="Q3013" s="25" t="n"/>
      <c r="U3013" s="194" t="n"/>
      <c r="AA3013" s="25" t="n"/>
      <c r="AB3013" s="25" t="n"/>
      <c r="AC3013" s="195" t="n"/>
      <c r="AD3013" s="25" t="n"/>
      <c r="AE3013" s="25" t="n"/>
      <c r="AG3013" s="25" t="n"/>
      <c r="AH3013" s="25" t="n"/>
      <c r="AI3013" s="394" t="n"/>
      <c r="AM3013" s="48" t="n"/>
      <c r="AN3013" s="48" t="n"/>
      <c r="AO3013" s="48" t="n"/>
    </row>
    <row r="3014">
      <c r="M3014" s="25" t="n"/>
      <c r="Q3014" s="25" t="n"/>
      <c r="U3014" s="194" t="n"/>
      <c r="AA3014" s="25" t="n"/>
      <c r="AB3014" s="25" t="n"/>
      <c r="AC3014" s="195" t="n"/>
      <c r="AD3014" s="25" t="n"/>
      <c r="AE3014" s="25" t="n"/>
      <c r="AG3014" s="25" t="n"/>
      <c r="AH3014" s="25" t="n"/>
      <c r="AI3014" s="394" t="n"/>
      <c r="AM3014" s="48" t="n"/>
      <c r="AN3014" s="48" t="n"/>
      <c r="AO3014" s="48" t="n"/>
    </row>
    <row r="3015">
      <c r="M3015" s="25" t="n"/>
      <c r="Q3015" s="25" t="n"/>
      <c r="U3015" s="194" t="n"/>
      <c r="AA3015" s="25" t="n"/>
      <c r="AB3015" s="25" t="n"/>
      <c r="AC3015" s="195" t="n"/>
      <c r="AD3015" s="25" t="n"/>
      <c r="AE3015" s="25" t="n"/>
      <c r="AG3015" s="25" t="n"/>
      <c r="AH3015" s="25" t="n"/>
      <c r="AI3015" s="394" t="n"/>
      <c r="AM3015" s="48" t="n"/>
      <c r="AN3015" s="48" t="n"/>
      <c r="AO3015" s="48" t="n"/>
    </row>
    <row r="3016">
      <c r="M3016" s="25" t="n"/>
      <c r="Q3016" s="25" t="n"/>
      <c r="U3016" s="194" t="n"/>
      <c r="AA3016" s="25" t="n"/>
      <c r="AB3016" s="25" t="n"/>
      <c r="AC3016" s="195" t="n"/>
      <c r="AD3016" s="25" t="n"/>
      <c r="AE3016" s="25" t="n"/>
      <c r="AG3016" s="25" t="n"/>
      <c r="AH3016" s="25" t="n"/>
      <c r="AI3016" s="394" t="n"/>
      <c r="AM3016" s="48" t="n"/>
      <c r="AN3016" s="48" t="n"/>
      <c r="AO3016" s="48" t="n"/>
    </row>
    <row r="3017">
      <c r="M3017" s="25" t="n"/>
      <c r="Q3017" s="25" t="n"/>
      <c r="U3017" s="194" t="n"/>
      <c r="AA3017" s="25" t="n"/>
      <c r="AB3017" s="25" t="n"/>
      <c r="AC3017" s="195" t="n"/>
      <c r="AD3017" s="25" t="n"/>
      <c r="AE3017" s="25" t="n"/>
      <c r="AG3017" s="25" t="n"/>
      <c r="AH3017" s="25" t="n"/>
      <c r="AI3017" s="394" t="n"/>
      <c r="AM3017" s="48" t="n"/>
      <c r="AN3017" s="48" t="n"/>
      <c r="AO3017" s="48" t="n"/>
    </row>
    <row r="3018">
      <c r="M3018" s="25" t="n"/>
      <c r="Q3018" s="25" t="n"/>
      <c r="U3018" s="194" t="n"/>
      <c r="AA3018" s="25" t="n"/>
      <c r="AB3018" s="25" t="n"/>
      <c r="AC3018" s="195" t="n"/>
      <c r="AD3018" s="25" t="n"/>
      <c r="AE3018" s="25" t="n"/>
      <c r="AG3018" s="25" t="n"/>
      <c r="AH3018" s="25" t="n"/>
      <c r="AI3018" s="394" t="n"/>
      <c r="AM3018" s="48" t="n"/>
      <c r="AN3018" s="48" t="n"/>
      <c r="AO3018" s="48" t="n"/>
    </row>
    <row r="3019">
      <c r="M3019" s="25" t="n"/>
      <c r="Q3019" s="25" t="n"/>
      <c r="U3019" s="194" t="n"/>
      <c r="AA3019" s="25" t="n"/>
      <c r="AB3019" s="25" t="n"/>
      <c r="AC3019" s="195" t="n"/>
      <c r="AD3019" s="25" t="n"/>
      <c r="AE3019" s="25" t="n"/>
      <c r="AG3019" s="25" t="n"/>
      <c r="AH3019" s="25" t="n"/>
      <c r="AI3019" s="394" t="n"/>
      <c r="AM3019" s="48" t="n"/>
      <c r="AN3019" s="48" t="n"/>
      <c r="AO3019" s="48" t="n"/>
    </row>
    <row r="3020">
      <c r="M3020" s="25" t="n"/>
      <c r="Q3020" s="25" t="n"/>
      <c r="U3020" s="194" t="n"/>
      <c r="AA3020" s="25" t="n"/>
      <c r="AB3020" s="25" t="n"/>
      <c r="AC3020" s="195" t="n"/>
      <c r="AD3020" s="25" t="n"/>
      <c r="AE3020" s="25" t="n"/>
      <c r="AG3020" s="25" t="n"/>
      <c r="AH3020" s="25" t="n"/>
      <c r="AI3020" s="394" t="n"/>
      <c r="AM3020" s="48" t="n"/>
      <c r="AN3020" s="48" t="n"/>
      <c r="AO3020" s="48" t="n"/>
    </row>
    <row r="3021">
      <c r="M3021" s="25" t="n"/>
      <c r="Q3021" s="25" t="n"/>
      <c r="U3021" s="194" t="n"/>
      <c r="AA3021" s="25" t="n"/>
      <c r="AB3021" s="25" t="n"/>
      <c r="AC3021" s="195" t="n"/>
      <c r="AD3021" s="25" t="n"/>
      <c r="AE3021" s="25" t="n"/>
      <c r="AG3021" s="25" t="n"/>
      <c r="AH3021" s="25" t="n"/>
      <c r="AI3021" s="394" t="n"/>
      <c r="AM3021" s="48" t="n"/>
      <c r="AN3021" s="48" t="n"/>
      <c r="AO3021" s="48" t="n"/>
    </row>
    <row r="3022">
      <c r="M3022" s="25" t="n"/>
      <c r="Q3022" s="25" t="n"/>
      <c r="U3022" s="194" t="n"/>
      <c r="AA3022" s="25" t="n"/>
      <c r="AB3022" s="25" t="n"/>
      <c r="AC3022" s="195" t="n"/>
      <c r="AD3022" s="25" t="n"/>
      <c r="AE3022" s="25" t="n"/>
      <c r="AG3022" s="25" t="n"/>
      <c r="AH3022" s="25" t="n"/>
      <c r="AI3022" s="394" t="n"/>
      <c r="AM3022" s="48" t="n"/>
      <c r="AN3022" s="48" t="n"/>
      <c r="AO3022" s="48" t="n"/>
    </row>
    <row r="3023">
      <c r="M3023" s="25" t="n"/>
      <c r="Q3023" s="25" t="n"/>
      <c r="U3023" s="194" t="n"/>
      <c r="AA3023" s="25" t="n"/>
      <c r="AB3023" s="25" t="n"/>
      <c r="AC3023" s="195" t="n"/>
      <c r="AD3023" s="25" t="n"/>
      <c r="AE3023" s="25" t="n"/>
      <c r="AG3023" s="25" t="n"/>
      <c r="AH3023" s="25" t="n"/>
      <c r="AI3023" s="394" t="n"/>
      <c r="AM3023" s="48" t="n"/>
      <c r="AN3023" s="48" t="n"/>
      <c r="AO3023" s="48" t="n"/>
    </row>
    <row r="3024">
      <c r="M3024" s="25" t="n"/>
      <c r="Q3024" s="25" t="n"/>
      <c r="U3024" s="194" t="n"/>
      <c r="AA3024" s="25" t="n"/>
      <c r="AB3024" s="25" t="n"/>
      <c r="AC3024" s="195" t="n"/>
      <c r="AD3024" s="25" t="n"/>
      <c r="AE3024" s="25" t="n"/>
      <c r="AG3024" s="25" t="n"/>
      <c r="AH3024" s="25" t="n"/>
      <c r="AI3024" s="394" t="n"/>
      <c r="AM3024" s="48" t="n"/>
      <c r="AN3024" s="48" t="n"/>
      <c r="AO3024" s="48" t="n"/>
    </row>
    <row r="3025">
      <c r="M3025" s="25" t="n"/>
      <c r="Q3025" s="25" t="n"/>
      <c r="U3025" s="194" t="n"/>
      <c r="AA3025" s="25" t="n"/>
      <c r="AB3025" s="25" t="n"/>
      <c r="AC3025" s="195" t="n"/>
      <c r="AD3025" s="25" t="n"/>
      <c r="AE3025" s="25" t="n"/>
      <c r="AG3025" s="25" t="n"/>
      <c r="AH3025" s="25" t="n"/>
      <c r="AI3025" s="394" t="n"/>
      <c r="AM3025" s="48" t="n"/>
      <c r="AN3025" s="48" t="n"/>
      <c r="AO3025" s="48" t="n"/>
    </row>
    <row r="3026">
      <c r="M3026" s="25" t="n"/>
      <c r="Q3026" s="25" t="n"/>
      <c r="U3026" s="194" t="n"/>
      <c r="AA3026" s="25" t="n"/>
      <c r="AB3026" s="25" t="n"/>
      <c r="AC3026" s="195" t="n"/>
      <c r="AD3026" s="25" t="n"/>
      <c r="AE3026" s="25" t="n"/>
      <c r="AG3026" s="25" t="n"/>
      <c r="AH3026" s="25" t="n"/>
      <c r="AI3026" s="394" t="n"/>
      <c r="AM3026" s="48" t="n"/>
      <c r="AN3026" s="48" t="n"/>
      <c r="AO3026" s="48" t="n"/>
    </row>
    <row r="3027">
      <c r="M3027" s="25" t="n"/>
      <c r="Q3027" s="25" t="n"/>
      <c r="U3027" s="194" t="n"/>
      <c r="AA3027" s="25" t="n"/>
      <c r="AB3027" s="25" t="n"/>
      <c r="AC3027" s="195" t="n"/>
      <c r="AD3027" s="25" t="n"/>
      <c r="AE3027" s="25" t="n"/>
      <c r="AG3027" s="25" t="n"/>
      <c r="AH3027" s="25" t="n"/>
      <c r="AI3027" s="394" t="n"/>
      <c r="AM3027" s="48" t="n"/>
      <c r="AN3027" s="48" t="n"/>
      <c r="AO3027" s="48" t="n"/>
    </row>
    <row r="3028">
      <c r="M3028" s="25" t="n"/>
      <c r="Q3028" s="25" t="n"/>
      <c r="U3028" s="194" t="n"/>
      <c r="AA3028" s="25" t="n"/>
      <c r="AB3028" s="25" t="n"/>
      <c r="AC3028" s="195" t="n"/>
      <c r="AD3028" s="25" t="n"/>
      <c r="AE3028" s="25" t="n"/>
      <c r="AG3028" s="25" t="n"/>
      <c r="AH3028" s="25" t="n"/>
      <c r="AI3028" s="394" t="n"/>
      <c r="AM3028" s="48" t="n"/>
      <c r="AN3028" s="48" t="n"/>
      <c r="AO3028" s="48" t="n"/>
    </row>
    <row r="3029">
      <c r="M3029" s="25" t="n"/>
      <c r="Q3029" s="25" t="n"/>
      <c r="U3029" s="194" t="n"/>
      <c r="AA3029" s="25" t="n"/>
      <c r="AB3029" s="25" t="n"/>
      <c r="AC3029" s="195" t="n"/>
      <c r="AD3029" s="25" t="n"/>
      <c r="AE3029" s="25" t="n"/>
      <c r="AG3029" s="25" t="n"/>
      <c r="AH3029" s="25" t="n"/>
      <c r="AI3029" s="394" t="n"/>
      <c r="AM3029" s="48" t="n"/>
      <c r="AN3029" s="48" t="n"/>
      <c r="AO3029" s="48" t="n"/>
    </row>
    <row r="3030">
      <c r="M3030" s="25" t="n"/>
      <c r="Q3030" s="25" t="n"/>
      <c r="U3030" s="194" t="n"/>
      <c r="AA3030" s="25" t="n"/>
      <c r="AB3030" s="25" t="n"/>
      <c r="AC3030" s="195" t="n"/>
      <c r="AD3030" s="25" t="n"/>
      <c r="AE3030" s="25" t="n"/>
      <c r="AG3030" s="25" t="n"/>
      <c r="AH3030" s="25" t="n"/>
      <c r="AI3030" s="394" t="n"/>
      <c r="AM3030" s="48" t="n"/>
      <c r="AN3030" s="48" t="n"/>
      <c r="AO3030" s="48" t="n"/>
    </row>
    <row r="3031">
      <c r="M3031" s="25" t="n"/>
      <c r="Q3031" s="25" t="n"/>
      <c r="U3031" s="194" t="n"/>
      <c r="AA3031" s="25" t="n"/>
      <c r="AB3031" s="25" t="n"/>
      <c r="AC3031" s="195" t="n"/>
      <c r="AD3031" s="25" t="n"/>
      <c r="AE3031" s="25" t="n"/>
      <c r="AG3031" s="25" t="n"/>
      <c r="AH3031" s="25" t="n"/>
      <c r="AI3031" s="394" t="n"/>
      <c r="AM3031" s="48" t="n"/>
      <c r="AN3031" s="48" t="n"/>
      <c r="AO3031" s="48" t="n"/>
    </row>
    <row r="3032">
      <c r="M3032" s="25" t="n"/>
      <c r="Q3032" s="25" t="n"/>
      <c r="U3032" s="194" t="n"/>
      <c r="AA3032" s="25" t="n"/>
      <c r="AB3032" s="25" t="n"/>
      <c r="AC3032" s="195" t="n"/>
      <c r="AD3032" s="25" t="n"/>
      <c r="AE3032" s="25" t="n"/>
      <c r="AG3032" s="25" t="n"/>
      <c r="AH3032" s="25" t="n"/>
      <c r="AI3032" s="394" t="n"/>
      <c r="AM3032" s="48" t="n"/>
      <c r="AN3032" s="48" t="n"/>
      <c r="AO3032" s="48" t="n"/>
    </row>
    <row r="3033">
      <c r="M3033" s="25" t="n"/>
      <c r="Q3033" s="25" t="n"/>
      <c r="U3033" s="194" t="n"/>
      <c r="AA3033" s="25" t="n"/>
      <c r="AB3033" s="25" t="n"/>
      <c r="AC3033" s="195" t="n"/>
      <c r="AD3033" s="25" t="n"/>
      <c r="AE3033" s="25" t="n"/>
      <c r="AG3033" s="25" t="n"/>
      <c r="AH3033" s="25" t="n"/>
      <c r="AI3033" s="394" t="n"/>
      <c r="AM3033" s="48" t="n"/>
      <c r="AN3033" s="48" t="n"/>
      <c r="AO3033" s="48" t="n"/>
    </row>
    <row r="3034">
      <c r="M3034" s="25" t="n"/>
      <c r="Q3034" s="25" t="n"/>
      <c r="U3034" s="194" t="n"/>
      <c r="AA3034" s="25" t="n"/>
      <c r="AB3034" s="25" t="n"/>
      <c r="AC3034" s="195" t="n"/>
      <c r="AD3034" s="25" t="n"/>
      <c r="AE3034" s="25" t="n"/>
      <c r="AG3034" s="25" t="n"/>
      <c r="AH3034" s="25" t="n"/>
      <c r="AI3034" s="394" t="n"/>
      <c r="AM3034" s="48" t="n"/>
      <c r="AN3034" s="48" t="n"/>
      <c r="AO3034" s="48" t="n"/>
    </row>
    <row r="3035">
      <c r="M3035" s="25" t="n"/>
      <c r="Q3035" s="25" t="n"/>
      <c r="U3035" s="194" t="n"/>
      <c r="AA3035" s="25" t="n"/>
      <c r="AB3035" s="25" t="n"/>
      <c r="AC3035" s="195" t="n"/>
      <c r="AD3035" s="25" t="n"/>
      <c r="AE3035" s="25" t="n"/>
      <c r="AG3035" s="25" t="n"/>
      <c r="AH3035" s="25" t="n"/>
      <c r="AI3035" s="394" t="n"/>
      <c r="AM3035" s="48" t="n"/>
      <c r="AN3035" s="48" t="n"/>
      <c r="AO3035" s="48" t="n"/>
    </row>
    <row r="3036">
      <c r="M3036" s="25" t="n"/>
      <c r="Q3036" s="25" t="n"/>
      <c r="U3036" s="194" t="n"/>
      <c r="AA3036" s="25" t="n"/>
      <c r="AB3036" s="25" t="n"/>
      <c r="AC3036" s="195" t="n"/>
      <c r="AD3036" s="25" t="n"/>
      <c r="AE3036" s="25" t="n"/>
      <c r="AG3036" s="25" t="n"/>
      <c r="AH3036" s="25" t="n"/>
      <c r="AI3036" s="394" t="n"/>
      <c r="AM3036" s="48" t="n"/>
      <c r="AN3036" s="48" t="n"/>
      <c r="AO3036" s="48" t="n"/>
    </row>
    <row r="3037">
      <c r="M3037" s="25" t="n"/>
      <c r="Q3037" s="25" t="n"/>
      <c r="U3037" s="194" t="n"/>
      <c r="AA3037" s="25" t="n"/>
      <c r="AB3037" s="25" t="n"/>
      <c r="AC3037" s="195" t="n"/>
      <c r="AD3037" s="25" t="n"/>
      <c r="AE3037" s="25" t="n"/>
      <c r="AG3037" s="25" t="n"/>
      <c r="AH3037" s="25" t="n"/>
      <c r="AI3037" s="394" t="n"/>
      <c r="AM3037" s="48" t="n"/>
      <c r="AN3037" s="48" t="n"/>
      <c r="AO3037" s="48" t="n"/>
    </row>
    <row r="3038">
      <c r="M3038" s="25" t="n"/>
      <c r="Q3038" s="25" t="n"/>
      <c r="U3038" s="194" t="n"/>
      <c r="AA3038" s="25" t="n"/>
      <c r="AB3038" s="25" t="n"/>
      <c r="AC3038" s="195" t="n"/>
      <c r="AD3038" s="25" t="n"/>
      <c r="AE3038" s="25" t="n"/>
      <c r="AG3038" s="25" t="n"/>
      <c r="AH3038" s="25" t="n"/>
      <c r="AI3038" s="394" t="n"/>
      <c r="AM3038" s="48" t="n"/>
      <c r="AN3038" s="48" t="n"/>
      <c r="AO3038" s="48" t="n"/>
    </row>
    <row r="3039">
      <c r="M3039" s="25" t="n"/>
      <c r="Q3039" s="25" t="n"/>
      <c r="U3039" s="194" t="n"/>
      <c r="AA3039" s="25" t="n"/>
      <c r="AB3039" s="25" t="n"/>
      <c r="AC3039" s="195" t="n"/>
      <c r="AD3039" s="25" t="n"/>
      <c r="AE3039" s="25" t="n"/>
      <c r="AG3039" s="25" t="n"/>
      <c r="AH3039" s="25" t="n"/>
      <c r="AI3039" s="394" t="n"/>
      <c r="AM3039" s="48" t="n"/>
      <c r="AN3039" s="48" t="n"/>
      <c r="AO3039" s="48" t="n"/>
    </row>
    <row r="3040">
      <c r="M3040" s="25" t="n"/>
      <c r="Q3040" s="25" t="n"/>
      <c r="U3040" s="194" t="n"/>
      <c r="AA3040" s="25" t="n"/>
      <c r="AB3040" s="25" t="n"/>
      <c r="AC3040" s="195" t="n"/>
      <c r="AD3040" s="25" t="n"/>
      <c r="AE3040" s="25" t="n"/>
      <c r="AG3040" s="25" t="n"/>
      <c r="AH3040" s="25" t="n"/>
      <c r="AI3040" s="394" t="n"/>
      <c r="AM3040" s="48" t="n"/>
      <c r="AN3040" s="48" t="n"/>
      <c r="AO3040" s="48" t="n"/>
    </row>
    <row r="3041">
      <c r="M3041" s="25" t="n"/>
      <c r="Q3041" s="25" t="n"/>
      <c r="U3041" s="194" t="n"/>
      <c r="AA3041" s="25" t="n"/>
      <c r="AB3041" s="25" t="n"/>
      <c r="AC3041" s="195" t="n"/>
      <c r="AD3041" s="25" t="n"/>
      <c r="AE3041" s="25" t="n"/>
      <c r="AG3041" s="25" t="n"/>
      <c r="AH3041" s="25" t="n"/>
      <c r="AI3041" s="394" t="n"/>
      <c r="AM3041" s="48" t="n"/>
      <c r="AN3041" s="48" t="n"/>
      <c r="AO3041" s="48" t="n"/>
    </row>
    <row r="3042">
      <c r="M3042" s="25" t="n"/>
      <c r="Q3042" s="25" t="n"/>
      <c r="U3042" s="194" t="n"/>
      <c r="AA3042" s="25" t="n"/>
      <c r="AB3042" s="25" t="n"/>
      <c r="AC3042" s="195" t="n"/>
      <c r="AD3042" s="25" t="n"/>
      <c r="AE3042" s="25" t="n"/>
      <c r="AG3042" s="25" t="n"/>
      <c r="AH3042" s="25" t="n"/>
      <c r="AI3042" s="394" t="n"/>
      <c r="AM3042" s="48" t="n"/>
      <c r="AN3042" s="48" t="n"/>
      <c r="AO3042" s="48" t="n"/>
    </row>
    <row r="3043">
      <c r="M3043" s="25" t="n"/>
      <c r="Q3043" s="25" t="n"/>
      <c r="U3043" s="194" t="n"/>
      <c r="AA3043" s="25" t="n"/>
      <c r="AB3043" s="25" t="n"/>
      <c r="AC3043" s="195" t="n"/>
      <c r="AD3043" s="25" t="n"/>
      <c r="AE3043" s="25" t="n"/>
      <c r="AG3043" s="25" t="n"/>
      <c r="AH3043" s="25" t="n"/>
      <c r="AI3043" s="394" t="n"/>
      <c r="AM3043" s="48" t="n"/>
      <c r="AN3043" s="48" t="n"/>
      <c r="AO3043" s="48" t="n"/>
    </row>
    <row r="3044">
      <c r="M3044" s="25" t="n"/>
      <c r="Q3044" s="25" t="n"/>
      <c r="U3044" s="194" t="n"/>
      <c r="AA3044" s="25" t="n"/>
      <c r="AB3044" s="25" t="n"/>
      <c r="AC3044" s="195" t="n"/>
      <c r="AD3044" s="25" t="n"/>
      <c r="AE3044" s="25" t="n"/>
      <c r="AG3044" s="25" t="n"/>
      <c r="AH3044" s="25" t="n"/>
      <c r="AI3044" s="394" t="n"/>
      <c r="AM3044" s="48" t="n"/>
      <c r="AN3044" s="48" t="n"/>
      <c r="AO3044" s="48" t="n"/>
    </row>
    <row r="3045">
      <c r="M3045" s="25" t="n"/>
      <c r="Q3045" s="25" t="n"/>
      <c r="U3045" s="194" t="n"/>
      <c r="AA3045" s="25" t="n"/>
      <c r="AB3045" s="25" t="n"/>
      <c r="AC3045" s="195" t="n"/>
      <c r="AD3045" s="25" t="n"/>
      <c r="AE3045" s="25" t="n"/>
      <c r="AG3045" s="25" t="n"/>
      <c r="AH3045" s="25" t="n"/>
      <c r="AI3045" s="394" t="n"/>
      <c r="AM3045" s="48" t="n"/>
      <c r="AN3045" s="48" t="n"/>
      <c r="AO3045" s="48" t="n"/>
    </row>
    <row r="3046">
      <c r="M3046" s="25" t="n"/>
      <c r="Q3046" s="25" t="n"/>
      <c r="U3046" s="194" t="n"/>
      <c r="AA3046" s="25" t="n"/>
      <c r="AB3046" s="25" t="n"/>
      <c r="AC3046" s="195" t="n"/>
      <c r="AD3046" s="25" t="n"/>
      <c r="AE3046" s="25" t="n"/>
      <c r="AG3046" s="25" t="n"/>
      <c r="AH3046" s="25" t="n"/>
      <c r="AI3046" s="394" t="n"/>
      <c r="AM3046" s="48" t="n"/>
      <c r="AN3046" s="48" t="n"/>
      <c r="AO3046" s="48" t="n"/>
    </row>
    <row r="3047">
      <c r="M3047" s="25" t="n"/>
      <c r="Q3047" s="25" t="n"/>
      <c r="U3047" s="194" t="n"/>
      <c r="AA3047" s="25" t="n"/>
      <c r="AB3047" s="25" t="n"/>
      <c r="AC3047" s="195" t="n"/>
      <c r="AD3047" s="25" t="n"/>
      <c r="AE3047" s="25" t="n"/>
      <c r="AG3047" s="25" t="n"/>
      <c r="AH3047" s="25" t="n"/>
      <c r="AI3047" s="394" t="n"/>
      <c r="AM3047" s="48" t="n"/>
      <c r="AN3047" s="48" t="n"/>
      <c r="AO3047" s="48" t="n"/>
    </row>
    <row r="3048">
      <c r="M3048" s="25" t="n"/>
      <c r="Q3048" s="25" t="n"/>
      <c r="U3048" s="194" t="n"/>
      <c r="AA3048" s="25" t="n"/>
      <c r="AB3048" s="25" t="n"/>
      <c r="AC3048" s="195" t="n"/>
      <c r="AD3048" s="25" t="n"/>
      <c r="AE3048" s="25" t="n"/>
      <c r="AG3048" s="25" t="n"/>
      <c r="AH3048" s="25" t="n"/>
      <c r="AI3048" s="394" t="n"/>
      <c r="AM3048" s="48" t="n"/>
      <c r="AN3048" s="48" t="n"/>
      <c r="AO3048" s="48" t="n"/>
    </row>
    <row r="3049">
      <c r="M3049" s="25" t="n"/>
      <c r="Q3049" s="25" t="n"/>
      <c r="U3049" s="194" t="n"/>
      <c r="AA3049" s="25" t="n"/>
      <c r="AB3049" s="25" t="n"/>
      <c r="AC3049" s="195" t="n"/>
      <c r="AD3049" s="25" t="n"/>
      <c r="AE3049" s="25" t="n"/>
      <c r="AG3049" s="25" t="n"/>
      <c r="AH3049" s="25" t="n"/>
      <c r="AI3049" s="394" t="n"/>
      <c r="AM3049" s="48" t="n"/>
      <c r="AN3049" s="48" t="n"/>
      <c r="AO3049" s="48" t="n"/>
    </row>
    <row r="3050">
      <c r="M3050" s="25" t="n"/>
      <c r="Q3050" s="25" t="n"/>
      <c r="U3050" s="194" t="n"/>
      <c r="AA3050" s="25" t="n"/>
      <c r="AB3050" s="25" t="n"/>
      <c r="AC3050" s="195" t="n"/>
      <c r="AD3050" s="25" t="n"/>
      <c r="AE3050" s="25" t="n"/>
      <c r="AG3050" s="25" t="n"/>
      <c r="AH3050" s="25" t="n"/>
      <c r="AI3050" s="394" t="n"/>
      <c r="AM3050" s="48" t="n"/>
      <c r="AN3050" s="48" t="n"/>
      <c r="AO3050" s="48" t="n"/>
    </row>
    <row r="3051">
      <c r="M3051" s="25" t="n"/>
      <c r="Q3051" s="25" t="n"/>
      <c r="U3051" s="194" t="n"/>
      <c r="AA3051" s="25" t="n"/>
      <c r="AB3051" s="25" t="n"/>
      <c r="AC3051" s="195" t="n"/>
      <c r="AD3051" s="25" t="n"/>
      <c r="AE3051" s="25" t="n"/>
      <c r="AG3051" s="25" t="n"/>
      <c r="AH3051" s="25" t="n"/>
      <c r="AI3051" s="394" t="n"/>
      <c r="AM3051" s="48" t="n"/>
      <c r="AN3051" s="48" t="n"/>
      <c r="AO3051" s="48" t="n"/>
    </row>
    <row r="3052">
      <c r="M3052" s="25" t="n"/>
      <c r="Q3052" s="25" t="n"/>
      <c r="U3052" s="194" t="n"/>
      <c r="AA3052" s="25" t="n"/>
      <c r="AB3052" s="25" t="n"/>
      <c r="AC3052" s="195" t="n"/>
      <c r="AD3052" s="25" t="n"/>
      <c r="AE3052" s="25" t="n"/>
      <c r="AG3052" s="25" t="n"/>
      <c r="AH3052" s="25" t="n"/>
      <c r="AI3052" s="394" t="n"/>
      <c r="AM3052" s="48" t="n"/>
      <c r="AN3052" s="48" t="n"/>
      <c r="AO3052" s="48" t="n"/>
    </row>
    <row r="3053">
      <c r="M3053" s="25" t="n"/>
      <c r="Q3053" s="25" t="n"/>
      <c r="U3053" s="194" t="n"/>
      <c r="AA3053" s="25" t="n"/>
      <c r="AB3053" s="25" t="n"/>
      <c r="AC3053" s="195" t="n"/>
      <c r="AD3053" s="25" t="n"/>
      <c r="AE3053" s="25" t="n"/>
      <c r="AG3053" s="25" t="n"/>
      <c r="AH3053" s="25" t="n"/>
      <c r="AI3053" s="394" t="n"/>
      <c r="AM3053" s="48" t="n"/>
      <c r="AN3053" s="48" t="n"/>
      <c r="AO3053" s="48" t="n"/>
    </row>
    <row r="3054">
      <c r="M3054" s="25" t="n"/>
      <c r="Q3054" s="25" t="n"/>
      <c r="U3054" s="194" t="n"/>
      <c r="AA3054" s="25" t="n"/>
      <c r="AB3054" s="25" t="n"/>
      <c r="AC3054" s="195" t="n"/>
      <c r="AD3054" s="25" t="n"/>
      <c r="AE3054" s="25" t="n"/>
      <c r="AG3054" s="25" t="n"/>
      <c r="AH3054" s="25" t="n"/>
      <c r="AI3054" s="394" t="n"/>
      <c r="AM3054" s="48" t="n"/>
      <c r="AN3054" s="48" t="n"/>
      <c r="AO3054" s="48" t="n"/>
    </row>
    <row r="3055">
      <c r="M3055" s="25" t="n"/>
      <c r="Q3055" s="25" t="n"/>
      <c r="U3055" s="194" t="n"/>
      <c r="AA3055" s="25" t="n"/>
      <c r="AB3055" s="25" t="n"/>
      <c r="AC3055" s="195" t="n"/>
      <c r="AD3055" s="25" t="n"/>
      <c r="AE3055" s="25" t="n"/>
      <c r="AG3055" s="25" t="n"/>
      <c r="AH3055" s="25" t="n"/>
      <c r="AI3055" s="394" t="n"/>
      <c r="AM3055" s="48" t="n"/>
      <c r="AN3055" s="48" t="n"/>
      <c r="AO3055" s="48" t="n"/>
    </row>
    <row r="3056">
      <c r="M3056" s="25" t="n"/>
      <c r="Q3056" s="25" t="n"/>
      <c r="U3056" s="194" t="n"/>
      <c r="AA3056" s="25" t="n"/>
      <c r="AB3056" s="25" t="n"/>
      <c r="AC3056" s="195" t="n"/>
      <c r="AD3056" s="25" t="n"/>
      <c r="AE3056" s="25" t="n"/>
      <c r="AG3056" s="25" t="n"/>
      <c r="AH3056" s="25" t="n"/>
      <c r="AI3056" s="394" t="n"/>
      <c r="AM3056" s="48" t="n"/>
      <c r="AN3056" s="48" t="n"/>
      <c r="AO3056" s="48" t="n"/>
    </row>
    <row r="3057">
      <c r="M3057" s="25" t="n"/>
      <c r="Q3057" s="25" t="n"/>
      <c r="U3057" s="194" t="n"/>
      <c r="AA3057" s="25" t="n"/>
      <c r="AB3057" s="25" t="n"/>
      <c r="AC3057" s="195" t="n"/>
      <c r="AD3057" s="25" t="n"/>
      <c r="AE3057" s="25" t="n"/>
      <c r="AG3057" s="25" t="n"/>
      <c r="AH3057" s="25" t="n"/>
      <c r="AI3057" s="394" t="n"/>
      <c r="AM3057" s="48" t="n"/>
      <c r="AN3057" s="48" t="n"/>
      <c r="AO3057" s="48" t="n"/>
    </row>
    <row r="3058">
      <c r="M3058" s="25" t="n"/>
      <c r="Q3058" s="25" t="n"/>
      <c r="U3058" s="194" t="n"/>
      <c r="AA3058" s="25" t="n"/>
      <c r="AB3058" s="25" t="n"/>
      <c r="AC3058" s="195" t="n"/>
      <c r="AD3058" s="25" t="n"/>
      <c r="AE3058" s="25" t="n"/>
      <c r="AG3058" s="25" t="n"/>
      <c r="AH3058" s="25" t="n"/>
      <c r="AI3058" s="394" t="n"/>
      <c r="AM3058" s="48" t="n"/>
      <c r="AN3058" s="48" t="n"/>
      <c r="AO3058" s="48" t="n"/>
    </row>
    <row r="3059">
      <c r="M3059" s="25" t="n"/>
      <c r="Q3059" s="25" t="n"/>
      <c r="U3059" s="194" t="n"/>
      <c r="AA3059" s="25" t="n"/>
      <c r="AB3059" s="25" t="n"/>
      <c r="AC3059" s="195" t="n"/>
      <c r="AD3059" s="25" t="n"/>
      <c r="AE3059" s="25" t="n"/>
      <c r="AG3059" s="25" t="n"/>
      <c r="AH3059" s="25" t="n"/>
      <c r="AI3059" s="394" t="n"/>
      <c r="AM3059" s="48" t="n"/>
      <c r="AN3059" s="48" t="n"/>
      <c r="AO3059" s="48" t="n"/>
    </row>
    <row r="3060">
      <c r="M3060" s="25" t="n"/>
      <c r="Q3060" s="25" t="n"/>
      <c r="U3060" s="194" t="n"/>
      <c r="AA3060" s="25" t="n"/>
      <c r="AB3060" s="25" t="n"/>
      <c r="AC3060" s="195" t="n"/>
      <c r="AD3060" s="25" t="n"/>
      <c r="AE3060" s="25" t="n"/>
      <c r="AG3060" s="25" t="n"/>
      <c r="AH3060" s="25" t="n"/>
      <c r="AI3060" s="394" t="n"/>
      <c r="AM3060" s="48" t="n"/>
      <c r="AN3060" s="48" t="n"/>
      <c r="AO3060" s="48" t="n"/>
    </row>
    <row r="3061">
      <c r="M3061" s="25" t="n"/>
      <c r="Q3061" s="25" t="n"/>
      <c r="U3061" s="194" t="n"/>
      <c r="AA3061" s="25" t="n"/>
      <c r="AB3061" s="25" t="n"/>
      <c r="AC3061" s="195" t="n"/>
      <c r="AD3061" s="25" t="n"/>
      <c r="AE3061" s="25" t="n"/>
      <c r="AG3061" s="25" t="n"/>
      <c r="AH3061" s="25" t="n"/>
      <c r="AI3061" s="394" t="n"/>
      <c r="AM3061" s="48" t="n"/>
      <c r="AN3061" s="48" t="n"/>
      <c r="AO3061" s="48" t="n"/>
    </row>
    <row r="3062">
      <c r="M3062" s="25" t="n"/>
      <c r="Q3062" s="25" t="n"/>
      <c r="U3062" s="194" t="n"/>
      <c r="AA3062" s="25" t="n"/>
      <c r="AB3062" s="25" t="n"/>
      <c r="AC3062" s="195" t="n"/>
      <c r="AD3062" s="25" t="n"/>
      <c r="AE3062" s="25" t="n"/>
      <c r="AG3062" s="25" t="n"/>
      <c r="AH3062" s="25" t="n"/>
      <c r="AI3062" s="394" t="n"/>
      <c r="AM3062" s="48" t="n"/>
      <c r="AN3062" s="48" t="n"/>
      <c r="AO3062" s="48" t="n"/>
    </row>
    <row r="3063">
      <c r="M3063" s="25" t="n"/>
      <c r="Q3063" s="25" t="n"/>
      <c r="U3063" s="194" t="n"/>
      <c r="AA3063" s="25" t="n"/>
      <c r="AB3063" s="25" t="n"/>
      <c r="AC3063" s="195" t="n"/>
      <c r="AD3063" s="25" t="n"/>
      <c r="AE3063" s="25" t="n"/>
      <c r="AG3063" s="25" t="n"/>
      <c r="AH3063" s="25" t="n"/>
      <c r="AI3063" s="394" t="n"/>
      <c r="AM3063" s="48" t="n"/>
      <c r="AN3063" s="48" t="n"/>
      <c r="AO3063" s="48" t="n"/>
    </row>
    <row r="3064">
      <c r="M3064" s="25" t="n"/>
      <c r="Q3064" s="25" t="n"/>
      <c r="U3064" s="194" t="n"/>
      <c r="AA3064" s="25" t="n"/>
      <c r="AB3064" s="25" t="n"/>
      <c r="AC3064" s="195" t="n"/>
      <c r="AD3064" s="25" t="n"/>
      <c r="AE3064" s="25" t="n"/>
      <c r="AG3064" s="25" t="n"/>
      <c r="AH3064" s="25" t="n"/>
      <c r="AI3064" s="394" t="n"/>
      <c r="AM3064" s="48" t="n"/>
      <c r="AN3064" s="48" t="n"/>
      <c r="AO3064" s="48" t="n"/>
    </row>
    <row r="3065">
      <c r="M3065" s="25" t="n"/>
      <c r="Q3065" s="25" t="n"/>
      <c r="U3065" s="194" t="n"/>
      <c r="AA3065" s="25" t="n"/>
      <c r="AB3065" s="25" t="n"/>
      <c r="AC3065" s="195" t="n"/>
      <c r="AD3065" s="25" t="n"/>
      <c r="AE3065" s="25" t="n"/>
      <c r="AG3065" s="25" t="n"/>
      <c r="AH3065" s="25" t="n"/>
      <c r="AI3065" s="394" t="n"/>
      <c r="AM3065" s="48" t="n"/>
      <c r="AN3065" s="48" t="n"/>
      <c r="AO3065" s="48" t="n"/>
    </row>
    <row r="3066">
      <c r="M3066" s="25" t="n"/>
      <c r="Q3066" s="25" t="n"/>
      <c r="U3066" s="194" t="n"/>
      <c r="AA3066" s="25" t="n"/>
      <c r="AB3066" s="25" t="n"/>
      <c r="AC3066" s="195" t="n"/>
      <c r="AD3066" s="25" t="n"/>
      <c r="AE3066" s="25" t="n"/>
      <c r="AG3066" s="25" t="n"/>
      <c r="AH3066" s="25" t="n"/>
      <c r="AI3066" s="394" t="n"/>
      <c r="AM3066" s="48" t="n"/>
      <c r="AN3066" s="48" t="n"/>
      <c r="AO3066" s="48" t="n"/>
    </row>
    <row r="3067">
      <c r="M3067" s="25" t="n"/>
      <c r="Q3067" s="25" t="n"/>
      <c r="U3067" s="194" t="n"/>
      <c r="AA3067" s="25" t="n"/>
      <c r="AB3067" s="25" t="n"/>
      <c r="AC3067" s="195" t="n"/>
      <c r="AD3067" s="25" t="n"/>
      <c r="AE3067" s="25" t="n"/>
      <c r="AG3067" s="25" t="n"/>
      <c r="AH3067" s="25" t="n"/>
      <c r="AI3067" s="394" t="n"/>
      <c r="AM3067" s="48" t="n"/>
      <c r="AN3067" s="48" t="n"/>
      <c r="AO3067" s="48" t="n"/>
    </row>
    <row r="3068">
      <c r="M3068" s="25" t="n"/>
      <c r="Q3068" s="25" t="n"/>
      <c r="U3068" s="194" t="n"/>
      <c r="AA3068" s="25" t="n"/>
      <c r="AB3068" s="25" t="n"/>
      <c r="AC3068" s="195" t="n"/>
      <c r="AD3068" s="25" t="n"/>
      <c r="AE3068" s="25" t="n"/>
      <c r="AG3068" s="25" t="n"/>
      <c r="AH3068" s="25" t="n"/>
      <c r="AI3068" s="394" t="n"/>
      <c r="AM3068" s="48" t="n"/>
      <c r="AN3068" s="48" t="n"/>
      <c r="AO3068" s="48" t="n"/>
    </row>
    <row r="3069">
      <c r="M3069" s="25" t="n"/>
      <c r="Q3069" s="25" t="n"/>
      <c r="U3069" s="194" t="n"/>
      <c r="AA3069" s="25" t="n"/>
      <c r="AB3069" s="25" t="n"/>
      <c r="AC3069" s="195" t="n"/>
      <c r="AD3069" s="25" t="n"/>
      <c r="AE3069" s="25" t="n"/>
      <c r="AG3069" s="25" t="n"/>
      <c r="AH3069" s="25" t="n"/>
      <c r="AI3069" s="394" t="n"/>
      <c r="AM3069" s="48" t="n"/>
      <c r="AN3069" s="48" t="n"/>
      <c r="AO3069" s="48" t="n"/>
    </row>
    <row r="3070">
      <c r="M3070" s="25" t="n"/>
      <c r="Q3070" s="25" t="n"/>
      <c r="U3070" s="194" t="n"/>
      <c r="AA3070" s="25" t="n"/>
      <c r="AB3070" s="25" t="n"/>
      <c r="AC3070" s="195" t="n"/>
      <c r="AD3070" s="25" t="n"/>
      <c r="AE3070" s="25" t="n"/>
      <c r="AG3070" s="25" t="n"/>
      <c r="AH3070" s="25" t="n"/>
      <c r="AI3070" s="394" t="n"/>
      <c r="AM3070" s="48" t="n"/>
      <c r="AN3070" s="48" t="n"/>
      <c r="AO3070" s="48" t="n"/>
    </row>
    <row r="3071">
      <c r="M3071" s="25" t="n"/>
      <c r="Q3071" s="25" t="n"/>
      <c r="U3071" s="194" t="n"/>
      <c r="AA3071" s="25" t="n"/>
      <c r="AB3071" s="25" t="n"/>
      <c r="AC3071" s="195" t="n"/>
      <c r="AD3071" s="25" t="n"/>
      <c r="AE3071" s="25" t="n"/>
      <c r="AG3071" s="25" t="n"/>
      <c r="AH3071" s="25" t="n"/>
      <c r="AI3071" s="394" t="n"/>
      <c r="AM3071" s="48" t="n"/>
      <c r="AN3071" s="48" t="n"/>
      <c r="AO3071" s="48" t="n"/>
    </row>
    <row r="3072">
      <c r="M3072" s="25" t="n"/>
      <c r="Q3072" s="25" t="n"/>
      <c r="U3072" s="194" t="n"/>
      <c r="AA3072" s="25" t="n"/>
      <c r="AB3072" s="25" t="n"/>
      <c r="AC3072" s="195" t="n"/>
      <c r="AD3072" s="25" t="n"/>
      <c r="AE3072" s="25" t="n"/>
      <c r="AG3072" s="25" t="n"/>
      <c r="AH3072" s="25" t="n"/>
      <c r="AI3072" s="394" t="n"/>
      <c r="AM3072" s="48" t="n"/>
      <c r="AN3072" s="48" t="n"/>
      <c r="AO3072" s="48" t="n"/>
    </row>
    <row r="3073">
      <c r="M3073" s="25" t="n"/>
      <c r="Q3073" s="25" t="n"/>
      <c r="U3073" s="194" t="n"/>
      <c r="AA3073" s="25" t="n"/>
      <c r="AB3073" s="25" t="n"/>
      <c r="AC3073" s="195" t="n"/>
      <c r="AD3073" s="25" t="n"/>
      <c r="AE3073" s="25" t="n"/>
      <c r="AG3073" s="25" t="n"/>
      <c r="AH3073" s="25" t="n"/>
      <c r="AI3073" s="394" t="n"/>
      <c r="AM3073" s="48" t="n"/>
      <c r="AN3073" s="48" t="n"/>
      <c r="AO3073" s="48" t="n"/>
    </row>
    <row r="3074">
      <c r="M3074" s="25" t="n"/>
      <c r="Q3074" s="25" t="n"/>
      <c r="U3074" s="194" t="n"/>
      <c r="AA3074" s="25" t="n"/>
      <c r="AB3074" s="25" t="n"/>
      <c r="AC3074" s="195" t="n"/>
      <c r="AD3074" s="25" t="n"/>
      <c r="AE3074" s="25" t="n"/>
      <c r="AG3074" s="25" t="n"/>
      <c r="AH3074" s="25" t="n"/>
      <c r="AI3074" s="394" t="n"/>
      <c r="AM3074" s="48" t="n"/>
      <c r="AN3074" s="48" t="n"/>
      <c r="AO3074" s="48" t="n"/>
    </row>
    <row r="3075">
      <c r="M3075" s="25" t="n"/>
      <c r="Q3075" s="25" t="n"/>
      <c r="U3075" s="194" t="n"/>
      <c r="AA3075" s="25" t="n"/>
      <c r="AB3075" s="25" t="n"/>
      <c r="AC3075" s="195" t="n"/>
      <c r="AD3075" s="25" t="n"/>
      <c r="AE3075" s="25" t="n"/>
      <c r="AG3075" s="25" t="n"/>
      <c r="AH3075" s="25" t="n"/>
      <c r="AI3075" s="394" t="n"/>
      <c r="AM3075" s="48" t="n"/>
      <c r="AN3075" s="48" t="n"/>
      <c r="AO3075" s="48" t="n"/>
    </row>
    <row r="3076">
      <c r="M3076" s="25" t="n"/>
      <c r="Q3076" s="25" t="n"/>
      <c r="U3076" s="194" t="n"/>
      <c r="AA3076" s="25" t="n"/>
      <c r="AB3076" s="25" t="n"/>
      <c r="AC3076" s="195" t="n"/>
      <c r="AD3076" s="25" t="n"/>
      <c r="AE3076" s="25" t="n"/>
      <c r="AG3076" s="25" t="n"/>
      <c r="AH3076" s="25" t="n"/>
      <c r="AI3076" s="394" t="n"/>
      <c r="AM3076" s="48" t="n"/>
      <c r="AN3076" s="48" t="n"/>
      <c r="AO3076" s="48" t="n"/>
    </row>
    <row r="3077">
      <c r="M3077" s="25" t="n"/>
      <c r="Q3077" s="25" t="n"/>
      <c r="U3077" s="194" t="n"/>
      <c r="AA3077" s="25" t="n"/>
      <c r="AB3077" s="25" t="n"/>
      <c r="AC3077" s="195" t="n"/>
      <c r="AD3077" s="25" t="n"/>
      <c r="AE3077" s="25" t="n"/>
      <c r="AG3077" s="25" t="n"/>
      <c r="AH3077" s="25" t="n"/>
      <c r="AI3077" s="394" t="n"/>
      <c r="AM3077" s="48" t="n"/>
      <c r="AN3077" s="48" t="n"/>
      <c r="AO3077" s="48" t="n"/>
    </row>
    <row r="3078">
      <c r="M3078" s="25" t="n"/>
      <c r="Q3078" s="25" t="n"/>
      <c r="U3078" s="194" t="n"/>
      <c r="AA3078" s="25" t="n"/>
      <c r="AB3078" s="25" t="n"/>
      <c r="AC3078" s="195" t="n"/>
      <c r="AD3078" s="25" t="n"/>
      <c r="AE3078" s="25" t="n"/>
      <c r="AG3078" s="25" t="n"/>
      <c r="AH3078" s="25" t="n"/>
      <c r="AI3078" s="394" t="n"/>
      <c r="AM3078" s="48" t="n"/>
      <c r="AN3078" s="48" t="n"/>
      <c r="AO3078" s="48" t="n"/>
    </row>
    <row r="3079">
      <c r="M3079" s="25" t="n"/>
      <c r="Q3079" s="25" t="n"/>
      <c r="U3079" s="194" t="n"/>
      <c r="AA3079" s="25" t="n"/>
      <c r="AB3079" s="25" t="n"/>
      <c r="AC3079" s="195" t="n"/>
      <c r="AD3079" s="25" t="n"/>
      <c r="AE3079" s="25" t="n"/>
      <c r="AG3079" s="25" t="n"/>
      <c r="AH3079" s="25" t="n"/>
      <c r="AI3079" s="394" t="n"/>
      <c r="AM3079" s="48" t="n"/>
      <c r="AN3079" s="48" t="n"/>
      <c r="AO3079" s="48" t="n"/>
    </row>
    <row r="3080">
      <c r="M3080" s="25" t="n"/>
      <c r="Q3080" s="25" t="n"/>
      <c r="U3080" s="194" t="n"/>
      <c r="AA3080" s="25" t="n"/>
      <c r="AB3080" s="25" t="n"/>
      <c r="AC3080" s="195" t="n"/>
      <c r="AD3080" s="25" t="n"/>
      <c r="AE3080" s="25" t="n"/>
      <c r="AG3080" s="25" t="n"/>
      <c r="AH3080" s="25" t="n"/>
      <c r="AI3080" s="394" t="n"/>
      <c r="AM3080" s="48" t="n"/>
      <c r="AN3080" s="48" t="n"/>
      <c r="AO3080" s="48" t="n"/>
    </row>
    <row r="3081">
      <c r="M3081" s="25" t="n"/>
      <c r="Q3081" s="25" t="n"/>
      <c r="U3081" s="194" t="n"/>
      <c r="AA3081" s="25" t="n"/>
      <c r="AB3081" s="25" t="n"/>
      <c r="AC3081" s="195" t="n"/>
      <c r="AD3081" s="25" t="n"/>
      <c r="AE3081" s="25" t="n"/>
      <c r="AG3081" s="25" t="n"/>
      <c r="AH3081" s="25" t="n"/>
      <c r="AI3081" s="394" t="n"/>
      <c r="AM3081" s="48" t="n"/>
      <c r="AN3081" s="48" t="n"/>
      <c r="AO3081" s="48" t="n"/>
    </row>
    <row r="3082">
      <c r="M3082" s="25" t="n"/>
      <c r="Q3082" s="25" t="n"/>
      <c r="U3082" s="194" t="n"/>
      <c r="AA3082" s="25" t="n"/>
      <c r="AB3082" s="25" t="n"/>
      <c r="AC3082" s="195" t="n"/>
      <c r="AD3082" s="25" t="n"/>
      <c r="AE3082" s="25" t="n"/>
      <c r="AG3082" s="25" t="n"/>
      <c r="AH3082" s="25" t="n"/>
      <c r="AI3082" s="394" t="n"/>
      <c r="AM3082" s="48" t="n"/>
      <c r="AN3082" s="48" t="n"/>
      <c r="AO3082" s="48" t="n"/>
    </row>
    <row r="3083">
      <c r="M3083" s="25" t="n"/>
      <c r="Q3083" s="25" t="n"/>
      <c r="U3083" s="194" t="n"/>
      <c r="AA3083" s="25" t="n"/>
      <c r="AB3083" s="25" t="n"/>
      <c r="AC3083" s="195" t="n"/>
      <c r="AD3083" s="25" t="n"/>
      <c r="AE3083" s="25" t="n"/>
      <c r="AG3083" s="25" t="n"/>
      <c r="AH3083" s="25" t="n"/>
      <c r="AI3083" s="394" t="n"/>
      <c r="AM3083" s="48" t="n"/>
      <c r="AN3083" s="48" t="n"/>
      <c r="AO3083" s="48" t="n"/>
    </row>
    <row r="3084">
      <c r="M3084" s="25" t="n"/>
      <c r="Q3084" s="25" t="n"/>
      <c r="U3084" s="194" t="n"/>
      <c r="AA3084" s="25" t="n"/>
      <c r="AB3084" s="25" t="n"/>
      <c r="AC3084" s="195" t="n"/>
      <c r="AD3084" s="25" t="n"/>
      <c r="AE3084" s="25" t="n"/>
      <c r="AG3084" s="25" t="n"/>
      <c r="AH3084" s="25" t="n"/>
      <c r="AI3084" s="394" t="n"/>
      <c r="AM3084" s="48" t="n"/>
      <c r="AN3084" s="48" t="n"/>
      <c r="AO3084" s="48" t="n"/>
    </row>
    <row r="3085">
      <c r="M3085" s="25" t="n"/>
      <c r="Q3085" s="25" t="n"/>
      <c r="U3085" s="194" t="n"/>
      <c r="AA3085" s="25" t="n"/>
      <c r="AB3085" s="25" t="n"/>
      <c r="AC3085" s="195" t="n"/>
      <c r="AD3085" s="25" t="n"/>
      <c r="AE3085" s="25" t="n"/>
      <c r="AG3085" s="25" t="n"/>
      <c r="AH3085" s="25" t="n"/>
      <c r="AI3085" s="394" t="n"/>
      <c r="AM3085" s="48" t="n"/>
      <c r="AN3085" s="48" t="n"/>
      <c r="AO3085" s="48" t="n"/>
    </row>
    <row r="3086">
      <c r="M3086" s="25" t="n"/>
      <c r="Q3086" s="25" t="n"/>
      <c r="U3086" s="194" t="n"/>
      <c r="AA3086" s="25" t="n"/>
      <c r="AB3086" s="25" t="n"/>
      <c r="AC3086" s="195" t="n"/>
      <c r="AD3086" s="25" t="n"/>
      <c r="AE3086" s="25" t="n"/>
      <c r="AG3086" s="25" t="n"/>
      <c r="AH3086" s="25" t="n"/>
      <c r="AI3086" s="394" t="n"/>
      <c r="AM3086" s="48" t="n"/>
      <c r="AN3086" s="48" t="n"/>
      <c r="AO3086" s="48" t="n"/>
    </row>
    <row r="3087">
      <c r="M3087" s="25" t="n"/>
      <c r="Q3087" s="25" t="n"/>
      <c r="U3087" s="194" t="n"/>
      <c r="AA3087" s="25" t="n"/>
      <c r="AB3087" s="25" t="n"/>
      <c r="AC3087" s="195" t="n"/>
      <c r="AD3087" s="25" t="n"/>
      <c r="AE3087" s="25" t="n"/>
      <c r="AG3087" s="25" t="n"/>
      <c r="AH3087" s="25" t="n"/>
      <c r="AI3087" s="394" t="n"/>
      <c r="AM3087" s="48" t="n"/>
      <c r="AN3087" s="48" t="n"/>
      <c r="AO3087" s="48" t="n"/>
    </row>
    <row r="3088">
      <c r="M3088" s="25" t="n"/>
      <c r="Q3088" s="25" t="n"/>
      <c r="U3088" s="194" t="n"/>
      <c r="AA3088" s="25" t="n"/>
      <c r="AB3088" s="25" t="n"/>
      <c r="AC3088" s="195" t="n"/>
      <c r="AD3088" s="25" t="n"/>
      <c r="AE3088" s="25" t="n"/>
      <c r="AG3088" s="25" t="n"/>
      <c r="AH3088" s="25" t="n"/>
      <c r="AI3088" s="394" t="n"/>
      <c r="AM3088" s="48" t="n"/>
      <c r="AN3088" s="48" t="n"/>
      <c r="AO3088" s="48" t="n"/>
    </row>
    <row r="3089">
      <c r="M3089" s="25" t="n"/>
      <c r="Q3089" s="25" t="n"/>
      <c r="U3089" s="194" t="n"/>
      <c r="AA3089" s="25" t="n"/>
      <c r="AB3089" s="25" t="n"/>
      <c r="AC3089" s="195" t="n"/>
      <c r="AD3089" s="25" t="n"/>
      <c r="AE3089" s="25" t="n"/>
      <c r="AG3089" s="25" t="n"/>
      <c r="AH3089" s="25" t="n"/>
      <c r="AI3089" s="394" t="n"/>
      <c r="AM3089" s="48" t="n"/>
      <c r="AN3089" s="48" t="n"/>
      <c r="AO3089" s="48" t="n"/>
    </row>
    <row r="3090">
      <c r="M3090" s="25" t="n"/>
      <c r="Q3090" s="25" t="n"/>
      <c r="U3090" s="194" t="n"/>
      <c r="AA3090" s="25" t="n"/>
      <c r="AB3090" s="25" t="n"/>
      <c r="AC3090" s="195" t="n"/>
      <c r="AD3090" s="25" t="n"/>
      <c r="AE3090" s="25" t="n"/>
      <c r="AG3090" s="25" t="n"/>
      <c r="AH3090" s="25" t="n"/>
      <c r="AI3090" s="394" t="n"/>
      <c r="AM3090" s="48" t="n"/>
      <c r="AN3090" s="48" t="n"/>
      <c r="AO3090" s="48" t="n"/>
    </row>
    <row r="3091">
      <c r="M3091" s="25" t="n"/>
      <c r="Q3091" s="25" t="n"/>
      <c r="U3091" s="194" t="n"/>
      <c r="AA3091" s="25" t="n"/>
      <c r="AB3091" s="25" t="n"/>
      <c r="AC3091" s="195" t="n"/>
      <c r="AD3091" s="25" t="n"/>
      <c r="AE3091" s="25" t="n"/>
      <c r="AG3091" s="25" t="n"/>
      <c r="AH3091" s="25" t="n"/>
      <c r="AI3091" s="394" t="n"/>
      <c r="AM3091" s="48" t="n"/>
      <c r="AN3091" s="48" t="n"/>
      <c r="AO3091" s="48" t="n"/>
    </row>
    <row r="3092">
      <c r="M3092" s="25" t="n"/>
      <c r="Q3092" s="25" t="n"/>
      <c r="U3092" s="194" t="n"/>
      <c r="AA3092" s="25" t="n"/>
      <c r="AB3092" s="25" t="n"/>
      <c r="AC3092" s="195" t="n"/>
      <c r="AD3092" s="25" t="n"/>
      <c r="AE3092" s="25" t="n"/>
      <c r="AG3092" s="25" t="n"/>
      <c r="AH3092" s="25" t="n"/>
      <c r="AI3092" s="394" t="n"/>
      <c r="AM3092" s="48" t="n"/>
      <c r="AN3092" s="48" t="n"/>
      <c r="AO3092" s="48" t="n"/>
    </row>
    <row r="3093">
      <c r="M3093" s="25" t="n"/>
      <c r="Q3093" s="25" t="n"/>
      <c r="U3093" s="194" t="n"/>
      <c r="AA3093" s="25" t="n"/>
      <c r="AB3093" s="25" t="n"/>
      <c r="AC3093" s="195" t="n"/>
      <c r="AD3093" s="25" t="n"/>
      <c r="AE3093" s="25" t="n"/>
      <c r="AG3093" s="25" t="n"/>
      <c r="AH3093" s="25" t="n"/>
      <c r="AI3093" s="394" t="n"/>
      <c r="AM3093" s="48" t="n"/>
      <c r="AN3093" s="48" t="n"/>
      <c r="AO3093" s="48" t="n"/>
    </row>
    <row r="3094">
      <c r="M3094" s="25" t="n"/>
      <c r="Q3094" s="25" t="n"/>
      <c r="U3094" s="194" t="n"/>
      <c r="AA3094" s="25" t="n"/>
      <c r="AB3094" s="25" t="n"/>
      <c r="AC3094" s="195" t="n"/>
      <c r="AD3094" s="25" t="n"/>
      <c r="AE3094" s="25" t="n"/>
      <c r="AG3094" s="25" t="n"/>
      <c r="AH3094" s="25" t="n"/>
      <c r="AI3094" s="394" t="n"/>
      <c r="AM3094" s="48" t="n"/>
      <c r="AN3094" s="48" t="n"/>
      <c r="AO3094" s="48" t="n"/>
    </row>
    <row r="3095">
      <c r="M3095" s="25" t="n"/>
      <c r="Q3095" s="25" t="n"/>
      <c r="U3095" s="194" t="n"/>
      <c r="AA3095" s="25" t="n"/>
      <c r="AB3095" s="25" t="n"/>
      <c r="AC3095" s="195" t="n"/>
      <c r="AD3095" s="25" t="n"/>
      <c r="AE3095" s="25" t="n"/>
      <c r="AG3095" s="25" t="n"/>
      <c r="AH3095" s="25" t="n"/>
      <c r="AI3095" s="394" t="n"/>
      <c r="AM3095" s="48" t="n"/>
      <c r="AN3095" s="48" t="n"/>
      <c r="AO3095" s="48" t="n"/>
    </row>
    <row r="3096">
      <c r="M3096" s="25" t="n"/>
      <c r="Q3096" s="25" t="n"/>
      <c r="U3096" s="194" t="n"/>
      <c r="AA3096" s="25" t="n"/>
      <c r="AB3096" s="25" t="n"/>
      <c r="AC3096" s="195" t="n"/>
      <c r="AD3096" s="25" t="n"/>
      <c r="AE3096" s="25" t="n"/>
      <c r="AG3096" s="25" t="n"/>
      <c r="AH3096" s="25" t="n"/>
      <c r="AI3096" s="394" t="n"/>
      <c r="AM3096" s="48" t="n"/>
      <c r="AN3096" s="48" t="n"/>
      <c r="AO3096" s="48" t="n"/>
    </row>
    <row r="3097">
      <c r="M3097" s="25" t="n"/>
      <c r="Q3097" s="25" t="n"/>
      <c r="U3097" s="194" t="n"/>
      <c r="AA3097" s="25" t="n"/>
      <c r="AB3097" s="25" t="n"/>
      <c r="AC3097" s="195" t="n"/>
      <c r="AD3097" s="25" t="n"/>
      <c r="AE3097" s="25" t="n"/>
      <c r="AG3097" s="25" t="n"/>
      <c r="AH3097" s="25" t="n"/>
      <c r="AI3097" s="394" t="n"/>
      <c r="AM3097" s="48" t="n"/>
      <c r="AN3097" s="48" t="n"/>
      <c r="AO3097" s="48" t="n"/>
    </row>
    <row r="3098">
      <c r="M3098" s="25" t="n"/>
      <c r="Q3098" s="25" t="n"/>
      <c r="U3098" s="194" t="n"/>
      <c r="AA3098" s="25" t="n"/>
      <c r="AB3098" s="25" t="n"/>
      <c r="AC3098" s="195" t="n"/>
      <c r="AD3098" s="25" t="n"/>
      <c r="AE3098" s="25" t="n"/>
      <c r="AG3098" s="25" t="n"/>
      <c r="AH3098" s="25" t="n"/>
      <c r="AI3098" s="394" t="n"/>
      <c r="AM3098" s="48" t="n"/>
      <c r="AN3098" s="48" t="n"/>
      <c r="AO3098" s="48" t="n"/>
    </row>
    <row r="3099">
      <c r="M3099" s="25" t="n"/>
      <c r="Q3099" s="25" t="n"/>
      <c r="U3099" s="194" t="n"/>
      <c r="AA3099" s="25" t="n"/>
      <c r="AB3099" s="25" t="n"/>
      <c r="AC3099" s="195" t="n"/>
      <c r="AD3099" s="25" t="n"/>
      <c r="AE3099" s="25" t="n"/>
      <c r="AG3099" s="25" t="n"/>
      <c r="AH3099" s="25" t="n"/>
      <c r="AI3099" s="394" t="n"/>
      <c r="AM3099" s="48" t="n"/>
      <c r="AN3099" s="48" t="n"/>
      <c r="AO3099" s="48" t="n"/>
    </row>
    <row r="3100">
      <c r="M3100" s="25" t="n"/>
      <c r="Q3100" s="25" t="n"/>
      <c r="U3100" s="194" t="n"/>
      <c r="AA3100" s="25" t="n"/>
      <c r="AB3100" s="25" t="n"/>
      <c r="AC3100" s="195" t="n"/>
      <c r="AD3100" s="25" t="n"/>
      <c r="AE3100" s="25" t="n"/>
      <c r="AG3100" s="25" t="n"/>
      <c r="AH3100" s="25" t="n"/>
      <c r="AI3100" s="394" t="n"/>
      <c r="AM3100" s="48" t="n"/>
      <c r="AN3100" s="48" t="n"/>
      <c r="AO3100" s="48" t="n"/>
    </row>
    <row r="3101">
      <c r="M3101" s="25" t="n"/>
      <c r="Q3101" s="25" t="n"/>
      <c r="U3101" s="194" t="n"/>
      <c r="AA3101" s="25" t="n"/>
      <c r="AB3101" s="25" t="n"/>
      <c r="AC3101" s="195" t="n"/>
      <c r="AD3101" s="25" t="n"/>
      <c r="AE3101" s="25" t="n"/>
      <c r="AG3101" s="25" t="n"/>
      <c r="AH3101" s="25" t="n"/>
      <c r="AI3101" s="394" t="n"/>
      <c r="AM3101" s="48" t="n"/>
      <c r="AN3101" s="48" t="n"/>
      <c r="AO3101" s="48" t="n"/>
    </row>
    <row r="3102">
      <c r="M3102" s="25" t="n"/>
      <c r="Q3102" s="25" t="n"/>
      <c r="U3102" s="194" t="n"/>
      <c r="AA3102" s="25" t="n"/>
      <c r="AB3102" s="25" t="n"/>
      <c r="AC3102" s="195" t="n"/>
      <c r="AD3102" s="25" t="n"/>
      <c r="AE3102" s="25" t="n"/>
      <c r="AG3102" s="25" t="n"/>
      <c r="AH3102" s="25" t="n"/>
      <c r="AI3102" s="394" t="n"/>
      <c r="AM3102" s="48" t="n"/>
      <c r="AN3102" s="48" t="n"/>
      <c r="AO3102" s="48" t="n"/>
    </row>
    <row r="3103">
      <c r="M3103" s="25" t="n"/>
      <c r="Q3103" s="25" t="n"/>
      <c r="U3103" s="194" t="n"/>
      <c r="AA3103" s="25" t="n"/>
      <c r="AB3103" s="25" t="n"/>
      <c r="AC3103" s="195" t="n"/>
      <c r="AD3103" s="25" t="n"/>
      <c r="AE3103" s="25" t="n"/>
      <c r="AG3103" s="25" t="n"/>
      <c r="AH3103" s="25" t="n"/>
      <c r="AI3103" s="394" t="n"/>
      <c r="AM3103" s="48" t="n"/>
      <c r="AN3103" s="48" t="n"/>
      <c r="AO3103" s="48" t="n"/>
    </row>
    <row r="3104">
      <c r="M3104" s="25" t="n"/>
      <c r="Q3104" s="25" t="n"/>
      <c r="U3104" s="194" t="n"/>
      <c r="AA3104" s="25" t="n"/>
      <c r="AB3104" s="25" t="n"/>
      <c r="AC3104" s="195" t="n"/>
      <c r="AD3104" s="25" t="n"/>
      <c r="AE3104" s="25" t="n"/>
      <c r="AG3104" s="25" t="n"/>
      <c r="AH3104" s="25" t="n"/>
      <c r="AI3104" s="394" t="n"/>
      <c r="AM3104" s="48" t="n"/>
      <c r="AN3104" s="48" t="n"/>
      <c r="AO3104" s="48" t="n"/>
    </row>
    <row r="3105">
      <c r="M3105" s="25" t="n"/>
      <c r="Q3105" s="25" t="n"/>
      <c r="U3105" s="194" t="n"/>
      <c r="AA3105" s="25" t="n"/>
      <c r="AB3105" s="25" t="n"/>
      <c r="AC3105" s="195" t="n"/>
      <c r="AD3105" s="25" t="n"/>
      <c r="AE3105" s="25" t="n"/>
      <c r="AG3105" s="25" t="n"/>
      <c r="AH3105" s="25" t="n"/>
      <c r="AI3105" s="394" t="n"/>
      <c r="AM3105" s="48" t="n"/>
      <c r="AN3105" s="48" t="n"/>
      <c r="AO3105" s="48" t="n"/>
    </row>
    <row r="3106">
      <c r="M3106" s="25" t="n"/>
      <c r="Q3106" s="25" t="n"/>
      <c r="U3106" s="194" t="n"/>
      <c r="AA3106" s="25" t="n"/>
      <c r="AB3106" s="25" t="n"/>
      <c r="AC3106" s="195" t="n"/>
      <c r="AD3106" s="25" t="n"/>
      <c r="AE3106" s="25" t="n"/>
      <c r="AG3106" s="25" t="n"/>
      <c r="AH3106" s="25" t="n"/>
      <c r="AI3106" s="394" t="n"/>
      <c r="AM3106" s="48" t="n"/>
      <c r="AN3106" s="48" t="n"/>
      <c r="AO3106" s="48" t="n"/>
    </row>
    <row r="3107">
      <c r="M3107" s="25" t="n"/>
      <c r="Q3107" s="25" t="n"/>
      <c r="U3107" s="194" t="n"/>
      <c r="AA3107" s="25" t="n"/>
      <c r="AB3107" s="25" t="n"/>
      <c r="AC3107" s="195" t="n"/>
      <c r="AD3107" s="25" t="n"/>
      <c r="AE3107" s="25" t="n"/>
      <c r="AG3107" s="25" t="n"/>
      <c r="AH3107" s="25" t="n"/>
      <c r="AI3107" s="394" t="n"/>
      <c r="AM3107" s="48" t="n"/>
      <c r="AN3107" s="48" t="n"/>
      <c r="AO3107" s="48" t="n"/>
    </row>
    <row r="3108">
      <c r="M3108" s="25" t="n"/>
      <c r="Q3108" s="25" t="n"/>
      <c r="U3108" s="194" t="n"/>
      <c r="AA3108" s="25" t="n"/>
      <c r="AB3108" s="25" t="n"/>
      <c r="AC3108" s="195" t="n"/>
      <c r="AD3108" s="25" t="n"/>
      <c r="AE3108" s="25" t="n"/>
      <c r="AG3108" s="25" t="n"/>
      <c r="AH3108" s="25" t="n"/>
      <c r="AI3108" s="394" t="n"/>
      <c r="AM3108" s="48" t="n"/>
      <c r="AN3108" s="48" t="n"/>
      <c r="AO3108" s="48" t="n"/>
    </row>
    <row r="3109">
      <c r="M3109" s="25" t="n"/>
      <c r="Q3109" s="25" t="n"/>
      <c r="U3109" s="194" t="n"/>
      <c r="AA3109" s="25" t="n"/>
      <c r="AB3109" s="25" t="n"/>
      <c r="AC3109" s="195" t="n"/>
      <c r="AD3109" s="25" t="n"/>
      <c r="AE3109" s="25" t="n"/>
      <c r="AG3109" s="25" t="n"/>
      <c r="AH3109" s="25" t="n"/>
      <c r="AI3109" s="394" t="n"/>
      <c r="AM3109" s="48" t="n"/>
      <c r="AN3109" s="48" t="n"/>
      <c r="AO3109" s="48" t="n"/>
    </row>
    <row r="3110">
      <c r="M3110" s="25" t="n"/>
      <c r="Q3110" s="25" t="n"/>
      <c r="U3110" s="194" t="n"/>
      <c r="AA3110" s="25" t="n"/>
      <c r="AB3110" s="25" t="n"/>
      <c r="AC3110" s="195" t="n"/>
      <c r="AD3110" s="25" t="n"/>
      <c r="AE3110" s="25" t="n"/>
      <c r="AG3110" s="25" t="n"/>
      <c r="AH3110" s="25" t="n"/>
      <c r="AI3110" s="394" t="n"/>
      <c r="AM3110" s="48" t="n"/>
      <c r="AN3110" s="48" t="n"/>
      <c r="AO3110" s="48" t="n"/>
    </row>
    <row r="3111">
      <c r="M3111" s="25" t="n"/>
      <c r="Q3111" s="25" t="n"/>
      <c r="U3111" s="194" t="n"/>
      <c r="AA3111" s="25" t="n"/>
      <c r="AB3111" s="25" t="n"/>
      <c r="AC3111" s="195" t="n"/>
      <c r="AD3111" s="25" t="n"/>
      <c r="AE3111" s="25" t="n"/>
      <c r="AG3111" s="25" t="n"/>
      <c r="AH3111" s="25" t="n"/>
      <c r="AI3111" s="394" t="n"/>
      <c r="AM3111" s="48" t="n"/>
      <c r="AN3111" s="48" t="n"/>
      <c r="AO3111" s="48" t="n"/>
    </row>
    <row r="3112">
      <c r="M3112" s="25" t="n"/>
      <c r="Q3112" s="25" t="n"/>
      <c r="U3112" s="194" t="n"/>
      <c r="AA3112" s="25" t="n"/>
      <c r="AB3112" s="25" t="n"/>
      <c r="AC3112" s="195" t="n"/>
      <c r="AD3112" s="25" t="n"/>
      <c r="AE3112" s="25" t="n"/>
      <c r="AG3112" s="25" t="n"/>
      <c r="AH3112" s="25" t="n"/>
      <c r="AI3112" s="394" t="n"/>
      <c r="AM3112" s="48" t="n"/>
      <c r="AN3112" s="48" t="n"/>
      <c r="AO3112" s="48" t="n"/>
    </row>
    <row r="3113">
      <c r="M3113" s="25" t="n"/>
      <c r="Q3113" s="25" t="n"/>
      <c r="U3113" s="194" t="n"/>
      <c r="AA3113" s="25" t="n"/>
      <c r="AB3113" s="25" t="n"/>
      <c r="AC3113" s="195" t="n"/>
      <c r="AD3113" s="25" t="n"/>
      <c r="AE3113" s="25" t="n"/>
      <c r="AG3113" s="25" t="n"/>
      <c r="AH3113" s="25" t="n"/>
      <c r="AI3113" s="394" t="n"/>
      <c r="AM3113" s="48" t="n"/>
      <c r="AN3113" s="48" t="n"/>
      <c r="AO3113" s="48" t="n"/>
    </row>
    <row r="3114">
      <c r="M3114" s="25" t="n"/>
      <c r="Q3114" s="25" t="n"/>
      <c r="U3114" s="194" t="n"/>
      <c r="AA3114" s="25" t="n"/>
      <c r="AB3114" s="25" t="n"/>
      <c r="AC3114" s="195" t="n"/>
      <c r="AD3114" s="25" t="n"/>
      <c r="AE3114" s="25" t="n"/>
      <c r="AG3114" s="25" t="n"/>
      <c r="AH3114" s="25" t="n"/>
      <c r="AI3114" s="394" t="n"/>
      <c r="AM3114" s="48" t="n"/>
      <c r="AN3114" s="48" t="n"/>
      <c r="AO3114" s="48" t="n"/>
    </row>
    <row r="3115">
      <c r="M3115" s="25" t="n"/>
      <c r="Q3115" s="25" t="n"/>
      <c r="U3115" s="194" t="n"/>
      <c r="AA3115" s="25" t="n"/>
      <c r="AB3115" s="25" t="n"/>
      <c r="AC3115" s="195" t="n"/>
      <c r="AD3115" s="25" t="n"/>
      <c r="AE3115" s="25" t="n"/>
      <c r="AG3115" s="25" t="n"/>
      <c r="AH3115" s="25" t="n"/>
      <c r="AI3115" s="394" t="n"/>
      <c r="AM3115" s="48" t="n"/>
      <c r="AN3115" s="48" t="n"/>
      <c r="AO3115" s="48" t="n"/>
    </row>
    <row r="3116">
      <c r="M3116" s="25" t="n"/>
      <c r="Q3116" s="25" t="n"/>
      <c r="U3116" s="194" t="n"/>
      <c r="AA3116" s="25" t="n"/>
      <c r="AB3116" s="25" t="n"/>
      <c r="AC3116" s="195" t="n"/>
      <c r="AD3116" s="25" t="n"/>
      <c r="AE3116" s="25" t="n"/>
      <c r="AG3116" s="25" t="n"/>
      <c r="AH3116" s="25" t="n"/>
      <c r="AI3116" s="394" t="n"/>
      <c r="AM3116" s="48" t="n"/>
      <c r="AN3116" s="48" t="n"/>
      <c r="AO3116" s="48" t="n"/>
    </row>
    <row r="3117">
      <c r="M3117" s="25" t="n"/>
      <c r="Q3117" s="25" t="n"/>
      <c r="U3117" s="194" t="n"/>
      <c r="AA3117" s="25" t="n"/>
      <c r="AB3117" s="25" t="n"/>
      <c r="AC3117" s="195" t="n"/>
      <c r="AD3117" s="25" t="n"/>
      <c r="AE3117" s="25" t="n"/>
      <c r="AG3117" s="25" t="n"/>
      <c r="AH3117" s="25" t="n"/>
      <c r="AI3117" s="394" t="n"/>
      <c r="AM3117" s="48" t="n"/>
      <c r="AN3117" s="48" t="n"/>
      <c r="AO3117" s="48" t="n"/>
    </row>
    <row r="3118">
      <c r="M3118" s="25" t="n"/>
      <c r="Q3118" s="25" t="n"/>
      <c r="U3118" s="194" t="n"/>
      <c r="AA3118" s="25" t="n"/>
      <c r="AB3118" s="25" t="n"/>
      <c r="AC3118" s="195" t="n"/>
      <c r="AD3118" s="25" t="n"/>
      <c r="AE3118" s="25" t="n"/>
      <c r="AG3118" s="25" t="n"/>
      <c r="AH3118" s="25" t="n"/>
      <c r="AI3118" s="394" t="n"/>
      <c r="AM3118" s="48" t="n"/>
      <c r="AN3118" s="48" t="n"/>
      <c r="AO3118" s="48" t="n"/>
    </row>
    <row r="3119">
      <c r="M3119" s="25" t="n"/>
      <c r="Q3119" s="25" t="n"/>
      <c r="U3119" s="194" t="n"/>
      <c r="AA3119" s="25" t="n"/>
      <c r="AB3119" s="25" t="n"/>
      <c r="AC3119" s="195" t="n"/>
      <c r="AD3119" s="25" t="n"/>
      <c r="AE3119" s="25" t="n"/>
      <c r="AG3119" s="25" t="n"/>
      <c r="AH3119" s="25" t="n"/>
      <c r="AI3119" s="394" t="n"/>
      <c r="AM3119" s="48" t="n"/>
      <c r="AN3119" s="48" t="n"/>
      <c r="AO3119" s="48" t="n"/>
    </row>
    <row r="3120">
      <c r="M3120" s="25" t="n"/>
      <c r="Q3120" s="25" t="n"/>
      <c r="U3120" s="194" t="n"/>
      <c r="AA3120" s="25" t="n"/>
      <c r="AB3120" s="25" t="n"/>
      <c r="AC3120" s="195" t="n"/>
      <c r="AD3120" s="25" t="n"/>
      <c r="AE3120" s="25" t="n"/>
      <c r="AG3120" s="25" t="n"/>
      <c r="AH3120" s="25" t="n"/>
      <c r="AI3120" s="394" t="n"/>
      <c r="AM3120" s="48" t="n"/>
      <c r="AN3120" s="48" t="n"/>
      <c r="AO3120" s="48" t="n"/>
    </row>
    <row r="3121">
      <c r="M3121" s="25" t="n"/>
      <c r="Q3121" s="25" t="n"/>
      <c r="U3121" s="194" t="n"/>
      <c r="AA3121" s="25" t="n"/>
      <c r="AB3121" s="25" t="n"/>
      <c r="AC3121" s="195" t="n"/>
      <c r="AD3121" s="25" t="n"/>
      <c r="AE3121" s="25" t="n"/>
      <c r="AG3121" s="25" t="n"/>
      <c r="AH3121" s="25" t="n"/>
      <c r="AI3121" s="394" t="n"/>
      <c r="AM3121" s="48" t="n"/>
      <c r="AN3121" s="48" t="n"/>
      <c r="AO3121" s="48" t="n"/>
    </row>
    <row r="3122">
      <c r="M3122" s="25" t="n"/>
      <c r="Q3122" s="25" t="n"/>
      <c r="U3122" s="194" t="n"/>
      <c r="AA3122" s="25" t="n"/>
      <c r="AB3122" s="25" t="n"/>
      <c r="AC3122" s="195" t="n"/>
      <c r="AD3122" s="25" t="n"/>
      <c r="AE3122" s="25" t="n"/>
      <c r="AG3122" s="25" t="n"/>
      <c r="AH3122" s="25" t="n"/>
      <c r="AI3122" s="394" t="n"/>
      <c r="AM3122" s="48" t="n"/>
      <c r="AN3122" s="48" t="n"/>
      <c r="AO3122" s="48" t="n"/>
    </row>
    <row r="3123">
      <c r="M3123" s="25" t="n"/>
      <c r="Q3123" s="25" t="n"/>
      <c r="U3123" s="194" t="n"/>
      <c r="AA3123" s="25" t="n"/>
      <c r="AB3123" s="25" t="n"/>
      <c r="AC3123" s="195" t="n"/>
      <c r="AD3123" s="25" t="n"/>
      <c r="AE3123" s="25" t="n"/>
      <c r="AG3123" s="25" t="n"/>
      <c r="AH3123" s="25" t="n"/>
      <c r="AI3123" s="394" t="n"/>
      <c r="AM3123" s="48" t="n"/>
      <c r="AN3123" s="48" t="n"/>
      <c r="AO3123" s="48" t="n"/>
    </row>
    <row r="3124">
      <c r="M3124" s="25" t="n"/>
      <c r="Q3124" s="25" t="n"/>
      <c r="U3124" s="194" t="n"/>
      <c r="AA3124" s="25" t="n"/>
      <c r="AB3124" s="25" t="n"/>
      <c r="AC3124" s="195" t="n"/>
      <c r="AD3124" s="25" t="n"/>
      <c r="AE3124" s="25" t="n"/>
      <c r="AG3124" s="25" t="n"/>
      <c r="AH3124" s="25" t="n"/>
      <c r="AI3124" s="394" t="n"/>
      <c r="AM3124" s="48" t="n"/>
      <c r="AN3124" s="48" t="n"/>
      <c r="AO3124" s="48" t="n"/>
    </row>
    <row r="3125">
      <c r="M3125" s="25" t="n"/>
      <c r="Q3125" s="25" t="n"/>
      <c r="U3125" s="194" t="n"/>
      <c r="AA3125" s="25" t="n"/>
      <c r="AB3125" s="25" t="n"/>
      <c r="AC3125" s="195" t="n"/>
      <c r="AD3125" s="25" t="n"/>
      <c r="AE3125" s="25" t="n"/>
      <c r="AG3125" s="25" t="n"/>
      <c r="AH3125" s="25" t="n"/>
      <c r="AI3125" s="394" t="n"/>
      <c r="AM3125" s="48" t="n"/>
      <c r="AN3125" s="48" t="n"/>
      <c r="AO3125" s="48" t="n"/>
    </row>
    <row r="3126">
      <c r="M3126" s="25" t="n"/>
      <c r="Q3126" s="25" t="n"/>
      <c r="U3126" s="194" t="n"/>
      <c r="AA3126" s="25" t="n"/>
      <c r="AB3126" s="25" t="n"/>
      <c r="AC3126" s="195" t="n"/>
      <c r="AD3126" s="25" t="n"/>
      <c r="AE3126" s="25" t="n"/>
      <c r="AG3126" s="25" t="n"/>
      <c r="AH3126" s="25" t="n"/>
      <c r="AI3126" s="394" t="n"/>
      <c r="AM3126" s="48" t="n"/>
      <c r="AN3126" s="48" t="n"/>
      <c r="AO3126" s="48" t="n"/>
    </row>
    <row r="3127">
      <c r="M3127" s="25" t="n"/>
      <c r="Q3127" s="25" t="n"/>
      <c r="U3127" s="194" t="n"/>
      <c r="AA3127" s="25" t="n"/>
      <c r="AB3127" s="25" t="n"/>
      <c r="AC3127" s="195" t="n"/>
      <c r="AD3127" s="25" t="n"/>
      <c r="AE3127" s="25" t="n"/>
      <c r="AG3127" s="25" t="n"/>
      <c r="AH3127" s="25" t="n"/>
      <c r="AI3127" s="394" t="n"/>
      <c r="AM3127" s="48" t="n"/>
      <c r="AN3127" s="48" t="n"/>
      <c r="AO3127" s="48" t="n"/>
    </row>
    <row r="3128">
      <c r="M3128" s="25" t="n"/>
      <c r="Q3128" s="25" t="n"/>
      <c r="U3128" s="194" t="n"/>
      <c r="AA3128" s="25" t="n"/>
      <c r="AB3128" s="25" t="n"/>
      <c r="AC3128" s="195" t="n"/>
      <c r="AD3128" s="25" t="n"/>
      <c r="AE3128" s="25" t="n"/>
      <c r="AG3128" s="25" t="n"/>
      <c r="AH3128" s="25" t="n"/>
      <c r="AI3128" s="394" t="n"/>
      <c r="AM3128" s="48" t="n"/>
      <c r="AN3128" s="48" t="n"/>
      <c r="AO3128" s="48" t="n"/>
    </row>
    <row r="3129">
      <c r="M3129" s="25" t="n"/>
      <c r="Q3129" s="25" t="n"/>
      <c r="U3129" s="194" t="n"/>
      <c r="AA3129" s="25" t="n"/>
      <c r="AB3129" s="25" t="n"/>
      <c r="AC3129" s="195" t="n"/>
      <c r="AD3129" s="25" t="n"/>
      <c r="AE3129" s="25" t="n"/>
      <c r="AG3129" s="25" t="n"/>
      <c r="AH3129" s="25" t="n"/>
      <c r="AI3129" s="394" t="n"/>
      <c r="AM3129" s="48" t="n"/>
      <c r="AN3129" s="48" t="n"/>
      <c r="AO3129" s="48" t="n"/>
    </row>
    <row r="3130">
      <c r="M3130" s="25" t="n"/>
      <c r="Q3130" s="25" t="n"/>
      <c r="U3130" s="194" t="n"/>
      <c r="AA3130" s="25" t="n"/>
      <c r="AB3130" s="25" t="n"/>
      <c r="AC3130" s="195" t="n"/>
      <c r="AD3130" s="25" t="n"/>
      <c r="AE3130" s="25" t="n"/>
      <c r="AG3130" s="25" t="n"/>
      <c r="AH3130" s="25" t="n"/>
      <c r="AI3130" s="394" t="n"/>
      <c r="AM3130" s="48" t="n"/>
      <c r="AN3130" s="48" t="n"/>
      <c r="AO3130" s="48" t="n"/>
    </row>
    <row r="3131">
      <c r="M3131" s="25" t="n"/>
      <c r="Q3131" s="25" t="n"/>
      <c r="U3131" s="194" t="n"/>
      <c r="AA3131" s="25" t="n"/>
      <c r="AB3131" s="25" t="n"/>
      <c r="AC3131" s="195" t="n"/>
      <c r="AD3131" s="25" t="n"/>
      <c r="AE3131" s="25" t="n"/>
      <c r="AG3131" s="25" t="n"/>
      <c r="AH3131" s="25" t="n"/>
      <c r="AI3131" s="394" t="n"/>
      <c r="AM3131" s="48" t="n"/>
      <c r="AN3131" s="48" t="n"/>
      <c r="AO3131" s="48" t="n"/>
    </row>
    <row r="3132">
      <c r="M3132" s="25" t="n"/>
      <c r="Q3132" s="25" t="n"/>
      <c r="U3132" s="194" t="n"/>
      <c r="AA3132" s="25" t="n"/>
      <c r="AB3132" s="25" t="n"/>
      <c r="AC3132" s="195" t="n"/>
      <c r="AD3132" s="25" t="n"/>
      <c r="AE3132" s="25" t="n"/>
      <c r="AG3132" s="25" t="n"/>
      <c r="AH3132" s="25" t="n"/>
      <c r="AI3132" s="394" t="n"/>
      <c r="AM3132" s="48" t="n"/>
      <c r="AN3132" s="48" t="n"/>
      <c r="AO3132" s="48" t="n"/>
    </row>
    <row r="3133">
      <c r="M3133" s="25" t="n"/>
      <c r="Q3133" s="25" t="n"/>
      <c r="U3133" s="194" t="n"/>
      <c r="AA3133" s="25" t="n"/>
      <c r="AB3133" s="25" t="n"/>
      <c r="AC3133" s="195" t="n"/>
      <c r="AD3133" s="25" t="n"/>
      <c r="AE3133" s="25" t="n"/>
      <c r="AG3133" s="25" t="n"/>
      <c r="AH3133" s="25" t="n"/>
      <c r="AI3133" s="394" t="n"/>
      <c r="AM3133" s="48" t="n"/>
      <c r="AN3133" s="48" t="n"/>
      <c r="AO3133" s="48" t="n"/>
    </row>
    <row r="3134">
      <c r="M3134" s="25" t="n"/>
      <c r="Q3134" s="25" t="n"/>
      <c r="U3134" s="194" t="n"/>
      <c r="AA3134" s="25" t="n"/>
      <c r="AB3134" s="25" t="n"/>
      <c r="AC3134" s="195" t="n"/>
      <c r="AD3134" s="25" t="n"/>
      <c r="AE3134" s="25" t="n"/>
      <c r="AG3134" s="25" t="n"/>
      <c r="AH3134" s="25" t="n"/>
      <c r="AI3134" s="394" t="n"/>
      <c r="AM3134" s="48" t="n"/>
      <c r="AN3134" s="48" t="n"/>
      <c r="AO3134" s="48" t="n"/>
    </row>
    <row r="3135">
      <c r="M3135" s="25" t="n"/>
      <c r="Q3135" s="25" t="n"/>
      <c r="U3135" s="194" t="n"/>
      <c r="AA3135" s="25" t="n"/>
      <c r="AB3135" s="25" t="n"/>
      <c r="AC3135" s="195" t="n"/>
      <c r="AD3135" s="25" t="n"/>
      <c r="AE3135" s="25" t="n"/>
      <c r="AG3135" s="25" t="n"/>
      <c r="AH3135" s="25" t="n"/>
      <c r="AI3135" s="394" t="n"/>
      <c r="AM3135" s="48" t="n"/>
      <c r="AN3135" s="48" t="n"/>
      <c r="AO3135" s="48" t="n"/>
    </row>
    <row r="3136">
      <c r="M3136" s="25" t="n"/>
      <c r="Q3136" s="25" t="n"/>
      <c r="U3136" s="194" t="n"/>
      <c r="AA3136" s="25" t="n"/>
      <c r="AB3136" s="25" t="n"/>
      <c r="AC3136" s="195" t="n"/>
      <c r="AD3136" s="25" t="n"/>
      <c r="AE3136" s="25" t="n"/>
      <c r="AG3136" s="25" t="n"/>
      <c r="AH3136" s="25" t="n"/>
      <c r="AI3136" s="394" t="n"/>
      <c r="AM3136" s="48" t="n"/>
      <c r="AN3136" s="48" t="n"/>
      <c r="AO3136" s="48" t="n"/>
    </row>
    <row r="3137">
      <c r="M3137" s="25" t="n"/>
      <c r="Q3137" s="25" t="n"/>
      <c r="U3137" s="194" t="n"/>
      <c r="AA3137" s="25" t="n"/>
      <c r="AB3137" s="25" t="n"/>
      <c r="AC3137" s="195" t="n"/>
      <c r="AD3137" s="25" t="n"/>
      <c r="AE3137" s="25" t="n"/>
      <c r="AG3137" s="25" t="n"/>
      <c r="AH3137" s="25" t="n"/>
      <c r="AI3137" s="394" t="n"/>
      <c r="AM3137" s="48" t="n"/>
      <c r="AN3137" s="48" t="n"/>
      <c r="AO3137" s="48" t="n"/>
    </row>
    <row r="3138">
      <c r="M3138" s="25" t="n"/>
      <c r="Q3138" s="25" t="n"/>
      <c r="U3138" s="194" t="n"/>
      <c r="AA3138" s="25" t="n"/>
      <c r="AB3138" s="25" t="n"/>
      <c r="AC3138" s="195" t="n"/>
      <c r="AD3138" s="25" t="n"/>
      <c r="AE3138" s="25" t="n"/>
      <c r="AG3138" s="25" t="n"/>
      <c r="AH3138" s="25" t="n"/>
      <c r="AI3138" s="394" t="n"/>
      <c r="AM3138" s="48" t="n"/>
      <c r="AN3138" s="48" t="n"/>
      <c r="AO3138" s="48" t="n"/>
    </row>
    <row r="3139">
      <c r="M3139" s="25" t="n"/>
      <c r="Q3139" s="25" t="n"/>
      <c r="U3139" s="194" t="n"/>
      <c r="AA3139" s="25" t="n"/>
      <c r="AB3139" s="25" t="n"/>
      <c r="AC3139" s="195" t="n"/>
      <c r="AD3139" s="25" t="n"/>
      <c r="AE3139" s="25" t="n"/>
      <c r="AG3139" s="25" t="n"/>
      <c r="AH3139" s="25" t="n"/>
      <c r="AI3139" s="394" t="n"/>
      <c r="AM3139" s="48" t="n"/>
      <c r="AN3139" s="48" t="n"/>
      <c r="AO3139" s="48" t="n"/>
    </row>
    <row r="3140">
      <c r="M3140" s="25" t="n"/>
      <c r="Q3140" s="25" t="n"/>
      <c r="U3140" s="194" t="n"/>
      <c r="AA3140" s="25" t="n"/>
      <c r="AB3140" s="25" t="n"/>
      <c r="AC3140" s="195" t="n"/>
      <c r="AD3140" s="25" t="n"/>
      <c r="AE3140" s="25" t="n"/>
      <c r="AG3140" s="25" t="n"/>
      <c r="AH3140" s="25" t="n"/>
      <c r="AI3140" s="394" t="n"/>
      <c r="AM3140" s="48" t="n"/>
      <c r="AN3140" s="48" t="n"/>
      <c r="AO3140" s="48" t="n"/>
    </row>
    <row r="3141">
      <c r="M3141" s="25" t="n"/>
      <c r="Q3141" s="25" t="n"/>
      <c r="U3141" s="194" t="n"/>
      <c r="AA3141" s="25" t="n"/>
      <c r="AB3141" s="25" t="n"/>
      <c r="AC3141" s="195" t="n"/>
      <c r="AD3141" s="25" t="n"/>
      <c r="AE3141" s="25" t="n"/>
      <c r="AG3141" s="25" t="n"/>
      <c r="AH3141" s="25" t="n"/>
      <c r="AI3141" s="394" t="n"/>
      <c r="AM3141" s="48" t="n"/>
      <c r="AN3141" s="48" t="n"/>
      <c r="AO3141" s="48" t="n"/>
    </row>
    <row r="3142">
      <c r="M3142" s="25" t="n"/>
      <c r="Q3142" s="25" t="n"/>
      <c r="U3142" s="194" t="n"/>
      <c r="AA3142" s="25" t="n"/>
      <c r="AB3142" s="25" t="n"/>
      <c r="AC3142" s="195" t="n"/>
      <c r="AD3142" s="25" t="n"/>
      <c r="AE3142" s="25" t="n"/>
      <c r="AG3142" s="25" t="n"/>
      <c r="AH3142" s="25" t="n"/>
      <c r="AI3142" s="394" t="n"/>
      <c r="AM3142" s="48" t="n"/>
      <c r="AN3142" s="48" t="n"/>
      <c r="AO3142" s="48" t="n"/>
    </row>
    <row r="3143">
      <c r="M3143" s="25" t="n"/>
      <c r="Q3143" s="25" t="n"/>
      <c r="U3143" s="194" t="n"/>
      <c r="AA3143" s="25" t="n"/>
      <c r="AB3143" s="25" t="n"/>
      <c r="AC3143" s="195" t="n"/>
      <c r="AD3143" s="25" t="n"/>
      <c r="AE3143" s="25" t="n"/>
      <c r="AG3143" s="25" t="n"/>
      <c r="AH3143" s="25" t="n"/>
      <c r="AI3143" s="394" t="n"/>
      <c r="AM3143" s="48" t="n"/>
      <c r="AN3143" s="48" t="n"/>
      <c r="AO3143" s="48" t="n"/>
    </row>
    <row r="3144">
      <c r="M3144" s="25" t="n"/>
      <c r="Q3144" s="25" t="n"/>
      <c r="U3144" s="194" t="n"/>
      <c r="AA3144" s="25" t="n"/>
      <c r="AB3144" s="25" t="n"/>
      <c r="AC3144" s="195" t="n"/>
      <c r="AD3144" s="25" t="n"/>
      <c r="AE3144" s="25" t="n"/>
      <c r="AG3144" s="25" t="n"/>
      <c r="AH3144" s="25" t="n"/>
      <c r="AI3144" s="394" t="n"/>
      <c r="AM3144" s="48" t="n"/>
      <c r="AN3144" s="48" t="n"/>
      <c r="AO3144" s="48" t="n"/>
    </row>
    <row r="3145">
      <c r="M3145" s="25" t="n"/>
      <c r="Q3145" s="25" t="n"/>
      <c r="U3145" s="194" t="n"/>
      <c r="AA3145" s="25" t="n"/>
      <c r="AB3145" s="25" t="n"/>
      <c r="AC3145" s="195" t="n"/>
      <c r="AD3145" s="25" t="n"/>
      <c r="AE3145" s="25" t="n"/>
      <c r="AG3145" s="25" t="n"/>
      <c r="AH3145" s="25" t="n"/>
      <c r="AI3145" s="394" t="n"/>
      <c r="AM3145" s="48" t="n"/>
      <c r="AN3145" s="48" t="n"/>
      <c r="AO3145" s="48" t="n"/>
    </row>
    <row r="3146">
      <c r="M3146" s="25" t="n"/>
      <c r="Q3146" s="25" t="n"/>
      <c r="U3146" s="194" t="n"/>
      <c r="AA3146" s="25" t="n"/>
      <c r="AB3146" s="25" t="n"/>
      <c r="AC3146" s="195" t="n"/>
      <c r="AD3146" s="25" t="n"/>
      <c r="AE3146" s="25" t="n"/>
      <c r="AG3146" s="25" t="n"/>
      <c r="AH3146" s="25" t="n"/>
      <c r="AI3146" s="394" t="n"/>
      <c r="AM3146" s="48" t="n"/>
      <c r="AN3146" s="48" t="n"/>
      <c r="AO3146" s="48" t="n"/>
    </row>
    <row r="3147">
      <c r="M3147" s="25" t="n"/>
      <c r="Q3147" s="25" t="n"/>
      <c r="U3147" s="194" t="n"/>
      <c r="AA3147" s="25" t="n"/>
      <c r="AB3147" s="25" t="n"/>
      <c r="AC3147" s="195" t="n"/>
      <c r="AD3147" s="25" t="n"/>
      <c r="AE3147" s="25" t="n"/>
      <c r="AG3147" s="25" t="n"/>
      <c r="AH3147" s="25" t="n"/>
      <c r="AI3147" s="394" t="n"/>
      <c r="AM3147" s="48" t="n"/>
      <c r="AN3147" s="48" t="n"/>
      <c r="AO3147" s="48" t="n"/>
    </row>
    <row r="3148">
      <c r="M3148" s="25" t="n"/>
      <c r="Q3148" s="25" t="n"/>
      <c r="U3148" s="194" t="n"/>
      <c r="AA3148" s="25" t="n"/>
      <c r="AB3148" s="25" t="n"/>
      <c r="AC3148" s="195" t="n"/>
      <c r="AD3148" s="25" t="n"/>
      <c r="AE3148" s="25" t="n"/>
      <c r="AG3148" s="25" t="n"/>
      <c r="AH3148" s="25" t="n"/>
      <c r="AI3148" s="394" t="n"/>
      <c r="AM3148" s="48" t="n"/>
      <c r="AN3148" s="48" t="n"/>
      <c r="AO3148" s="48" t="n"/>
    </row>
    <row r="3149">
      <c r="M3149" s="25" t="n"/>
      <c r="Q3149" s="25" t="n"/>
      <c r="U3149" s="194" t="n"/>
      <c r="AA3149" s="25" t="n"/>
      <c r="AB3149" s="25" t="n"/>
      <c r="AC3149" s="195" t="n"/>
      <c r="AD3149" s="25" t="n"/>
      <c r="AE3149" s="25" t="n"/>
      <c r="AG3149" s="25" t="n"/>
      <c r="AH3149" s="25" t="n"/>
      <c r="AI3149" s="394" t="n"/>
      <c r="AM3149" s="48" t="n"/>
      <c r="AN3149" s="48" t="n"/>
      <c r="AO3149" s="48" t="n"/>
    </row>
    <row r="3150">
      <c r="M3150" s="25" t="n"/>
      <c r="Q3150" s="25" t="n"/>
      <c r="U3150" s="194" t="n"/>
      <c r="AA3150" s="25" t="n"/>
      <c r="AB3150" s="25" t="n"/>
      <c r="AC3150" s="195" t="n"/>
      <c r="AD3150" s="25" t="n"/>
      <c r="AE3150" s="25" t="n"/>
      <c r="AG3150" s="25" t="n"/>
      <c r="AH3150" s="25" t="n"/>
      <c r="AI3150" s="394" t="n"/>
      <c r="AM3150" s="48" t="n"/>
      <c r="AN3150" s="48" t="n"/>
      <c r="AO3150" s="48" t="n"/>
    </row>
    <row r="3151">
      <c r="M3151" s="25" t="n"/>
      <c r="Q3151" s="25" t="n"/>
      <c r="U3151" s="194" t="n"/>
      <c r="AA3151" s="25" t="n"/>
      <c r="AB3151" s="25" t="n"/>
      <c r="AC3151" s="195" t="n"/>
      <c r="AD3151" s="25" t="n"/>
      <c r="AE3151" s="25" t="n"/>
      <c r="AG3151" s="25" t="n"/>
      <c r="AH3151" s="25" t="n"/>
      <c r="AI3151" s="394" t="n"/>
      <c r="AM3151" s="48" t="n"/>
      <c r="AN3151" s="48" t="n"/>
      <c r="AO3151" s="48" t="n"/>
    </row>
    <row r="3152">
      <c r="M3152" s="25" t="n"/>
      <c r="Q3152" s="25" t="n"/>
      <c r="U3152" s="194" t="n"/>
      <c r="AA3152" s="25" t="n"/>
      <c r="AB3152" s="25" t="n"/>
      <c r="AC3152" s="195" t="n"/>
      <c r="AD3152" s="25" t="n"/>
      <c r="AE3152" s="25" t="n"/>
      <c r="AG3152" s="25" t="n"/>
      <c r="AH3152" s="25" t="n"/>
      <c r="AI3152" s="394" t="n"/>
      <c r="AM3152" s="48" t="n"/>
      <c r="AN3152" s="48" t="n"/>
      <c r="AO3152" s="48" t="n"/>
    </row>
    <row r="3153">
      <c r="M3153" s="25" t="n"/>
      <c r="Q3153" s="25" t="n"/>
      <c r="U3153" s="194" t="n"/>
      <c r="AA3153" s="25" t="n"/>
      <c r="AB3153" s="25" t="n"/>
      <c r="AC3153" s="195" t="n"/>
      <c r="AD3153" s="25" t="n"/>
      <c r="AE3153" s="25" t="n"/>
      <c r="AG3153" s="25" t="n"/>
      <c r="AH3153" s="25" t="n"/>
      <c r="AI3153" s="394" t="n"/>
      <c r="AM3153" s="48" t="n"/>
      <c r="AN3153" s="48" t="n"/>
      <c r="AO3153" s="48" t="n"/>
    </row>
    <row r="3154">
      <c r="M3154" s="25" t="n"/>
      <c r="Q3154" s="25" t="n"/>
      <c r="U3154" s="194" t="n"/>
      <c r="AA3154" s="25" t="n"/>
      <c r="AB3154" s="25" t="n"/>
      <c r="AC3154" s="195" t="n"/>
      <c r="AD3154" s="25" t="n"/>
      <c r="AE3154" s="25" t="n"/>
      <c r="AG3154" s="25" t="n"/>
      <c r="AH3154" s="25" t="n"/>
      <c r="AI3154" s="394" t="n"/>
      <c r="AM3154" s="48" t="n"/>
      <c r="AN3154" s="48" t="n"/>
      <c r="AO3154" s="48" t="n"/>
    </row>
    <row r="3155">
      <c r="M3155" s="25" t="n"/>
      <c r="Q3155" s="25" t="n"/>
      <c r="U3155" s="194" t="n"/>
      <c r="AA3155" s="25" t="n"/>
      <c r="AB3155" s="25" t="n"/>
      <c r="AC3155" s="195" t="n"/>
      <c r="AD3155" s="25" t="n"/>
      <c r="AE3155" s="25" t="n"/>
      <c r="AG3155" s="25" t="n"/>
      <c r="AH3155" s="25" t="n"/>
      <c r="AI3155" s="394" t="n"/>
      <c r="AM3155" s="48" t="n"/>
      <c r="AN3155" s="48" t="n"/>
      <c r="AO3155" s="48" t="n"/>
    </row>
    <row r="3156">
      <c r="M3156" s="25" t="n"/>
      <c r="Q3156" s="25" t="n"/>
      <c r="U3156" s="194" t="n"/>
      <c r="AA3156" s="25" t="n"/>
      <c r="AB3156" s="25" t="n"/>
      <c r="AC3156" s="195" t="n"/>
      <c r="AD3156" s="25" t="n"/>
      <c r="AE3156" s="25" t="n"/>
      <c r="AG3156" s="25" t="n"/>
      <c r="AH3156" s="25" t="n"/>
      <c r="AI3156" s="394" t="n"/>
      <c r="AM3156" s="48" t="n"/>
      <c r="AN3156" s="48" t="n"/>
      <c r="AO3156" s="48" t="n"/>
    </row>
    <row r="3157">
      <c r="M3157" s="25" t="n"/>
      <c r="Q3157" s="25" t="n"/>
      <c r="U3157" s="194" t="n"/>
      <c r="AA3157" s="25" t="n"/>
      <c r="AB3157" s="25" t="n"/>
      <c r="AC3157" s="195" t="n"/>
      <c r="AD3157" s="25" t="n"/>
      <c r="AE3157" s="25" t="n"/>
      <c r="AG3157" s="25" t="n"/>
      <c r="AH3157" s="25" t="n"/>
      <c r="AI3157" s="394" t="n"/>
      <c r="AM3157" s="48" t="n"/>
      <c r="AN3157" s="48" t="n"/>
      <c r="AO3157" s="48" t="n"/>
    </row>
    <row r="3158">
      <c r="M3158" s="25" t="n"/>
      <c r="Q3158" s="25" t="n"/>
      <c r="U3158" s="194" t="n"/>
      <c r="AA3158" s="25" t="n"/>
      <c r="AB3158" s="25" t="n"/>
      <c r="AC3158" s="195" t="n"/>
      <c r="AD3158" s="25" t="n"/>
      <c r="AE3158" s="25" t="n"/>
      <c r="AG3158" s="25" t="n"/>
      <c r="AH3158" s="25" t="n"/>
      <c r="AI3158" s="394" t="n"/>
      <c r="AM3158" s="48" t="n"/>
      <c r="AN3158" s="48" t="n"/>
      <c r="AO3158" s="48" t="n"/>
    </row>
    <row r="3159">
      <c r="M3159" s="25" t="n"/>
      <c r="Q3159" s="25" t="n"/>
      <c r="U3159" s="194" t="n"/>
      <c r="AA3159" s="25" t="n"/>
      <c r="AB3159" s="25" t="n"/>
      <c r="AC3159" s="195" t="n"/>
      <c r="AD3159" s="25" t="n"/>
      <c r="AE3159" s="25" t="n"/>
      <c r="AG3159" s="25" t="n"/>
      <c r="AH3159" s="25" t="n"/>
      <c r="AI3159" s="394" t="n"/>
      <c r="AM3159" s="48" t="n"/>
      <c r="AN3159" s="48" t="n"/>
      <c r="AO3159" s="48" t="n"/>
    </row>
    <row r="3160">
      <c r="M3160" s="25" t="n"/>
      <c r="Q3160" s="25" t="n"/>
      <c r="U3160" s="194" t="n"/>
      <c r="AA3160" s="25" t="n"/>
      <c r="AB3160" s="25" t="n"/>
      <c r="AC3160" s="195" t="n"/>
      <c r="AD3160" s="25" t="n"/>
      <c r="AE3160" s="25" t="n"/>
      <c r="AG3160" s="25" t="n"/>
      <c r="AH3160" s="25" t="n"/>
      <c r="AI3160" s="394" t="n"/>
      <c r="AM3160" s="48" t="n"/>
      <c r="AN3160" s="48" t="n"/>
      <c r="AO3160" s="48" t="n"/>
    </row>
    <row r="3161">
      <c r="M3161" s="25" t="n"/>
      <c r="Q3161" s="25" t="n"/>
      <c r="U3161" s="194" t="n"/>
      <c r="AA3161" s="25" t="n"/>
      <c r="AB3161" s="25" t="n"/>
      <c r="AC3161" s="195" t="n"/>
      <c r="AD3161" s="25" t="n"/>
      <c r="AE3161" s="25" t="n"/>
      <c r="AG3161" s="25" t="n"/>
      <c r="AH3161" s="25" t="n"/>
      <c r="AI3161" s="394" t="n"/>
      <c r="AM3161" s="48" t="n"/>
      <c r="AN3161" s="48" t="n"/>
      <c r="AO3161" s="48" t="n"/>
    </row>
    <row r="3162">
      <c r="M3162" s="25" t="n"/>
      <c r="Q3162" s="25" t="n"/>
      <c r="U3162" s="194" t="n"/>
      <c r="AA3162" s="25" t="n"/>
      <c r="AB3162" s="25" t="n"/>
      <c r="AC3162" s="195" t="n"/>
      <c r="AD3162" s="25" t="n"/>
      <c r="AE3162" s="25" t="n"/>
      <c r="AG3162" s="25" t="n"/>
      <c r="AH3162" s="25" t="n"/>
      <c r="AI3162" s="394" t="n"/>
      <c r="AM3162" s="48" t="n"/>
      <c r="AN3162" s="48" t="n"/>
      <c r="AO3162" s="48" t="n"/>
    </row>
    <row r="3163">
      <c r="M3163" s="25" t="n"/>
      <c r="Q3163" s="25" t="n"/>
      <c r="U3163" s="194" t="n"/>
      <c r="AA3163" s="25" t="n"/>
      <c r="AB3163" s="25" t="n"/>
      <c r="AC3163" s="195" t="n"/>
      <c r="AD3163" s="25" t="n"/>
      <c r="AE3163" s="25" t="n"/>
      <c r="AG3163" s="25" t="n"/>
      <c r="AH3163" s="25" t="n"/>
      <c r="AI3163" s="394" t="n"/>
      <c r="AM3163" s="48" t="n"/>
      <c r="AN3163" s="48" t="n"/>
      <c r="AO3163" s="48" t="n"/>
    </row>
    <row r="3164">
      <c r="M3164" s="25" t="n"/>
      <c r="Q3164" s="25" t="n"/>
      <c r="U3164" s="194" t="n"/>
      <c r="AA3164" s="25" t="n"/>
      <c r="AB3164" s="25" t="n"/>
      <c r="AC3164" s="195" t="n"/>
      <c r="AD3164" s="25" t="n"/>
      <c r="AE3164" s="25" t="n"/>
      <c r="AG3164" s="25" t="n"/>
      <c r="AH3164" s="25" t="n"/>
      <c r="AI3164" s="394" t="n"/>
      <c r="AM3164" s="48" t="n"/>
      <c r="AN3164" s="48" t="n"/>
      <c r="AO3164" s="48" t="n"/>
    </row>
    <row r="3165">
      <c r="M3165" s="25" t="n"/>
      <c r="Q3165" s="25" t="n"/>
      <c r="U3165" s="194" t="n"/>
      <c r="AA3165" s="25" t="n"/>
      <c r="AB3165" s="25" t="n"/>
      <c r="AC3165" s="195" t="n"/>
      <c r="AD3165" s="25" t="n"/>
      <c r="AE3165" s="25" t="n"/>
      <c r="AG3165" s="25" t="n"/>
      <c r="AH3165" s="25" t="n"/>
      <c r="AI3165" s="394" t="n"/>
      <c r="AM3165" s="48" t="n"/>
      <c r="AN3165" s="48" t="n"/>
      <c r="AO3165" s="48" t="n"/>
    </row>
    <row r="3166">
      <c r="M3166" s="25" t="n"/>
      <c r="Q3166" s="25" t="n"/>
      <c r="U3166" s="194" t="n"/>
      <c r="AA3166" s="25" t="n"/>
      <c r="AB3166" s="25" t="n"/>
      <c r="AC3166" s="195" t="n"/>
      <c r="AD3166" s="25" t="n"/>
      <c r="AE3166" s="25" t="n"/>
      <c r="AG3166" s="25" t="n"/>
      <c r="AH3166" s="25" t="n"/>
      <c r="AI3166" s="394" t="n"/>
      <c r="AM3166" s="48" t="n"/>
      <c r="AN3166" s="48" t="n"/>
      <c r="AO3166" s="48" t="n"/>
    </row>
    <row r="3167">
      <c r="M3167" s="25" t="n"/>
      <c r="Q3167" s="25" t="n"/>
      <c r="U3167" s="194" t="n"/>
      <c r="AA3167" s="25" t="n"/>
      <c r="AB3167" s="25" t="n"/>
      <c r="AC3167" s="195" t="n"/>
      <c r="AD3167" s="25" t="n"/>
      <c r="AE3167" s="25" t="n"/>
      <c r="AG3167" s="25" t="n"/>
      <c r="AH3167" s="25" t="n"/>
      <c r="AI3167" s="394" t="n"/>
      <c r="AM3167" s="48" t="n"/>
      <c r="AN3167" s="48" t="n"/>
      <c r="AO3167" s="48" t="n"/>
    </row>
    <row r="3168">
      <c r="M3168" s="25" t="n"/>
      <c r="Q3168" s="25" t="n"/>
      <c r="U3168" s="194" t="n"/>
      <c r="AA3168" s="25" t="n"/>
      <c r="AB3168" s="25" t="n"/>
      <c r="AC3168" s="195" t="n"/>
      <c r="AD3168" s="25" t="n"/>
      <c r="AE3168" s="25" t="n"/>
      <c r="AG3168" s="25" t="n"/>
      <c r="AH3168" s="25" t="n"/>
      <c r="AI3168" s="394" t="n"/>
      <c r="AM3168" s="48" t="n"/>
      <c r="AN3168" s="48" t="n"/>
      <c r="AO3168" s="48" t="n"/>
    </row>
    <row r="3169">
      <c r="M3169" s="25" t="n"/>
      <c r="Q3169" s="25" t="n"/>
      <c r="U3169" s="194" t="n"/>
      <c r="AA3169" s="25" t="n"/>
      <c r="AB3169" s="25" t="n"/>
      <c r="AC3169" s="195" t="n"/>
      <c r="AD3169" s="25" t="n"/>
      <c r="AE3169" s="25" t="n"/>
      <c r="AG3169" s="25" t="n"/>
      <c r="AH3169" s="25" t="n"/>
      <c r="AI3169" s="394" t="n"/>
      <c r="AM3169" s="48" t="n"/>
      <c r="AN3169" s="48" t="n"/>
      <c r="AO3169" s="48" t="n"/>
    </row>
    <row r="3170">
      <c r="M3170" s="25" t="n"/>
      <c r="Q3170" s="25" t="n"/>
      <c r="U3170" s="194" t="n"/>
      <c r="AA3170" s="25" t="n"/>
      <c r="AB3170" s="25" t="n"/>
      <c r="AC3170" s="195" t="n"/>
      <c r="AD3170" s="25" t="n"/>
      <c r="AE3170" s="25" t="n"/>
      <c r="AG3170" s="25" t="n"/>
      <c r="AH3170" s="25" t="n"/>
      <c r="AI3170" s="394" t="n"/>
      <c r="AM3170" s="48" t="n"/>
      <c r="AN3170" s="48" t="n"/>
      <c r="AO3170" s="48" t="n"/>
    </row>
    <row r="3171">
      <c r="M3171" s="25" t="n"/>
      <c r="Q3171" s="25" t="n"/>
      <c r="U3171" s="194" t="n"/>
      <c r="AA3171" s="25" t="n"/>
      <c r="AB3171" s="25" t="n"/>
      <c r="AC3171" s="195" t="n"/>
      <c r="AD3171" s="25" t="n"/>
      <c r="AE3171" s="25" t="n"/>
      <c r="AG3171" s="25" t="n"/>
      <c r="AH3171" s="25" t="n"/>
      <c r="AI3171" s="394" t="n"/>
      <c r="AM3171" s="48" t="n"/>
      <c r="AN3171" s="48" t="n"/>
      <c r="AO3171" s="48" t="n"/>
    </row>
    <row r="3172">
      <c r="M3172" s="25" t="n"/>
      <c r="Q3172" s="25" t="n"/>
      <c r="U3172" s="194" t="n"/>
      <c r="AA3172" s="25" t="n"/>
      <c r="AB3172" s="25" t="n"/>
      <c r="AC3172" s="195" t="n"/>
      <c r="AD3172" s="25" t="n"/>
      <c r="AE3172" s="25" t="n"/>
      <c r="AG3172" s="25" t="n"/>
      <c r="AH3172" s="25" t="n"/>
      <c r="AI3172" s="394" t="n"/>
      <c r="AM3172" s="48" t="n"/>
      <c r="AN3172" s="48" t="n"/>
      <c r="AO3172" s="48" t="n"/>
    </row>
    <row r="3173">
      <c r="M3173" s="25" t="n"/>
      <c r="Q3173" s="25" t="n"/>
      <c r="U3173" s="194" t="n"/>
      <c r="AA3173" s="25" t="n"/>
      <c r="AB3173" s="25" t="n"/>
      <c r="AC3173" s="195" t="n"/>
      <c r="AD3173" s="25" t="n"/>
      <c r="AE3173" s="25" t="n"/>
      <c r="AG3173" s="25" t="n"/>
      <c r="AH3173" s="25" t="n"/>
      <c r="AI3173" s="394" t="n"/>
      <c r="AM3173" s="48" t="n"/>
      <c r="AN3173" s="48" t="n"/>
      <c r="AO3173" s="48" t="n"/>
    </row>
    <row r="3174">
      <c r="M3174" s="25" t="n"/>
      <c r="Q3174" s="25" t="n"/>
      <c r="U3174" s="194" t="n"/>
      <c r="AA3174" s="25" t="n"/>
      <c r="AB3174" s="25" t="n"/>
      <c r="AC3174" s="195" t="n"/>
      <c r="AD3174" s="25" t="n"/>
      <c r="AE3174" s="25" t="n"/>
      <c r="AG3174" s="25" t="n"/>
      <c r="AH3174" s="25" t="n"/>
      <c r="AI3174" s="394" t="n"/>
      <c r="AM3174" s="48" t="n"/>
      <c r="AN3174" s="48" t="n"/>
      <c r="AO3174" s="48" t="n"/>
    </row>
    <row r="3175">
      <c r="M3175" s="25" t="n"/>
      <c r="Q3175" s="25" t="n"/>
      <c r="U3175" s="194" t="n"/>
      <c r="AA3175" s="25" t="n"/>
      <c r="AB3175" s="25" t="n"/>
      <c r="AC3175" s="195" t="n"/>
      <c r="AD3175" s="25" t="n"/>
      <c r="AE3175" s="25" t="n"/>
      <c r="AG3175" s="25" t="n"/>
      <c r="AH3175" s="25" t="n"/>
      <c r="AI3175" s="394" t="n"/>
      <c r="AM3175" s="48" t="n"/>
      <c r="AN3175" s="48" t="n"/>
      <c r="AO3175" s="48" t="n"/>
    </row>
    <row r="3176">
      <c r="M3176" s="25" t="n"/>
      <c r="Q3176" s="25" t="n"/>
      <c r="U3176" s="194" t="n"/>
      <c r="AA3176" s="25" t="n"/>
      <c r="AB3176" s="25" t="n"/>
      <c r="AC3176" s="195" t="n"/>
      <c r="AD3176" s="25" t="n"/>
      <c r="AE3176" s="25" t="n"/>
      <c r="AG3176" s="25" t="n"/>
      <c r="AH3176" s="25" t="n"/>
      <c r="AI3176" s="394" t="n"/>
      <c r="AM3176" s="48" t="n"/>
      <c r="AN3176" s="48" t="n"/>
      <c r="AO3176" s="48" t="n"/>
    </row>
    <row r="3177">
      <c r="M3177" s="25" t="n"/>
      <c r="Q3177" s="25" t="n"/>
      <c r="U3177" s="194" t="n"/>
      <c r="AA3177" s="25" t="n"/>
      <c r="AB3177" s="25" t="n"/>
      <c r="AC3177" s="195" t="n"/>
      <c r="AD3177" s="25" t="n"/>
      <c r="AE3177" s="25" t="n"/>
      <c r="AG3177" s="25" t="n"/>
      <c r="AH3177" s="25" t="n"/>
      <c r="AI3177" s="394" t="n"/>
      <c r="AM3177" s="48" t="n"/>
      <c r="AN3177" s="48" t="n"/>
      <c r="AO3177" s="48" t="n"/>
    </row>
    <row r="3178">
      <c r="M3178" s="25" t="n"/>
      <c r="Q3178" s="25" t="n"/>
      <c r="U3178" s="194" t="n"/>
      <c r="AA3178" s="25" t="n"/>
      <c r="AB3178" s="25" t="n"/>
      <c r="AC3178" s="195" t="n"/>
      <c r="AD3178" s="25" t="n"/>
      <c r="AE3178" s="25" t="n"/>
      <c r="AG3178" s="25" t="n"/>
      <c r="AH3178" s="25" t="n"/>
      <c r="AI3178" s="394" t="n"/>
      <c r="AM3178" s="48" t="n"/>
      <c r="AN3178" s="48" t="n"/>
      <c r="AO3178" s="48" t="n"/>
    </row>
    <row r="3179">
      <c r="M3179" s="25" t="n"/>
      <c r="Q3179" s="25" t="n"/>
      <c r="U3179" s="194" t="n"/>
      <c r="AA3179" s="25" t="n"/>
      <c r="AB3179" s="25" t="n"/>
      <c r="AC3179" s="195" t="n"/>
      <c r="AD3179" s="25" t="n"/>
      <c r="AE3179" s="25" t="n"/>
      <c r="AG3179" s="25" t="n"/>
      <c r="AH3179" s="25" t="n"/>
      <c r="AI3179" s="394" t="n"/>
      <c r="AM3179" s="48" t="n"/>
      <c r="AN3179" s="48" t="n"/>
      <c r="AO3179" s="48" t="n"/>
    </row>
    <row r="3180">
      <c r="M3180" s="25" t="n"/>
      <c r="Q3180" s="25" t="n"/>
      <c r="U3180" s="194" t="n"/>
      <c r="AA3180" s="25" t="n"/>
      <c r="AB3180" s="25" t="n"/>
      <c r="AC3180" s="195" t="n"/>
      <c r="AD3180" s="25" t="n"/>
      <c r="AE3180" s="25" t="n"/>
      <c r="AG3180" s="25" t="n"/>
      <c r="AH3180" s="25" t="n"/>
      <c r="AI3180" s="394" t="n"/>
      <c r="AM3180" s="48" t="n"/>
      <c r="AN3180" s="48" t="n"/>
      <c r="AO3180" s="48" t="n"/>
    </row>
    <row r="3181">
      <c r="M3181" s="25" t="n"/>
      <c r="Q3181" s="25" t="n"/>
      <c r="U3181" s="194" t="n"/>
      <c r="AA3181" s="25" t="n"/>
      <c r="AB3181" s="25" t="n"/>
      <c r="AC3181" s="195" t="n"/>
      <c r="AD3181" s="25" t="n"/>
      <c r="AE3181" s="25" t="n"/>
      <c r="AG3181" s="25" t="n"/>
      <c r="AH3181" s="25" t="n"/>
      <c r="AI3181" s="394" t="n"/>
      <c r="AM3181" s="48" t="n"/>
      <c r="AN3181" s="48" t="n"/>
      <c r="AO3181" s="48" t="n"/>
    </row>
    <row r="3182">
      <c r="M3182" s="25" t="n"/>
      <c r="Q3182" s="25" t="n"/>
      <c r="U3182" s="194" t="n"/>
      <c r="AA3182" s="25" t="n"/>
      <c r="AB3182" s="25" t="n"/>
      <c r="AC3182" s="195" t="n"/>
      <c r="AD3182" s="25" t="n"/>
      <c r="AE3182" s="25" t="n"/>
      <c r="AG3182" s="25" t="n"/>
      <c r="AH3182" s="25" t="n"/>
      <c r="AI3182" s="394" t="n"/>
      <c r="AM3182" s="48" t="n"/>
      <c r="AN3182" s="48" t="n"/>
      <c r="AO3182" s="48" t="n"/>
    </row>
    <row r="3183">
      <c r="M3183" s="25" t="n"/>
      <c r="Q3183" s="25" t="n"/>
      <c r="U3183" s="194" t="n"/>
      <c r="AA3183" s="25" t="n"/>
      <c r="AB3183" s="25" t="n"/>
      <c r="AC3183" s="195" t="n"/>
      <c r="AD3183" s="25" t="n"/>
      <c r="AE3183" s="25" t="n"/>
      <c r="AG3183" s="25" t="n"/>
      <c r="AH3183" s="25" t="n"/>
      <c r="AI3183" s="394" t="n"/>
      <c r="AM3183" s="48" t="n"/>
      <c r="AN3183" s="48" t="n"/>
      <c r="AO3183" s="48" t="n"/>
    </row>
    <row r="3184">
      <c r="M3184" s="25" t="n"/>
      <c r="Q3184" s="25" t="n"/>
      <c r="U3184" s="194" t="n"/>
      <c r="AA3184" s="25" t="n"/>
      <c r="AB3184" s="25" t="n"/>
      <c r="AC3184" s="195" t="n"/>
      <c r="AD3184" s="25" t="n"/>
      <c r="AE3184" s="25" t="n"/>
      <c r="AG3184" s="25" t="n"/>
      <c r="AH3184" s="25" t="n"/>
      <c r="AI3184" s="394" t="n"/>
      <c r="AM3184" s="48" t="n"/>
      <c r="AN3184" s="48" t="n"/>
      <c r="AO3184" s="48" t="n"/>
    </row>
    <row r="3185">
      <c r="M3185" s="25" t="n"/>
      <c r="Q3185" s="25" t="n"/>
      <c r="U3185" s="194" t="n"/>
      <c r="AA3185" s="25" t="n"/>
      <c r="AB3185" s="25" t="n"/>
      <c r="AC3185" s="195" t="n"/>
      <c r="AD3185" s="25" t="n"/>
      <c r="AE3185" s="25" t="n"/>
      <c r="AG3185" s="25" t="n"/>
      <c r="AH3185" s="25" t="n"/>
      <c r="AI3185" s="394" t="n"/>
      <c r="AM3185" s="48" t="n"/>
      <c r="AN3185" s="48" t="n"/>
      <c r="AO3185" s="48" t="n"/>
    </row>
    <row r="3186">
      <c r="M3186" s="25" t="n"/>
      <c r="Q3186" s="25" t="n"/>
      <c r="U3186" s="194" t="n"/>
      <c r="AA3186" s="25" t="n"/>
      <c r="AB3186" s="25" t="n"/>
      <c r="AC3186" s="195" t="n"/>
      <c r="AD3186" s="25" t="n"/>
      <c r="AE3186" s="25" t="n"/>
      <c r="AG3186" s="25" t="n"/>
      <c r="AH3186" s="25" t="n"/>
      <c r="AI3186" s="394" t="n"/>
      <c r="AM3186" s="48" t="n"/>
      <c r="AN3186" s="48" t="n"/>
      <c r="AO3186" s="48" t="n"/>
    </row>
    <row r="3187">
      <c r="M3187" s="25" t="n"/>
      <c r="Q3187" s="25" t="n"/>
      <c r="U3187" s="194" t="n"/>
      <c r="AA3187" s="25" t="n"/>
      <c r="AB3187" s="25" t="n"/>
      <c r="AC3187" s="195" t="n"/>
      <c r="AD3187" s="25" t="n"/>
      <c r="AE3187" s="25" t="n"/>
      <c r="AG3187" s="25" t="n"/>
      <c r="AH3187" s="25" t="n"/>
      <c r="AI3187" s="394" t="n"/>
      <c r="AM3187" s="48" t="n"/>
      <c r="AN3187" s="48" t="n"/>
      <c r="AO3187" s="48" t="n"/>
    </row>
    <row r="3188">
      <c r="M3188" s="25" t="n"/>
      <c r="Q3188" s="25" t="n"/>
      <c r="U3188" s="194" t="n"/>
      <c r="AA3188" s="25" t="n"/>
      <c r="AB3188" s="25" t="n"/>
      <c r="AC3188" s="195" t="n"/>
      <c r="AD3188" s="25" t="n"/>
      <c r="AE3188" s="25" t="n"/>
      <c r="AG3188" s="25" t="n"/>
      <c r="AH3188" s="25" t="n"/>
      <c r="AI3188" s="394" t="n"/>
      <c r="AM3188" s="48" t="n"/>
      <c r="AN3188" s="48" t="n"/>
      <c r="AO3188" s="48" t="n"/>
    </row>
    <row r="3189">
      <c r="M3189" s="25" t="n"/>
      <c r="Q3189" s="25" t="n"/>
      <c r="U3189" s="194" t="n"/>
      <c r="AA3189" s="25" t="n"/>
      <c r="AB3189" s="25" t="n"/>
      <c r="AC3189" s="195" t="n"/>
      <c r="AD3189" s="25" t="n"/>
      <c r="AE3189" s="25" t="n"/>
      <c r="AG3189" s="25" t="n"/>
      <c r="AH3189" s="25" t="n"/>
      <c r="AI3189" s="394" t="n"/>
      <c r="AM3189" s="48" t="n"/>
      <c r="AN3189" s="48" t="n"/>
      <c r="AO3189" s="48" t="n"/>
    </row>
    <row r="3190">
      <c r="M3190" s="25" t="n"/>
      <c r="Q3190" s="25" t="n"/>
      <c r="U3190" s="194" t="n"/>
      <c r="AA3190" s="25" t="n"/>
      <c r="AB3190" s="25" t="n"/>
      <c r="AC3190" s="195" t="n"/>
      <c r="AD3190" s="25" t="n"/>
      <c r="AE3190" s="25" t="n"/>
      <c r="AG3190" s="25" t="n"/>
      <c r="AH3190" s="25" t="n"/>
      <c r="AI3190" s="394" t="n"/>
      <c r="AM3190" s="48" t="n"/>
      <c r="AN3190" s="48" t="n"/>
      <c r="AO3190" s="48" t="n"/>
    </row>
    <row r="3191">
      <c r="M3191" s="25" t="n"/>
      <c r="Q3191" s="25" t="n"/>
      <c r="U3191" s="194" t="n"/>
      <c r="AA3191" s="25" t="n"/>
      <c r="AB3191" s="25" t="n"/>
      <c r="AC3191" s="195" t="n"/>
      <c r="AD3191" s="25" t="n"/>
      <c r="AE3191" s="25" t="n"/>
      <c r="AG3191" s="25" t="n"/>
      <c r="AH3191" s="25" t="n"/>
      <c r="AI3191" s="394" t="n"/>
      <c r="AM3191" s="48" t="n"/>
      <c r="AN3191" s="48" t="n"/>
      <c r="AO3191" s="48" t="n"/>
    </row>
    <row r="3192">
      <c r="M3192" s="25" t="n"/>
      <c r="Q3192" s="25" t="n"/>
      <c r="U3192" s="194" t="n"/>
      <c r="AA3192" s="25" t="n"/>
      <c r="AB3192" s="25" t="n"/>
      <c r="AC3192" s="195" t="n"/>
      <c r="AD3192" s="25" t="n"/>
      <c r="AE3192" s="25" t="n"/>
      <c r="AG3192" s="25" t="n"/>
      <c r="AH3192" s="25" t="n"/>
      <c r="AI3192" s="394" t="n"/>
      <c r="AM3192" s="48" t="n"/>
      <c r="AN3192" s="48" t="n"/>
      <c r="AO3192" s="48" t="n"/>
    </row>
    <row r="3193">
      <c r="M3193" s="25" t="n"/>
      <c r="Q3193" s="25" t="n"/>
      <c r="U3193" s="194" t="n"/>
      <c r="AA3193" s="25" t="n"/>
      <c r="AB3193" s="25" t="n"/>
      <c r="AC3193" s="195" t="n"/>
      <c r="AD3193" s="25" t="n"/>
      <c r="AE3193" s="25" t="n"/>
      <c r="AG3193" s="25" t="n"/>
      <c r="AH3193" s="25" t="n"/>
      <c r="AI3193" s="394" t="n"/>
      <c r="AM3193" s="48" t="n"/>
      <c r="AN3193" s="48" t="n"/>
      <c r="AO3193" s="48" t="n"/>
    </row>
    <row r="3194">
      <c r="M3194" s="25" t="n"/>
      <c r="Q3194" s="25" t="n"/>
      <c r="U3194" s="194" t="n"/>
      <c r="AA3194" s="25" t="n"/>
      <c r="AB3194" s="25" t="n"/>
      <c r="AC3194" s="195" t="n"/>
      <c r="AD3194" s="25" t="n"/>
      <c r="AE3194" s="25" t="n"/>
      <c r="AG3194" s="25" t="n"/>
      <c r="AH3194" s="25" t="n"/>
      <c r="AI3194" s="394" t="n"/>
      <c r="AM3194" s="48" t="n"/>
      <c r="AN3194" s="48" t="n"/>
      <c r="AO3194" s="48" t="n"/>
    </row>
    <row r="3195">
      <c r="M3195" s="25" t="n"/>
      <c r="Q3195" s="25" t="n"/>
      <c r="U3195" s="194" t="n"/>
      <c r="AA3195" s="25" t="n"/>
      <c r="AB3195" s="25" t="n"/>
      <c r="AC3195" s="195" t="n"/>
      <c r="AD3195" s="25" t="n"/>
      <c r="AE3195" s="25" t="n"/>
      <c r="AG3195" s="25" t="n"/>
      <c r="AH3195" s="25" t="n"/>
      <c r="AI3195" s="394" t="n"/>
      <c r="AM3195" s="48" t="n"/>
      <c r="AN3195" s="48" t="n"/>
      <c r="AO3195" s="48" t="n"/>
    </row>
    <row r="3196">
      <c r="M3196" s="25" t="n"/>
      <c r="Q3196" s="25" t="n"/>
      <c r="U3196" s="194" t="n"/>
      <c r="AA3196" s="25" t="n"/>
      <c r="AB3196" s="25" t="n"/>
      <c r="AC3196" s="195" t="n"/>
      <c r="AD3196" s="25" t="n"/>
      <c r="AE3196" s="25" t="n"/>
      <c r="AG3196" s="25" t="n"/>
      <c r="AH3196" s="25" t="n"/>
      <c r="AI3196" s="394" t="n"/>
      <c r="AM3196" s="48" t="n"/>
      <c r="AN3196" s="48" t="n"/>
      <c r="AO3196" s="48" t="n"/>
    </row>
    <row r="3197">
      <c r="M3197" s="25" t="n"/>
      <c r="Q3197" s="25" t="n"/>
      <c r="U3197" s="194" t="n"/>
      <c r="AA3197" s="25" t="n"/>
      <c r="AB3197" s="25" t="n"/>
      <c r="AC3197" s="195" t="n"/>
      <c r="AD3197" s="25" t="n"/>
      <c r="AE3197" s="25" t="n"/>
      <c r="AG3197" s="25" t="n"/>
      <c r="AH3197" s="25" t="n"/>
      <c r="AI3197" s="394" t="n"/>
      <c r="AM3197" s="48" t="n"/>
      <c r="AN3197" s="48" t="n"/>
      <c r="AO3197" s="48" t="n"/>
    </row>
    <row r="3198">
      <c r="M3198" s="25" t="n"/>
      <c r="Q3198" s="25" t="n"/>
      <c r="U3198" s="194" t="n"/>
      <c r="AA3198" s="25" t="n"/>
      <c r="AB3198" s="25" t="n"/>
      <c r="AC3198" s="195" t="n"/>
      <c r="AD3198" s="25" t="n"/>
      <c r="AE3198" s="25" t="n"/>
      <c r="AG3198" s="25" t="n"/>
      <c r="AH3198" s="25" t="n"/>
      <c r="AI3198" s="394" t="n"/>
      <c r="AM3198" s="48" t="n"/>
      <c r="AN3198" s="48" t="n"/>
      <c r="AO3198" s="48" t="n"/>
    </row>
    <row r="3199">
      <c r="M3199" s="25" t="n"/>
      <c r="Q3199" s="25" t="n"/>
      <c r="U3199" s="194" t="n"/>
      <c r="AA3199" s="25" t="n"/>
      <c r="AB3199" s="25" t="n"/>
      <c r="AC3199" s="195" t="n"/>
      <c r="AD3199" s="25" t="n"/>
      <c r="AE3199" s="25" t="n"/>
      <c r="AG3199" s="25" t="n"/>
      <c r="AH3199" s="25" t="n"/>
      <c r="AI3199" s="394" t="n"/>
      <c r="AM3199" s="48" t="n"/>
      <c r="AN3199" s="48" t="n"/>
      <c r="AO3199" s="48" t="n"/>
    </row>
    <row r="3200">
      <c r="M3200" s="25" t="n"/>
      <c r="Q3200" s="25" t="n"/>
      <c r="U3200" s="194" t="n"/>
      <c r="AA3200" s="25" t="n"/>
      <c r="AB3200" s="25" t="n"/>
      <c r="AC3200" s="195" t="n"/>
      <c r="AD3200" s="25" t="n"/>
      <c r="AE3200" s="25" t="n"/>
      <c r="AG3200" s="25" t="n"/>
      <c r="AH3200" s="25" t="n"/>
      <c r="AI3200" s="394" t="n"/>
      <c r="AM3200" s="48" t="n"/>
      <c r="AN3200" s="48" t="n"/>
      <c r="AO3200" s="48" t="n"/>
    </row>
    <row r="3201">
      <c r="M3201" s="25" t="n"/>
      <c r="Q3201" s="25" t="n"/>
      <c r="U3201" s="194" t="n"/>
      <c r="AA3201" s="25" t="n"/>
      <c r="AB3201" s="25" t="n"/>
      <c r="AC3201" s="195" t="n"/>
      <c r="AD3201" s="25" t="n"/>
      <c r="AE3201" s="25" t="n"/>
      <c r="AG3201" s="25" t="n"/>
      <c r="AH3201" s="25" t="n"/>
      <c r="AI3201" s="394" t="n"/>
      <c r="AM3201" s="48" t="n"/>
      <c r="AN3201" s="48" t="n"/>
      <c r="AO3201" s="48" t="n"/>
    </row>
    <row r="3202">
      <c r="M3202" s="25" t="n"/>
      <c r="Q3202" s="25" t="n"/>
      <c r="U3202" s="194" t="n"/>
      <c r="AA3202" s="25" t="n"/>
      <c r="AB3202" s="25" t="n"/>
      <c r="AC3202" s="195" t="n"/>
      <c r="AD3202" s="25" t="n"/>
      <c r="AE3202" s="25" t="n"/>
      <c r="AG3202" s="25" t="n"/>
      <c r="AH3202" s="25" t="n"/>
      <c r="AI3202" s="394" t="n"/>
      <c r="AM3202" s="48" t="n"/>
      <c r="AN3202" s="48" t="n"/>
      <c r="AO3202" s="48" t="n"/>
    </row>
    <row r="3203">
      <c r="M3203" s="25" t="n"/>
      <c r="Q3203" s="25" t="n"/>
      <c r="U3203" s="194" t="n"/>
      <c r="AA3203" s="25" t="n"/>
      <c r="AB3203" s="25" t="n"/>
      <c r="AC3203" s="195" t="n"/>
      <c r="AD3203" s="25" t="n"/>
      <c r="AE3203" s="25" t="n"/>
      <c r="AG3203" s="25" t="n"/>
      <c r="AH3203" s="25" t="n"/>
      <c r="AI3203" s="394" t="n"/>
      <c r="AM3203" s="48" t="n"/>
      <c r="AN3203" s="48" t="n"/>
      <c r="AO3203" s="48" t="n"/>
    </row>
    <row r="3204">
      <c r="M3204" s="25" t="n"/>
      <c r="Q3204" s="25" t="n"/>
      <c r="U3204" s="194" t="n"/>
      <c r="AA3204" s="25" t="n"/>
      <c r="AB3204" s="25" t="n"/>
      <c r="AC3204" s="195" t="n"/>
      <c r="AD3204" s="25" t="n"/>
      <c r="AE3204" s="25" t="n"/>
      <c r="AG3204" s="25" t="n"/>
      <c r="AH3204" s="25" t="n"/>
      <c r="AI3204" s="394" t="n"/>
      <c r="AM3204" s="48" t="n"/>
      <c r="AN3204" s="48" t="n"/>
      <c r="AO3204" s="48" t="n"/>
    </row>
    <row r="3205">
      <c r="M3205" s="25" t="n"/>
      <c r="Q3205" s="25" t="n"/>
      <c r="U3205" s="194" t="n"/>
      <c r="AA3205" s="25" t="n"/>
      <c r="AB3205" s="25" t="n"/>
      <c r="AC3205" s="195" t="n"/>
      <c r="AD3205" s="25" t="n"/>
      <c r="AE3205" s="25" t="n"/>
      <c r="AG3205" s="25" t="n"/>
      <c r="AH3205" s="25" t="n"/>
      <c r="AI3205" s="394" t="n"/>
      <c r="AM3205" s="48" t="n"/>
      <c r="AN3205" s="48" t="n"/>
      <c r="AO3205" s="48" t="n"/>
    </row>
    <row r="3206">
      <c r="M3206" s="25" t="n"/>
      <c r="Q3206" s="25" t="n"/>
      <c r="U3206" s="194" t="n"/>
      <c r="AA3206" s="25" t="n"/>
      <c r="AB3206" s="25" t="n"/>
      <c r="AC3206" s="195" t="n"/>
      <c r="AD3206" s="25" t="n"/>
      <c r="AE3206" s="25" t="n"/>
      <c r="AG3206" s="25" t="n"/>
      <c r="AH3206" s="25" t="n"/>
      <c r="AI3206" s="394" t="n"/>
      <c r="AM3206" s="48" t="n"/>
      <c r="AN3206" s="48" t="n"/>
      <c r="AO3206" s="48" t="n"/>
    </row>
    <row r="3207">
      <c r="M3207" s="25" t="n"/>
      <c r="Q3207" s="25" t="n"/>
      <c r="U3207" s="194" t="n"/>
      <c r="AA3207" s="25" t="n"/>
      <c r="AB3207" s="25" t="n"/>
      <c r="AC3207" s="195" t="n"/>
      <c r="AD3207" s="25" t="n"/>
      <c r="AE3207" s="25" t="n"/>
      <c r="AG3207" s="25" t="n"/>
      <c r="AH3207" s="25" t="n"/>
      <c r="AI3207" s="394" t="n"/>
      <c r="AM3207" s="48" t="n"/>
      <c r="AN3207" s="48" t="n"/>
      <c r="AO3207" s="48" t="n"/>
    </row>
    <row r="3208">
      <c r="M3208" s="25" t="n"/>
      <c r="Q3208" s="25" t="n"/>
      <c r="U3208" s="194" t="n"/>
      <c r="AA3208" s="25" t="n"/>
      <c r="AB3208" s="25" t="n"/>
      <c r="AC3208" s="195" t="n"/>
      <c r="AD3208" s="25" t="n"/>
      <c r="AE3208" s="25" t="n"/>
      <c r="AG3208" s="25" t="n"/>
      <c r="AH3208" s="25" t="n"/>
      <c r="AI3208" s="394" t="n"/>
      <c r="AM3208" s="48" t="n"/>
      <c r="AN3208" s="48" t="n"/>
      <c r="AO3208" s="48" t="n"/>
    </row>
    <row r="3209">
      <c r="M3209" s="25" t="n"/>
      <c r="Q3209" s="25" t="n"/>
      <c r="U3209" s="194" t="n"/>
      <c r="AA3209" s="25" t="n"/>
      <c r="AB3209" s="25" t="n"/>
      <c r="AC3209" s="195" t="n"/>
      <c r="AD3209" s="25" t="n"/>
      <c r="AE3209" s="25" t="n"/>
      <c r="AG3209" s="25" t="n"/>
      <c r="AH3209" s="25" t="n"/>
      <c r="AI3209" s="394" t="n"/>
      <c r="AM3209" s="48" t="n"/>
      <c r="AN3209" s="48" t="n"/>
      <c r="AO3209" s="48" t="n"/>
    </row>
    <row r="3210">
      <c r="M3210" s="25" t="n"/>
      <c r="Q3210" s="25" t="n"/>
      <c r="U3210" s="194" t="n"/>
      <c r="AA3210" s="25" t="n"/>
      <c r="AB3210" s="25" t="n"/>
      <c r="AC3210" s="195" t="n"/>
      <c r="AD3210" s="25" t="n"/>
      <c r="AE3210" s="25" t="n"/>
      <c r="AG3210" s="25" t="n"/>
      <c r="AH3210" s="25" t="n"/>
      <c r="AI3210" s="394" t="n"/>
      <c r="AM3210" s="48" t="n"/>
      <c r="AN3210" s="48" t="n"/>
      <c r="AO3210" s="48" t="n"/>
    </row>
    <row r="3211">
      <c r="M3211" s="25" t="n"/>
      <c r="Q3211" s="25" t="n"/>
      <c r="U3211" s="194" t="n"/>
      <c r="AA3211" s="25" t="n"/>
      <c r="AB3211" s="25" t="n"/>
      <c r="AC3211" s="195" t="n"/>
      <c r="AD3211" s="25" t="n"/>
      <c r="AE3211" s="25" t="n"/>
      <c r="AG3211" s="25" t="n"/>
      <c r="AH3211" s="25" t="n"/>
      <c r="AI3211" s="394" t="n"/>
      <c r="AM3211" s="48" t="n"/>
      <c r="AN3211" s="48" t="n"/>
      <c r="AO3211" s="48" t="n"/>
    </row>
    <row r="3212">
      <c r="M3212" s="25" t="n"/>
      <c r="Q3212" s="25" t="n"/>
      <c r="U3212" s="194" t="n"/>
      <c r="AA3212" s="25" t="n"/>
      <c r="AB3212" s="25" t="n"/>
      <c r="AC3212" s="195" t="n"/>
      <c r="AD3212" s="25" t="n"/>
      <c r="AE3212" s="25" t="n"/>
      <c r="AG3212" s="25" t="n"/>
      <c r="AH3212" s="25" t="n"/>
      <c r="AI3212" s="394" t="n"/>
      <c r="AM3212" s="48" t="n"/>
      <c r="AN3212" s="48" t="n"/>
      <c r="AO3212" s="48" t="n"/>
    </row>
    <row r="3213">
      <c r="M3213" s="25" t="n"/>
      <c r="Q3213" s="25" t="n"/>
      <c r="U3213" s="194" t="n"/>
      <c r="AA3213" s="25" t="n"/>
      <c r="AB3213" s="25" t="n"/>
      <c r="AC3213" s="195" t="n"/>
      <c r="AD3213" s="25" t="n"/>
      <c r="AE3213" s="25" t="n"/>
      <c r="AG3213" s="25" t="n"/>
      <c r="AH3213" s="25" t="n"/>
      <c r="AI3213" s="394" t="n"/>
      <c r="AM3213" s="48" t="n"/>
      <c r="AN3213" s="48" t="n"/>
      <c r="AO3213" s="48" t="n"/>
    </row>
    <row r="3214">
      <c r="M3214" s="25" t="n"/>
      <c r="Q3214" s="25" t="n"/>
      <c r="U3214" s="194" t="n"/>
      <c r="AA3214" s="25" t="n"/>
      <c r="AB3214" s="25" t="n"/>
      <c r="AC3214" s="195" t="n"/>
      <c r="AD3214" s="25" t="n"/>
      <c r="AE3214" s="25" t="n"/>
      <c r="AG3214" s="25" t="n"/>
      <c r="AH3214" s="25" t="n"/>
      <c r="AI3214" s="394" t="n"/>
      <c r="AM3214" s="48" t="n"/>
      <c r="AN3214" s="48" t="n"/>
      <c r="AO3214" s="48" t="n"/>
    </row>
    <row r="3215">
      <c r="M3215" s="25" t="n"/>
      <c r="Q3215" s="25" t="n"/>
      <c r="U3215" s="194" t="n"/>
      <c r="AA3215" s="25" t="n"/>
      <c r="AB3215" s="25" t="n"/>
      <c r="AC3215" s="195" t="n"/>
      <c r="AD3215" s="25" t="n"/>
      <c r="AE3215" s="25" t="n"/>
      <c r="AG3215" s="25" t="n"/>
      <c r="AH3215" s="25" t="n"/>
      <c r="AI3215" s="394" t="n"/>
      <c r="AM3215" s="48" t="n"/>
      <c r="AN3215" s="48" t="n"/>
      <c r="AO3215" s="48" t="n"/>
    </row>
    <row r="3216">
      <c r="M3216" s="25" t="n"/>
      <c r="Q3216" s="25" t="n"/>
      <c r="U3216" s="194" t="n"/>
      <c r="AA3216" s="25" t="n"/>
      <c r="AB3216" s="25" t="n"/>
      <c r="AC3216" s="195" t="n"/>
      <c r="AD3216" s="25" t="n"/>
      <c r="AE3216" s="25" t="n"/>
      <c r="AG3216" s="25" t="n"/>
      <c r="AH3216" s="25" t="n"/>
      <c r="AI3216" s="394" t="n"/>
      <c r="AM3216" s="48" t="n"/>
      <c r="AN3216" s="48" t="n"/>
      <c r="AO3216" s="48" t="n"/>
    </row>
    <row r="3217">
      <c r="M3217" s="25" t="n"/>
      <c r="Q3217" s="25" t="n"/>
      <c r="U3217" s="194" t="n"/>
      <c r="AA3217" s="25" t="n"/>
      <c r="AB3217" s="25" t="n"/>
      <c r="AC3217" s="195" t="n"/>
      <c r="AD3217" s="25" t="n"/>
      <c r="AE3217" s="25" t="n"/>
      <c r="AG3217" s="25" t="n"/>
      <c r="AH3217" s="25" t="n"/>
      <c r="AI3217" s="394" t="n"/>
      <c r="AM3217" s="48" t="n"/>
      <c r="AN3217" s="48" t="n"/>
      <c r="AO3217" s="48" t="n"/>
    </row>
    <row r="3218">
      <c r="M3218" s="25" t="n"/>
      <c r="Q3218" s="25" t="n"/>
      <c r="U3218" s="194" t="n"/>
      <c r="AA3218" s="25" t="n"/>
      <c r="AB3218" s="25" t="n"/>
      <c r="AC3218" s="195" t="n"/>
      <c r="AD3218" s="25" t="n"/>
      <c r="AE3218" s="25" t="n"/>
      <c r="AG3218" s="25" t="n"/>
      <c r="AH3218" s="25" t="n"/>
      <c r="AI3218" s="394" t="n"/>
      <c r="AM3218" s="48" t="n"/>
      <c r="AN3218" s="48" t="n"/>
      <c r="AO3218" s="48" t="n"/>
    </row>
    <row r="3219">
      <c r="M3219" s="25" t="n"/>
      <c r="Q3219" s="25" t="n"/>
      <c r="U3219" s="194" t="n"/>
      <c r="AA3219" s="25" t="n"/>
      <c r="AB3219" s="25" t="n"/>
      <c r="AC3219" s="195" t="n"/>
      <c r="AD3219" s="25" t="n"/>
      <c r="AE3219" s="25" t="n"/>
      <c r="AG3219" s="25" t="n"/>
      <c r="AH3219" s="25" t="n"/>
      <c r="AI3219" s="394" t="n"/>
      <c r="AM3219" s="48" t="n"/>
      <c r="AN3219" s="48" t="n"/>
      <c r="AO3219" s="48" t="n"/>
    </row>
    <row r="3220">
      <c r="M3220" s="25" t="n"/>
      <c r="Q3220" s="25" t="n"/>
      <c r="U3220" s="194" t="n"/>
      <c r="AA3220" s="25" t="n"/>
      <c r="AB3220" s="25" t="n"/>
      <c r="AC3220" s="195" t="n"/>
      <c r="AD3220" s="25" t="n"/>
      <c r="AE3220" s="25" t="n"/>
      <c r="AG3220" s="25" t="n"/>
      <c r="AH3220" s="25" t="n"/>
      <c r="AI3220" s="394" t="n"/>
      <c r="AM3220" s="48" t="n"/>
      <c r="AN3220" s="48" t="n"/>
      <c r="AO3220" s="48" t="n"/>
    </row>
    <row r="3221">
      <c r="M3221" s="25" t="n"/>
      <c r="Q3221" s="25" t="n"/>
      <c r="U3221" s="194" t="n"/>
      <c r="AA3221" s="25" t="n"/>
      <c r="AB3221" s="25" t="n"/>
      <c r="AC3221" s="195" t="n"/>
      <c r="AD3221" s="25" t="n"/>
      <c r="AE3221" s="25" t="n"/>
      <c r="AG3221" s="25" t="n"/>
      <c r="AH3221" s="25" t="n"/>
      <c r="AI3221" s="394" t="n"/>
      <c r="AM3221" s="48" t="n"/>
      <c r="AN3221" s="48" t="n"/>
      <c r="AO3221" s="48" t="n"/>
    </row>
    <row r="3222">
      <c r="M3222" s="25" t="n"/>
      <c r="Q3222" s="25" t="n"/>
      <c r="U3222" s="194" t="n"/>
      <c r="AA3222" s="25" t="n"/>
      <c r="AB3222" s="25" t="n"/>
      <c r="AC3222" s="195" t="n"/>
      <c r="AD3222" s="25" t="n"/>
      <c r="AE3222" s="25" t="n"/>
      <c r="AG3222" s="25" t="n"/>
      <c r="AH3222" s="25" t="n"/>
      <c r="AI3222" s="394" t="n"/>
      <c r="AM3222" s="48" t="n"/>
      <c r="AN3222" s="48" t="n"/>
      <c r="AO3222" s="48" t="n"/>
    </row>
    <row r="3223">
      <c r="M3223" s="25" t="n"/>
      <c r="Q3223" s="25" t="n"/>
      <c r="U3223" s="194" t="n"/>
      <c r="AA3223" s="25" t="n"/>
      <c r="AB3223" s="25" t="n"/>
      <c r="AC3223" s="195" t="n"/>
      <c r="AD3223" s="25" t="n"/>
      <c r="AE3223" s="25" t="n"/>
      <c r="AG3223" s="25" t="n"/>
      <c r="AH3223" s="25" t="n"/>
      <c r="AI3223" s="394" t="n"/>
      <c r="AM3223" s="48" t="n"/>
      <c r="AN3223" s="48" t="n"/>
      <c r="AO3223" s="48" t="n"/>
    </row>
    <row r="3224">
      <c r="M3224" s="25" t="n"/>
      <c r="Q3224" s="25" t="n"/>
      <c r="U3224" s="194" t="n"/>
      <c r="AA3224" s="25" t="n"/>
      <c r="AB3224" s="25" t="n"/>
      <c r="AC3224" s="195" t="n"/>
      <c r="AD3224" s="25" t="n"/>
      <c r="AE3224" s="25" t="n"/>
      <c r="AG3224" s="25" t="n"/>
      <c r="AH3224" s="25" t="n"/>
      <c r="AI3224" s="394" t="n"/>
      <c r="AM3224" s="48" t="n"/>
      <c r="AN3224" s="48" t="n"/>
      <c r="AO3224" s="48" t="n"/>
    </row>
    <row r="3225">
      <c r="M3225" s="25" t="n"/>
      <c r="Q3225" s="25" t="n"/>
      <c r="U3225" s="194" t="n"/>
      <c r="AA3225" s="25" t="n"/>
      <c r="AB3225" s="25" t="n"/>
      <c r="AC3225" s="195" t="n"/>
      <c r="AD3225" s="25" t="n"/>
      <c r="AE3225" s="25" t="n"/>
      <c r="AG3225" s="25" t="n"/>
      <c r="AH3225" s="25" t="n"/>
      <c r="AI3225" s="394" t="n"/>
      <c r="AM3225" s="48" t="n"/>
      <c r="AN3225" s="48" t="n"/>
      <c r="AO3225" s="48" t="n"/>
    </row>
    <row r="3226">
      <c r="M3226" s="25" t="n"/>
      <c r="Q3226" s="25" t="n"/>
      <c r="U3226" s="194" t="n"/>
      <c r="AA3226" s="25" t="n"/>
      <c r="AB3226" s="25" t="n"/>
      <c r="AC3226" s="195" t="n"/>
      <c r="AD3226" s="25" t="n"/>
      <c r="AE3226" s="25" t="n"/>
      <c r="AG3226" s="25" t="n"/>
      <c r="AH3226" s="25" t="n"/>
      <c r="AI3226" s="394" t="n"/>
      <c r="AM3226" s="48" t="n"/>
      <c r="AN3226" s="48" t="n"/>
      <c r="AO3226" s="48" t="n"/>
    </row>
    <row r="3227">
      <c r="M3227" s="25" t="n"/>
      <c r="Q3227" s="25" t="n"/>
      <c r="U3227" s="194" t="n"/>
      <c r="AA3227" s="25" t="n"/>
      <c r="AB3227" s="25" t="n"/>
      <c r="AC3227" s="195" t="n"/>
      <c r="AD3227" s="25" t="n"/>
      <c r="AE3227" s="25" t="n"/>
      <c r="AG3227" s="25" t="n"/>
      <c r="AH3227" s="25" t="n"/>
      <c r="AI3227" s="394" t="n"/>
      <c r="AM3227" s="48" t="n"/>
      <c r="AN3227" s="48" t="n"/>
      <c r="AO3227" s="48" t="n"/>
    </row>
    <row r="3228">
      <c r="M3228" s="25" t="n"/>
      <c r="Q3228" s="25" t="n"/>
      <c r="U3228" s="194" t="n"/>
      <c r="AA3228" s="25" t="n"/>
      <c r="AB3228" s="25" t="n"/>
      <c r="AC3228" s="195" t="n"/>
      <c r="AD3228" s="25" t="n"/>
      <c r="AE3228" s="25" t="n"/>
      <c r="AG3228" s="25" t="n"/>
      <c r="AH3228" s="25" t="n"/>
      <c r="AI3228" s="394" t="n"/>
      <c r="AM3228" s="48" t="n"/>
      <c r="AN3228" s="48" t="n"/>
      <c r="AO3228" s="48" t="n"/>
    </row>
    <row r="3229">
      <c r="M3229" s="25" t="n"/>
      <c r="Q3229" s="25" t="n"/>
      <c r="U3229" s="194" t="n"/>
      <c r="AA3229" s="25" t="n"/>
      <c r="AB3229" s="25" t="n"/>
      <c r="AC3229" s="195" t="n"/>
      <c r="AD3229" s="25" t="n"/>
      <c r="AE3229" s="25" t="n"/>
      <c r="AG3229" s="25" t="n"/>
      <c r="AH3229" s="25" t="n"/>
      <c r="AI3229" s="394" t="n"/>
      <c r="AM3229" s="48" t="n"/>
      <c r="AN3229" s="48" t="n"/>
      <c r="AO3229" s="48" t="n"/>
    </row>
    <row r="3230">
      <c r="M3230" s="25" t="n"/>
      <c r="Q3230" s="25" t="n"/>
      <c r="U3230" s="194" t="n"/>
      <c r="AA3230" s="25" t="n"/>
      <c r="AB3230" s="25" t="n"/>
      <c r="AC3230" s="195" t="n"/>
      <c r="AD3230" s="25" t="n"/>
      <c r="AE3230" s="25" t="n"/>
      <c r="AG3230" s="25" t="n"/>
      <c r="AH3230" s="25" t="n"/>
      <c r="AI3230" s="394" t="n"/>
      <c r="AM3230" s="48" t="n"/>
      <c r="AN3230" s="48" t="n"/>
      <c r="AO3230" s="48" t="n"/>
    </row>
    <row r="3231">
      <c r="M3231" s="25" t="n"/>
      <c r="Q3231" s="25" t="n"/>
      <c r="U3231" s="194" t="n"/>
      <c r="AA3231" s="25" t="n"/>
      <c r="AB3231" s="25" t="n"/>
      <c r="AC3231" s="195" t="n"/>
      <c r="AD3231" s="25" t="n"/>
      <c r="AE3231" s="25" t="n"/>
      <c r="AG3231" s="25" t="n"/>
      <c r="AH3231" s="25" t="n"/>
      <c r="AI3231" s="394" t="n"/>
      <c r="AM3231" s="48" t="n"/>
      <c r="AN3231" s="48" t="n"/>
      <c r="AO3231" s="48" t="n"/>
    </row>
    <row r="3232">
      <c r="M3232" s="25" t="n"/>
      <c r="Q3232" s="25" t="n"/>
      <c r="U3232" s="194" t="n"/>
      <c r="AA3232" s="25" t="n"/>
      <c r="AB3232" s="25" t="n"/>
      <c r="AC3232" s="195" t="n"/>
      <c r="AD3232" s="25" t="n"/>
      <c r="AE3232" s="25" t="n"/>
      <c r="AG3232" s="25" t="n"/>
      <c r="AH3232" s="25" t="n"/>
      <c r="AI3232" s="394" t="n"/>
      <c r="AM3232" s="48" t="n"/>
      <c r="AN3232" s="48" t="n"/>
      <c r="AO3232" s="48" t="n"/>
    </row>
    <row r="3233">
      <c r="M3233" s="25" t="n"/>
      <c r="Q3233" s="25" t="n"/>
      <c r="U3233" s="194" t="n"/>
      <c r="AA3233" s="25" t="n"/>
      <c r="AB3233" s="25" t="n"/>
      <c r="AC3233" s="195" t="n"/>
      <c r="AD3233" s="25" t="n"/>
      <c r="AE3233" s="25" t="n"/>
      <c r="AG3233" s="25" t="n"/>
      <c r="AH3233" s="25" t="n"/>
      <c r="AI3233" s="394" t="n"/>
      <c r="AM3233" s="48" t="n"/>
      <c r="AN3233" s="48" t="n"/>
      <c r="AO3233" s="48" t="n"/>
    </row>
    <row r="3234">
      <c r="M3234" s="25" t="n"/>
      <c r="Q3234" s="25" t="n"/>
      <c r="U3234" s="194" t="n"/>
      <c r="AA3234" s="25" t="n"/>
      <c r="AB3234" s="25" t="n"/>
      <c r="AC3234" s="195" t="n"/>
      <c r="AD3234" s="25" t="n"/>
      <c r="AE3234" s="25" t="n"/>
      <c r="AG3234" s="25" t="n"/>
      <c r="AH3234" s="25" t="n"/>
      <c r="AI3234" s="394" t="n"/>
      <c r="AM3234" s="48" t="n"/>
      <c r="AN3234" s="48" t="n"/>
      <c r="AO3234" s="48" t="n"/>
    </row>
    <row r="3235">
      <c r="M3235" s="25" t="n"/>
      <c r="Q3235" s="25" t="n"/>
      <c r="U3235" s="194" t="n"/>
      <c r="AA3235" s="25" t="n"/>
      <c r="AB3235" s="25" t="n"/>
      <c r="AC3235" s="195" t="n"/>
      <c r="AD3235" s="25" t="n"/>
      <c r="AE3235" s="25" t="n"/>
      <c r="AG3235" s="25" t="n"/>
      <c r="AH3235" s="25" t="n"/>
      <c r="AI3235" s="394" t="n"/>
      <c r="AM3235" s="48" t="n"/>
      <c r="AN3235" s="48" t="n"/>
      <c r="AO3235" s="48" t="n"/>
    </row>
    <row r="3236">
      <c r="M3236" s="25" t="n"/>
      <c r="Q3236" s="25" t="n"/>
      <c r="U3236" s="194" t="n"/>
      <c r="AA3236" s="25" t="n"/>
      <c r="AB3236" s="25" t="n"/>
      <c r="AC3236" s="195" t="n"/>
      <c r="AD3236" s="25" t="n"/>
      <c r="AE3236" s="25" t="n"/>
      <c r="AG3236" s="25" t="n"/>
      <c r="AH3236" s="25" t="n"/>
      <c r="AI3236" s="394" t="n"/>
      <c r="AM3236" s="48" t="n"/>
      <c r="AN3236" s="48" t="n"/>
      <c r="AO3236" s="48" t="n"/>
    </row>
    <row r="3237">
      <c r="M3237" s="25" t="n"/>
      <c r="Q3237" s="25" t="n"/>
      <c r="U3237" s="194" t="n"/>
      <c r="AA3237" s="25" t="n"/>
      <c r="AB3237" s="25" t="n"/>
      <c r="AC3237" s="195" t="n"/>
      <c r="AD3237" s="25" t="n"/>
      <c r="AE3237" s="25" t="n"/>
      <c r="AG3237" s="25" t="n"/>
      <c r="AH3237" s="25" t="n"/>
      <c r="AI3237" s="394" t="n"/>
      <c r="AM3237" s="48" t="n"/>
      <c r="AN3237" s="48" t="n"/>
      <c r="AO3237" s="48" t="n"/>
    </row>
    <row r="3238">
      <c r="M3238" s="25" t="n"/>
      <c r="Q3238" s="25" t="n"/>
      <c r="U3238" s="194" t="n"/>
      <c r="AA3238" s="25" t="n"/>
      <c r="AB3238" s="25" t="n"/>
      <c r="AC3238" s="195" t="n"/>
      <c r="AD3238" s="25" t="n"/>
      <c r="AE3238" s="25" t="n"/>
      <c r="AG3238" s="25" t="n"/>
      <c r="AH3238" s="25" t="n"/>
      <c r="AI3238" s="394" t="n"/>
      <c r="AM3238" s="48" t="n"/>
      <c r="AN3238" s="48" t="n"/>
      <c r="AO3238" s="48" t="n"/>
    </row>
    <row r="3239">
      <c r="M3239" s="25" t="n"/>
      <c r="Q3239" s="25" t="n"/>
      <c r="U3239" s="194" t="n"/>
      <c r="AA3239" s="25" t="n"/>
      <c r="AB3239" s="25" t="n"/>
      <c r="AC3239" s="195" t="n"/>
      <c r="AD3239" s="25" t="n"/>
      <c r="AE3239" s="25" t="n"/>
      <c r="AG3239" s="25" t="n"/>
      <c r="AH3239" s="25" t="n"/>
      <c r="AI3239" s="394" t="n"/>
      <c r="AM3239" s="48" t="n"/>
      <c r="AN3239" s="48" t="n"/>
      <c r="AO3239" s="48" t="n"/>
    </row>
    <row r="3240">
      <c r="M3240" s="25" t="n"/>
      <c r="Q3240" s="25" t="n"/>
      <c r="U3240" s="194" t="n"/>
      <c r="AA3240" s="25" t="n"/>
      <c r="AB3240" s="25" t="n"/>
      <c r="AC3240" s="195" t="n"/>
      <c r="AD3240" s="25" t="n"/>
      <c r="AE3240" s="25" t="n"/>
      <c r="AG3240" s="25" t="n"/>
      <c r="AH3240" s="25" t="n"/>
      <c r="AI3240" s="394" t="n"/>
      <c r="AM3240" s="48" t="n"/>
      <c r="AN3240" s="48" t="n"/>
      <c r="AO3240" s="48" t="n"/>
    </row>
    <row r="3241">
      <c r="M3241" s="25" t="n"/>
      <c r="Q3241" s="25" t="n"/>
      <c r="U3241" s="194" t="n"/>
      <c r="AA3241" s="25" t="n"/>
      <c r="AB3241" s="25" t="n"/>
      <c r="AC3241" s="195" t="n"/>
      <c r="AD3241" s="25" t="n"/>
      <c r="AE3241" s="25" t="n"/>
      <c r="AG3241" s="25" t="n"/>
      <c r="AH3241" s="25" t="n"/>
      <c r="AI3241" s="394" t="n"/>
      <c r="AM3241" s="48" t="n"/>
      <c r="AN3241" s="48" t="n"/>
      <c r="AO3241" s="48" t="n"/>
    </row>
    <row r="3242">
      <c r="M3242" s="25" t="n"/>
      <c r="Q3242" s="25" t="n"/>
      <c r="U3242" s="194" t="n"/>
      <c r="AA3242" s="25" t="n"/>
      <c r="AB3242" s="25" t="n"/>
      <c r="AC3242" s="195" t="n"/>
      <c r="AD3242" s="25" t="n"/>
      <c r="AE3242" s="25" t="n"/>
      <c r="AG3242" s="25" t="n"/>
      <c r="AH3242" s="25" t="n"/>
      <c r="AI3242" s="394" t="n"/>
      <c r="AM3242" s="48" t="n"/>
      <c r="AN3242" s="48" t="n"/>
      <c r="AO3242" s="48" t="n"/>
    </row>
    <row r="3243">
      <c r="M3243" s="25" t="n"/>
      <c r="Q3243" s="25" t="n"/>
      <c r="U3243" s="194" t="n"/>
      <c r="AA3243" s="25" t="n"/>
      <c r="AB3243" s="25" t="n"/>
      <c r="AC3243" s="195" t="n"/>
      <c r="AD3243" s="25" t="n"/>
      <c r="AE3243" s="25" t="n"/>
      <c r="AG3243" s="25" t="n"/>
      <c r="AH3243" s="25" t="n"/>
      <c r="AI3243" s="394" t="n"/>
      <c r="AM3243" s="48" t="n"/>
      <c r="AN3243" s="48" t="n"/>
      <c r="AO3243" s="48" t="n"/>
    </row>
    <row r="3244">
      <c r="M3244" s="25" t="n"/>
      <c r="Q3244" s="25" t="n"/>
      <c r="U3244" s="194" t="n"/>
      <c r="AA3244" s="25" t="n"/>
      <c r="AB3244" s="25" t="n"/>
      <c r="AC3244" s="195" t="n"/>
      <c r="AD3244" s="25" t="n"/>
      <c r="AE3244" s="25" t="n"/>
      <c r="AG3244" s="25" t="n"/>
      <c r="AH3244" s="25" t="n"/>
      <c r="AI3244" s="394" t="n"/>
      <c r="AM3244" s="48" t="n"/>
      <c r="AN3244" s="48" t="n"/>
      <c r="AO3244" s="48" t="n"/>
    </row>
    <row r="3245">
      <c r="M3245" s="25" t="n"/>
      <c r="Q3245" s="25" t="n"/>
      <c r="U3245" s="194" t="n"/>
      <c r="AA3245" s="25" t="n"/>
      <c r="AB3245" s="25" t="n"/>
      <c r="AC3245" s="195" t="n"/>
      <c r="AD3245" s="25" t="n"/>
      <c r="AE3245" s="25" t="n"/>
      <c r="AG3245" s="25" t="n"/>
      <c r="AH3245" s="25" t="n"/>
      <c r="AI3245" s="394" t="n"/>
      <c r="AM3245" s="48" t="n"/>
      <c r="AN3245" s="48" t="n"/>
      <c r="AO3245" s="48" t="n"/>
    </row>
    <row r="3246">
      <c r="M3246" s="25" t="n"/>
      <c r="Q3246" s="25" t="n"/>
      <c r="U3246" s="194" t="n"/>
      <c r="AA3246" s="25" t="n"/>
      <c r="AB3246" s="25" t="n"/>
      <c r="AC3246" s="195" t="n"/>
      <c r="AD3246" s="25" t="n"/>
      <c r="AE3246" s="25" t="n"/>
      <c r="AG3246" s="25" t="n"/>
      <c r="AH3246" s="25" t="n"/>
      <c r="AI3246" s="394" t="n"/>
      <c r="AM3246" s="48" t="n"/>
      <c r="AN3246" s="48" t="n"/>
      <c r="AO3246" s="48" t="n"/>
    </row>
    <row r="3247">
      <c r="M3247" s="25" t="n"/>
      <c r="Q3247" s="25" t="n"/>
      <c r="U3247" s="194" t="n"/>
      <c r="AA3247" s="25" t="n"/>
      <c r="AB3247" s="25" t="n"/>
      <c r="AC3247" s="195" t="n"/>
      <c r="AD3247" s="25" t="n"/>
      <c r="AE3247" s="25" t="n"/>
      <c r="AG3247" s="25" t="n"/>
      <c r="AH3247" s="25" t="n"/>
      <c r="AI3247" s="394" t="n"/>
      <c r="AM3247" s="48" t="n"/>
      <c r="AN3247" s="48" t="n"/>
      <c r="AO3247" s="48" t="n"/>
    </row>
    <row r="3248">
      <c r="M3248" s="25" t="n"/>
      <c r="Q3248" s="25" t="n"/>
      <c r="U3248" s="194" t="n"/>
      <c r="AA3248" s="25" t="n"/>
      <c r="AB3248" s="25" t="n"/>
      <c r="AC3248" s="195" t="n"/>
      <c r="AD3248" s="25" t="n"/>
      <c r="AE3248" s="25" t="n"/>
      <c r="AG3248" s="25" t="n"/>
      <c r="AH3248" s="25" t="n"/>
      <c r="AI3248" s="394" t="n"/>
      <c r="AM3248" s="48" t="n"/>
      <c r="AN3248" s="48" t="n"/>
      <c r="AO3248" s="48" t="n"/>
    </row>
    <row r="3249">
      <c r="M3249" s="25" t="n"/>
      <c r="Q3249" s="25" t="n"/>
      <c r="U3249" s="194" t="n"/>
      <c r="AA3249" s="25" t="n"/>
      <c r="AB3249" s="25" t="n"/>
      <c r="AC3249" s="195" t="n"/>
      <c r="AD3249" s="25" t="n"/>
      <c r="AE3249" s="25" t="n"/>
      <c r="AG3249" s="25" t="n"/>
      <c r="AH3249" s="25" t="n"/>
      <c r="AI3249" s="394" t="n"/>
      <c r="AM3249" s="48" t="n"/>
      <c r="AN3249" s="48" t="n"/>
      <c r="AO3249" s="48" t="n"/>
    </row>
    <row r="3250">
      <c r="M3250" s="25" t="n"/>
      <c r="Q3250" s="25" t="n"/>
      <c r="U3250" s="194" t="n"/>
      <c r="AA3250" s="25" t="n"/>
      <c r="AB3250" s="25" t="n"/>
      <c r="AC3250" s="195" t="n"/>
      <c r="AD3250" s="25" t="n"/>
      <c r="AE3250" s="25" t="n"/>
      <c r="AG3250" s="25" t="n"/>
      <c r="AH3250" s="25" t="n"/>
      <c r="AI3250" s="394" t="n"/>
      <c r="AM3250" s="48" t="n"/>
      <c r="AN3250" s="48" t="n"/>
      <c r="AO3250" s="48" t="n"/>
    </row>
    <row r="3251">
      <c r="M3251" s="25" t="n"/>
      <c r="Q3251" s="25" t="n"/>
      <c r="U3251" s="194" t="n"/>
      <c r="AA3251" s="25" t="n"/>
      <c r="AB3251" s="25" t="n"/>
      <c r="AC3251" s="195" t="n"/>
      <c r="AD3251" s="25" t="n"/>
      <c r="AE3251" s="25" t="n"/>
      <c r="AG3251" s="25" t="n"/>
      <c r="AH3251" s="25" t="n"/>
      <c r="AI3251" s="394" t="n"/>
      <c r="AM3251" s="48" t="n"/>
      <c r="AN3251" s="48" t="n"/>
      <c r="AO3251" s="48" t="n"/>
    </row>
    <row r="3252">
      <c r="M3252" s="25" t="n"/>
      <c r="Q3252" s="25" t="n"/>
      <c r="U3252" s="194" t="n"/>
      <c r="AA3252" s="25" t="n"/>
      <c r="AB3252" s="25" t="n"/>
      <c r="AC3252" s="195" t="n"/>
      <c r="AD3252" s="25" t="n"/>
      <c r="AE3252" s="25" t="n"/>
      <c r="AG3252" s="25" t="n"/>
      <c r="AH3252" s="25" t="n"/>
      <c r="AI3252" s="394" t="n"/>
      <c r="AM3252" s="48" t="n"/>
      <c r="AN3252" s="48" t="n"/>
      <c r="AO3252" s="48" t="n"/>
    </row>
    <row r="3253">
      <c r="M3253" s="25" t="n"/>
      <c r="Q3253" s="25" t="n"/>
      <c r="U3253" s="194" t="n"/>
      <c r="AA3253" s="25" t="n"/>
      <c r="AB3253" s="25" t="n"/>
      <c r="AC3253" s="195" t="n"/>
      <c r="AD3253" s="25" t="n"/>
      <c r="AE3253" s="25" t="n"/>
      <c r="AG3253" s="25" t="n"/>
      <c r="AH3253" s="25" t="n"/>
      <c r="AI3253" s="394" t="n"/>
      <c r="AM3253" s="48" t="n"/>
      <c r="AN3253" s="48" t="n"/>
      <c r="AO3253" s="48" t="n"/>
    </row>
    <row r="3254">
      <c r="M3254" s="25" t="n"/>
      <c r="Q3254" s="25" t="n"/>
      <c r="U3254" s="194" t="n"/>
      <c r="AA3254" s="25" t="n"/>
      <c r="AB3254" s="25" t="n"/>
      <c r="AC3254" s="195" t="n"/>
      <c r="AD3254" s="25" t="n"/>
      <c r="AE3254" s="25" t="n"/>
      <c r="AG3254" s="25" t="n"/>
      <c r="AH3254" s="25" t="n"/>
      <c r="AI3254" s="394" t="n"/>
      <c r="AM3254" s="48" t="n"/>
      <c r="AN3254" s="48" t="n"/>
      <c r="AO3254" s="48" t="n"/>
    </row>
    <row r="3255">
      <c r="M3255" s="25" t="n"/>
      <c r="Q3255" s="25" t="n"/>
      <c r="U3255" s="194" t="n"/>
      <c r="AA3255" s="25" t="n"/>
      <c r="AB3255" s="25" t="n"/>
      <c r="AC3255" s="195" t="n"/>
      <c r="AD3255" s="25" t="n"/>
      <c r="AE3255" s="25" t="n"/>
      <c r="AG3255" s="25" t="n"/>
      <c r="AH3255" s="25" t="n"/>
      <c r="AI3255" s="394" t="n"/>
      <c r="AM3255" s="48" t="n"/>
      <c r="AN3255" s="48" t="n"/>
      <c r="AO3255" s="48" t="n"/>
    </row>
    <row r="3256">
      <c r="M3256" s="25" t="n"/>
      <c r="Q3256" s="25" t="n"/>
      <c r="U3256" s="194" t="n"/>
      <c r="AA3256" s="25" t="n"/>
      <c r="AB3256" s="25" t="n"/>
      <c r="AC3256" s="195" t="n"/>
      <c r="AD3256" s="25" t="n"/>
      <c r="AE3256" s="25" t="n"/>
      <c r="AG3256" s="25" t="n"/>
      <c r="AH3256" s="25" t="n"/>
      <c r="AI3256" s="394" t="n"/>
      <c r="AM3256" s="48" t="n"/>
      <c r="AN3256" s="48" t="n"/>
      <c r="AO3256" s="48" t="n"/>
    </row>
    <row r="3257">
      <c r="M3257" s="25" t="n"/>
      <c r="Q3257" s="25" t="n"/>
      <c r="U3257" s="194" t="n"/>
      <c r="AA3257" s="25" t="n"/>
      <c r="AB3257" s="25" t="n"/>
      <c r="AC3257" s="195" t="n"/>
      <c r="AD3257" s="25" t="n"/>
      <c r="AE3257" s="25" t="n"/>
      <c r="AG3257" s="25" t="n"/>
      <c r="AH3257" s="25" t="n"/>
      <c r="AI3257" s="394" t="n"/>
      <c r="AM3257" s="48" t="n"/>
      <c r="AN3257" s="48" t="n"/>
      <c r="AO3257" s="48" t="n"/>
    </row>
    <row r="3258">
      <c r="M3258" s="25" t="n"/>
      <c r="Q3258" s="25" t="n"/>
      <c r="U3258" s="194" t="n"/>
      <c r="AA3258" s="25" t="n"/>
      <c r="AB3258" s="25" t="n"/>
      <c r="AC3258" s="195" t="n"/>
      <c r="AD3258" s="25" t="n"/>
      <c r="AE3258" s="25" t="n"/>
      <c r="AG3258" s="25" t="n"/>
      <c r="AH3258" s="25" t="n"/>
      <c r="AI3258" s="394" t="n"/>
      <c r="AM3258" s="48" t="n"/>
      <c r="AN3258" s="48" t="n"/>
      <c r="AO3258" s="48" t="n"/>
    </row>
    <row r="3259">
      <c r="M3259" s="25" t="n"/>
      <c r="Q3259" s="25" t="n"/>
      <c r="U3259" s="194" t="n"/>
      <c r="AA3259" s="25" t="n"/>
      <c r="AB3259" s="25" t="n"/>
      <c r="AC3259" s="195" t="n"/>
      <c r="AD3259" s="25" t="n"/>
      <c r="AE3259" s="25" t="n"/>
      <c r="AG3259" s="25" t="n"/>
      <c r="AH3259" s="25" t="n"/>
      <c r="AI3259" s="394" t="n"/>
      <c r="AM3259" s="48" t="n"/>
      <c r="AN3259" s="48" t="n"/>
      <c r="AO3259" s="48" t="n"/>
    </row>
    <row r="3260">
      <c r="M3260" s="25" t="n"/>
      <c r="Q3260" s="25" t="n"/>
      <c r="U3260" s="194" t="n"/>
      <c r="AA3260" s="25" t="n"/>
      <c r="AB3260" s="25" t="n"/>
      <c r="AC3260" s="195" t="n"/>
      <c r="AD3260" s="25" t="n"/>
      <c r="AE3260" s="25" t="n"/>
      <c r="AG3260" s="25" t="n"/>
      <c r="AH3260" s="25" t="n"/>
      <c r="AI3260" s="394" t="n"/>
      <c r="AM3260" s="48" t="n"/>
      <c r="AN3260" s="48" t="n"/>
      <c r="AO3260" s="48" t="n"/>
    </row>
    <row r="3261">
      <c r="M3261" s="25" t="n"/>
      <c r="Q3261" s="25" t="n"/>
      <c r="U3261" s="194" t="n"/>
      <c r="AA3261" s="25" t="n"/>
      <c r="AB3261" s="25" t="n"/>
      <c r="AC3261" s="195" t="n"/>
      <c r="AD3261" s="25" t="n"/>
      <c r="AE3261" s="25" t="n"/>
      <c r="AG3261" s="25" t="n"/>
      <c r="AH3261" s="25" t="n"/>
      <c r="AI3261" s="394" t="n"/>
      <c r="AM3261" s="48" t="n"/>
      <c r="AN3261" s="48" t="n"/>
      <c r="AO3261" s="48" t="n"/>
    </row>
    <row r="3262">
      <c r="M3262" s="25" t="n"/>
      <c r="Q3262" s="25" t="n"/>
      <c r="U3262" s="194" t="n"/>
      <c r="AA3262" s="25" t="n"/>
      <c r="AB3262" s="25" t="n"/>
      <c r="AC3262" s="195" t="n"/>
      <c r="AD3262" s="25" t="n"/>
      <c r="AE3262" s="25" t="n"/>
      <c r="AG3262" s="25" t="n"/>
      <c r="AH3262" s="25" t="n"/>
      <c r="AI3262" s="394" t="n"/>
      <c r="AM3262" s="48" t="n"/>
      <c r="AN3262" s="48" t="n"/>
      <c r="AO3262" s="48" t="n"/>
    </row>
    <row r="3263">
      <c r="M3263" s="25" t="n"/>
      <c r="Q3263" s="25" t="n"/>
      <c r="U3263" s="194" t="n"/>
      <c r="AA3263" s="25" t="n"/>
      <c r="AB3263" s="25" t="n"/>
      <c r="AC3263" s="195" t="n"/>
      <c r="AD3263" s="25" t="n"/>
      <c r="AE3263" s="25" t="n"/>
      <c r="AG3263" s="25" t="n"/>
      <c r="AH3263" s="25" t="n"/>
      <c r="AI3263" s="394" t="n"/>
      <c r="AM3263" s="48" t="n"/>
      <c r="AN3263" s="48" t="n"/>
      <c r="AO3263" s="48" t="n"/>
    </row>
    <row r="3264">
      <c r="M3264" s="25" t="n"/>
      <c r="Q3264" s="25" t="n"/>
      <c r="U3264" s="194" t="n"/>
      <c r="AA3264" s="25" t="n"/>
      <c r="AB3264" s="25" t="n"/>
      <c r="AC3264" s="195" t="n"/>
      <c r="AD3264" s="25" t="n"/>
      <c r="AE3264" s="25" t="n"/>
      <c r="AG3264" s="25" t="n"/>
      <c r="AH3264" s="25" t="n"/>
      <c r="AI3264" s="394" t="n"/>
      <c r="AM3264" s="48" t="n"/>
      <c r="AN3264" s="48" t="n"/>
      <c r="AO3264" s="48" t="n"/>
    </row>
    <row r="3265">
      <c r="M3265" s="25" t="n"/>
      <c r="Q3265" s="25" t="n"/>
      <c r="U3265" s="194" t="n"/>
      <c r="AA3265" s="25" t="n"/>
      <c r="AB3265" s="25" t="n"/>
      <c r="AC3265" s="195" t="n"/>
      <c r="AD3265" s="25" t="n"/>
      <c r="AE3265" s="25" t="n"/>
      <c r="AG3265" s="25" t="n"/>
      <c r="AH3265" s="25" t="n"/>
      <c r="AI3265" s="394" t="n"/>
      <c r="AM3265" s="48" t="n"/>
      <c r="AN3265" s="48" t="n"/>
      <c r="AO3265" s="48" t="n"/>
    </row>
    <row r="3266">
      <c r="M3266" s="25" t="n"/>
      <c r="Q3266" s="25" t="n"/>
      <c r="U3266" s="194" t="n"/>
      <c r="AA3266" s="25" t="n"/>
      <c r="AB3266" s="25" t="n"/>
      <c r="AC3266" s="195" t="n"/>
      <c r="AD3266" s="25" t="n"/>
      <c r="AE3266" s="25" t="n"/>
      <c r="AG3266" s="25" t="n"/>
      <c r="AH3266" s="25" t="n"/>
      <c r="AI3266" s="394" t="n"/>
      <c r="AM3266" s="48" t="n"/>
      <c r="AN3266" s="48" t="n"/>
      <c r="AO3266" s="48" t="n"/>
    </row>
    <row r="3267">
      <c r="M3267" s="25" t="n"/>
      <c r="Q3267" s="25" t="n"/>
      <c r="U3267" s="194" t="n"/>
      <c r="AA3267" s="25" t="n"/>
      <c r="AB3267" s="25" t="n"/>
      <c r="AC3267" s="195" t="n"/>
      <c r="AD3267" s="25" t="n"/>
      <c r="AE3267" s="25" t="n"/>
      <c r="AG3267" s="25" t="n"/>
      <c r="AH3267" s="25" t="n"/>
      <c r="AI3267" s="394" t="n"/>
      <c r="AM3267" s="48" t="n"/>
      <c r="AN3267" s="48" t="n"/>
      <c r="AO3267" s="48" t="n"/>
    </row>
    <row r="3268">
      <c r="M3268" s="25" t="n"/>
      <c r="Q3268" s="25" t="n"/>
      <c r="U3268" s="194" t="n"/>
      <c r="AA3268" s="25" t="n"/>
      <c r="AB3268" s="25" t="n"/>
      <c r="AC3268" s="195" t="n"/>
      <c r="AD3268" s="25" t="n"/>
      <c r="AE3268" s="25" t="n"/>
      <c r="AG3268" s="25" t="n"/>
      <c r="AH3268" s="25" t="n"/>
      <c r="AI3268" s="394" t="n"/>
      <c r="AM3268" s="48" t="n"/>
      <c r="AN3268" s="48" t="n"/>
      <c r="AO3268" s="48" t="n"/>
    </row>
    <row r="3269">
      <c r="M3269" s="25" t="n"/>
      <c r="Q3269" s="25" t="n"/>
      <c r="U3269" s="194" t="n"/>
      <c r="AA3269" s="25" t="n"/>
      <c r="AB3269" s="25" t="n"/>
      <c r="AC3269" s="195" t="n"/>
      <c r="AD3269" s="25" t="n"/>
      <c r="AE3269" s="25" t="n"/>
      <c r="AG3269" s="25" t="n"/>
      <c r="AH3269" s="25" t="n"/>
      <c r="AI3269" s="394" t="n"/>
      <c r="AM3269" s="48" t="n"/>
      <c r="AN3269" s="48" t="n"/>
      <c r="AO3269" s="48" t="n"/>
    </row>
    <row r="3270">
      <c r="M3270" s="25" t="n"/>
      <c r="Q3270" s="25" t="n"/>
      <c r="U3270" s="194" t="n"/>
      <c r="AA3270" s="25" t="n"/>
      <c r="AB3270" s="25" t="n"/>
      <c r="AC3270" s="195" t="n"/>
      <c r="AD3270" s="25" t="n"/>
      <c r="AE3270" s="25" t="n"/>
      <c r="AG3270" s="25" t="n"/>
      <c r="AH3270" s="25" t="n"/>
      <c r="AI3270" s="394" t="n"/>
      <c r="AM3270" s="48" t="n"/>
      <c r="AN3270" s="48" t="n"/>
      <c r="AO3270" s="48" t="n"/>
    </row>
    <row r="3271">
      <c r="M3271" s="25" t="n"/>
      <c r="Q3271" s="25" t="n"/>
      <c r="U3271" s="194" t="n"/>
      <c r="AA3271" s="25" t="n"/>
      <c r="AB3271" s="25" t="n"/>
      <c r="AC3271" s="195" t="n"/>
      <c r="AD3271" s="25" t="n"/>
      <c r="AE3271" s="25" t="n"/>
      <c r="AG3271" s="25" t="n"/>
      <c r="AH3271" s="25" t="n"/>
      <c r="AI3271" s="394" t="n"/>
      <c r="AM3271" s="48" t="n"/>
      <c r="AN3271" s="48" t="n"/>
      <c r="AO3271" s="48" t="n"/>
    </row>
    <row r="3272">
      <c r="M3272" s="25" t="n"/>
      <c r="Q3272" s="25" t="n"/>
      <c r="U3272" s="194" t="n"/>
      <c r="AA3272" s="25" t="n"/>
      <c r="AB3272" s="25" t="n"/>
      <c r="AC3272" s="195" t="n"/>
      <c r="AD3272" s="25" t="n"/>
      <c r="AE3272" s="25" t="n"/>
      <c r="AG3272" s="25" t="n"/>
      <c r="AH3272" s="25" t="n"/>
      <c r="AI3272" s="394" t="n"/>
      <c r="AM3272" s="48" t="n"/>
      <c r="AN3272" s="48" t="n"/>
      <c r="AO3272" s="48" t="n"/>
    </row>
    <row r="3273">
      <c r="M3273" s="25" t="n"/>
      <c r="Q3273" s="25" t="n"/>
      <c r="U3273" s="194" t="n"/>
      <c r="AA3273" s="25" t="n"/>
      <c r="AB3273" s="25" t="n"/>
      <c r="AC3273" s="195" t="n"/>
      <c r="AD3273" s="25" t="n"/>
      <c r="AE3273" s="25" t="n"/>
      <c r="AG3273" s="25" t="n"/>
      <c r="AH3273" s="25" t="n"/>
      <c r="AI3273" s="394" t="n"/>
      <c r="AM3273" s="48" t="n"/>
      <c r="AN3273" s="48" t="n"/>
      <c r="AO3273" s="48" t="n"/>
    </row>
    <row r="3274">
      <c r="M3274" s="25" t="n"/>
      <c r="Q3274" s="25" t="n"/>
      <c r="U3274" s="194" t="n"/>
      <c r="AA3274" s="25" t="n"/>
      <c r="AB3274" s="25" t="n"/>
      <c r="AC3274" s="195" t="n"/>
      <c r="AD3274" s="25" t="n"/>
      <c r="AE3274" s="25" t="n"/>
      <c r="AG3274" s="25" t="n"/>
      <c r="AH3274" s="25" t="n"/>
      <c r="AI3274" s="394" t="n"/>
      <c r="AM3274" s="48" t="n"/>
      <c r="AN3274" s="48" t="n"/>
      <c r="AO3274" s="48" t="n"/>
    </row>
    <row r="3275">
      <c r="M3275" s="25" t="n"/>
      <c r="Q3275" s="25" t="n"/>
      <c r="U3275" s="194" t="n"/>
      <c r="AA3275" s="25" t="n"/>
      <c r="AB3275" s="25" t="n"/>
      <c r="AC3275" s="195" t="n"/>
      <c r="AD3275" s="25" t="n"/>
      <c r="AE3275" s="25" t="n"/>
      <c r="AG3275" s="25" t="n"/>
      <c r="AH3275" s="25" t="n"/>
      <c r="AI3275" s="394" t="n"/>
      <c r="AM3275" s="48" t="n"/>
      <c r="AN3275" s="48" t="n"/>
      <c r="AO3275" s="48" t="n"/>
    </row>
    <row r="3276">
      <c r="M3276" s="25" t="n"/>
      <c r="Q3276" s="25" t="n"/>
      <c r="U3276" s="194" t="n"/>
      <c r="AA3276" s="25" t="n"/>
      <c r="AB3276" s="25" t="n"/>
      <c r="AC3276" s="195" t="n"/>
      <c r="AD3276" s="25" t="n"/>
      <c r="AE3276" s="25" t="n"/>
      <c r="AG3276" s="25" t="n"/>
      <c r="AH3276" s="25" t="n"/>
      <c r="AI3276" s="394" t="n"/>
      <c r="AM3276" s="48" t="n"/>
      <c r="AN3276" s="48" t="n"/>
      <c r="AO3276" s="48" t="n"/>
    </row>
    <row r="3277">
      <c r="M3277" s="25" t="n"/>
      <c r="Q3277" s="25" t="n"/>
      <c r="U3277" s="194" t="n"/>
      <c r="AA3277" s="25" t="n"/>
      <c r="AB3277" s="25" t="n"/>
      <c r="AC3277" s="195" t="n"/>
      <c r="AD3277" s="25" t="n"/>
      <c r="AE3277" s="25" t="n"/>
      <c r="AG3277" s="25" t="n"/>
      <c r="AH3277" s="25" t="n"/>
      <c r="AI3277" s="394" t="n"/>
      <c r="AM3277" s="48" t="n"/>
      <c r="AN3277" s="48" t="n"/>
      <c r="AO3277" s="48" t="n"/>
    </row>
    <row r="3278">
      <c r="M3278" s="25" t="n"/>
      <c r="Q3278" s="25" t="n"/>
      <c r="U3278" s="194" t="n"/>
      <c r="AA3278" s="25" t="n"/>
      <c r="AB3278" s="25" t="n"/>
      <c r="AC3278" s="195" t="n"/>
      <c r="AD3278" s="25" t="n"/>
      <c r="AE3278" s="25" t="n"/>
      <c r="AG3278" s="25" t="n"/>
      <c r="AH3278" s="25" t="n"/>
      <c r="AI3278" s="394" t="n"/>
      <c r="AM3278" s="48" t="n"/>
      <c r="AN3278" s="48" t="n"/>
      <c r="AO3278" s="48" t="n"/>
    </row>
    <row r="3279">
      <c r="M3279" s="25" t="n"/>
      <c r="Q3279" s="25" t="n"/>
      <c r="U3279" s="194" t="n"/>
      <c r="AA3279" s="25" t="n"/>
      <c r="AB3279" s="25" t="n"/>
      <c r="AC3279" s="195" t="n"/>
      <c r="AD3279" s="25" t="n"/>
      <c r="AE3279" s="25" t="n"/>
      <c r="AG3279" s="25" t="n"/>
      <c r="AH3279" s="25" t="n"/>
      <c r="AI3279" s="394" t="n"/>
      <c r="AM3279" s="48" t="n"/>
      <c r="AN3279" s="48" t="n"/>
      <c r="AO3279" s="48" t="n"/>
    </row>
    <row r="3280">
      <c r="M3280" s="25" t="n"/>
      <c r="Q3280" s="25" t="n"/>
      <c r="U3280" s="194" t="n"/>
      <c r="AA3280" s="25" t="n"/>
      <c r="AB3280" s="25" t="n"/>
      <c r="AC3280" s="195" t="n"/>
      <c r="AD3280" s="25" t="n"/>
      <c r="AE3280" s="25" t="n"/>
      <c r="AG3280" s="25" t="n"/>
      <c r="AH3280" s="25" t="n"/>
      <c r="AI3280" s="394" t="n"/>
      <c r="AM3280" s="48" t="n"/>
      <c r="AN3280" s="48" t="n"/>
      <c r="AO3280" s="48" t="n"/>
    </row>
    <row r="3281">
      <c r="M3281" s="25" t="n"/>
      <c r="Q3281" s="25" t="n"/>
      <c r="U3281" s="194" t="n"/>
      <c r="AA3281" s="25" t="n"/>
      <c r="AB3281" s="25" t="n"/>
      <c r="AC3281" s="195" t="n"/>
      <c r="AD3281" s="25" t="n"/>
      <c r="AE3281" s="25" t="n"/>
      <c r="AG3281" s="25" t="n"/>
      <c r="AH3281" s="25" t="n"/>
      <c r="AI3281" s="394" t="n"/>
      <c r="AM3281" s="48" t="n"/>
      <c r="AN3281" s="48" t="n"/>
      <c r="AO3281" s="48" t="n"/>
    </row>
    <row r="3282">
      <c r="M3282" s="25" t="n"/>
      <c r="Q3282" s="25" t="n"/>
      <c r="U3282" s="194" t="n"/>
      <c r="AA3282" s="25" t="n"/>
      <c r="AB3282" s="25" t="n"/>
      <c r="AC3282" s="195" t="n"/>
      <c r="AD3282" s="25" t="n"/>
      <c r="AE3282" s="25" t="n"/>
      <c r="AG3282" s="25" t="n"/>
      <c r="AH3282" s="25" t="n"/>
      <c r="AI3282" s="394" t="n"/>
      <c r="AM3282" s="48" t="n"/>
      <c r="AN3282" s="48" t="n"/>
      <c r="AO3282" s="48" t="n"/>
    </row>
    <row r="3283">
      <c r="M3283" s="25" t="n"/>
      <c r="Q3283" s="25" t="n"/>
      <c r="U3283" s="194" t="n"/>
      <c r="AA3283" s="25" t="n"/>
      <c r="AB3283" s="25" t="n"/>
      <c r="AC3283" s="195" t="n"/>
      <c r="AD3283" s="25" t="n"/>
      <c r="AE3283" s="25" t="n"/>
      <c r="AG3283" s="25" t="n"/>
      <c r="AH3283" s="25" t="n"/>
      <c r="AI3283" s="394" t="n"/>
      <c r="AM3283" s="48" t="n"/>
      <c r="AN3283" s="48" t="n"/>
      <c r="AO3283" s="48" t="n"/>
    </row>
    <row r="3284">
      <c r="M3284" s="25" t="n"/>
      <c r="Q3284" s="25" t="n"/>
      <c r="U3284" s="194" t="n"/>
      <c r="AA3284" s="25" t="n"/>
      <c r="AB3284" s="25" t="n"/>
      <c r="AC3284" s="195" t="n"/>
      <c r="AD3284" s="25" t="n"/>
      <c r="AE3284" s="25" t="n"/>
      <c r="AG3284" s="25" t="n"/>
      <c r="AH3284" s="25" t="n"/>
      <c r="AI3284" s="394" t="n"/>
      <c r="AM3284" s="48" t="n"/>
      <c r="AN3284" s="48" t="n"/>
      <c r="AO3284" s="48" t="n"/>
    </row>
    <row r="3285">
      <c r="M3285" s="25" t="n"/>
      <c r="Q3285" s="25" t="n"/>
      <c r="U3285" s="194" t="n"/>
      <c r="AA3285" s="25" t="n"/>
      <c r="AB3285" s="25" t="n"/>
      <c r="AC3285" s="195" t="n"/>
      <c r="AD3285" s="25" t="n"/>
      <c r="AE3285" s="25" t="n"/>
      <c r="AG3285" s="25" t="n"/>
      <c r="AH3285" s="25" t="n"/>
      <c r="AI3285" s="394" t="n"/>
      <c r="AM3285" s="48" t="n"/>
      <c r="AN3285" s="48" t="n"/>
      <c r="AO3285" s="48" t="n"/>
    </row>
    <row r="3286">
      <c r="M3286" s="25" t="n"/>
      <c r="Q3286" s="25" t="n"/>
      <c r="U3286" s="194" t="n"/>
      <c r="AA3286" s="25" t="n"/>
      <c r="AB3286" s="25" t="n"/>
      <c r="AC3286" s="195" t="n"/>
      <c r="AD3286" s="25" t="n"/>
      <c r="AE3286" s="25" t="n"/>
      <c r="AG3286" s="25" t="n"/>
      <c r="AH3286" s="25" t="n"/>
      <c r="AI3286" s="394" t="n"/>
      <c r="AM3286" s="48" t="n"/>
      <c r="AN3286" s="48" t="n"/>
      <c r="AO3286" s="48" t="n"/>
    </row>
    <row r="3287">
      <c r="M3287" s="25" t="n"/>
      <c r="Q3287" s="25" t="n"/>
      <c r="U3287" s="194" t="n"/>
      <c r="AA3287" s="25" t="n"/>
      <c r="AB3287" s="25" t="n"/>
      <c r="AC3287" s="195" t="n"/>
      <c r="AD3287" s="25" t="n"/>
      <c r="AE3287" s="25" t="n"/>
      <c r="AG3287" s="25" t="n"/>
      <c r="AH3287" s="25" t="n"/>
      <c r="AI3287" s="394" t="n"/>
      <c r="AM3287" s="48" t="n"/>
      <c r="AN3287" s="48" t="n"/>
      <c r="AO3287" s="48" t="n"/>
    </row>
    <row r="3288">
      <c r="M3288" s="25" t="n"/>
      <c r="Q3288" s="25" t="n"/>
      <c r="U3288" s="194" t="n"/>
      <c r="AA3288" s="25" t="n"/>
      <c r="AB3288" s="25" t="n"/>
      <c r="AC3288" s="195" t="n"/>
      <c r="AD3288" s="25" t="n"/>
      <c r="AE3288" s="25" t="n"/>
      <c r="AG3288" s="25" t="n"/>
      <c r="AH3288" s="25" t="n"/>
      <c r="AI3288" s="394" t="n"/>
      <c r="AM3288" s="48" t="n"/>
      <c r="AN3288" s="48" t="n"/>
      <c r="AO3288" s="48" t="n"/>
    </row>
    <row r="3289">
      <c r="M3289" s="25" t="n"/>
      <c r="Q3289" s="25" t="n"/>
      <c r="U3289" s="194" t="n"/>
      <c r="AA3289" s="25" t="n"/>
      <c r="AB3289" s="25" t="n"/>
      <c r="AC3289" s="195" t="n"/>
      <c r="AD3289" s="25" t="n"/>
      <c r="AE3289" s="25" t="n"/>
      <c r="AG3289" s="25" t="n"/>
      <c r="AH3289" s="25" t="n"/>
      <c r="AI3289" s="394" t="n"/>
      <c r="AM3289" s="48" t="n"/>
      <c r="AN3289" s="48" t="n"/>
      <c r="AO3289" s="48" t="n"/>
    </row>
    <row r="3290">
      <c r="M3290" s="25" t="n"/>
      <c r="Q3290" s="25" t="n"/>
      <c r="U3290" s="194" t="n"/>
      <c r="AA3290" s="25" t="n"/>
      <c r="AB3290" s="25" t="n"/>
      <c r="AC3290" s="195" t="n"/>
      <c r="AD3290" s="25" t="n"/>
      <c r="AE3290" s="25" t="n"/>
      <c r="AG3290" s="25" t="n"/>
      <c r="AH3290" s="25" t="n"/>
      <c r="AI3290" s="394" t="n"/>
      <c r="AM3290" s="48" t="n"/>
      <c r="AN3290" s="48" t="n"/>
      <c r="AO3290" s="48" t="n"/>
    </row>
    <row r="3291">
      <c r="M3291" s="25" t="n"/>
      <c r="Q3291" s="25" t="n"/>
      <c r="U3291" s="194" t="n"/>
      <c r="AA3291" s="25" t="n"/>
      <c r="AB3291" s="25" t="n"/>
      <c r="AC3291" s="195" t="n"/>
      <c r="AD3291" s="25" t="n"/>
      <c r="AE3291" s="25" t="n"/>
      <c r="AG3291" s="25" t="n"/>
      <c r="AH3291" s="25" t="n"/>
      <c r="AI3291" s="394" t="n"/>
      <c r="AM3291" s="48" t="n"/>
      <c r="AN3291" s="48" t="n"/>
      <c r="AO3291" s="48" t="n"/>
    </row>
    <row r="3292">
      <c r="M3292" s="25" t="n"/>
      <c r="Q3292" s="25" t="n"/>
      <c r="U3292" s="194" t="n"/>
      <c r="AA3292" s="25" t="n"/>
      <c r="AB3292" s="25" t="n"/>
      <c r="AC3292" s="195" t="n"/>
      <c r="AD3292" s="25" t="n"/>
      <c r="AE3292" s="25" t="n"/>
      <c r="AG3292" s="25" t="n"/>
      <c r="AH3292" s="25" t="n"/>
      <c r="AI3292" s="394" t="n"/>
      <c r="AM3292" s="48" t="n"/>
      <c r="AN3292" s="48" t="n"/>
      <c r="AO3292" s="48" t="n"/>
    </row>
    <row r="3293">
      <c r="M3293" s="25" t="n"/>
      <c r="Q3293" s="25" t="n"/>
      <c r="U3293" s="194" t="n"/>
      <c r="AA3293" s="25" t="n"/>
      <c r="AB3293" s="25" t="n"/>
      <c r="AC3293" s="195" t="n"/>
      <c r="AD3293" s="25" t="n"/>
      <c r="AE3293" s="25" t="n"/>
      <c r="AG3293" s="25" t="n"/>
      <c r="AH3293" s="25" t="n"/>
      <c r="AI3293" s="394" t="n"/>
      <c r="AM3293" s="48" t="n"/>
      <c r="AN3293" s="48" t="n"/>
      <c r="AO3293" s="48" t="n"/>
    </row>
    <row r="3294">
      <c r="M3294" s="25" t="n"/>
      <c r="Q3294" s="25" t="n"/>
      <c r="U3294" s="194" t="n"/>
      <c r="AA3294" s="25" t="n"/>
      <c r="AB3294" s="25" t="n"/>
      <c r="AC3294" s="195" t="n"/>
      <c r="AD3294" s="25" t="n"/>
      <c r="AE3294" s="25" t="n"/>
      <c r="AG3294" s="25" t="n"/>
      <c r="AH3294" s="25" t="n"/>
      <c r="AI3294" s="394" t="n"/>
      <c r="AM3294" s="48" t="n"/>
      <c r="AN3294" s="48" t="n"/>
      <c r="AO3294" s="48" t="n"/>
    </row>
    <row r="3295">
      <c r="M3295" s="25" t="n"/>
      <c r="Q3295" s="25" t="n"/>
      <c r="U3295" s="194" t="n"/>
      <c r="AA3295" s="25" t="n"/>
      <c r="AB3295" s="25" t="n"/>
      <c r="AC3295" s="195" t="n"/>
      <c r="AD3295" s="25" t="n"/>
      <c r="AE3295" s="25" t="n"/>
      <c r="AG3295" s="25" t="n"/>
      <c r="AH3295" s="25" t="n"/>
      <c r="AI3295" s="394" t="n"/>
      <c r="AM3295" s="48" t="n"/>
      <c r="AN3295" s="48" t="n"/>
      <c r="AO3295" s="48" t="n"/>
    </row>
    <row r="3296">
      <c r="M3296" s="25" t="n"/>
      <c r="Q3296" s="25" t="n"/>
      <c r="U3296" s="194" t="n"/>
      <c r="AA3296" s="25" t="n"/>
      <c r="AB3296" s="25" t="n"/>
      <c r="AC3296" s="195" t="n"/>
      <c r="AD3296" s="25" t="n"/>
      <c r="AE3296" s="25" t="n"/>
      <c r="AG3296" s="25" t="n"/>
      <c r="AH3296" s="25" t="n"/>
      <c r="AI3296" s="394" t="n"/>
      <c r="AM3296" s="48" t="n"/>
      <c r="AN3296" s="48" t="n"/>
      <c r="AO3296" s="48" t="n"/>
    </row>
    <row r="3297">
      <c r="M3297" s="25" t="n"/>
      <c r="Q3297" s="25" t="n"/>
      <c r="U3297" s="194" t="n"/>
      <c r="AA3297" s="25" t="n"/>
      <c r="AB3297" s="25" t="n"/>
      <c r="AC3297" s="195" t="n"/>
      <c r="AD3297" s="25" t="n"/>
      <c r="AE3297" s="25" t="n"/>
      <c r="AG3297" s="25" t="n"/>
      <c r="AH3297" s="25" t="n"/>
      <c r="AI3297" s="394" t="n"/>
      <c r="AM3297" s="48" t="n"/>
      <c r="AN3297" s="48" t="n"/>
      <c r="AO3297" s="48" t="n"/>
    </row>
    <row r="3298">
      <c r="M3298" s="25" t="n"/>
      <c r="Q3298" s="25" t="n"/>
      <c r="U3298" s="194" t="n"/>
      <c r="AA3298" s="25" t="n"/>
      <c r="AB3298" s="25" t="n"/>
      <c r="AC3298" s="195" t="n"/>
      <c r="AD3298" s="25" t="n"/>
      <c r="AE3298" s="25" t="n"/>
      <c r="AG3298" s="25" t="n"/>
      <c r="AH3298" s="25" t="n"/>
      <c r="AI3298" s="394" t="n"/>
      <c r="AM3298" s="48" t="n"/>
      <c r="AN3298" s="48" t="n"/>
      <c r="AO3298" s="48" t="n"/>
    </row>
    <row r="3299">
      <c r="M3299" s="25" t="n"/>
      <c r="Q3299" s="25" t="n"/>
      <c r="U3299" s="194" t="n"/>
      <c r="AA3299" s="25" t="n"/>
      <c r="AB3299" s="25" t="n"/>
      <c r="AC3299" s="195" t="n"/>
      <c r="AD3299" s="25" t="n"/>
      <c r="AE3299" s="25" t="n"/>
      <c r="AG3299" s="25" t="n"/>
      <c r="AH3299" s="25" t="n"/>
      <c r="AI3299" s="394" t="n"/>
      <c r="AM3299" s="48" t="n"/>
      <c r="AN3299" s="48" t="n"/>
      <c r="AO3299" s="48" t="n"/>
    </row>
    <row r="3300">
      <c r="M3300" s="25" t="n"/>
      <c r="Q3300" s="25" t="n"/>
      <c r="U3300" s="194" t="n"/>
      <c r="AA3300" s="25" t="n"/>
      <c r="AB3300" s="25" t="n"/>
      <c r="AC3300" s="195" t="n"/>
      <c r="AD3300" s="25" t="n"/>
      <c r="AE3300" s="25" t="n"/>
      <c r="AG3300" s="25" t="n"/>
      <c r="AH3300" s="25" t="n"/>
      <c r="AI3300" s="394" t="n"/>
      <c r="AM3300" s="48" t="n"/>
      <c r="AN3300" s="48" t="n"/>
      <c r="AO3300" s="48" t="n"/>
    </row>
    <row r="3301">
      <c r="M3301" s="25" t="n"/>
      <c r="Q3301" s="25" t="n"/>
      <c r="U3301" s="194" t="n"/>
      <c r="AA3301" s="25" t="n"/>
      <c r="AB3301" s="25" t="n"/>
      <c r="AC3301" s="195" t="n"/>
      <c r="AD3301" s="25" t="n"/>
      <c r="AE3301" s="25" t="n"/>
      <c r="AG3301" s="25" t="n"/>
      <c r="AH3301" s="25" t="n"/>
      <c r="AI3301" s="394" t="n"/>
      <c r="AM3301" s="48" t="n"/>
      <c r="AN3301" s="48" t="n"/>
      <c r="AO3301" s="48" t="n"/>
    </row>
    <row r="3302">
      <c r="M3302" s="25" t="n"/>
      <c r="Q3302" s="25" t="n"/>
      <c r="U3302" s="194" t="n"/>
      <c r="AA3302" s="25" t="n"/>
      <c r="AB3302" s="25" t="n"/>
      <c r="AC3302" s="195" t="n"/>
      <c r="AD3302" s="25" t="n"/>
      <c r="AE3302" s="25" t="n"/>
      <c r="AG3302" s="25" t="n"/>
      <c r="AH3302" s="25" t="n"/>
      <c r="AI3302" s="394" t="n"/>
      <c r="AM3302" s="48" t="n"/>
      <c r="AN3302" s="48" t="n"/>
      <c r="AO3302" s="48" t="n"/>
    </row>
    <row r="3303">
      <c r="M3303" s="25" t="n"/>
      <c r="Q3303" s="25" t="n"/>
      <c r="U3303" s="194" t="n"/>
      <c r="AA3303" s="25" t="n"/>
      <c r="AB3303" s="25" t="n"/>
      <c r="AC3303" s="195" t="n"/>
      <c r="AD3303" s="25" t="n"/>
      <c r="AE3303" s="25" t="n"/>
      <c r="AG3303" s="25" t="n"/>
      <c r="AH3303" s="25" t="n"/>
      <c r="AI3303" s="394" t="n"/>
      <c r="AM3303" s="48" t="n"/>
      <c r="AN3303" s="48" t="n"/>
      <c r="AO3303" s="48" t="n"/>
    </row>
    <row r="3304">
      <c r="M3304" s="25" t="n"/>
      <c r="Q3304" s="25" t="n"/>
      <c r="U3304" s="194" t="n"/>
      <c r="AA3304" s="25" t="n"/>
      <c r="AB3304" s="25" t="n"/>
      <c r="AC3304" s="195" t="n"/>
      <c r="AD3304" s="25" t="n"/>
      <c r="AE3304" s="25" t="n"/>
      <c r="AG3304" s="25" t="n"/>
      <c r="AH3304" s="25" t="n"/>
      <c r="AI3304" s="394" t="n"/>
      <c r="AM3304" s="48" t="n"/>
      <c r="AN3304" s="48" t="n"/>
      <c r="AO3304" s="48" t="n"/>
    </row>
    <row r="3305">
      <c r="M3305" s="25" t="n"/>
      <c r="Q3305" s="25" t="n"/>
      <c r="U3305" s="194" t="n"/>
      <c r="AA3305" s="25" t="n"/>
      <c r="AB3305" s="25" t="n"/>
      <c r="AC3305" s="195" t="n"/>
      <c r="AD3305" s="25" t="n"/>
      <c r="AE3305" s="25" t="n"/>
      <c r="AG3305" s="25" t="n"/>
      <c r="AH3305" s="25" t="n"/>
      <c r="AI3305" s="394" t="n"/>
      <c r="AM3305" s="48" t="n"/>
      <c r="AN3305" s="48" t="n"/>
      <c r="AO3305" s="48" t="n"/>
    </row>
    <row r="3306">
      <c r="M3306" s="25" t="n"/>
      <c r="Q3306" s="25" t="n"/>
      <c r="U3306" s="194" t="n"/>
      <c r="AA3306" s="25" t="n"/>
      <c r="AB3306" s="25" t="n"/>
      <c r="AC3306" s="195" t="n"/>
      <c r="AD3306" s="25" t="n"/>
      <c r="AE3306" s="25" t="n"/>
      <c r="AG3306" s="25" t="n"/>
      <c r="AH3306" s="25" t="n"/>
      <c r="AI3306" s="394" t="n"/>
      <c r="AM3306" s="48" t="n"/>
      <c r="AN3306" s="48" t="n"/>
      <c r="AO3306" s="48" t="n"/>
    </row>
    <row r="3307">
      <c r="M3307" s="25" t="n"/>
      <c r="Q3307" s="25" t="n"/>
      <c r="U3307" s="194" t="n"/>
      <c r="AA3307" s="25" t="n"/>
      <c r="AB3307" s="25" t="n"/>
      <c r="AC3307" s="195" t="n"/>
      <c r="AD3307" s="25" t="n"/>
      <c r="AE3307" s="25" t="n"/>
      <c r="AG3307" s="25" t="n"/>
      <c r="AH3307" s="25" t="n"/>
      <c r="AI3307" s="394" t="n"/>
      <c r="AM3307" s="48" t="n"/>
      <c r="AN3307" s="48" t="n"/>
      <c r="AO3307" s="48" t="n"/>
    </row>
    <row r="3308">
      <c r="M3308" s="25" t="n"/>
      <c r="Q3308" s="25" t="n"/>
      <c r="U3308" s="194" t="n"/>
      <c r="AA3308" s="25" t="n"/>
      <c r="AB3308" s="25" t="n"/>
      <c r="AC3308" s="195" t="n"/>
      <c r="AD3308" s="25" t="n"/>
      <c r="AE3308" s="25" t="n"/>
      <c r="AG3308" s="25" t="n"/>
      <c r="AH3308" s="25" t="n"/>
      <c r="AI3308" s="394" t="n"/>
      <c r="AM3308" s="48" t="n"/>
      <c r="AN3308" s="48" t="n"/>
      <c r="AO3308" s="48" t="n"/>
    </row>
    <row r="3309">
      <c r="M3309" s="25" t="n"/>
      <c r="Q3309" s="25" t="n"/>
      <c r="U3309" s="194" t="n"/>
      <c r="AA3309" s="25" t="n"/>
      <c r="AB3309" s="25" t="n"/>
      <c r="AC3309" s="195" t="n"/>
      <c r="AD3309" s="25" t="n"/>
      <c r="AE3309" s="25" t="n"/>
      <c r="AG3309" s="25" t="n"/>
      <c r="AH3309" s="25" t="n"/>
      <c r="AI3309" s="394" t="n"/>
      <c r="AM3309" s="48" t="n"/>
      <c r="AN3309" s="48" t="n"/>
      <c r="AO3309" s="48" t="n"/>
    </row>
    <row r="3310">
      <c r="M3310" s="25" t="n"/>
      <c r="Q3310" s="25" t="n"/>
      <c r="U3310" s="194" t="n"/>
      <c r="AA3310" s="25" t="n"/>
      <c r="AB3310" s="25" t="n"/>
      <c r="AC3310" s="195" t="n"/>
      <c r="AD3310" s="25" t="n"/>
      <c r="AE3310" s="25" t="n"/>
      <c r="AG3310" s="25" t="n"/>
      <c r="AH3310" s="25" t="n"/>
      <c r="AI3310" s="394" t="n"/>
      <c r="AM3310" s="48" t="n"/>
      <c r="AN3310" s="48" t="n"/>
      <c r="AO3310" s="48" t="n"/>
    </row>
    <row r="3311">
      <c r="M3311" s="25" t="n"/>
      <c r="Q3311" s="25" t="n"/>
      <c r="U3311" s="194" t="n"/>
      <c r="AA3311" s="25" t="n"/>
      <c r="AB3311" s="25" t="n"/>
      <c r="AC3311" s="195" t="n"/>
      <c r="AD3311" s="25" t="n"/>
      <c r="AE3311" s="25" t="n"/>
      <c r="AG3311" s="25" t="n"/>
      <c r="AH3311" s="25" t="n"/>
      <c r="AI3311" s="394" t="n"/>
      <c r="AM3311" s="48" t="n"/>
      <c r="AN3311" s="48" t="n"/>
      <c r="AO3311" s="48" t="n"/>
    </row>
    <row r="3312">
      <c r="M3312" s="25" t="n"/>
      <c r="Q3312" s="25" t="n"/>
      <c r="U3312" s="194" t="n"/>
      <c r="AA3312" s="25" t="n"/>
      <c r="AB3312" s="25" t="n"/>
      <c r="AC3312" s="195" t="n"/>
      <c r="AD3312" s="25" t="n"/>
      <c r="AE3312" s="25" t="n"/>
      <c r="AG3312" s="25" t="n"/>
      <c r="AH3312" s="25" t="n"/>
      <c r="AI3312" s="394" t="n"/>
      <c r="AM3312" s="48" t="n"/>
      <c r="AN3312" s="48" t="n"/>
      <c r="AO3312" s="48" t="n"/>
    </row>
    <row r="3313">
      <c r="M3313" s="25" t="n"/>
      <c r="Q3313" s="25" t="n"/>
      <c r="U3313" s="194" t="n"/>
      <c r="AA3313" s="25" t="n"/>
      <c r="AB3313" s="25" t="n"/>
      <c r="AC3313" s="195" t="n"/>
      <c r="AD3313" s="25" t="n"/>
      <c r="AE3313" s="25" t="n"/>
      <c r="AG3313" s="25" t="n"/>
      <c r="AH3313" s="25" t="n"/>
      <c r="AI3313" s="394" t="n"/>
      <c r="AM3313" s="48" t="n"/>
      <c r="AN3313" s="48" t="n"/>
      <c r="AO3313" s="48" t="n"/>
    </row>
    <row r="3314">
      <c r="M3314" s="25" t="n"/>
      <c r="Q3314" s="25" t="n"/>
      <c r="U3314" s="194" t="n"/>
      <c r="AA3314" s="25" t="n"/>
      <c r="AB3314" s="25" t="n"/>
      <c r="AC3314" s="195" t="n"/>
      <c r="AD3314" s="25" t="n"/>
      <c r="AE3314" s="25" t="n"/>
      <c r="AG3314" s="25" t="n"/>
      <c r="AH3314" s="25" t="n"/>
      <c r="AI3314" s="394" t="n"/>
      <c r="AM3314" s="48" t="n"/>
      <c r="AN3314" s="48" t="n"/>
      <c r="AO3314" s="48" t="n"/>
    </row>
    <row r="3315">
      <c r="M3315" s="25" t="n"/>
      <c r="Q3315" s="25" t="n"/>
      <c r="U3315" s="194" t="n"/>
      <c r="AA3315" s="25" t="n"/>
      <c r="AB3315" s="25" t="n"/>
      <c r="AC3315" s="195" t="n"/>
      <c r="AD3315" s="25" t="n"/>
      <c r="AE3315" s="25" t="n"/>
      <c r="AG3315" s="25" t="n"/>
      <c r="AH3315" s="25" t="n"/>
      <c r="AI3315" s="394" t="n"/>
      <c r="AM3315" s="48" t="n"/>
      <c r="AN3315" s="48" t="n"/>
      <c r="AO3315" s="48" t="n"/>
    </row>
    <row r="3316">
      <c r="M3316" s="25" t="n"/>
      <c r="Q3316" s="25" t="n"/>
      <c r="U3316" s="194" t="n"/>
      <c r="AA3316" s="25" t="n"/>
      <c r="AB3316" s="25" t="n"/>
      <c r="AC3316" s="195" t="n"/>
      <c r="AD3316" s="25" t="n"/>
      <c r="AE3316" s="25" t="n"/>
      <c r="AG3316" s="25" t="n"/>
      <c r="AH3316" s="25" t="n"/>
      <c r="AI3316" s="394" t="n"/>
      <c r="AM3316" s="48" t="n"/>
      <c r="AN3316" s="48" t="n"/>
      <c r="AO3316" s="48" t="n"/>
    </row>
    <row r="3317">
      <c r="M3317" s="25" t="n"/>
      <c r="Q3317" s="25" t="n"/>
      <c r="U3317" s="194" t="n"/>
      <c r="AA3317" s="25" t="n"/>
      <c r="AB3317" s="25" t="n"/>
      <c r="AC3317" s="195" t="n"/>
      <c r="AD3317" s="25" t="n"/>
      <c r="AE3317" s="25" t="n"/>
      <c r="AG3317" s="25" t="n"/>
      <c r="AH3317" s="25" t="n"/>
      <c r="AI3317" s="394" t="n"/>
      <c r="AM3317" s="48" t="n"/>
      <c r="AN3317" s="48" t="n"/>
      <c r="AO3317" s="48" t="n"/>
    </row>
    <row r="3318">
      <c r="M3318" s="25" t="n"/>
      <c r="Q3318" s="25" t="n"/>
      <c r="U3318" s="194" t="n"/>
      <c r="AA3318" s="25" t="n"/>
      <c r="AB3318" s="25" t="n"/>
      <c r="AC3318" s="195" t="n"/>
      <c r="AD3318" s="25" t="n"/>
      <c r="AE3318" s="25" t="n"/>
      <c r="AG3318" s="25" t="n"/>
      <c r="AH3318" s="25" t="n"/>
      <c r="AI3318" s="394" t="n"/>
      <c r="AM3318" s="48" t="n"/>
      <c r="AN3318" s="48" t="n"/>
      <c r="AO3318" s="48" t="n"/>
    </row>
    <row r="3319">
      <c r="M3319" s="25" t="n"/>
      <c r="Q3319" s="25" t="n"/>
      <c r="U3319" s="194" t="n"/>
      <c r="AA3319" s="25" t="n"/>
      <c r="AB3319" s="25" t="n"/>
      <c r="AC3319" s="195" t="n"/>
      <c r="AD3319" s="25" t="n"/>
      <c r="AE3319" s="25" t="n"/>
      <c r="AG3319" s="25" t="n"/>
      <c r="AH3319" s="25" t="n"/>
      <c r="AI3319" s="394" t="n"/>
      <c r="AM3319" s="48" t="n"/>
      <c r="AN3319" s="48" t="n"/>
      <c r="AO3319" s="48" t="n"/>
    </row>
    <row r="3320">
      <c r="M3320" s="25" t="n"/>
      <c r="Q3320" s="25" t="n"/>
      <c r="U3320" s="194" t="n"/>
      <c r="AA3320" s="25" t="n"/>
      <c r="AB3320" s="25" t="n"/>
      <c r="AC3320" s="195" t="n"/>
      <c r="AD3320" s="25" t="n"/>
      <c r="AE3320" s="25" t="n"/>
      <c r="AG3320" s="25" t="n"/>
      <c r="AH3320" s="25" t="n"/>
      <c r="AI3320" s="394" t="n"/>
      <c r="AM3320" s="48" t="n"/>
      <c r="AN3320" s="48" t="n"/>
      <c r="AO3320" s="48" t="n"/>
    </row>
    <row r="3321">
      <c r="M3321" s="25" t="n"/>
      <c r="Q3321" s="25" t="n"/>
      <c r="U3321" s="194" t="n"/>
      <c r="AA3321" s="25" t="n"/>
      <c r="AB3321" s="25" t="n"/>
      <c r="AC3321" s="195" t="n"/>
      <c r="AD3321" s="25" t="n"/>
      <c r="AE3321" s="25" t="n"/>
      <c r="AG3321" s="25" t="n"/>
      <c r="AH3321" s="25" t="n"/>
      <c r="AI3321" s="394" t="n"/>
      <c r="AM3321" s="48" t="n"/>
      <c r="AN3321" s="48" t="n"/>
      <c r="AO3321" s="48" t="n"/>
    </row>
    <row r="3322">
      <c r="M3322" s="25" t="n"/>
      <c r="Q3322" s="25" t="n"/>
      <c r="U3322" s="194" t="n"/>
      <c r="AA3322" s="25" t="n"/>
      <c r="AB3322" s="25" t="n"/>
      <c r="AC3322" s="195" t="n"/>
      <c r="AD3322" s="25" t="n"/>
      <c r="AE3322" s="25" t="n"/>
      <c r="AG3322" s="25" t="n"/>
      <c r="AH3322" s="25" t="n"/>
      <c r="AI3322" s="394" t="n"/>
      <c r="AM3322" s="48" t="n"/>
      <c r="AN3322" s="48" t="n"/>
      <c r="AO3322" s="48" t="n"/>
    </row>
    <row r="3323">
      <c r="M3323" s="25" t="n"/>
      <c r="Q3323" s="25" t="n"/>
      <c r="U3323" s="194" t="n"/>
      <c r="AA3323" s="25" t="n"/>
      <c r="AB3323" s="25" t="n"/>
      <c r="AC3323" s="195" t="n"/>
      <c r="AD3323" s="25" t="n"/>
      <c r="AE3323" s="25" t="n"/>
      <c r="AG3323" s="25" t="n"/>
      <c r="AH3323" s="25" t="n"/>
      <c r="AI3323" s="394" t="n"/>
      <c r="AM3323" s="48" t="n"/>
      <c r="AN3323" s="48" t="n"/>
      <c r="AO3323" s="48" t="n"/>
    </row>
    <row r="3324">
      <c r="M3324" s="25" t="n"/>
      <c r="Q3324" s="25" t="n"/>
      <c r="U3324" s="194" t="n"/>
      <c r="AA3324" s="25" t="n"/>
      <c r="AB3324" s="25" t="n"/>
      <c r="AC3324" s="195" t="n"/>
      <c r="AD3324" s="25" t="n"/>
      <c r="AE3324" s="25" t="n"/>
      <c r="AG3324" s="25" t="n"/>
      <c r="AH3324" s="25" t="n"/>
      <c r="AI3324" s="394" t="n"/>
      <c r="AM3324" s="48" t="n"/>
      <c r="AN3324" s="48" t="n"/>
      <c r="AO3324" s="48" t="n"/>
    </row>
    <row r="3325">
      <c r="M3325" s="25" t="n"/>
      <c r="Q3325" s="25" t="n"/>
      <c r="U3325" s="194" t="n"/>
      <c r="AA3325" s="25" t="n"/>
      <c r="AB3325" s="25" t="n"/>
      <c r="AC3325" s="195" t="n"/>
      <c r="AD3325" s="25" t="n"/>
      <c r="AE3325" s="25" t="n"/>
      <c r="AG3325" s="25" t="n"/>
      <c r="AH3325" s="25" t="n"/>
      <c r="AI3325" s="394" t="n"/>
      <c r="AM3325" s="48" t="n"/>
      <c r="AN3325" s="48" t="n"/>
      <c r="AO3325" s="48" t="n"/>
    </row>
    <row r="3326">
      <c r="M3326" s="25" t="n"/>
      <c r="Q3326" s="25" t="n"/>
      <c r="U3326" s="194" t="n"/>
      <c r="AA3326" s="25" t="n"/>
      <c r="AB3326" s="25" t="n"/>
      <c r="AC3326" s="195" t="n"/>
      <c r="AD3326" s="25" t="n"/>
      <c r="AE3326" s="25" t="n"/>
      <c r="AG3326" s="25" t="n"/>
      <c r="AH3326" s="25" t="n"/>
      <c r="AI3326" s="394" t="n"/>
      <c r="AM3326" s="48" t="n"/>
      <c r="AN3326" s="48" t="n"/>
      <c r="AO3326" s="48" t="n"/>
    </row>
    <row r="3327">
      <c r="M3327" s="25" t="n"/>
      <c r="Q3327" s="25" t="n"/>
      <c r="U3327" s="194" t="n"/>
      <c r="AA3327" s="25" t="n"/>
      <c r="AB3327" s="25" t="n"/>
      <c r="AC3327" s="195" t="n"/>
      <c r="AD3327" s="25" t="n"/>
      <c r="AE3327" s="25" t="n"/>
      <c r="AG3327" s="25" t="n"/>
      <c r="AH3327" s="25" t="n"/>
      <c r="AI3327" s="394" t="n"/>
      <c r="AM3327" s="48" t="n"/>
      <c r="AN3327" s="48" t="n"/>
      <c r="AO3327" s="48" t="n"/>
    </row>
    <row r="3328">
      <c r="M3328" s="25" t="n"/>
      <c r="Q3328" s="25" t="n"/>
      <c r="U3328" s="194" t="n"/>
      <c r="AA3328" s="25" t="n"/>
      <c r="AB3328" s="25" t="n"/>
      <c r="AC3328" s="195" t="n"/>
      <c r="AD3328" s="25" t="n"/>
      <c r="AE3328" s="25" t="n"/>
      <c r="AG3328" s="25" t="n"/>
      <c r="AH3328" s="25" t="n"/>
      <c r="AI3328" s="394" t="n"/>
      <c r="AM3328" s="48" t="n"/>
      <c r="AN3328" s="48" t="n"/>
      <c r="AO3328" s="48" t="n"/>
    </row>
    <row r="3329">
      <c r="M3329" s="25" t="n"/>
      <c r="Q3329" s="25" t="n"/>
      <c r="U3329" s="194" t="n"/>
      <c r="AA3329" s="25" t="n"/>
      <c r="AB3329" s="25" t="n"/>
      <c r="AC3329" s="195" t="n"/>
      <c r="AD3329" s="25" t="n"/>
      <c r="AE3329" s="25" t="n"/>
      <c r="AG3329" s="25" t="n"/>
      <c r="AH3329" s="25" t="n"/>
      <c r="AI3329" s="394" t="n"/>
      <c r="AM3329" s="48" t="n"/>
      <c r="AN3329" s="48" t="n"/>
      <c r="AO3329" s="48" t="n"/>
    </row>
    <row r="3330">
      <c r="M3330" s="25" t="n"/>
      <c r="Q3330" s="25" t="n"/>
      <c r="U3330" s="194" t="n"/>
      <c r="AA3330" s="25" t="n"/>
      <c r="AB3330" s="25" t="n"/>
      <c r="AC3330" s="195" t="n"/>
      <c r="AD3330" s="25" t="n"/>
      <c r="AE3330" s="25" t="n"/>
      <c r="AG3330" s="25" t="n"/>
      <c r="AH3330" s="25" t="n"/>
      <c r="AI3330" s="394" t="n"/>
      <c r="AM3330" s="48" t="n"/>
      <c r="AN3330" s="48" t="n"/>
      <c r="AO3330" s="48" t="n"/>
    </row>
    <row r="3331">
      <c r="M3331" s="25" t="n"/>
      <c r="Q3331" s="25" t="n"/>
      <c r="U3331" s="194" t="n"/>
      <c r="AA3331" s="25" t="n"/>
      <c r="AB3331" s="25" t="n"/>
      <c r="AC3331" s="195" t="n"/>
      <c r="AD3331" s="25" t="n"/>
      <c r="AE3331" s="25" t="n"/>
      <c r="AG3331" s="25" t="n"/>
      <c r="AH3331" s="25" t="n"/>
      <c r="AI3331" s="394" t="n"/>
      <c r="AM3331" s="48" t="n"/>
      <c r="AN3331" s="48" t="n"/>
      <c r="AO3331" s="48" t="n"/>
    </row>
    <row r="3332">
      <c r="M3332" s="25" t="n"/>
      <c r="Q3332" s="25" t="n"/>
      <c r="U3332" s="194" t="n"/>
      <c r="AA3332" s="25" t="n"/>
      <c r="AB3332" s="25" t="n"/>
      <c r="AC3332" s="195" t="n"/>
      <c r="AD3332" s="25" t="n"/>
      <c r="AE3332" s="25" t="n"/>
      <c r="AG3332" s="25" t="n"/>
      <c r="AH3332" s="25" t="n"/>
      <c r="AI3332" s="394" t="n"/>
      <c r="AM3332" s="48" t="n"/>
      <c r="AN3332" s="48" t="n"/>
      <c r="AO3332" s="48" t="n"/>
    </row>
    <row r="3333">
      <c r="M3333" s="25" t="n"/>
      <c r="Q3333" s="25" t="n"/>
      <c r="U3333" s="194" t="n"/>
      <c r="AA3333" s="25" t="n"/>
      <c r="AB3333" s="25" t="n"/>
      <c r="AC3333" s="195" t="n"/>
      <c r="AD3333" s="25" t="n"/>
      <c r="AE3333" s="25" t="n"/>
      <c r="AG3333" s="25" t="n"/>
      <c r="AH3333" s="25" t="n"/>
      <c r="AI3333" s="394" t="n"/>
      <c r="AM3333" s="48" t="n"/>
      <c r="AN3333" s="48" t="n"/>
      <c r="AO3333" s="48" t="n"/>
    </row>
    <row r="3334">
      <c r="M3334" s="25" t="n"/>
      <c r="Q3334" s="25" t="n"/>
      <c r="U3334" s="194" t="n"/>
      <c r="AA3334" s="25" t="n"/>
      <c r="AB3334" s="25" t="n"/>
      <c r="AC3334" s="195" t="n"/>
      <c r="AD3334" s="25" t="n"/>
      <c r="AE3334" s="25" t="n"/>
      <c r="AG3334" s="25" t="n"/>
      <c r="AH3334" s="25" t="n"/>
      <c r="AI3334" s="394" t="n"/>
      <c r="AM3334" s="48" t="n"/>
      <c r="AN3334" s="48" t="n"/>
      <c r="AO3334" s="48" t="n"/>
    </row>
    <row r="3335">
      <c r="M3335" s="25" t="n"/>
      <c r="Q3335" s="25" t="n"/>
      <c r="U3335" s="194" t="n"/>
      <c r="AA3335" s="25" t="n"/>
      <c r="AB3335" s="25" t="n"/>
      <c r="AC3335" s="195" t="n"/>
      <c r="AD3335" s="25" t="n"/>
      <c r="AE3335" s="25" t="n"/>
      <c r="AG3335" s="25" t="n"/>
      <c r="AH3335" s="25" t="n"/>
      <c r="AI3335" s="394" t="n"/>
      <c r="AM3335" s="48" t="n"/>
      <c r="AN3335" s="48" t="n"/>
      <c r="AO3335" s="48" t="n"/>
    </row>
    <row r="3336">
      <c r="M3336" s="25" t="n"/>
      <c r="Q3336" s="25" t="n"/>
      <c r="U3336" s="194" t="n"/>
      <c r="AA3336" s="25" t="n"/>
      <c r="AB3336" s="25" t="n"/>
      <c r="AC3336" s="195" t="n"/>
      <c r="AD3336" s="25" t="n"/>
      <c r="AE3336" s="25" t="n"/>
      <c r="AG3336" s="25" t="n"/>
      <c r="AH3336" s="25" t="n"/>
      <c r="AI3336" s="394" t="n"/>
      <c r="AM3336" s="48" t="n"/>
      <c r="AN3336" s="48" t="n"/>
      <c r="AO3336" s="48" t="n"/>
    </row>
    <row r="3337">
      <c r="M3337" s="25" t="n"/>
      <c r="Q3337" s="25" t="n"/>
      <c r="U3337" s="194" t="n"/>
      <c r="AA3337" s="25" t="n"/>
      <c r="AB3337" s="25" t="n"/>
      <c r="AC3337" s="195" t="n"/>
      <c r="AD3337" s="25" t="n"/>
      <c r="AE3337" s="25" t="n"/>
      <c r="AG3337" s="25" t="n"/>
      <c r="AH3337" s="25" t="n"/>
      <c r="AI3337" s="394" t="n"/>
      <c r="AM3337" s="48" t="n"/>
      <c r="AN3337" s="48" t="n"/>
      <c r="AO3337" s="48" t="n"/>
    </row>
    <row r="3338">
      <c r="M3338" s="25" t="n"/>
      <c r="Q3338" s="25" t="n"/>
      <c r="U3338" s="194" t="n"/>
      <c r="AA3338" s="25" t="n"/>
      <c r="AB3338" s="25" t="n"/>
      <c r="AC3338" s="195" t="n"/>
      <c r="AD3338" s="25" t="n"/>
      <c r="AE3338" s="25" t="n"/>
      <c r="AG3338" s="25" t="n"/>
      <c r="AH3338" s="25" t="n"/>
      <c r="AI3338" s="394" t="n"/>
      <c r="AM3338" s="48" t="n"/>
      <c r="AN3338" s="48" t="n"/>
      <c r="AO3338" s="48" t="n"/>
    </row>
    <row r="3339">
      <c r="M3339" s="25" t="n"/>
      <c r="Q3339" s="25" t="n"/>
      <c r="U3339" s="194" t="n"/>
      <c r="AA3339" s="25" t="n"/>
      <c r="AB3339" s="25" t="n"/>
      <c r="AC3339" s="195" t="n"/>
      <c r="AD3339" s="25" t="n"/>
      <c r="AE3339" s="25" t="n"/>
      <c r="AG3339" s="25" t="n"/>
      <c r="AH3339" s="25" t="n"/>
      <c r="AI3339" s="394" t="n"/>
      <c r="AM3339" s="48" t="n"/>
      <c r="AN3339" s="48" t="n"/>
      <c r="AO3339" s="48" t="n"/>
    </row>
    <row r="3340">
      <c r="M3340" s="25" t="n"/>
      <c r="Q3340" s="25" t="n"/>
      <c r="U3340" s="194" t="n"/>
      <c r="AA3340" s="25" t="n"/>
      <c r="AB3340" s="25" t="n"/>
      <c r="AC3340" s="195" t="n"/>
      <c r="AD3340" s="25" t="n"/>
      <c r="AE3340" s="25" t="n"/>
      <c r="AG3340" s="25" t="n"/>
      <c r="AH3340" s="25" t="n"/>
      <c r="AI3340" s="394" t="n"/>
      <c r="AM3340" s="48" t="n"/>
      <c r="AN3340" s="48" t="n"/>
      <c r="AO3340" s="48" t="n"/>
    </row>
    <row r="3341">
      <c r="M3341" s="25" t="n"/>
      <c r="Q3341" s="25" t="n"/>
      <c r="U3341" s="194" t="n"/>
      <c r="AA3341" s="25" t="n"/>
      <c r="AB3341" s="25" t="n"/>
      <c r="AC3341" s="195" t="n"/>
      <c r="AD3341" s="25" t="n"/>
      <c r="AE3341" s="25" t="n"/>
      <c r="AG3341" s="25" t="n"/>
      <c r="AH3341" s="25" t="n"/>
      <c r="AI3341" s="394" t="n"/>
      <c r="AM3341" s="48" t="n"/>
      <c r="AN3341" s="48" t="n"/>
      <c r="AO3341" s="48" t="n"/>
    </row>
    <row r="3342">
      <c r="M3342" s="25" t="n"/>
      <c r="Q3342" s="25" t="n"/>
      <c r="U3342" s="194" t="n"/>
      <c r="AA3342" s="25" t="n"/>
      <c r="AB3342" s="25" t="n"/>
      <c r="AC3342" s="195" t="n"/>
      <c r="AD3342" s="25" t="n"/>
      <c r="AE3342" s="25" t="n"/>
      <c r="AG3342" s="25" t="n"/>
      <c r="AH3342" s="25" t="n"/>
      <c r="AI3342" s="394" t="n"/>
      <c r="AM3342" s="48" t="n"/>
      <c r="AN3342" s="48" t="n"/>
      <c r="AO3342" s="48" t="n"/>
    </row>
    <row r="3343">
      <c r="M3343" s="25" t="n"/>
      <c r="Q3343" s="25" t="n"/>
      <c r="U3343" s="194" t="n"/>
      <c r="AA3343" s="25" t="n"/>
      <c r="AB3343" s="25" t="n"/>
      <c r="AC3343" s="195" t="n"/>
      <c r="AD3343" s="25" t="n"/>
      <c r="AE3343" s="25" t="n"/>
      <c r="AG3343" s="25" t="n"/>
      <c r="AH3343" s="25" t="n"/>
      <c r="AI3343" s="394" t="n"/>
      <c r="AM3343" s="48" t="n"/>
      <c r="AN3343" s="48" t="n"/>
      <c r="AO3343" s="48" t="n"/>
    </row>
    <row r="3344">
      <c r="M3344" s="25" t="n"/>
      <c r="Q3344" s="25" t="n"/>
      <c r="U3344" s="194" t="n"/>
      <c r="AA3344" s="25" t="n"/>
      <c r="AB3344" s="25" t="n"/>
      <c r="AC3344" s="195" t="n"/>
      <c r="AD3344" s="25" t="n"/>
      <c r="AE3344" s="25" t="n"/>
      <c r="AG3344" s="25" t="n"/>
      <c r="AH3344" s="25" t="n"/>
      <c r="AI3344" s="394" t="n"/>
      <c r="AM3344" s="48" t="n"/>
      <c r="AN3344" s="48" t="n"/>
      <c r="AO3344" s="48" t="n"/>
    </row>
    <row r="3345">
      <c r="M3345" s="25" t="n"/>
      <c r="Q3345" s="25" t="n"/>
      <c r="U3345" s="194" t="n"/>
      <c r="AA3345" s="25" t="n"/>
      <c r="AB3345" s="25" t="n"/>
      <c r="AC3345" s="195" t="n"/>
      <c r="AD3345" s="25" t="n"/>
      <c r="AE3345" s="25" t="n"/>
      <c r="AG3345" s="25" t="n"/>
      <c r="AH3345" s="25" t="n"/>
      <c r="AI3345" s="394" t="n"/>
      <c r="AM3345" s="48" t="n"/>
      <c r="AN3345" s="48" t="n"/>
      <c r="AO3345" s="48" t="n"/>
    </row>
    <row r="3346">
      <c r="M3346" s="25" t="n"/>
      <c r="Q3346" s="25" t="n"/>
      <c r="U3346" s="194" t="n"/>
      <c r="AA3346" s="25" t="n"/>
      <c r="AB3346" s="25" t="n"/>
      <c r="AC3346" s="195" t="n"/>
      <c r="AD3346" s="25" t="n"/>
      <c r="AE3346" s="25" t="n"/>
      <c r="AG3346" s="25" t="n"/>
      <c r="AH3346" s="25" t="n"/>
      <c r="AI3346" s="394" t="n"/>
      <c r="AM3346" s="48" t="n"/>
      <c r="AN3346" s="48" t="n"/>
      <c r="AO3346" s="48" t="n"/>
    </row>
    <row r="3347">
      <c r="M3347" s="25" t="n"/>
      <c r="Q3347" s="25" t="n"/>
      <c r="U3347" s="194" t="n"/>
      <c r="AA3347" s="25" t="n"/>
      <c r="AB3347" s="25" t="n"/>
      <c r="AC3347" s="195" t="n"/>
      <c r="AD3347" s="25" t="n"/>
      <c r="AE3347" s="25" t="n"/>
      <c r="AG3347" s="25" t="n"/>
      <c r="AH3347" s="25" t="n"/>
      <c r="AI3347" s="394" t="n"/>
      <c r="AM3347" s="48" t="n"/>
      <c r="AN3347" s="48" t="n"/>
      <c r="AO3347" s="48" t="n"/>
    </row>
    <row r="3348">
      <c r="M3348" s="25" t="n"/>
      <c r="Q3348" s="25" t="n"/>
      <c r="U3348" s="194" t="n"/>
      <c r="AA3348" s="25" t="n"/>
      <c r="AB3348" s="25" t="n"/>
      <c r="AC3348" s="195" t="n"/>
      <c r="AD3348" s="25" t="n"/>
      <c r="AE3348" s="25" t="n"/>
      <c r="AG3348" s="25" t="n"/>
      <c r="AH3348" s="25" t="n"/>
      <c r="AI3348" s="394" t="n"/>
      <c r="AM3348" s="48" t="n"/>
      <c r="AN3348" s="48" t="n"/>
      <c r="AO3348" s="48" t="n"/>
    </row>
    <row r="3349">
      <c r="M3349" s="25" t="n"/>
      <c r="Q3349" s="25" t="n"/>
      <c r="U3349" s="194" t="n"/>
      <c r="AA3349" s="25" t="n"/>
      <c r="AB3349" s="25" t="n"/>
      <c r="AC3349" s="195" t="n"/>
      <c r="AD3349" s="25" t="n"/>
      <c r="AE3349" s="25" t="n"/>
      <c r="AG3349" s="25" t="n"/>
      <c r="AH3349" s="25" t="n"/>
      <c r="AI3349" s="394" t="n"/>
      <c r="AM3349" s="48" t="n"/>
      <c r="AN3349" s="48" t="n"/>
      <c r="AO3349" s="48" t="n"/>
    </row>
    <row r="3350">
      <c r="M3350" s="25" t="n"/>
      <c r="Q3350" s="25" t="n"/>
      <c r="U3350" s="194" t="n"/>
      <c r="AA3350" s="25" t="n"/>
      <c r="AB3350" s="25" t="n"/>
      <c r="AC3350" s="195" t="n"/>
      <c r="AD3350" s="25" t="n"/>
      <c r="AE3350" s="25" t="n"/>
      <c r="AG3350" s="25" t="n"/>
      <c r="AH3350" s="25" t="n"/>
      <c r="AI3350" s="394" t="n"/>
      <c r="AM3350" s="48" t="n"/>
      <c r="AN3350" s="48" t="n"/>
      <c r="AO3350" s="48" t="n"/>
    </row>
    <row r="3351">
      <c r="M3351" s="25" t="n"/>
      <c r="Q3351" s="25" t="n"/>
      <c r="U3351" s="194" t="n"/>
      <c r="AA3351" s="25" t="n"/>
      <c r="AB3351" s="25" t="n"/>
      <c r="AC3351" s="195" t="n"/>
      <c r="AD3351" s="25" t="n"/>
      <c r="AE3351" s="25" t="n"/>
      <c r="AG3351" s="25" t="n"/>
      <c r="AH3351" s="25" t="n"/>
      <c r="AI3351" s="394" t="n"/>
      <c r="AM3351" s="48" t="n"/>
      <c r="AN3351" s="48" t="n"/>
      <c r="AO3351" s="48" t="n"/>
    </row>
    <row r="3352">
      <c r="M3352" s="25" t="n"/>
      <c r="Q3352" s="25" t="n"/>
      <c r="U3352" s="194" t="n"/>
      <c r="AA3352" s="25" t="n"/>
      <c r="AB3352" s="25" t="n"/>
      <c r="AC3352" s="195" t="n"/>
      <c r="AD3352" s="25" t="n"/>
      <c r="AE3352" s="25" t="n"/>
      <c r="AG3352" s="25" t="n"/>
      <c r="AH3352" s="25" t="n"/>
      <c r="AI3352" s="394" t="n"/>
      <c r="AM3352" s="48" t="n"/>
      <c r="AN3352" s="48" t="n"/>
      <c r="AO3352" s="48" t="n"/>
    </row>
    <row r="3353">
      <c r="M3353" s="25" t="n"/>
      <c r="Q3353" s="25" t="n"/>
      <c r="U3353" s="194" t="n"/>
      <c r="AA3353" s="25" t="n"/>
      <c r="AB3353" s="25" t="n"/>
      <c r="AC3353" s="195" t="n"/>
      <c r="AD3353" s="25" t="n"/>
      <c r="AE3353" s="25" t="n"/>
      <c r="AG3353" s="25" t="n"/>
      <c r="AH3353" s="25" t="n"/>
      <c r="AI3353" s="394" t="n"/>
      <c r="AM3353" s="48" t="n"/>
      <c r="AN3353" s="48" t="n"/>
      <c r="AO3353" s="48" t="n"/>
    </row>
    <row r="3354">
      <c r="M3354" s="25" t="n"/>
      <c r="Q3354" s="25" t="n"/>
      <c r="U3354" s="194" t="n"/>
      <c r="AA3354" s="25" t="n"/>
      <c r="AB3354" s="25" t="n"/>
      <c r="AC3354" s="195" t="n"/>
      <c r="AD3354" s="25" t="n"/>
      <c r="AE3354" s="25" t="n"/>
      <c r="AG3354" s="25" t="n"/>
      <c r="AH3354" s="25" t="n"/>
      <c r="AI3354" s="394" t="n"/>
      <c r="AM3354" s="48" t="n"/>
      <c r="AN3354" s="48" t="n"/>
      <c r="AO3354" s="48" t="n"/>
    </row>
    <row r="3355">
      <c r="M3355" s="25" t="n"/>
      <c r="Q3355" s="25" t="n"/>
      <c r="U3355" s="194" t="n"/>
      <c r="AA3355" s="25" t="n"/>
      <c r="AB3355" s="25" t="n"/>
      <c r="AC3355" s="195" t="n"/>
      <c r="AD3355" s="25" t="n"/>
      <c r="AE3355" s="25" t="n"/>
      <c r="AG3355" s="25" t="n"/>
      <c r="AH3355" s="25" t="n"/>
      <c r="AI3355" s="394" t="n"/>
      <c r="AM3355" s="48" t="n"/>
      <c r="AN3355" s="48" t="n"/>
      <c r="AO3355" s="48" t="n"/>
    </row>
    <row r="3356">
      <c r="M3356" s="25" t="n"/>
      <c r="Q3356" s="25" t="n"/>
      <c r="U3356" s="194" t="n"/>
      <c r="AA3356" s="25" t="n"/>
      <c r="AB3356" s="25" t="n"/>
      <c r="AC3356" s="195" t="n"/>
      <c r="AD3356" s="25" t="n"/>
      <c r="AE3356" s="25" t="n"/>
      <c r="AG3356" s="25" t="n"/>
      <c r="AH3356" s="25" t="n"/>
      <c r="AI3356" s="394" t="n"/>
      <c r="AM3356" s="48" t="n"/>
      <c r="AN3356" s="48" t="n"/>
      <c r="AO3356" s="48" t="n"/>
    </row>
    <row r="3357">
      <c r="M3357" s="25" t="n"/>
      <c r="Q3357" s="25" t="n"/>
      <c r="U3357" s="194" t="n"/>
      <c r="AA3357" s="25" t="n"/>
      <c r="AB3357" s="25" t="n"/>
      <c r="AC3357" s="195" t="n"/>
      <c r="AD3357" s="25" t="n"/>
      <c r="AE3357" s="25" t="n"/>
      <c r="AG3357" s="25" t="n"/>
      <c r="AH3357" s="25" t="n"/>
      <c r="AI3357" s="394" t="n"/>
      <c r="AM3357" s="48" t="n"/>
      <c r="AN3357" s="48" t="n"/>
      <c r="AO3357" s="48" t="n"/>
    </row>
    <row r="3358">
      <c r="M3358" s="25" t="n"/>
      <c r="Q3358" s="25" t="n"/>
      <c r="U3358" s="194" t="n"/>
      <c r="AA3358" s="25" t="n"/>
      <c r="AB3358" s="25" t="n"/>
      <c r="AC3358" s="195" t="n"/>
      <c r="AD3358" s="25" t="n"/>
      <c r="AE3358" s="25" t="n"/>
      <c r="AG3358" s="25" t="n"/>
      <c r="AH3358" s="25" t="n"/>
      <c r="AI3358" s="394" t="n"/>
      <c r="AM3358" s="48" t="n"/>
      <c r="AN3358" s="48" t="n"/>
      <c r="AO3358" s="48" t="n"/>
    </row>
    <row r="3359">
      <c r="M3359" s="25" t="n"/>
      <c r="Q3359" s="25" t="n"/>
      <c r="U3359" s="194" t="n"/>
      <c r="AA3359" s="25" t="n"/>
      <c r="AB3359" s="25" t="n"/>
      <c r="AC3359" s="195" t="n"/>
      <c r="AD3359" s="25" t="n"/>
      <c r="AE3359" s="25" t="n"/>
      <c r="AG3359" s="25" t="n"/>
      <c r="AH3359" s="25" t="n"/>
      <c r="AI3359" s="394" t="n"/>
      <c r="AM3359" s="48" t="n"/>
      <c r="AN3359" s="48" t="n"/>
      <c r="AO3359" s="48" t="n"/>
    </row>
    <row r="3360">
      <c r="M3360" s="25" t="n"/>
      <c r="Q3360" s="25" t="n"/>
      <c r="U3360" s="194" t="n"/>
      <c r="AA3360" s="25" t="n"/>
      <c r="AB3360" s="25" t="n"/>
      <c r="AC3360" s="195" t="n"/>
      <c r="AD3360" s="25" t="n"/>
      <c r="AE3360" s="25" t="n"/>
      <c r="AG3360" s="25" t="n"/>
      <c r="AH3360" s="25" t="n"/>
      <c r="AI3360" s="394" t="n"/>
      <c r="AM3360" s="48" t="n"/>
      <c r="AN3360" s="48" t="n"/>
      <c r="AO3360" s="48" t="n"/>
    </row>
    <row r="3361">
      <c r="M3361" s="25" t="n"/>
      <c r="Q3361" s="25" t="n"/>
      <c r="U3361" s="194" t="n"/>
      <c r="AA3361" s="25" t="n"/>
      <c r="AB3361" s="25" t="n"/>
      <c r="AC3361" s="195" t="n"/>
      <c r="AD3361" s="25" t="n"/>
      <c r="AE3361" s="25" t="n"/>
      <c r="AG3361" s="25" t="n"/>
      <c r="AH3361" s="25" t="n"/>
      <c r="AI3361" s="394" t="n"/>
      <c r="AM3361" s="48" t="n"/>
      <c r="AN3361" s="48" t="n"/>
      <c r="AO3361" s="48" t="n"/>
    </row>
    <row r="3362">
      <c r="M3362" s="25" t="n"/>
      <c r="Q3362" s="25" t="n"/>
      <c r="U3362" s="194" t="n"/>
      <c r="AA3362" s="25" t="n"/>
      <c r="AB3362" s="25" t="n"/>
      <c r="AC3362" s="195" t="n"/>
      <c r="AD3362" s="25" t="n"/>
      <c r="AE3362" s="25" t="n"/>
      <c r="AG3362" s="25" t="n"/>
      <c r="AH3362" s="25" t="n"/>
      <c r="AI3362" s="394" t="n"/>
      <c r="AM3362" s="48" t="n"/>
      <c r="AN3362" s="48" t="n"/>
      <c r="AO3362" s="48" t="n"/>
    </row>
    <row r="3363">
      <c r="M3363" s="25" t="n"/>
      <c r="Q3363" s="25" t="n"/>
      <c r="U3363" s="194" t="n"/>
      <c r="AA3363" s="25" t="n"/>
      <c r="AB3363" s="25" t="n"/>
      <c r="AC3363" s="195" t="n"/>
      <c r="AD3363" s="25" t="n"/>
      <c r="AE3363" s="25" t="n"/>
      <c r="AG3363" s="25" t="n"/>
      <c r="AH3363" s="25" t="n"/>
      <c r="AI3363" s="394" t="n"/>
      <c r="AM3363" s="48" t="n"/>
      <c r="AN3363" s="48" t="n"/>
      <c r="AO3363" s="48" t="n"/>
    </row>
    <row r="3364">
      <c r="M3364" s="25" t="n"/>
      <c r="Q3364" s="25" t="n"/>
      <c r="U3364" s="194" t="n"/>
      <c r="AA3364" s="25" t="n"/>
      <c r="AB3364" s="25" t="n"/>
      <c r="AC3364" s="195" t="n"/>
      <c r="AD3364" s="25" t="n"/>
      <c r="AE3364" s="25" t="n"/>
      <c r="AG3364" s="25" t="n"/>
      <c r="AH3364" s="25" t="n"/>
      <c r="AI3364" s="394" t="n"/>
      <c r="AM3364" s="48" t="n"/>
      <c r="AN3364" s="48" t="n"/>
      <c r="AO3364" s="48" t="n"/>
    </row>
    <row r="3365">
      <c r="M3365" s="25" t="n"/>
      <c r="Q3365" s="25" t="n"/>
      <c r="U3365" s="194" t="n"/>
      <c r="AA3365" s="25" t="n"/>
      <c r="AB3365" s="25" t="n"/>
      <c r="AC3365" s="195" t="n"/>
      <c r="AD3365" s="25" t="n"/>
      <c r="AE3365" s="25" t="n"/>
      <c r="AG3365" s="25" t="n"/>
      <c r="AH3365" s="25" t="n"/>
      <c r="AI3365" s="394" t="n"/>
      <c r="AM3365" s="48" t="n"/>
      <c r="AN3365" s="48" t="n"/>
      <c r="AO3365" s="48" t="n"/>
    </row>
    <row r="3366">
      <c r="M3366" s="25" t="n"/>
      <c r="Q3366" s="25" t="n"/>
      <c r="U3366" s="194" t="n"/>
      <c r="AA3366" s="25" t="n"/>
      <c r="AB3366" s="25" t="n"/>
      <c r="AC3366" s="195" t="n"/>
      <c r="AD3366" s="25" t="n"/>
      <c r="AE3366" s="25" t="n"/>
      <c r="AG3366" s="25" t="n"/>
      <c r="AH3366" s="25" t="n"/>
      <c r="AI3366" s="394" t="n"/>
      <c r="AM3366" s="48" t="n"/>
      <c r="AN3366" s="48" t="n"/>
      <c r="AO3366" s="48" t="n"/>
    </row>
    <row r="3367">
      <c r="M3367" s="25" t="n"/>
      <c r="Q3367" s="25" t="n"/>
      <c r="U3367" s="194" t="n"/>
      <c r="AA3367" s="25" t="n"/>
      <c r="AB3367" s="25" t="n"/>
      <c r="AC3367" s="195" t="n"/>
      <c r="AD3367" s="25" t="n"/>
      <c r="AE3367" s="25" t="n"/>
      <c r="AG3367" s="25" t="n"/>
      <c r="AH3367" s="25" t="n"/>
      <c r="AI3367" s="394" t="n"/>
      <c r="AM3367" s="48" t="n"/>
      <c r="AN3367" s="48" t="n"/>
      <c r="AO3367" s="48" t="n"/>
    </row>
    <row r="3368">
      <c r="M3368" s="25" t="n"/>
      <c r="Q3368" s="25" t="n"/>
      <c r="U3368" s="194" t="n"/>
      <c r="AA3368" s="25" t="n"/>
      <c r="AB3368" s="25" t="n"/>
      <c r="AC3368" s="195" t="n"/>
      <c r="AD3368" s="25" t="n"/>
      <c r="AE3368" s="25" t="n"/>
      <c r="AG3368" s="25" t="n"/>
      <c r="AH3368" s="25" t="n"/>
      <c r="AI3368" s="394" t="n"/>
      <c r="AM3368" s="48" t="n"/>
      <c r="AN3368" s="48" t="n"/>
      <c r="AO3368" s="48" t="n"/>
    </row>
    <row r="3369">
      <c r="M3369" s="25" t="n"/>
      <c r="Q3369" s="25" t="n"/>
      <c r="U3369" s="194" t="n"/>
      <c r="AA3369" s="25" t="n"/>
      <c r="AB3369" s="25" t="n"/>
      <c r="AC3369" s="195" t="n"/>
      <c r="AD3369" s="25" t="n"/>
      <c r="AE3369" s="25" t="n"/>
      <c r="AG3369" s="25" t="n"/>
      <c r="AH3369" s="25" t="n"/>
      <c r="AI3369" s="394" t="n"/>
      <c r="AM3369" s="48" t="n"/>
      <c r="AN3369" s="48" t="n"/>
      <c r="AO3369" s="48" t="n"/>
    </row>
    <row r="3370">
      <c r="M3370" s="25" t="n"/>
      <c r="Q3370" s="25" t="n"/>
      <c r="U3370" s="194" t="n"/>
      <c r="AA3370" s="25" t="n"/>
      <c r="AB3370" s="25" t="n"/>
      <c r="AC3370" s="195" t="n"/>
      <c r="AD3370" s="25" t="n"/>
      <c r="AE3370" s="25" t="n"/>
      <c r="AG3370" s="25" t="n"/>
      <c r="AH3370" s="25" t="n"/>
      <c r="AI3370" s="394" t="n"/>
      <c r="AM3370" s="48" t="n"/>
      <c r="AN3370" s="48" t="n"/>
      <c r="AO3370" s="48" t="n"/>
    </row>
    <row r="3371">
      <c r="M3371" s="25" t="n"/>
      <c r="Q3371" s="25" t="n"/>
      <c r="U3371" s="194" t="n"/>
      <c r="AA3371" s="25" t="n"/>
      <c r="AB3371" s="25" t="n"/>
      <c r="AC3371" s="195" t="n"/>
      <c r="AD3371" s="25" t="n"/>
      <c r="AE3371" s="25" t="n"/>
      <c r="AG3371" s="25" t="n"/>
      <c r="AH3371" s="25" t="n"/>
      <c r="AI3371" s="394" t="n"/>
      <c r="AM3371" s="48" t="n"/>
      <c r="AN3371" s="48" t="n"/>
      <c r="AO3371" s="48" t="n"/>
    </row>
    <row r="3372">
      <c r="M3372" s="25" t="n"/>
      <c r="Q3372" s="25" t="n"/>
      <c r="U3372" s="194" t="n"/>
      <c r="AA3372" s="25" t="n"/>
      <c r="AB3372" s="25" t="n"/>
      <c r="AC3372" s="195" t="n"/>
      <c r="AD3372" s="25" t="n"/>
      <c r="AE3372" s="25" t="n"/>
      <c r="AG3372" s="25" t="n"/>
      <c r="AH3372" s="25" t="n"/>
      <c r="AI3372" s="394" t="n"/>
      <c r="AM3372" s="48" t="n"/>
      <c r="AN3372" s="48" t="n"/>
      <c r="AO3372" s="48" t="n"/>
    </row>
    <row r="3373">
      <c r="M3373" s="25" t="n"/>
      <c r="Q3373" s="25" t="n"/>
      <c r="U3373" s="194" t="n"/>
      <c r="AA3373" s="25" t="n"/>
      <c r="AB3373" s="25" t="n"/>
      <c r="AC3373" s="195" t="n"/>
      <c r="AD3373" s="25" t="n"/>
      <c r="AE3373" s="25" t="n"/>
      <c r="AG3373" s="25" t="n"/>
      <c r="AH3373" s="25" t="n"/>
      <c r="AI3373" s="394" t="n"/>
      <c r="AM3373" s="48" t="n"/>
      <c r="AN3373" s="48" t="n"/>
      <c r="AO3373" s="48" t="n"/>
    </row>
    <row r="3374">
      <c r="M3374" s="25" t="n"/>
      <c r="Q3374" s="25" t="n"/>
      <c r="U3374" s="194" t="n"/>
      <c r="AA3374" s="25" t="n"/>
      <c r="AB3374" s="25" t="n"/>
      <c r="AC3374" s="195" t="n"/>
      <c r="AD3374" s="25" t="n"/>
      <c r="AE3374" s="25" t="n"/>
      <c r="AG3374" s="25" t="n"/>
      <c r="AH3374" s="25" t="n"/>
      <c r="AI3374" s="394" t="n"/>
      <c r="AM3374" s="48" t="n"/>
      <c r="AN3374" s="48" t="n"/>
      <c r="AO3374" s="48" t="n"/>
    </row>
    <row r="3375">
      <c r="M3375" s="25" t="n"/>
      <c r="Q3375" s="25" t="n"/>
      <c r="U3375" s="194" t="n"/>
      <c r="AA3375" s="25" t="n"/>
      <c r="AB3375" s="25" t="n"/>
      <c r="AC3375" s="195" t="n"/>
      <c r="AD3375" s="25" t="n"/>
      <c r="AE3375" s="25" t="n"/>
      <c r="AG3375" s="25" t="n"/>
      <c r="AH3375" s="25" t="n"/>
      <c r="AI3375" s="394" t="n"/>
      <c r="AM3375" s="48" t="n"/>
      <c r="AN3375" s="48" t="n"/>
      <c r="AO3375" s="48" t="n"/>
    </row>
    <row r="3376">
      <c r="M3376" s="25" t="n"/>
      <c r="Q3376" s="25" t="n"/>
      <c r="U3376" s="194" t="n"/>
      <c r="AA3376" s="25" t="n"/>
      <c r="AB3376" s="25" t="n"/>
      <c r="AC3376" s="195" t="n"/>
      <c r="AD3376" s="25" t="n"/>
      <c r="AE3376" s="25" t="n"/>
      <c r="AG3376" s="25" t="n"/>
      <c r="AH3376" s="25" t="n"/>
      <c r="AI3376" s="394" t="n"/>
      <c r="AM3376" s="48" t="n"/>
      <c r="AN3376" s="48" t="n"/>
      <c r="AO3376" s="48" t="n"/>
    </row>
    <row r="3377">
      <c r="M3377" s="25" t="n"/>
      <c r="Q3377" s="25" t="n"/>
      <c r="U3377" s="194" t="n"/>
      <c r="AA3377" s="25" t="n"/>
      <c r="AB3377" s="25" t="n"/>
      <c r="AC3377" s="195" t="n"/>
      <c r="AD3377" s="25" t="n"/>
      <c r="AE3377" s="25" t="n"/>
      <c r="AG3377" s="25" t="n"/>
      <c r="AH3377" s="25" t="n"/>
      <c r="AI3377" s="394" t="n"/>
      <c r="AM3377" s="48" t="n"/>
      <c r="AN3377" s="48" t="n"/>
      <c r="AO3377" s="48" t="n"/>
    </row>
    <row r="3378">
      <c r="M3378" s="25" t="n"/>
      <c r="Q3378" s="25" t="n"/>
      <c r="U3378" s="194" t="n"/>
      <c r="AA3378" s="25" t="n"/>
      <c r="AB3378" s="25" t="n"/>
      <c r="AC3378" s="195" t="n"/>
      <c r="AD3378" s="25" t="n"/>
      <c r="AE3378" s="25" t="n"/>
      <c r="AG3378" s="25" t="n"/>
      <c r="AH3378" s="25" t="n"/>
      <c r="AI3378" s="394" t="n"/>
      <c r="AM3378" s="48" t="n"/>
      <c r="AN3378" s="48" t="n"/>
      <c r="AO3378" s="48" t="n"/>
    </row>
    <row r="3379">
      <c r="M3379" s="25" t="n"/>
      <c r="Q3379" s="25" t="n"/>
      <c r="U3379" s="194" t="n"/>
      <c r="AA3379" s="25" t="n"/>
      <c r="AB3379" s="25" t="n"/>
      <c r="AC3379" s="195" t="n"/>
      <c r="AD3379" s="25" t="n"/>
      <c r="AE3379" s="25" t="n"/>
      <c r="AG3379" s="25" t="n"/>
      <c r="AH3379" s="25" t="n"/>
      <c r="AI3379" s="394" t="n"/>
      <c r="AM3379" s="48" t="n"/>
      <c r="AN3379" s="48" t="n"/>
      <c r="AO3379" s="48" t="n"/>
    </row>
    <row r="3380">
      <c r="M3380" s="25" t="n"/>
      <c r="Q3380" s="25" t="n"/>
      <c r="U3380" s="194" t="n"/>
      <c r="AA3380" s="25" t="n"/>
      <c r="AB3380" s="25" t="n"/>
      <c r="AC3380" s="195" t="n"/>
      <c r="AD3380" s="25" t="n"/>
      <c r="AE3380" s="25" t="n"/>
      <c r="AG3380" s="25" t="n"/>
      <c r="AH3380" s="25" t="n"/>
      <c r="AI3380" s="394" t="n"/>
      <c r="AM3380" s="48" t="n"/>
      <c r="AN3380" s="48" t="n"/>
      <c r="AO3380" s="48" t="n"/>
    </row>
    <row r="3381">
      <c r="M3381" s="25" t="n"/>
      <c r="Q3381" s="25" t="n"/>
      <c r="U3381" s="194" t="n"/>
      <c r="AA3381" s="25" t="n"/>
      <c r="AB3381" s="25" t="n"/>
      <c r="AC3381" s="195" t="n"/>
      <c r="AD3381" s="25" t="n"/>
      <c r="AE3381" s="25" t="n"/>
      <c r="AG3381" s="25" t="n"/>
      <c r="AH3381" s="25" t="n"/>
      <c r="AI3381" s="394" t="n"/>
      <c r="AM3381" s="48" t="n"/>
      <c r="AN3381" s="48" t="n"/>
      <c r="AO3381" s="48" t="n"/>
    </row>
    <row r="3382">
      <c r="M3382" s="25" t="n"/>
      <c r="Q3382" s="25" t="n"/>
      <c r="U3382" s="194" t="n"/>
      <c r="AA3382" s="25" t="n"/>
      <c r="AB3382" s="25" t="n"/>
      <c r="AC3382" s="195" t="n"/>
      <c r="AD3382" s="25" t="n"/>
      <c r="AE3382" s="25" t="n"/>
      <c r="AG3382" s="25" t="n"/>
      <c r="AH3382" s="25" t="n"/>
      <c r="AI3382" s="394" t="n"/>
      <c r="AM3382" s="48" t="n"/>
      <c r="AN3382" s="48" t="n"/>
      <c r="AO3382" s="48" t="n"/>
    </row>
    <row r="3383">
      <c r="M3383" s="25" t="n"/>
      <c r="Q3383" s="25" t="n"/>
      <c r="U3383" s="194" t="n"/>
      <c r="AA3383" s="25" t="n"/>
      <c r="AB3383" s="25" t="n"/>
      <c r="AC3383" s="195" t="n"/>
      <c r="AD3383" s="25" t="n"/>
      <c r="AE3383" s="25" t="n"/>
      <c r="AG3383" s="25" t="n"/>
      <c r="AH3383" s="25" t="n"/>
      <c r="AI3383" s="394" t="n"/>
      <c r="AM3383" s="48" t="n"/>
      <c r="AN3383" s="48" t="n"/>
      <c r="AO3383" s="48" t="n"/>
    </row>
    <row r="3384">
      <c r="M3384" s="25" t="n"/>
      <c r="Q3384" s="25" t="n"/>
      <c r="U3384" s="194" t="n"/>
      <c r="AA3384" s="25" t="n"/>
      <c r="AB3384" s="25" t="n"/>
      <c r="AC3384" s="195" t="n"/>
      <c r="AD3384" s="25" t="n"/>
      <c r="AE3384" s="25" t="n"/>
      <c r="AG3384" s="25" t="n"/>
      <c r="AH3384" s="25" t="n"/>
      <c r="AI3384" s="394" t="n"/>
      <c r="AM3384" s="48" t="n"/>
      <c r="AN3384" s="48" t="n"/>
      <c r="AO3384" s="48" t="n"/>
    </row>
    <row r="3385">
      <c r="M3385" s="25" t="n"/>
      <c r="Q3385" s="25" t="n"/>
      <c r="U3385" s="194" t="n"/>
      <c r="AA3385" s="25" t="n"/>
      <c r="AB3385" s="25" t="n"/>
      <c r="AC3385" s="195" t="n"/>
      <c r="AD3385" s="25" t="n"/>
      <c r="AE3385" s="25" t="n"/>
      <c r="AG3385" s="25" t="n"/>
      <c r="AH3385" s="25" t="n"/>
      <c r="AI3385" s="394" t="n"/>
      <c r="AM3385" s="48" t="n"/>
      <c r="AN3385" s="48" t="n"/>
      <c r="AO3385" s="48" t="n"/>
    </row>
    <row r="3386">
      <c r="M3386" s="25" t="n"/>
      <c r="Q3386" s="25" t="n"/>
      <c r="U3386" s="194" t="n"/>
      <c r="AA3386" s="25" t="n"/>
      <c r="AB3386" s="25" t="n"/>
      <c r="AC3386" s="195" t="n"/>
      <c r="AD3386" s="25" t="n"/>
      <c r="AE3386" s="25" t="n"/>
      <c r="AG3386" s="25" t="n"/>
      <c r="AH3386" s="25" t="n"/>
      <c r="AI3386" s="394" t="n"/>
      <c r="AM3386" s="48" t="n"/>
      <c r="AN3386" s="48" t="n"/>
      <c r="AO3386" s="48" t="n"/>
    </row>
    <row r="3387">
      <c r="M3387" s="25" t="n"/>
      <c r="Q3387" s="25" t="n"/>
      <c r="U3387" s="194" t="n"/>
      <c r="AA3387" s="25" t="n"/>
      <c r="AB3387" s="25" t="n"/>
      <c r="AC3387" s="195" t="n"/>
      <c r="AD3387" s="25" t="n"/>
      <c r="AE3387" s="25" t="n"/>
      <c r="AG3387" s="25" t="n"/>
      <c r="AH3387" s="25" t="n"/>
      <c r="AI3387" s="394" t="n"/>
      <c r="AM3387" s="48" t="n"/>
      <c r="AN3387" s="48" t="n"/>
      <c r="AO3387" s="48" t="n"/>
    </row>
    <row r="3388">
      <c r="M3388" s="25" t="n"/>
      <c r="Q3388" s="25" t="n"/>
      <c r="U3388" s="194" t="n"/>
      <c r="AA3388" s="25" t="n"/>
      <c r="AB3388" s="25" t="n"/>
      <c r="AC3388" s="195" t="n"/>
      <c r="AD3388" s="25" t="n"/>
      <c r="AE3388" s="25" t="n"/>
      <c r="AG3388" s="25" t="n"/>
      <c r="AH3388" s="25" t="n"/>
      <c r="AI3388" s="394" t="n"/>
      <c r="AM3388" s="48" t="n"/>
      <c r="AN3388" s="48" t="n"/>
      <c r="AO3388" s="48" t="n"/>
    </row>
    <row r="3389">
      <c r="M3389" s="25" t="n"/>
      <c r="Q3389" s="25" t="n"/>
      <c r="U3389" s="194" t="n"/>
      <c r="AA3389" s="25" t="n"/>
      <c r="AB3389" s="25" t="n"/>
      <c r="AC3389" s="195" t="n"/>
      <c r="AD3389" s="25" t="n"/>
      <c r="AE3389" s="25" t="n"/>
      <c r="AG3389" s="25" t="n"/>
      <c r="AH3389" s="25" t="n"/>
      <c r="AI3389" s="394" t="n"/>
      <c r="AM3389" s="48" t="n"/>
      <c r="AN3389" s="48" t="n"/>
      <c r="AO3389" s="48" t="n"/>
    </row>
    <row r="3390">
      <c r="M3390" s="25" t="n"/>
      <c r="Q3390" s="25" t="n"/>
      <c r="U3390" s="194" t="n"/>
      <c r="AA3390" s="25" t="n"/>
      <c r="AB3390" s="25" t="n"/>
      <c r="AC3390" s="195" t="n"/>
      <c r="AD3390" s="25" t="n"/>
      <c r="AE3390" s="25" t="n"/>
      <c r="AG3390" s="25" t="n"/>
      <c r="AH3390" s="25" t="n"/>
      <c r="AI3390" s="394" t="n"/>
      <c r="AM3390" s="48" t="n"/>
      <c r="AN3390" s="48" t="n"/>
      <c r="AO3390" s="48" t="n"/>
    </row>
    <row r="3391">
      <c r="M3391" s="25" t="n"/>
      <c r="Q3391" s="25" t="n"/>
      <c r="U3391" s="194" t="n"/>
      <c r="AA3391" s="25" t="n"/>
      <c r="AB3391" s="25" t="n"/>
      <c r="AC3391" s="195" t="n"/>
      <c r="AD3391" s="25" t="n"/>
      <c r="AE3391" s="25" t="n"/>
      <c r="AG3391" s="25" t="n"/>
      <c r="AH3391" s="25" t="n"/>
      <c r="AI3391" s="394" t="n"/>
      <c r="AM3391" s="48" t="n"/>
      <c r="AN3391" s="48" t="n"/>
      <c r="AO3391" s="48" t="n"/>
    </row>
    <row r="3392">
      <c r="M3392" s="25" t="n"/>
      <c r="Q3392" s="25" t="n"/>
      <c r="U3392" s="194" t="n"/>
      <c r="AA3392" s="25" t="n"/>
      <c r="AB3392" s="25" t="n"/>
      <c r="AC3392" s="195" t="n"/>
      <c r="AD3392" s="25" t="n"/>
      <c r="AE3392" s="25" t="n"/>
      <c r="AG3392" s="25" t="n"/>
      <c r="AH3392" s="25" t="n"/>
      <c r="AI3392" s="394" t="n"/>
      <c r="AM3392" s="48" t="n"/>
      <c r="AN3392" s="48" t="n"/>
      <c r="AO3392" s="48" t="n"/>
    </row>
    <row r="3393">
      <c r="M3393" s="25" t="n"/>
      <c r="Q3393" s="25" t="n"/>
      <c r="U3393" s="194" t="n"/>
      <c r="AA3393" s="25" t="n"/>
      <c r="AB3393" s="25" t="n"/>
      <c r="AC3393" s="195" t="n"/>
      <c r="AD3393" s="25" t="n"/>
      <c r="AE3393" s="25" t="n"/>
      <c r="AG3393" s="25" t="n"/>
      <c r="AH3393" s="25" t="n"/>
      <c r="AI3393" s="394" t="n"/>
      <c r="AM3393" s="48" t="n"/>
      <c r="AN3393" s="48" t="n"/>
      <c r="AO3393" s="48" t="n"/>
    </row>
    <row r="3394">
      <c r="M3394" s="25" t="n"/>
      <c r="Q3394" s="25" t="n"/>
      <c r="U3394" s="194" t="n"/>
      <c r="AA3394" s="25" t="n"/>
      <c r="AB3394" s="25" t="n"/>
      <c r="AC3394" s="195" t="n"/>
      <c r="AD3394" s="25" t="n"/>
      <c r="AE3394" s="25" t="n"/>
      <c r="AG3394" s="25" t="n"/>
      <c r="AH3394" s="25" t="n"/>
      <c r="AI3394" s="394" t="n"/>
      <c r="AM3394" s="48" t="n"/>
      <c r="AN3394" s="48" t="n"/>
      <c r="AO3394" s="48" t="n"/>
    </row>
    <row r="3395">
      <c r="M3395" s="25" t="n"/>
      <c r="Q3395" s="25" t="n"/>
      <c r="U3395" s="194" t="n"/>
      <c r="AA3395" s="25" t="n"/>
      <c r="AB3395" s="25" t="n"/>
      <c r="AC3395" s="195" t="n"/>
      <c r="AD3395" s="25" t="n"/>
      <c r="AE3395" s="25" t="n"/>
      <c r="AG3395" s="25" t="n"/>
      <c r="AH3395" s="25" t="n"/>
      <c r="AI3395" s="394" t="n"/>
      <c r="AM3395" s="48" t="n"/>
      <c r="AN3395" s="48" t="n"/>
      <c r="AO3395" s="48" t="n"/>
    </row>
    <row r="3396">
      <c r="M3396" s="25" t="n"/>
      <c r="Q3396" s="25" t="n"/>
      <c r="U3396" s="194" t="n"/>
      <c r="AA3396" s="25" t="n"/>
      <c r="AB3396" s="25" t="n"/>
      <c r="AC3396" s="195" t="n"/>
      <c r="AD3396" s="25" t="n"/>
      <c r="AE3396" s="25" t="n"/>
      <c r="AG3396" s="25" t="n"/>
      <c r="AH3396" s="25" t="n"/>
      <c r="AI3396" s="394" t="n"/>
      <c r="AM3396" s="48" t="n"/>
      <c r="AN3396" s="48" t="n"/>
      <c r="AO3396" s="48" t="n"/>
    </row>
    <row r="3397">
      <c r="M3397" s="25" t="n"/>
      <c r="Q3397" s="25" t="n"/>
      <c r="U3397" s="194" t="n"/>
      <c r="AA3397" s="25" t="n"/>
      <c r="AB3397" s="25" t="n"/>
      <c r="AC3397" s="195" t="n"/>
      <c r="AD3397" s="25" t="n"/>
      <c r="AE3397" s="25" t="n"/>
      <c r="AG3397" s="25" t="n"/>
      <c r="AH3397" s="25" t="n"/>
      <c r="AI3397" s="394" t="n"/>
      <c r="AM3397" s="48" t="n"/>
      <c r="AN3397" s="48" t="n"/>
      <c r="AO3397" s="48" t="n"/>
    </row>
    <row r="3398">
      <c r="M3398" s="25" t="n"/>
      <c r="Q3398" s="25" t="n"/>
      <c r="U3398" s="194" t="n"/>
      <c r="AA3398" s="25" t="n"/>
      <c r="AB3398" s="25" t="n"/>
      <c r="AC3398" s="195" t="n"/>
      <c r="AD3398" s="25" t="n"/>
      <c r="AE3398" s="25" t="n"/>
      <c r="AG3398" s="25" t="n"/>
      <c r="AH3398" s="25" t="n"/>
      <c r="AI3398" s="394" t="n"/>
      <c r="AM3398" s="48" t="n"/>
      <c r="AN3398" s="48" t="n"/>
      <c r="AO3398" s="48" t="n"/>
    </row>
    <row r="3399">
      <c r="M3399" s="25" t="n"/>
      <c r="Q3399" s="25" t="n"/>
      <c r="U3399" s="194" t="n"/>
      <c r="AA3399" s="25" t="n"/>
      <c r="AB3399" s="25" t="n"/>
      <c r="AC3399" s="195" t="n"/>
      <c r="AD3399" s="25" t="n"/>
      <c r="AE3399" s="25" t="n"/>
      <c r="AG3399" s="25" t="n"/>
      <c r="AH3399" s="25" t="n"/>
      <c r="AI3399" s="394" t="n"/>
      <c r="AM3399" s="48" t="n"/>
      <c r="AN3399" s="48" t="n"/>
      <c r="AO3399" s="48" t="n"/>
    </row>
    <row r="3400">
      <c r="M3400" s="25" t="n"/>
      <c r="Q3400" s="25" t="n"/>
      <c r="U3400" s="194" t="n"/>
      <c r="AA3400" s="25" t="n"/>
      <c r="AB3400" s="25" t="n"/>
      <c r="AC3400" s="195" t="n"/>
      <c r="AD3400" s="25" t="n"/>
      <c r="AE3400" s="25" t="n"/>
      <c r="AG3400" s="25" t="n"/>
      <c r="AH3400" s="25" t="n"/>
      <c r="AI3400" s="394" t="n"/>
      <c r="AM3400" s="48" t="n"/>
      <c r="AN3400" s="48" t="n"/>
      <c r="AO3400" s="48" t="n"/>
    </row>
    <row r="3401">
      <c r="M3401" s="25" t="n"/>
      <c r="Q3401" s="25" t="n"/>
      <c r="U3401" s="194" t="n"/>
      <c r="AA3401" s="25" t="n"/>
      <c r="AB3401" s="25" t="n"/>
      <c r="AC3401" s="195" t="n"/>
      <c r="AD3401" s="25" t="n"/>
      <c r="AE3401" s="25" t="n"/>
      <c r="AG3401" s="25" t="n"/>
      <c r="AH3401" s="25" t="n"/>
      <c r="AI3401" s="394" t="n"/>
      <c r="AM3401" s="48" t="n"/>
      <c r="AN3401" s="48" t="n"/>
      <c r="AO3401" s="48" t="n"/>
    </row>
    <row r="3402">
      <c r="M3402" s="25" t="n"/>
      <c r="Q3402" s="25" t="n"/>
      <c r="U3402" s="194" t="n"/>
      <c r="AA3402" s="25" t="n"/>
      <c r="AB3402" s="25" t="n"/>
      <c r="AC3402" s="195" t="n"/>
      <c r="AD3402" s="25" t="n"/>
      <c r="AE3402" s="25" t="n"/>
      <c r="AG3402" s="25" t="n"/>
      <c r="AH3402" s="25" t="n"/>
      <c r="AI3402" s="394" t="n"/>
      <c r="AM3402" s="48" t="n"/>
      <c r="AN3402" s="48" t="n"/>
      <c r="AO3402" s="48" t="n"/>
    </row>
    <row r="3403">
      <c r="M3403" s="25" t="n"/>
      <c r="Q3403" s="25" t="n"/>
      <c r="U3403" s="194" t="n"/>
      <c r="AA3403" s="25" t="n"/>
      <c r="AB3403" s="25" t="n"/>
      <c r="AC3403" s="195" t="n"/>
      <c r="AD3403" s="25" t="n"/>
      <c r="AE3403" s="25" t="n"/>
      <c r="AG3403" s="25" t="n"/>
      <c r="AH3403" s="25" t="n"/>
      <c r="AI3403" s="394" t="n"/>
      <c r="AM3403" s="48" t="n"/>
      <c r="AN3403" s="48" t="n"/>
      <c r="AO3403" s="48" t="n"/>
    </row>
    <row r="3404">
      <c r="M3404" s="25" t="n"/>
      <c r="Q3404" s="25" t="n"/>
      <c r="U3404" s="194" t="n"/>
      <c r="AA3404" s="25" t="n"/>
      <c r="AB3404" s="25" t="n"/>
      <c r="AC3404" s="195" t="n"/>
      <c r="AD3404" s="25" t="n"/>
      <c r="AE3404" s="25" t="n"/>
      <c r="AG3404" s="25" t="n"/>
      <c r="AH3404" s="25" t="n"/>
      <c r="AI3404" s="394" t="n"/>
      <c r="AM3404" s="48" t="n"/>
      <c r="AN3404" s="48" t="n"/>
      <c r="AO3404" s="48" t="n"/>
    </row>
    <row r="3405">
      <c r="M3405" s="25" t="n"/>
      <c r="Q3405" s="25" t="n"/>
      <c r="U3405" s="194" t="n"/>
      <c r="AA3405" s="25" t="n"/>
      <c r="AB3405" s="25" t="n"/>
      <c r="AC3405" s="195" t="n"/>
      <c r="AD3405" s="25" t="n"/>
      <c r="AE3405" s="25" t="n"/>
      <c r="AG3405" s="25" t="n"/>
      <c r="AH3405" s="25" t="n"/>
      <c r="AI3405" s="394" t="n"/>
      <c r="AM3405" s="48" t="n"/>
      <c r="AN3405" s="48" t="n"/>
      <c r="AO3405" s="48" t="n"/>
    </row>
    <row r="3406">
      <c r="M3406" s="25" t="n"/>
      <c r="Q3406" s="25" t="n"/>
      <c r="U3406" s="194" t="n"/>
      <c r="AA3406" s="25" t="n"/>
      <c r="AB3406" s="25" t="n"/>
      <c r="AC3406" s="195" t="n"/>
      <c r="AD3406" s="25" t="n"/>
      <c r="AE3406" s="25" t="n"/>
      <c r="AG3406" s="25" t="n"/>
      <c r="AH3406" s="25" t="n"/>
      <c r="AI3406" s="394" t="n"/>
      <c r="AM3406" s="48" t="n"/>
      <c r="AN3406" s="48" t="n"/>
      <c r="AO3406" s="48" t="n"/>
    </row>
    <row r="3407">
      <c r="M3407" s="25" t="n"/>
      <c r="Q3407" s="25" t="n"/>
      <c r="U3407" s="194" t="n"/>
      <c r="AA3407" s="25" t="n"/>
      <c r="AB3407" s="25" t="n"/>
      <c r="AC3407" s="195" t="n"/>
      <c r="AD3407" s="25" t="n"/>
      <c r="AE3407" s="25" t="n"/>
      <c r="AG3407" s="25" t="n"/>
      <c r="AH3407" s="25" t="n"/>
      <c r="AI3407" s="394" t="n"/>
      <c r="AM3407" s="48" t="n"/>
      <c r="AN3407" s="48" t="n"/>
      <c r="AO3407" s="48" t="n"/>
    </row>
    <row r="3408">
      <c r="M3408" s="25" t="n"/>
      <c r="Q3408" s="25" t="n"/>
      <c r="U3408" s="194" t="n"/>
      <c r="AA3408" s="25" t="n"/>
      <c r="AB3408" s="25" t="n"/>
      <c r="AC3408" s="195" t="n"/>
      <c r="AD3408" s="25" t="n"/>
      <c r="AE3408" s="25" t="n"/>
      <c r="AG3408" s="25" t="n"/>
      <c r="AH3408" s="25" t="n"/>
      <c r="AI3408" s="394" t="n"/>
      <c r="AM3408" s="48" t="n"/>
      <c r="AN3408" s="48" t="n"/>
      <c r="AO3408" s="48" t="n"/>
    </row>
    <row r="3409">
      <c r="M3409" s="25" t="n"/>
      <c r="Q3409" s="25" t="n"/>
      <c r="U3409" s="194" t="n"/>
      <c r="AA3409" s="25" t="n"/>
      <c r="AB3409" s="25" t="n"/>
      <c r="AC3409" s="195" t="n"/>
      <c r="AD3409" s="25" t="n"/>
      <c r="AE3409" s="25" t="n"/>
      <c r="AG3409" s="25" t="n"/>
      <c r="AH3409" s="25" t="n"/>
      <c r="AI3409" s="394" t="n"/>
      <c r="AM3409" s="48" t="n"/>
      <c r="AN3409" s="48" t="n"/>
      <c r="AO3409" s="48" t="n"/>
    </row>
    <row r="3410">
      <c r="M3410" s="25" t="n"/>
      <c r="Q3410" s="25" t="n"/>
      <c r="U3410" s="194" t="n"/>
      <c r="AA3410" s="25" t="n"/>
      <c r="AB3410" s="25" t="n"/>
      <c r="AC3410" s="195" t="n"/>
      <c r="AD3410" s="25" t="n"/>
      <c r="AE3410" s="25" t="n"/>
      <c r="AG3410" s="25" t="n"/>
      <c r="AH3410" s="25" t="n"/>
      <c r="AI3410" s="394" t="n"/>
      <c r="AM3410" s="48" t="n"/>
      <c r="AN3410" s="48" t="n"/>
      <c r="AO3410" s="48" t="n"/>
    </row>
    <row r="3411">
      <c r="M3411" s="25" t="n"/>
      <c r="Q3411" s="25" t="n"/>
      <c r="U3411" s="194" t="n"/>
      <c r="AA3411" s="25" t="n"/>
      <c r="AB3411" s="25" t="n"/>
      <c r="AC3411" s="195" t="n"/>
      <c r="AD3411" s="25" t="n"/>
      <c r="AE3411" s="25" t="n"/>
      <c r="AG3411" s="25" t="n"/>
      <c r="AH3411" s="25" t="n"/>
      <c r="AI3411" s="394" t="n"/>
      <c r="AM3411" s="48" t="n"/>
      <c r="AN3411" s="48" t="n"/>
      <c r="AO3411" s="48" t="n"/>
    </row>
    <row r="3412">
      <c r="M3412" s="25" t="n"/>
      <c r="Q3412" s="25" t="n"/>
      <c r="U3412" s="194" t="n"/>
      <c r="AA3412" s="25" t="n"/>
      <c r="AB3412" s="25" t="n"/>
      <c r="AC3412" s="195" t="n"/>
      <c r="AD3412" s="25" t="n"/>
      <c r="AE3412" s="25" t="n"/>
      <c r="AG3412" s="25" t="n"/>
      <c r="AH3412" s="25" t="n"/>
      <c r="AI3412" s="394" t="n"/>
      <c r="AM3412" s="48" t="n"/>
      <c r="AN3412" s="48" t="n"/>
      <c r="AO3412" s="48" t="n"/>
    </row>
    <row r="3413">
      <c r="M3413" s="25" t="n"/>
      <c r="Q3413" s="25" t="n"/>
      <c r="U3413" s="194" t="n"/>
      <c r="AA3413" s="25" t="n"/>
      <c r="AB3413" s="25" t="n"/>
      <c r="AC3413" s="195" t="n"/>
      <c r="AD3413" s="25" t="n"/>
      <c r="AE3413" s="25" t="n"/>
      <c r="AG3413" s="25" t="n"/>
      <c r="AH3413" s="25" t="n"/>
      <c r="AI3413" s="394" t="n"/>
      <c r="AM3413" s="48" t="n"/>
      <c r="AN3413" s="48" t="n"/>
      <c r="AO3413" s="48" t="n"/>
    </row>
    <row r="3414">
      <c r="M3414" s="25" t="n"/>
      <c r="Q3414" s="25" t="n"/>
      <c r="U3414" s="194" t="n"/>
      <c r="AA3414" s="25" t="n"/>
      <c r="AB3414" s="25" t="n"/>
      <c r="AC3414" s="195" t="n"/>
      <c r="AD3414" s="25" t="n"/>
      <c r="AE3414" s="25" t="n"/>
      <c r="AG3414" s="25" t="n"/>
      <c r="AH3414" s="25" t="n"/>
      <c r="AI3414" s="394" t="n"/>
      <c r="AM3414" s="48" t="n"/>
      <c r="AN3414" s="48" t="n"/>
      <c r="AO3414" s="48" t="n"/>
    </row>
    <row r="3415">
      <c r="M3415" s="25" t="n"/>
      <c r="Q3415" s="25" t="n"/>
      <c r="U3415" s="194" t="n"/>
      <c r="AA3415" s="25" t="n"/>
      <c r="AB3415" s="25" t="n"/>
      <c r="AC3415" s="195" t="n"/>
      <c r="AD3415" s="25" t="n"/>
      <c r="AE3415" s="25" t="n"/>
      <c r="AG3415" s="25" t="n"/>
      <c r="AH3415" s="25" t="n"/>
      <c r="AI3415" s="394" t="n"/>
      <c r="AM3415" s="48" t="n"/>
      <c r="AN3415" s="48" t="n"/>
      <c r="AO3415" s="48" t="n"/>
    </row>
    <row r="3416">
      <c r="M3416" s="25" t="n"/>
      <c r="Q3416" s="25" t="n"/>
      <c r="U3416" s="194" t="n"/>
      <c r="AA3416" s="25" t="n"/>
      <c r="AB3416" s="25" t="n"/>
      <c r="AC3416" s="195" t="n"/>
      <c r="AD3416" s="25" t="n"/>
      <c r="AE3416" s="25" t="n"/>
      <c r="AG3416" s="25" t="n"/>
      <c r="AH3416" s="25" t="n"/>
      <c r="AI3416" s="394" t="n"/>
      <c r="AM3416" s="48" t="n"/>
      <c r="AN3416" s="48" t="n"/>
      <c r="AO3416" s="48" t="n"/>
    </row>
    <row r="3417">
      <c r="M3417" s="25" t="n"/>
      <c r="Q3417" s="25" t="n"/>
      <c r="U3417" s="194" t="n"/>
      <c r="AA3417" s="25" t="n"/>
      <c r="AB3417" s="25" t="n"/>
      <c r="AC3417" s="195" t="n"/>
      <c r="AD3417" s="25" t="n"/>
      <c r="AE3417" s="25" t="n"/>
      <c r="AG3417" s="25" t="n"/>
      <c r="AH3417" s="25" t="n"/>
      <c r="AI3417" s="394" t="n"/>
      <c r="AM3417" s="48" t="n"/>
      <c r="AN3417" s="48" t="n"/>
      <c r="AO3417" s="48" t="n"/>
    </row>
    <row r="3418">
      <c r="M3418" s="25" t="n"/>
      <c r="Q3418" s="25" t="n"/>
      <c r="U3418" s="194" t="n"/>
      <c r="AA3418" s="25" t="n"/>
      <c r="AB3418" s="25" t="n"/>
      <c r="AC3418" s="195" t="n"/>
      <c r="AD3418" s="25" t="n"/>
      <c r="AE3418" s="25" t="n"/>
      <c r="AG3418" s="25" t="n"/>
      <c r="AH3418" s="25" t="n"/>
      <c r="AI3418" s="394" t="n"/>
      <c r="AM3418" s="48" t="n"/>
      <c r="AN3418" s="48" t="n"/>
      <c r="AO3418" s="48" t="n"/>
    </row>
    <row r="3419">
      <c r="M3419" s="25" t="n"/>
      <c r="Q3419" s="25" t="n"/>
      <c r="U3419" s="194" t="n"/>
      <c r="AA3419" s="25" t="n"/>
      <c r="AB3419" s="25" t="n"/>
      <c r="AC3419" s="195" t="n"/>
      <c r="AD3419" s="25" t="n"/>
      <c r="AE3419" s="25" t="n"/>
      <c r="AG3419" s="25" t="n"/>
      <c r="AH3419" s="25" t="n"/>
      <c r="AI3419" s="394" t="n"/>
      <c r="AM3419" s="48" t="n"/>
      <c r="AN3419" s="48" t="n"/>
      <c r="AO3419" s="48" t="n"/>
    </row>
    <row r="3420">
      <c r="M3420" s="25" t="n"/>
      <c r="Q3420" s="25" t="n"/>
      <c r="U3420" s="194" t="n"/>
      <c r="AA3420" s="25" t="n"/>
      <c r="AB3420" s="25" t="n"/>
      <c r="AC3420" s="195" t="n"/>
      <c r="AD3420" s="25" t="n"/>
      <c r="AE3420" s="25" t="n"/>
      <c r="AG3420" s="25" t="n"/>
      <c r="AH3420" s="25" t="n"/>
      <c r="AI3420" s="394" t="n"/>
      <c r="AM3420" s="48" t="n"/>
      <c r="AN3420" s="48" t="n"/>
      <c r="AO3420" s="48" t="n"/>
    </row>
    <row r="3421">
      <c r="M3421" s="25" t="n"/>
      <c r="Q3421" s="25" t="n"/>
      <c r="U3421" s="194" t="n"/>
      <c r="AA3421" s="25" t="n"/>
      <c r="AB3421" s="25" t="n"/>
      <c r="AC3421" s="195" t="n"/>
      <c r="AD3421" s="25" t="n"/>
      <c r="AE3421" s="25" t="n"/>
      <c r="AG3421" s="25" t="n"/>
      <c r="AH3421" s="25" t="n"/>
      <c r="AI3421" s="394" t="n"/>
      <c r="AM3421" s="48" t="n"/>
      <c r="AN3421" s="48" t="n"/>
      <c r="AO3421" s="48" t="n"/>
    </row>
    <row r="3422">
      <c r="M3422" s="25" t="n"/>
      <c r="Q3422" s="25" t="n"/>
      <c r="U3422" s="194" t="n"/>
      <c r="AA3422" s="25" t="n"/>
      <c r="AB3422" s="25" t="n"/>
      <c r="AC3422" s="195" t="n"/>
      <c r="AD3422" s="25" t="n"/>
      <c r="AE3422" s="25" t="n"/>
      <c r="AG3422" s="25" t="n"/>
      <c r="AH3422" s="25" t="n"/>
      <c r="AI3422" s="394" t="n"/>
      <c r="AM3422" s="48" t="n"/>
      <c r="AN3422" s="48" t="n"/>
      <c r="AO3422" s="48" t="n"/>
    </row>
    <row r="3423">
      <c r="M3423" s="25" t="n"/>
      <c r="Q3423" s="25" t="n"/>
      <c r="U3423" s="194" t="n"/>
      <c r="AA3423" s="25" t="n"/>
      <c r="AB3423" s="25" t="n"/>
      <c r="AC3423" s="195" t="n"/>
      <c r="AD3423" s="25" t="n"/>
      <c r="AE3423" s="25" t="n"/>
      <c r="AG3423" s="25" t="n"/>
      <c r="AH3423" s="25" t="n"/>
      <c r="AI3423" s="394" t="n"/>
      <c r="AM3423" s="48" t="n"/>
      <c r="AN3423" s="48" t="n"/>
      <c r="AO3423" s="48" t="n"/>
    </row>
    <row r="3424">
      <c r="M3424" s="25" t="n"/>
      <c r="Q3424" s="25" t="n"/>
      <c r="U3424" s="194" t="n"/>
      <c r="AA3424" s="25" t="n"/>
      <c r="AB3424" s="25" t="n"/>
      <c r="AC3424" s="195" t="n"/>
      <c r="AD3424" s="25" t="n"/>
      <c r="AE3424" s="25" t="n"/>
      <c r="AG3424" s="25" t="n"/>
      <c r="AH3424" s="25" t="n"/>
      <c r="AI3424" s="394" t="n"/>
      <c r="AM3424" s="48" t="n"/>
      <c r="AN3424" s="48" t="n"/>
      <c r="AO3424" s="48" t="n"/>
    </row>
    <row r="3425">
      <c r="M3425" s="25" t="n"/>
      <c r="Q3425" s="25" t="n"/>
      <c r="U3425" s="194" t="n"/>
      <c r="AA3425" s="25" t="n"/>
      <c r="AB3425" s="25" t="n"/>
      <c r="AC3425" s="195" t="n"/>
      <c r="AD3425" s="25" t="n"/>
      <c r="AE3425" s="25" t="n"/>
      <c r="AG3425" s="25" t="n"/>
      <c r="AH3425" s="25" t="n"/>
      <c r="AI3425" s="394" t="n"/>
      <c r="AM3425" s="48" t="n"/>
      <c r="AN3425" s="48" t="n"/>
      <c r="AO3425" s="48" t="n"/>
    </row>
    <row r="3426">
      <c r="M3426" s="25" t="n"/>
      <c r="Q3426" s="25" t="n"/>
      <c r="U3426" s="194" t="n"/>
      <c r="AA3426" s="25" t="n"/>
      <c r="AB3426" s="25" t="n"/>
      <c r="AC3426" s="195" t="n"/>
      <c r="AD3426" s="25" t="n"/>
      <c r="AE3426" s="25" t="n"/>
      <c r="AG3426" s="25" t="n"/>
      <c r="AH3426" s="25" t="n"/>
      <c r="AI3426" s="394" t="n"/>
      <c r="AM3426" s="48" t="n"/>
      <c r="AN3426" s="48" t="n"/>
      <c r="AO3426" s="48" t="n"/>
    </row>
    <row r="3427">
      <c r="M3427" s="25" t="n"/>
      <c r="Q3427" s="25" t="n"/>
      <c r="U3427" s="194" t="n"/>
      <c r="AA3427" s="25" t="n"/>
      <c r="AB3427" s="25" t="n"/>
      <c r="AC3427" s="195" t="n"/>
      <c r="AD3427" s="25" t="n"/>
      <c r="AE3427" s="25" t="n"/>
      <c r="AG3427" s="25" t="n"/>
      <c r="AH3427" s="25" t="n"/>
      <c r="AI3427" s="394" t="n"/>
      <c r="AM3427" s="48" t="n"/>
      <c r="AN3427" s="48" t="n"/>
      <c r="AO3427" s="48" t="n"/>
    </row>
    <row r="3428">
      <c r="M3428" s="25" t="n"/>
      <c r="Q3428" s="25" t="n"/>
      <c r="U3428" s="194" t="n"/>
      <c r="AA3428" s="25" t="n"/>
      <c r="AB3428" s="25" t="n"/>
      <c r="AC3428" s="195" t="n"/>
      <c r="AD3428" s="25" t="n"/>
      <c r="AE3428" s="25" t="n"/>
      <c r="AG3428" s="25" t="n"/>
      <c r="AH3428" s="25" t="n"/>
      <c r="AI3428" s="394" t="n"/>
      <c r="AM3428" s="48" t="n"/>
      <c r="AN3428" s="48" t="n"/>
      <c r="AO3428" s="48" t="n"/>
    </row>
    <row r="3429">
      <c r="M3429" s="25" t="n"/>
      <c r="Q3429" s="25" t="n"/>
      <c r="U3429" s="194" t="n"/>
      <c r="AA3429" s="25" t="n"/>
      <c r="AB3429" s="25" t="n"/>
      <c r="AC3429" s="195" t="n"/>
      <c r="AD3429" s="25" t="n"/>
      <c r="AE3429" s="25" t="n"/>
      <c r="AG3429" s="25" t="n"/>
      <c r="AH3429" s="25" t="n"/>
      <c r="AI3429" s="394" t="n"/>
      <c r="AM3429" s="48" t="n"/>
      <c r="AN3429" s="48" t="n"/>
      <c r="AO3429" s="48" t="n"/>
    </row>
    <row r="3430">
      <c r="M3430" s="25" t="n"/>
      <c r="Q3430" s="25" t="n"/>
      <c r="U3430" s="194" t="n"/>
      <c r="AA3430" s="25" t="n"/>
      <c r="AB3430" s="25" t="n"/>
      <c r="AC3430" s="195" t="n"/>
      <c r="AD3430" s="25" t="n"/>
      <c r="AE3430" s="25" t="n"/>
      <c r="AG3430" s="25" t="n"/>
      <c r="AH3430" s="25" t="n"/>
      <c r="AI3430" s="394" t="n"/>
      <c r="AM3430" s="48" t="n"/>
      <c r="AN3430" s="48" t="n"/>
      <c r="AO3430" s="48" t="n"/>
    </row>
    <row r="3431">
      <c r="M3431" s="25" t="n"/>
      <c r="Q3431" s="25" t="n"/>
      <c r="U3431" s="194" t="n"/>
      <c r="AA3431" s="25" t="n"/>
      <c r="AB3431" s="25" t="n"/>
      <c r="AC3431" s="195" t="n"/>
      <c r="AD3431" s="25" t="n"/>
      <c r="AE3431" s="25" t="n"/>
      <c r="AG3431" s="25" t="n"/>
      <c r="AH3431" s="25" t="n"/>
      <c r="AI3431" s="394" t="n"/>
      <c r="AM3431" s="48" t="n"/>
      <c r="AN3431" s="48" t="n"/>
      <c r="AO3431" s="48" t="n"/>
    </row>
    <row r="3432">
      <c r="M3432" s="25" t="n"/>
      <c r="Q3432" s="25" t="n"/>
      <c r="U3432" s="194" t="n"/>
      <c r="AA3432" s="25" t="n"/>
      <c r="AB3432" s="25" t="n"/>
      <c r="AC3432" s="195" t="n"/>
      <c r="AD3432" s="25" t="n"/>
      <c r="AE3432" s="25" t="n"/>
      <c r="AG3432" s="25" t="n"/>
      <c r="AH3432" s="25" t="n"/>
      <c r="AI3432" s="394" t="n"/>
      <c r="AM3432" s="48" t="n"/>
      <c r="AN3432" s="48" t="n"/>
      <c r="AO3432" s="48" t="n"/>
    </row>
    <row r="3433">
      <c r="M3433" s="25" t="n"/>
      <c r="Q3433" s="25" t="n"/>
      <c r="U3433" s="194" t="n"/>
      <c r="AA3433" s="25" t="n"/>
      <c r="AB3433" s="25" t="n"/>
      <c r="AC3433" s="195" t="n"/>
      <c r="AD3433" s="25" t="n"/>
      <c r="AE3433" s="25" t="n"/>
      <c r="AG3433" s="25" t="n"/>
      <c r="AH3433" s="25" t="n"/>
      <c r="AI3433" s="394" t="n"/>
      <c r="AM3433" s="48" t="n"/>
      <c r="AN3433" s="48" t="n"/>
      <c r="AO3433" s="48" t="n"/>
    </row>
    <row r="3434">
      <c r="M3434" s="25" t="n"/>
      <c r="Q3434" s="25" t="n"/>
      <c r="U3434" s="194" t="n"/>
      <c r="AA3434" s="25" t="n"/>
      <c r="AB3434" s="25" t="n"/>
      <c r="AC3434" s="195" t="n"/>
      <c r="AD3434" s="25" t="n"/>
      <c r="AE3434" s="25" t="n"/>
      <c r="AG3434" s="25" t="n"/>
      <c r="AH3434" s="25" t="n"/>
      <c r="AI3434" s="394" t="n"/>
      <c r="AM3434" s="48" t="n"/>
      <c r="AN3434" s="48" t="n"/>
      <c r="AO3434" s="48" t="n"/>
    </row>
    <row r="3435">
      <c r="M3435" s="25" t="n"/>
      <c r="Q3435" s="25" t="n"/>
      <c r="U3435" s="194" t="n"/>
      <c r="AA3435" s="25" t="n"/>
      <c r="AB3435" s="25" t="n"/>
      <c r="AC3435" s="195" t="n"/>
      <c r="AD3435" s="25" t="n"/>
      <c r="AE3435" s="25" t="n"/>
      <c r="AG3435" s="25" t="n"/>
      <c r="AH3435" s="25" t="n"/>
      <c r="AI3435" s="394" t="n"/>
      <c r="AM3435" s="48" t="n"/>
      <c r="AN3435" s="48" t="n"/>
      <c r="AO3435" s="48" t="n"/>
    </row>
    <row r="3436">
      <c r="M3436" s="25" t="n"/>
      <c r="Q3436" s="25" t="n"/>
      <c r="U3436" s="194" t="n"/>
      <c r="AA3436" s="25" t="n"/>
      <c r="AB3436" s="25" t="n"/>
      <c r="AC3436" s="195" t="n"/>
      <c r="AD3436" s="25" t="n"/>
      <c r="AE3436" s="25" t="n"/>
      <c r="AG3436" s="25" t="n"/>
      <c r="AH3436" s="25" t="n"/>
      <c r="AI3436" s="394" t="n"/>
      <c r="AM3436" s="48" t="n"/>
      <c r="AN3436" s="48" t="n"/>
      <c r="AO3436" s="48" t="n"/>
    </row>
    <row r="3437">
      <c r="M3437" s="25" t="n"/>
      <c r="Q3437" s="25" t="n"/>
      <c r="U3437" s="194" t="n"/>
      <c r="AA3437" s="25" t="n"/>
      <c r="AB3437" s="25" t="n"/>
      <c r="AC3437" s="195" t="n"/>
      <c r="AD3437" s="25" t="n"/>
      <c r="AE3437" s="25" t="n"/>
      <c r="AG3437" s="25" t="n"/>
      <c r="AH3437" s="25" t="n"/>
      <c r="AI3437" s="394" t="n"/>
      <c r="AM3437" s="48" t="n"/>
      <c r="AN3437" s="48" t="n"/>
      <c r="AO3437" s="48" t="n"/>
    </row>
    <row r="3438">
      <c r="M3438" s="25" t="n"/>
      <c r="Q3438" s="25" t="n"/>
      <c r="U3438" s="194" t="n"/>
      <c r="AA3438" s="25" t="n"/>
      <c r="AB3438" s="25" t="n"/>
      <c r="AC3438" s="195" t="n"/>
      <c r="AD3438" s="25" t="n"/>
      <c r="AE3438" s="25" t="n"/>
      <c r="AG3438" s="25" t="n"/>
      <c r="AH3438" s="25" t="n"/>
      <c r="AI3438" s="394" t="n"/>
      <c r="AM3438" s="48" t="n"/>
      <c r="AN3438" s="48" t="n"/>
      <c r="AO3438" s="48" t="n"/>
    </row>
    <row r="3439">
      <c r="M3439" s="25" t="n"/>
      <c r="Q3439" s="25" t="n"/>
      <c r="U3439" s="194" t="n"/>
      <c r="AA3439" s="25" t="n"/>
      <c r="AB3439" s="25" t="n"/>
      <c r="AC3439" s="195" t="n"/>
      <c r="AD3439" s="25" t="n"/>
      <c r="AE3439" s="25" t="n"/>
      <c r="AG3439" s="25" t="n"/>
      <c r="AH3439" s="25" t="n"/>
      <c r="AI3439" s="394" t="n"/>
      <c r="AM3439" s="48" t="n"/>
      <c r="AN3439" s="48" t="n"/>
      <c r="AO3439" s="48" t="n"/>
    </row>
    <row r="3440">
      <c r="M3440" s="25" t="n"/>
      <c r="Q3440" s="25" t="n"/>
      <c r="U3440" s="194" t="n"/>
      <c r="AA3440" s="25" t="n"/>
      <c r="AB3440" s="25" t="n"/>
      <c r="AC3440" s="195" t="n"/>
      <c r="AD3440" s="25" t="n"/>
      <c r="AE3440" s="25" t="n"/>
      <c r="AG3440" s="25" t="n"/>
      <c r="AH3440" s="25" t="n"/>
      <c r="AI3440" s="394" t="n"/>
      <c r="AM3440" s="48" t="n"/>
      <c r="AN3440" s="48" t="n"/>
      <c r="AO3440" s="48" t="n"/>
    </row>
    <row r="3441">
      <c r="M3441" s="25" t="n"/>
      <c r="Q3441" s="25" t="n"/>
      <c r="U3441" s="194" t="n"/>
      <c r="AA3441" s="25" t="n"/>
      <c r="AB3441" s="25" t="n"/>
      <c r="AC3441" s="195" t="n"/>
      <c r="AD3441" s="25" t="n"/>
      <c r="AE3441" s="25" t="n"/>
      <c r="AG3441" s="25" t="n"/>
      <c r="AH3441" s="25" t="n"/>
      <c r="AI3441" s="394" t="n"/>
      <c r="AM3441" s="48" t="n"/>
      <c r="AN3441" s="48" t="n"/>
      <c r="AO3441" s="48" t="n"/>
    </row>
    <row r="3442">
      <c r="M3442" s="25" t="n"/>
      <c r="Q3442" s="25" t="n"/>
      <c r="U3442" s="194" t="n"/>
      <c r="AA3442" s="25" t="n"/>
      <c r="AB3442" s="25" t="n"/>
      <c r="AC3442" s="195" t="n"/>
      <c r="AD3442" s="25" t="n"/>
      <c r="AE3442" s="25" t="n"/>
      <c r="AG3442" s="25" t="n"/>
      <c r="AH3442" s="25" t="n"/>
      <c r="AI3442" s="394" t="n"/>
      <c r="AM3442" s="48" t="n"/>
      <c r="AN3442" s="48" t="n"/>
      <c r="AO3442" s="48" t="n"/>
    </row>
    <row r="3443">
      <c r="M3443" s="25" t="n"/>
      <c r="Q3443" s="25" t="n"/>
      <c r="U3443" s="194" t="n"/>
      <c r="AA3443" s="25" t="n"/>
      <c r="AB3443" s="25" t="n"/>
      <c r="AC3443" s="195" t="n"/>
      <c r="AD3443" s="25" t="n"/>
      <c r="AE3443" s="25" t="n"/>
      <c r="AG3443" s="25" t="n"/>
      <c r="AH3443" s="25" t="n"/>
      <c r="AI3443" s="394" t="n"/>
      <c r="AM3443" s="48" t="n"/>
      <c r="AN3443" s="48" t="n"/>
      <c r="AO3443" s="48" t="n"/>
    </row>
    <row r="3444">
      <c r="M3444" s="25" t="n"/>
      <c r="Q3444" s="25" t="n"/>
      <c r="U3444" s="194" t="n"/>
      <c r="AA3444" s="25" t="n"/>
      <c r="AB3444" s="25" t="n"/>
      <c r="AC3444" s="195" t="n"/>
      <c r="AD3444" s="25" t="n"/>
      <c r="AE3444" s="25" t="n"/>
      <c r="AG3444" s="25" t="n"/>
      <c r="AH3444" s="25" t="n"/>
      <c r="AI3444" s="394" t="n"/>
      <c r="AM3444" s="48" t="n"/>
      <c r="AN3444" s="48" t="n"/>
      <c r="AO3444" s="48" t="n"/>
    </row>
    <row r="3445">
      <c r="M3445" s="25" t="n"/>
      <c r="Q3445" s="25" t="n"/>
      <c r="U3445" s="194" t="n"/>
      <c r="AA3445" s="25" t="n"/>
      <c r="AB3445" s="25" t="n"/>
      <c r="AC3445" s="195" t="n"/>
      <c r="AD3445" s="25" t="n"/>
      <c r="AE3445" s="25" t="n"/>
      <c r="AG3445" s="25" t="n"/>
      <c r="AH3445" s="25" t="n"/>
      <c r="AI3445" s="394" t="n"/>
      <c r="AM3445" s="48" t="n"/>
      <c r="AN3445" s="48" t="n"/>
      <c r="AO3445" s="48" t="n"/>
    </row>
    <row r="3446">
      <c r="M3446" s="25" t="n"/>
      <c r="Q3446" s="25" t="n"/>
      <c r="U3446" s="194" t="n"/>
      <c r="AA3446" s="25" t="n"/>
      <c r="AB3446" s="25" t="n"/>
      <c r="AC3446" s="195" t="n"/>
      <c r="AD3446" s="25" t="n"/>
      <c r="AE3446" s="25" t="n"/>
      <c r="AG3446" s="25" t="n"/>
      <c r="AH3446" s="25" t="n"/>
      <c r="AI3446" s="394" t="n"/>
      <c r="AM3446" s="48" t="n"/>
      <c r="AN3446" s="48" t="n"/>
      <c r="AO3446" s="48" t="n"/>
    </row>
    <row r="3447">
      <c r="M3447" s="25" t="n"/>
      <c r="Q3447" s="25" t="n"/>
      <c r="U3447" s="194" t="n"/>
      <c r="AA3447" s="25" t="n"/>
      <c r="AB3447" s="25" t="n"/>
      <c r="AC3447" s="195" t="n"/>
      <c r="AD3447" s="25" t="n"/>
      <c r="AE3447" s="25" t="n"/>
      <c r="AG3447" s="25" t="n"/>
      <c r="AH3447" s="25" t="n"/>
      <c r="AI3447" s="394" t="n"/>
      <c r="AM3447" s="48" t="n"/>
      <c r="AN3447" s="48" t="n"/>
      <c r="AO3447" s="48" t="n"/>
    </row>
    <row r="3448">
      <c r="M3448" s="25" t="n"/>
      <c r="Q3448" s="25" t="n"/>
      <c r="U3448" s="194" t="n"/>
      <c r="AA3448" s="25" t="n"/>
      <c r="AB3448" s="25" t="n"/>
      <c r="AC3448" s="195" t="n"/>
      <c r="AD3448" s="25" t="n"/>
      <c r="AE3448" s="25" t="n"/>
      <c r="AG3448" s="25" t="n"/>
      <c r="AH3448" s="25" t="n"/>
      <c r="AI3448" s="394" t="n"/>
      <c r="AM3448" s="48" t="n"/>
      <c r="AN3448" s="48" t="n"/>
      <c r="AO3448" s="48" t="n"/>
    </row>
    <row r="3449">
      <c r="M3449" s="25" t="n"/>
      <c r="Q3449" s="25" t="n"/>
      <c r="U3449" s="194" t="n"/>
      <c r="AA3449" s="25" t="n"/>
      <c r="AB3449" s="25" t="n"/>
      <c r="AC3449" s="195" t="n"/>
      <c r="AD3449" s="25" t="n"/>
      <c r="AE3449" s="25" t="n"/>
      <c r="AG3449" s="25" t="n"/>
      <c r="AH3449" s="25" t="n"/>
      <c r="AI3449" s="394" t="n"/>
      <c r="AM3449" s="48" t="n"/>
      <c r="AN3449" s="48" t="n"/>
      <c r="AO3449" s="48" t="n"/>
    </row>
    <row r="3450">
      <c r="M3450" s="25" t="n"/>
      <c r="Q3450" s="25" t="n"/>
      <c r="U3450" s="194" t="n"/>
      <c r="AA3450" s="25" t="n"/>
      <c r="AB3450" s="25" t="n"/>
      <c r="AC3450" s="195" t="n"/>
      <c r="AD3450" s="25" t="n"/>
      <c r="AE3450" s="25" t="n"/>
      <c r="AG3450" s="25" t="n"/>
      <c r="AH3450" s="25" t="n"/>
      <c r="AI3450" s="394" t="n"/>
      <c r="AM3450" s="48" t="n"/>
      <c r="AN3450" s="48" t="n"/>
      <c r="AO3450" s="48" t="n"/>
    </row>
    <row r="3451">
      <c r="M3451" s="25" t="n"/>
      <c r="Q3451" s="25" t="n"/>
      <c r="U3451" s="194" t="n"/>
      <c r="AA3451" s="25" t="n"/>
      <c r="AB3451" s="25" t="n"/>
      <c r="AC3451" s="195" t="n"/>
      <c r="AD3451" s="25" t="n"/>
      <c r="AE3451" s="25" t="n"/>
      <c r="AG3451" s="25" t="n"/>
      <c r="AH3451" s="25" t="n"/>
      <c r="AI3451" s="394" t="n"/>
      <c r="AM3451" s="48" t="n"/>
      <c r="AN3451" s="48" t="n"/>
      <c r="AO3451" s="48" t="n"/>
    </row>
    <row r="3452">
      <c r="M3452" s="25" t="n"/>
      <c r="Q3452" s="25" t="n"/>
      <c r="U3452" s="194" t="n"/>
      <c r="AA3452" s="25" t="n"/>
      <c r="AB3452" s="25" t="n"/>
      <c r="AC3452" s="195" t="n"/>
      <c r="AD3452" s="25" t="n"/>
      <c r="AE3452" s="25" t="n"/>
      <c r="AG3452" s="25" t="n"/>
      <c r="AH3452" s="25" t="n"/>
      <c r="AI3452" s="394" t="n"/>
      <c r="AM3452" s="48" t="n"/>
      <c r="AN3452" s="48" t="n"/>
      <c r="AO3452" s="48" t="n"/>
    </row>
    <row r="3453">
      <c r="M3453" s="25" t="n"/>
      <c r="Q3453" s="25" t="n"/>
      <c r="U3453" s="194" t="n"/>
      <c r="AA3453" s="25" t="n"/>
      <c r="AB3453" s="25" t="n"/>
      <c r="AC3453" s="195" t="n"/>
      <c r="AD3453" s="25" t="n"/>
      <c r="AE3453" s="25" t="n"/>
      <c r="AG3453" s="25" t="n"/>
      <c r="AH3453" s="25" t="n"/>
      <c r="AI3453" s="394" t="n"/>
      <c r="AM3453" s="48" t="n"/>
      <c r="AN3453" s="48" t="n"/>
      <c r="AO3453" s="48" t="n"/>
    </row>
    <row r="3454">
      <c r="M3454" s="25" t="n"/>
      <c r="Q3454" s="25" t="n"/>
      <c r="U3454" s="194" t="n"/>
      <c r="AA3454" s="25" t="n"/>
      <c r="AB3454" s="25" t="n"/>
      <c r="AC3454" s="195" t="n"/>
      <c r="AD3454" s="25" t="n"/>
      <c r="AE3454" s="25" t="n"/>
      <c r="AG3454" s="25" t="n"/>
      <c r="AH3454" s="25" t="n"/>
      <c r="AI3454" s="394" t="n"/>
      <c r="AM3454" s="48" t="n"/>
      <c r="AN3454" s="48" t="n"/>
      <c r="AO3454" s="48" t="n"/>
    </row>
    <row r="3455">
      <c r="M3455" s="25" t="n"/>
      <c r="Q3455" s="25" t="n"/>
      <c r="U3455" s="194" t="n"/>
      <c r="AA3455" s="25" t="n"/>
      <c r="AB3455" s="25" t="n"/>
      <c r="AC3455" s="195" t="n"/>
      <c r="AD3455" s="25" t="n"/>
      <c r="AE3455" s="25" t="n"/>
      <c r="AG3455" s="25" t="n"/>
      <c r="AH3455" s="25" t="n"/>
      <c r="AI3455" s="394" t="n"/>
      <c r="AM3455" s="48" t="n"/>
      <c r="AN3455" s="48" t="n"/>
      <c r="AO3455" s="48" t="n"/>
    </row>
    <row r="3456">
      <c r="M3456" s="25" t="n"/>
      <c r="Q3456" s="25" t="n"/>
      <c r="U3456" s="194" t="n"/>
      <c r="AA3456" s="25" t="n"/>
      <c r="AB3456" s="25" t="n"/>
      <c r="AC3456" s="195" t="n"/>
      <c r="AD3456" s="25" t="n"/>
      <c r="AE3456" s="25" t="n"/>
      <c r="AG3456" s="25" t="n"/>
      <c r="AH3456" s="25" t="n"/>
      <c r="AI3456" s="394" t="n"/>
      <c r="AM3456" s="48" t="n"/>
      <c r="AN3456" s="48" t="n"/>
      <c r="AO3456" s="48" t="n"/>
    </row>
    <row r="3457">
      <c r="M3457" s="25" t="n"/>
      <c r="Q3457" s="25" t="n"/>
      <c r="U3457" s="194" t="n"/>
      <c r="AA3457" s="25" t="n"/>
      <c r="AB3457" s="25" t="n"/>
      <c r="AC3457" s="195" t="n"/>
      <c r="AD3457" s="25" t="n"/>
      <c r="AE3457" s="25" t="n"/>
      <c r="AG3457" s="25" t="n"/>
      <c r="AH3457" s="25" t="n"/>
      <c r="AI3457" s="394" t="n"/>
      <c r="AM3457" s="48" t="n"/>
      <c r="AN3457" s="48" t="n"/>
      <c r="AO3457" s="48" t="n"/>
    </row>
    <row r="3458">
      <c r="M3458" s="25" t="n"/>
      <c r="Q3458" s="25" t="n"/>
      <c r="U3458" s="194" t="n"/>
      <c r="AA3458" s="25" t="n"/>
      <c r="AB3458" s="25" t="n"/>
      <c r="AC3458" s="195" t="n"/>
      <c r="AD3458" s="25" t="n"/>
      <c r="AE3458" s="25" t="n"/>
      <c r="AG3458" s="25" t="n"/>
      <c r="AH3458" s="25" t="n"/>
      <c r="AI3458" s="394" t="n"/>
      <c r="AM3458" s="48" t="n"/>
      <c r="AN3458" s="48" t="n"/>
      <c r="AO3458" s="48" t="n"/>
    </row>
    <row r="3459">
      <c r="M3459" s="25" t="n"/>
      <c r="Q3459" s="25" t="n"/>
      <c r="U3459" s="194" t="n"/>
      <c r="AA3459" s="25" t="n"/>
      <c r="AB3459" s="25" t="n"/>
      <c r="AC3459" s="195" t="n"/>
      <c r="AD3459" s="25" t="n"/>
      <c r="AE3459" s="25" t="n"/>
      <c r="AG3459" s="25" t="n"/>
      <c r="AH3459" s="25" t="n"/>
      <c r="AI3459" s="394" t="n"/>
      <c r="AM3459" s="48" t="n"/>
      <c r="AN3459" s="48" t="n"/>
      <c r="AO3459" s="48" t="n"/>
    </row>
    <row r="3460">
      <c r="M3460" s="25" t="n"/>
      <c r="Q3460" s="25" t="n"/>
      <c r="U3460" s="194" t="n"/>
      <c r="AA3460" s="25" t="n"/>
      <c r="AB3460" s="25" t="n"/>
      <c r="AC3460" s="195" t="n"/>
      <c r="AD3460" s="25" t="n"/>
      <c r="AE3460" s="25" t="n"/>
      <c r="AG3460" s="25" t="n"/>
      <c r="AH3460" s="25" t="n"/>
      <c r="AI3460" s="394" t="n"/>
      <c r="AM3460" s="48" t="n"/>
      <c r="AN3460" s="48" t="n"/>
      <c r="AO3460" s="48" t="n"/>
    </row>
    <row r="3461">
      <c r="M3461" s="25" t="n"/>
      <c r="Q3461" s="25" t="n"/>
      <c r="U3461" s="194" t="n"/>
      <c r="AA3461" s="25" t="n"/>
      <c r="AB3461" s="25" t="n"/>
      <c r="AC3461" s="195" t="n"/>
      <c r="AD3461" s="25" t="n"/>
      <c r="AE3461" s="25" t="n"/>
      <c r="AG3461" s="25" t="n"/>
      <c r="AH3461" s="25" t="n"/>
      <c r="AI3461" s="394" t="n"/>
      <c r="AM3461" s="48" t="n"/>
      <c r="AN3461" s="48" t="n"/>
      <c r="AO3461" s="48" t="n"/>
    </row>
    <row r="3462">
      <c r="M3462" s="25" t="n"/>
      <c r="Q3462" s="25" t="n"/>
      <c r="U3462" s="194" t="n"/>
      <c r="AA3462" s="25" t="n"/>
      <c r="AB3462" s="25" t="n"/>
      <c r="AC3462" s="195" t="n"/>
      <c r="AD3462" s="25" t="n"/>
      <c r="AE3462" s="25" t="n"/>
      <c r="AG3462" s="25" t="n"/>
      <c r="AH3462" s="25" t="n"/>
      <c r="AI3462" s="394" t="n"/>
      <c r="AM3462" s="48" t="n"/>
      <c r="AN3462" s="48" t="n"/>
      <c r="AO3462" s="48" t="n"/>
    </row>
    <row r="3463">
      <c r="M3463" s="25" t="n"/>
      <c r="Q3463" s="25" t="n"/>
      <c r="U3463" s="194" t="n"/>
      <c r="AA3463" s="25" t="n"/>
      <c r="AB3463" s="25" t="n"/>
      <c r="AC3463" s="195" t="n"/>
      <c r="AD3463" s="25" t="n"/>
      <c r="AE3463" s="25" t="n"/>
      <c r="AG3463" s="25" t="n"/>
      <c r="AH3463" s="25" t="n"/>
      <c r="AI3463" s="394" t="n"/>
      <c r="AM3463" s="48" t="n"/>
      <c r="AN3463" s="48" t="n"/>
      <c r="AO3463" s="48" t="n"/>
    </row>
    <row r="3464">
      <c r="M3464" s="25" t="n"/>
      <c r="Q3464" s="25" t="n"/>
      <c r="U3464" s="194" t="n"/>
      <c r="AA3464" s="25" t="n"/>
      <c r="AB3464" s="25" t="n"/>
      <c r="AC3464" s="195" t="n"/>
      <c r="AD3464" s="25" t="n"/>
      <c r="AE3464" s="25" t="n"/>
      <c r="AG3464" s="25" t="n"/>
      <c r="AH3464" s="25" t="n"/>
      <c r="AI3464" s="394" t="n"/>
      <c r="AM3464" s="48" t="n"/>
      <c r="AN3464" s="48" t="n"/>
      <c r="AO3464" s="48" t="n"/>
    </row>
    <row r="3465">
      <c r="M3465" s="25" t="n"/>
      <c r="Q3465" s="25" t="n"/>
      <c r="U3465" s="194" t="n"/>
      <c r="AA3465" s="25" t="n"/>
      <c r="AB3465" s="25" t="n"/>
      <c r="AC3465" s="195" t="n"/>
      <c r="AD3465" s="25" t="n"/>
      <c r="AE3465" s="25" t="n"/>
      <c r="AG3465" s="25" t="n"/>
      <c r="AH3465" s="25" t="n"/>
      <c r="AI3465" s="394" t="n"/>
      <c r="AM3465" s="48" t="n"/>
      <c r="AN3465" s="48" t="n"/>
      <c r="AO3465" s="48" t="n"/>
    </row>
    <row r="3466">
      <c r="M3466" s="25" t="n"/>
      <c r="Q3466" s="25" t="n"/>
      <c r="U3466" s="194" t="n"/>
      <c r="AA3466" s="25" t="n"/>
      <c r="AB3466" s="25" t="n"/>
      <c r="AC3466" s="195" t="n"/>
      <c r="AD3466" s="25" t="n"/>
      <c r="AE3466" s="25" t="n"/>
      <c r="AG3466" s="25" t="n"/>
      <c r="AH3466" s="25" t="n"/>
      <c r="AI3466" s="394" t="n"/>
      <c r="AM3466" s="48" t="n"/>
      <c r="AN3466" s="48" t="n"/>
      <c r="AO3466" s="48" t="n"/>
    </row>
    <row r="3467">
      <c r="M3467" s="25" t="n"/>
      <c r="Q3467" s="25" t="n"/>
      <c r="U3467" s="194" t="n"/>
      <c r="AA3467" s="25" t="n"/>
      <c r="AB3467" s="25" t="n"/>
      <c r="AC3467" s="195" t="n"/>
      <c r="AD3467" s="25" t="n"/>
      <c r="AE3467" s="25" t="n"/>
      <c r="AG3467" s="25" t="n"/>
      <c r="AH3467" s="25" t="n"/>
      <c r="AI3467" s="394" t="n"/>
      <c r="AM3467" s="48" t="n"/>
      <c r="AN3467" s="48" t="n"/>
      <c r="AO3467" s="48" t="n"/>
    </row>
    <row r="3468">
      <c r="M3468" s="25" t="n"/>
      <c r="Q3468" s="25" t="n"/>
      <c r="U3468" s="194" t="n"/>
      <c r="AA3468" s="25" t="n"/>
      <c r="AB3468" s="25" t="n"/>
      <c r="AC3468" s="195" t="n"/>
      <c r="AD3468" s="25" t="n"/>
      <c r="AE3468" s="25" t="n"/>
      <c r="AG3468" s="25" t="n"/>
      <c r="AH3468" s="25" t="n"/>
      <c r="AI3468" s="394" t="n"/>
      <c r="AM3468" s="48" t="n"/>
      <c r="AN3468" s="48" t="n"/>
      <c r="AO3468" s="48" t="n"/>
    </row>
    <row r="3469">
      <c r="M3469" s="25" t="n"/>
      <c r="Q3469" s="25" t="n"/>
      <c r="U3469" s="194" t="n"/>
      <c r="AA3469" s="25" t="n"/>
      <c r="AB3469" s="25" t="n"/>
      <c r="AC3469" s="195" t="n"/>
      <c r="AD3469" s="25" t="n"/>
      <c r="AE3469" s="25" t="n"/>
      <c r="AG3469" s="25" t="n"/>
      <c r="AH3469" s="25" t="n"/>
      <c r="AI3469" s="394" t="n"/>
      <c r="AM3469" s="48" t="n"/>
      <c r="AN3469" s="48" t="n"/>
      <c r="AO3469" s="48" t="n"/>
    </row>
    <row r="3470">
      <c r="M3470" s="25" t="n"/>
      <c r="Q3470" s="25" t="n"/>
      <c r="U3470" s="194" t="n"/>
      <c r="AA3470" s="25" t="n"/>
      <c r="AB3470" s="25" t="n"/>
      <c r="AC3470" s="195" t="n"/>
      <c r="AD3470" s="25" t="n"/>
      <c r="AE3470" s="25" t="n"/>
      <c r="AG3470" s="25" t="n"/>
      <c r="AH3470" s="25" t="n"/>
      <c r="AI3470" s="394" t="n"/>
      <c r="AM3470" s="48" t="n"/>
      <c r="AN3470" s="48" t="n"/>
      <c r="AO3470" s="48" t="n"/>
    </row>
    <row r="3471">
      <c r="M3471" s="25" t="n"/>
      <c r="Q3471" s="25" t="n"/>
      <c r="U3471" s="194" t="n"/>
      <c r="AA3471" s="25" t="n"/>
      <c r="AB3471" s="25" t="n"/>
      <c r="AC3471" s="195" t="n"/>
      <c r="AD3471" s="25" t="n"/>
      <c r="AE3471" s="25" t="n"/>
      <c r="AG3471" s="25" t="n"/>
      <c r="AH3471" s="25" t="n"/>
      <c r="AI3471" s="394" t="n"/>
      <c r="AM3471" s="48" t="n"/>
      <c r="AN3471" s="48" t="n"/>
      <c r="AO3471" s="48" t="n"/>
    </row>
    <row r="3472">
      <c r="M3472" s="25" t="n"/>
      <c r="Q3472" s="25" t="n"/>
      <c r="U3472" s="194" t="n"/>
      <c r="AA3472" s="25" t="n"/>
      <c r="AB3472" s="25" t="n"/>
      <c r="AC3472" s="195" t="n"/>
      <c r="AD3472" s="25" t="n"/>
      <c r="AE3472" s="25" t="n"/>
      <c r="AG3472" s="25" t="n"/>
      <c r="AH3472" s="25" t="n"/>
      <c r="AI3472" s="394" t="n"/>
      <c r="AM3472" s="48" t="n"/>
      <c r="AN3472" s="48" t="n"/>
      <c r="AO3472" s="48" t="n"/>
    </row>
    <row r="3473">
      <c r="M3473" s="25" t="n"/>
      <c r="Q3473" s="25" t="n"/>
      <c r="U3473" s="194" t="n"/>
      <c r="AA3473" s="25" t="n"/>
      <c r="AB3473" s="25" t="n"/>
      <c r="AC3473" s="195" t="n"/>
      <c r="AD3473" s="25" t="n"/>
      <c r="AE3473" s="25" t="n"/>
      <c r="AG3473" s="25" t="n"/>
      <c r="AH3473" s="25" t="n"/>
      <c r="AI3473" s="394" t="n"/>
      <c r="AM3473" s="48" t="n"/>
      <c r="AN3473" s="48" t="n"/>
      <c r="AO3473" s="48" t="n"/>
    </row>
    <row r="3474">
      <c r="M3474" s="25" t="n"/>
      <c r="Q3474" s="25" t="n"/>
      <c r="U3474" s="194" t="n"/>
      <c r="AA3474" s="25" t="n"/>
      <c r="AB3474" s="25" t="n"/>
      <c r="AC3474" s="195" t="n"/>
      <c r="AD3474" s="25" t="n"/>
      <c r="AE3474" s="25" t="n"/>
      <c r="AG3474" s="25" t="n"/>
      <c r="AH3474" s="25" t="n"/>
      <c r="AI3474" s="394" t="n"/>
      <c r="AM3474" s="48" t="n"/>
      <c r="AN3474" s="48" t="n"/>
      <c r="AO3474" s="48" t="n"/>
    </row>
    <row r="3475">
      <c r="M3475" s="25" t="n"/>
      <c r="Q3475" s="25" t="n"/>
      <c r="U3475" s="194" t="n"/>
      <c r="AA3475" s="25" t="n"/>
      <c r="AB3475" s="25" t="n"/>
      <c r="AC3475" s="195" t="n"/>
      <c r="AD3475" s="25" t="n"/>
      <c r="AE3475" s="25" t="n"/>
      <c r="AG3475" s="25" t="n"/>
      <c r="AH3475" s="25" t="n"/>
      <c r="AI3475" s="394" t="n"/>
      <c r="AM3475" s="48" t="n"/>
      <c r="AN3475" s="48" t="n"/>
      <c r="AO3475" s="48" t="n"/>
    </row>
    <row r="3476">
      <c r="M3476" s="25" t="n"/>
      <c r="Q3476" s="25" t="n"/>
      <c r="U3476" s="194" t="n"/>
      <c r="AA3476" s="25" t="n"/>
      <c r="AB3476" s="25" t="n"/>
      <c r="AC3476" s="195" t="n"/>
      <c r="AD3476" s="25" t="n"/>
      <c r="AE3476" s="25" t="n"/>
      <c r="AG3476" s="25" t="n"/>
      <c r="AH3476" s="25" t="n"/>
      <c r="AI3476" s="394" t="n"/>
      <c r="AM3476" s="48" t="n"/>
      <c r="AN3476" s="48" t="n"/>
      <c r="AO3476" s="48" t="n"/>
    </row>
    <row r="3477">
      <c r="M3477" s="25" t="n"/>
      <c r="Q3477" s="25" t="n"/>
      <c r="U3477" s="194" t="n"/>
      <c r="AA3477" s="25" t="n"/>
      <c r="AB3477" s="25" t="n"/>
      <c r="AC3477" s="195" t="n"/>
      <c r="AD3477" s="25" t="n"/>
      <c r="AE3477" s="25" t="n"/>
      <c r="AG3477" s="25" t="n"/>
      <c r="AH3477" s="25" t="n"/>
      <c r="AI3477" s="394" t="n"/>
      <c r="AM3477" s="48" t="n"/>
      <c r="AN3477" s="48" t="n"/>
      <c r="AO3477" s="48" t="n"/>
    </row>
    <row r="3478">
      <c r="M3478" s="25" t="n"/>
      <c r="Q3478" s="25" t="n"/>
      <c r="U3478" s="194" t="n"/>
      <c r="AA3478" s="25" t="n"/>
      <c r="AB3478" s="25" t="n"/>
      <c r="AC3478" s="195" t="n"/>
      <c r="AD3478" s="25" t="n"/>
      <c r="AE3478" s="25" t="n"/>
      <c r="AG3478" s="25" t="n"/>
      <c r="AH3478" s="25" t="n"/>
      <c r="AI3478" s="394" t="n"/>
      <c r="AM3478" s="48" t="n"/>
      <c r="AN3478" s="48" t="n"/>
      <c r="AO3478" s="48" t="n"/>
    </row>
    <row r="3479">
      <c r="M3479" s="25" t="n"/>
      <c r="Q3479" s="25" t="n"/>
      <c r="U3479" s="194" t="n"/>
      <c r="AA3479" s="25" t="n"/>
      <c r="AB3479" s="25" t="n"/>
      <c r="AC3479" s="195" t="n"/>
      <c r="AD3479" s="25" t="n"/>
      <c r="AE3479" s="25" t="n"/>
      <c r="AG3479" s="25" t="n"/>
      <c r="AH3479" s="25" t="n"/>
      <c r="AI3479" s="394" t="n"/>
      <c r="AM3479" s="48" t="n"/>
      <c r="AN3479" s="48" t="n"/>
      <c r="AO3479" s="48" t="n"/>
    </row>
    <row r="3480">
      <c r="M3480" s="25" t="n"/>
      <c r="Q3480" s="25" t="n"/>
      <c r="U3480" s="194" t="n"/>
      <c r="AA3480" s="25" t="n"/>
      <c r="AB3480" s="25" t="n"/>
      <c r="AC3480" s="195" t="n"/>
      <c r="AD3480" s="25" t="n"/>
      <c r="AE3480" s="25" t="n"/>
      <c r="AG3480" s="25" t="n"/>
      <c r="AH3480" s="25" t="n"/>
      <c r="AI3480" s="394" t="n"/>
      <c r="AM3480" s="48" t="n"/>
      <c r="AN3480" s="48" t="n"/>
      <c r="AO3480" s="48" t="n"/>
    </row>
    <row r="3481">
      <c r="M3481" s="25" t="n"/>
      <c r="Q3481" s="25" t="n"/>
      <c r="U3481" s="194" t="n"/>
      <c r="AA3481" s="25" t="n"/>
      <c r="AB3481" s="25" t="n"/>
      <c r="AC3481" s="195" t="n"/>
      <c r="AD3481" s="25" t="n"/>
      <c r="AE3481" s="25" t="n"/>
      <c r="AG3481" s="25" t="n"/>
      <c r="AH3481" s="25" t="n"/>
      <c r="AI3481" s="394" t="n"/>
      <c r="AM3481" s="48" t="n"/>
      <c r="AN3481" s="48" t="n"/>
      <c r="AO3481" s="48" t="n"/>
    </row>
    <row r="3482">
      <c r="M3482" s="25" t="n"/>
      <c r="Q3482" s="25" t="n"/>
      <c r="U3482" s="194" t="n"/>
      <c r="AA3482" s="25" t="n"/>
      <c r="AB3482" s="25" t="n"/>
      <c r="AC3482" s="195" t="n"/>
      <c r="AD3482" s="25" t="n"/>
      <c r="AE3482" s="25" t="n"/>
      <c r="AG3482" s="25" t="n"/>
      <c r="AH3482" s="25" t="n"/>
      <c r="AI3482" s="394" t="n"/>
      <c r="AM3482" s="48" t="n"/>
      <c r="AN3482" s="48" t="n"/>
      <c r="AO3482" s="48" t="n"/>
    </row>
    <row r="3483">
      <c r="M3483" s="25" t="n"/>
      <c r="Q3483" s="25" t="n"/>
      <c r="U3483" s="194" t="n"/>
      <c r="AA3483" s="25" t="n"/>
      <c r="AB3483" s="25" t="n"/>
      <c r="AC3483" s="195" t="n"/>
      <c r="AD3483" s="25" t="n"/>
      <c r="AE3483" s="25" t="n"/>
      <c r="AG3483" s="25" t="n"/>
      <c r="AH3483" s="25" t="n"/>
      <c r="AI3483" s="394" t="n"/>
      <c r="AM3483" s="48" t="n"/>
      <c r="AN3483" s="48" t="n"/>
      <c r="AO3483" s="48" t="n"/>
    </row>
    <row r="3484">
      <c r="M3484" s="25" t="n"/>
      <c r="Q3484" s="25" t="n"/>
      <c r="U3484" s="194" t="n"/>
      <c r="AA3484" s="25" t="n"/>
      <c r="AB3484" s="25" t="n"/>
      <c r="AC3484" s="195" t="n"/>
      <c r="AD3484" s="25" t="n"/>
      <c r="AE3484" s="25" t="n"/>
      <c r="AG3484" s="25" t="n"/>
      <c r="AH3484" s="25" t="n"/>
      <c r="AI3484" s="394" t="n"/>
      <c r="AM3484" s="48" t="n"/>
      <c r="AN3484" s="48" t="n"/>
      <c r="AO3484" s="48" t="n"/>
    </row>
    <row r="3485">
      <c r="M3485" s="25" t="n"/>
      <c r="Q3485" s="25" t="n"/>
      <c r="U3485" s="194" t="n"/>
      <c r="AA3485" s="25" t="n"/>
      <c r="AB3485" s="25" t="n"/>
      <c r="AC3485" s="195" t="n"/>
      <c r="AD3485" s="25" t="n"/>
      <c r="AE3485" s="25" t="n"/>
      <c r="AG3485" s="25" t="n"/>
      <c r="AH3485" s="25" t="n"/>
      <c r="AI3485" s="394" t="n"/>
      <c r="AM3485" s="48" t="n"/>
      <c r="AN3485" s="48" t="n"/>
      <c r="AO3485" s="48" t="n"/>
    </row>
    <row r="3486">
      <c r="M3486" s="25" t="n"/>
      <c r="Q3486" s="25" t="n"/>
      <c r="U3486" s="194" t="n"/>
      <c r="AA3486" s="25" t="n"/>
      <c r="AB3486" s="25" t="n"/>
      <c r="AC3486" s="195" t="n"/>
      <c r="AD3486" s="25" t="n"/>
      <c r="AE3486" s="25" t="n"/>
      <c r="AG3486" s="25" t="n"/>
      <c r="AH3486" s="25" t="n"/>
      <c r="AI3486" s="394" t="n"/>
      <c r="AM3486" s="48" t="n"/>
      <c r="AN3486" s="48" t="n"/>
      <c r="AO3486" s="48" t="n"/>
    </row>
    <row r="3487">
      <c r="M3487" s="25" t="n"/>
      <c r="Q3487" s="25" t="n"/>
      <c r="U3487" s="194" t="n"/>
      <c r="AA3487" s="25" t="n"/>
      <c r="AB3487" s="25" t="n"/>
      <c r="AC3487" s="195" t="n"/>
      <c r="AD3487" s="25" t="n"/>
      <c r="AE3487" s="25" t="n"/>
      <c r="AG3487" s="25" t="n"/>
      <c r="AH3487" s="25" t="n"/>
      <c r="AI3487" s="394" t="n"/>
      <c r="AM3487" s="48" t="n"/>
      <c r="AN3487" s="48" t="n"/>
      <c r="AO3487" s="48" t="n"/>
    </row>
    <row r="3488">
      <c r="M3488" s="25" t="n"/>
      <c r="Q3488" s="25" t="n"/>
      <c r="U3488" s="194" t="n"/>
      <c r="AA3488" s="25" t="n"/>
      <c r="AB3488" s="25" t="n"/>
      <c r="AC3488" s="195" t="n"/>
      <c r="AD3488" s="25" t="n"/>
      <c r="AE3488" s="25" t="n"/>
      <c r="AG3488" s="25" t="n"/>
      <c r="AH3488" s="25" t="n"/>
      <c r="AI3488" s="394" t="n"/>
      <c r="AM3488" s="48" t="n"/>
      <c r="AN3488" s="48" t="n"/>
      <c r="AO3488" s="48" t="n"/>
    </row>
    <row r="3489">
      <c r="M3489" s="25" t="n"/>
      <c r="Q3489" s="25" t="n"/>
      <c r="U3489" s="194" t="n"/>
      <c r="AA3489" s="25" t="n"/>
      <c r="AB3489" s="25" t="n"/>
      <c r="AC3489" s="195" t="n"/>
      <c r="AD3489" s="25" t="n"/>
      <c r="AE3489" s="25" t="n"/>
      <c r="AG3489" s="25" t="n"/>
      <c r="AH3489" s="25" t="n"/>
      <c r="AI3489" s="394" t="n"/>
      <c r="AM3489" s="48" t="n"/>
      <c r="AN3489" s="48" t="n"/>
      <c r="AO3489" s="48" t="n"/>
    </row>
    <row r="3490">
      <c r="M3490" s="25" t="n"/>
      <c r="Q3490" s="25" t="n"/>
      <c r="U3490" s="194" t="n"/>
      <c r="AA3490" s="25" t="n"/>
      <c r="AB3490" s="25" t="n"/>
      <c r="AC3490" s="195" t="n"/>
      <c r="AD3490" s="25" t="n"/>
      <c r="AE3490" s="25" t="n"/>
      <c r="AG3490" s="25" t="n"/>
      <c r="AH3490" s="25" t="n"/>
      <c r="AI3490" s="394" t="n"/>
      <c r="AM3490" s="48" t="n"/>
      <c r="AN3490" s="48" t="n"/>
      <c r="AO3490" s="48" t="n"/>
    </row>
    <row r="3491">
      <c r="M3491" s="25" t="n"/>
      <c r="Q3491" s="25" t="n"/>
      <c r="U3491" s="194" t="n"/>
      <c r="AA3491" s="25" t="n"/>
      <c r="AB3491" s="25" t="n"/>
      <c r="AC3491" s="195" t="n"/>
      <c r="AD3491" s="25" t="n"/>
      <c r="AE3491" s="25" t="n"/>
      <c r="AG3491" s="25" t="n"/>
      <c r="AH3491" s="25" t="n"/>
      <c r="AI3491" s="394" t="n"/>
      <c r="AM3491" s="48" t="n"/>
      <c r="AN3491" s="48" t="n"/>
      <c r="AO3491" s="48" t="n"/>
    </row>
    <row r="3492">
      <c r="M3492" s="25" t="n"/>
      <c r="Q3492" s="25" t="n"/>
      <c r="U3492" s="194" t="n"/>
      <c r="AA3492" s="25" t="n"/>
      <c r="AB3492" s="25" t="n"/>
      <c r="AC3492" s="195" t="n"/>
      <c r="AD3492" s="25" t="n"/>
      <c r="AE3492" s="25" t="n"/>
      <c r="AG3492" s="25" t="n"/>
      <c r="AH3492" s="25" t="n"/>
      <c r="AI3492" s="394" t="n"/>
      <c r="AM3492" s="48" t="n"/>
      <c r="AN3492" s="48" t="n"/>
      <c r="AO3492" s="48" t="n"/>
    </row>
    <row r="3493">
      <c r="M3493" s="25" t="n"/>
      <c r="Q3493" s="25" t="n"/>
      <c r="U3493" s="194" t="n"/>
      <c r="AA3493" s="25" t="n"/>
      <c r="AB3493" s="25" t="n"/>
      <c r="AC3493" s="195" t="n"/>
      <c r="AD3493" s="25" t="n"/>
      <c r="AE3493" s="25" t="n"/>
      <c r="AG3493" s="25" t="n"/>
      <c r="AH3493" s="25" t="n"/>
      <c r="AI3493" s="394" t="n"/>
      <c r="AM3493" s="48" t="n"/>
      <c r="AN3493" s="48" t="n"/>
      <c r="AO3493" s="48" t="n"/>
    </row>
    <row r="3494">
      <c r="M3494" s="25" t="n"/>
      <c r="Q3494" s="25" t="n"/>
      <c r="U3494" s="194" t="n"/>
      <c r="AA3494" s="25" t="n"/>
      <c r="AB3494" s="25" t="n"/>
      <c r="AC3494" s="195" t="n"/>
      <c r="AD3494" s="25" t="n"/>
      <c r="AE3494" s="25" t="n"/>
      <c r="AG3494" s="25" t="n"/>
      <c r="AH3494" s="25" t="n"/>
      <c r="AI3494" s="394" t="n"/>
      <c r="AM3494" s="48" t="n"/>
      <c r="AN3494" s="48" t="n"/>
      <c r="AO3494" s="48" t="n"/>
    </row>
    <row r="3495">
      <c r="M3495" s="25" t="n"/>
      <c r="Q3495" s="25" t="n"/>
      <c r="U3495" s="194" t="n"/>
      <c r="AA3495" s="25" t="n"/>
      <c r="AB3495" s="25" t="n"/>
      <c r="AC3495" s="195" t="n"/>
      <c r="AD3495" s="25" t="n"/>
      <c r="AE3495" s="25" t="n"/>
      <c r="AG3495" s="25" t="n"/>
      <c r="AH3495" s="25" t="n"/>
      <c r="AI3495" s="394" t="n"/>
      <c r="AM3495" s="48" t="n"/>
      <c r="AN3495" s="48" t="n"/>
      <c r="AO3495" s="48" t="n"/>
    </row>
    <row r="3496">
      <c r="M3496" s="25" t="n"/>
      <c r="Q3496" s="25" t="n"/>
      <c r="U3496" s="194" t="n"/>
      <c r="AA3496" s="25" t="n"/>
      <c r="AB3496" s="25" t="n"/>
      <c r="AC3496" s="195" t="n"/>
      <c r="AD3496" s="25" t="n"/>
      <c r="AE3496" s="25" t="n"/>
      <c r="AG3496" s="25" t="n"/>
      <c r="AH3496" s="25" t="n"/>
      <c r="AI3496" s="394" t="n"/>
      <c r="AM3496" s="48" t="n"/>
      <c r="AN3496" s="48" t="n"/>
      <c r="AO3496" s="48" t="n"/>
    </row>
    <row r="3497">
      <c r="M3497" s="25" t="n"/>
      <c r="Q3497" s="25" t="n"/>
      <c r="U3497" s="194" t="n"/>
      <c r="AA3497" s="25" t="n"/>
      <c r="AB3497" s="25" t="n"/>
      <c r="AC3497" s="195" t="n"/>
      <c r="AD3497" s="25" t="n"/>
      <c r="AE3497" s="25" t="n"/>
      <c r="AG3497" s="25" t="n"/>
      <c r="AH3497" s="25" t="n"/>
      <c r="AI3497" s="394" t="n"/>
      <c r="AM3497" s="48" t="n"/>
      <c r="AN3497" s="48" t="n"/>
      <c r="AO3497" s="48" t="n"/>
    </row>
    <row r="3498">
      <c r="M3498" s="25" t="n"/>
      <c r="Q3498" s="25" t="n"/>
      <c r="U3498" s="194" t="n"/>
      <c r="AA3498" s="25" t="n"/>
      <c r="AB3498" s="25" t="n"/>
      <c r="AC3498" s="195" t="n"/>
      <c r="AD3498" s="25" t="n"/>
      <c r="AE3498" s="25" t="n"/>
      <c r="AG3498" s="25" t="n"/>
      <c r="AH3498" s="25" t="n"/>
      <c r="AI3498" s="394" t="n"/>
      <c r="AM3498" s="48" t="n"/>
      <c r="AN3498" s="48" t="n"/>
      <c r="AO3498" s="48" t="n"/>
    </row>
    <row r="3499">
      <c r="M3499" s="25" t="n"/>
      <c r="Q3499" s="25" t="n"/>
      <c r="U3499" s="194" t="n"/>
      <c r="AA3499" s="25" t="n"/>
      <c r="AB3499" s="25" t="n"/>
      <c r="AC3499" s="195" t="n"/>
      <c r="AD3499" s="25" t="n"/>
      <c r="AE3499" s="25" t="n"/>
      <c r="AG3499" s="25" t="n"/>
      <c r="AH3499" s="25" t="n"/>
      <c r="AI3499" s="394" t="n"/>
      <c r="AM3499" s="48" t="n"/>
      <c r="AN3499" s="48" t="n"/>
      <c r="AO3499" s="48" t="n"/>
    </row>
    <row r="3500">
      <c r="M3500" s="25" t="n"/>
      <c r="Q3500" s="25" t="n"/>
      <c r="U3500" s="194" t="n"/>
      <c r="AA3500" s="25" t="n"/>
      <c r="AB3500" s="25" t="n"/>
      <c r="AC3500" s="195" t="n"/>
      <c r="AD3500" s="25" t="n"/>
      <c r="AE3500" s="25" t="n"/>
      <c r="AG3500" s="25" t="n"/>
      <c r="AH3500" s="25" t="n"/>
      <c r="AI3500" s="394" t="n"/>
      <c r="AM3500" s="48" t="n"/>
      <c r="AN3500" s="48" t="n"/>
      <c r="AO3500" s="48" t="n"/>
    </row>
    <row r="3501">
      <c r="M3501" s="25" t="n"/>
      <c r="Q3501" s="25" t="n"/>
      <c r="U3501" s="194" t="n"/>
      <c r="AA3501" s="25" t="n"/>
      <c r="AB3501" s="25" t="n"/>
      <c r="AC3501" s="195" t="n"/>
      <c r="AD3501" s="25" t="n"/>
      <c r="AE3501" s="25" t="n"/>
      <c r="AG3501" s="25" t="n"/>
      <c r="AH3501" s="25" t="n"/>
      <c r="AI3501" s="394" t="n"/>
      <c r="AM3501" s="48" t="n"/>
      <c r="AN3501" s="48" t="n"/>
      <c r="AO3501" s="48" t="n"/>
    </row>
    <row r="3502">
      <c r="M3502" s="25" t="n"/>
      <c r="Q3502" s="25" t="n"/>
      <c r="U3502" s="194" t="n"/>
      <c r="AA3502" s="25" t="n"/>
      <c r="AB3502" s="25" t="n"/>
      <c r="AC3502" s="195" t="n"/>
      <c r="AD3502" s="25" t="n"/>
      <c r="AE3502" s="25" t="n"/>
      <c r="AG3502" s="25" t="n"/>
      <c r="AH3502" s="25" t="n"/>
      <c r="AI3502" s="394" t="n"/>
      <c r="AM3502" s="48" t="n"/>
      <c r="AN3502" s="48" t="n"/>
      <c r="AO3502" s="48" t="n"/>
    </row>
    <row r="3503">
      <c r="M3503" s="25" t="n"/>
      <c r="Q3503" s="25" t="n"/>
      <c r="U3503" s="194" t="n"/>
      <c r="AA3503" s="25" t="n"/>
      <c r="AB3503" s="25" t="n"/>
      <c r="AC3503" s="195" t="n"/>
      <c r="AD3503" s="25" t="n"/>
      <c r="AE3503" s="25" t="n"/>
      <c r="AG3503" s="25" t="n"/>
      <c r="AH3503" s="25" t="n"/>
      <c r="AI3503" s="394" t="n"/>
      <c r="AM3503" s="48" t="n"/>
      <c r="AN3503" s="48" t="n"/>
      <c r="AO3503" s="48" t="n"/>
    </row>
    <row r="3504">
      <c r="M3504" s="25" t="n"/>
      <c r="Q3504" s="25" t="n"/>
      <c r="U3504" s="194" t="n"/>
      <c r="AA3504" s="25" t="n"/>
      <c r="AB3504" s="25" t="n"/>
      <c r="AC3504" s="195" t="n"/>
      <c r="AD3504" s="25" t="n"/>
      <c r="AE3504" s="25" t="n"/>
      <c r="AG3504" s="25" t="n"/>
      <c r="AH3504" s="25" t="n"/>
      <c r="AI3504" s="394" t="n"/>
      <c r="AM3504" s="48" t="n"/>
      <c r="AN3504" s="48" t="n"/>
      <c r="AO3504" s="48" t="n"/>
    </row>
    <row r="3505">
      <c r="M3505" s="25" t="n"/>
      <c r="Q3505" s="25" t="n"/>
      <c r="U3505" s="194" t="n"/>
      <c r="AA3505" s="25" t="n"/>
      <c r="AB3505" s="25" t="n"/>
      <c r="AC3505" s="195" t="n"/>
      <c r="AD3505" s="25" t="n"/>
      <c r="AE3505" s="25" t="n"/>
      <c r="AG3505" s="25" t="n"/>
      <c r="AH3505" s="25" t="n"/>
      <c r="AI3505" s="394" t="n"/>
      <c r="AM3505" s="48" t="n"/>
      <c r="AN3505" s="48" t="n"/>
      <c r="AO3505" s="48" t="n"/>
    </row>
    <row r="3506">
      <c r="M3506" s="25" t="n"/>
      <c r="Q3506" s="25" t="n"/>
      <c r="U3506" s="194" t="n"/>
      <c r="AA3506" s="25" t="n"/>
      <c r="AB3506" s="25" t="n"/>
      <c r="AC3506" s="195" t="n"/>
      <c r="AD3506" s="25" t="n"/>
      <c r="AE3506" s="25" t="n"/>
      <c r="AG3506" s="25" t="n"/>
      <c r="AH3506" s="25" t="n"/>
      <c r="AI3506" s="394" t="n"/>
      <c r="AM3506" s="48" t="n"/>
      <c r="AN3506" s="48" t="n"/>
      <c r="AO3506" s="48" t="n"/>
    </row>
    <row r="3507">
      <c r="M3507" s="25" t="n"/>
      <c r="Q3507" s="25" t="n"/>
      <c r="U3507" s="194" t="n"/>
      <c r="AA3507" s="25" t="n"/>
      <c r="AB3507" s="25" t="n"/>
      <c r="AC3507" s="195" t="n"/>
      <c r="AD3507" s="25" t="n"/>
      <c r="AE3507" s="25" t="n"/>
      <c r="AG3507" s="25" t="n"/>
      <c r="AH3507" s="25" t="n"/>
      <c r="AI3507" s="394" t="n"/>
      <c r="AM3507" s="48" t="n"/>
      <c r="AN3507" s="48" t="n"/>
      <c r="AO3507" s="48" t="n"/>
    </row>
    <row r="3508">
      <c r="M3508" s="25" t="n"/>
      <c r="Q3508" s="25" t="n"/>
      <c r="U3508" s="194" t="n"/>
      <c r="AA3508" s="25" t="n"/>
      <c r="AB3508" s="25" t="n"/>
      <c r="AC3508" s="195" t="n"/>
      <c r="AD3508" s="25" t="n"/>
      <c r="AE3508" s="25" t="n"/>
      <c r="AG3508" s="25" t="n"/>
      <c r="AH3508" s="25" t="n"/>
      <c r="AI3508" s="394" t="n"/>
      <c r="AM3508" s="48" t="n"/>
      <c r="AN3508" s="48" t="n"/>
      <c r="AO3508" s="48" t="n"/>
    </row>
    <row r="3509">
      <c r="M3509" s="25" t="n"/>
      <c r="Q3509" s="25" t="n"/>
      <c r="U3509" s="194" t="n"/>
      <c r="AA3509" s="25" t="n"/>
      <c r="AB3509" s="25" t="n"/>
      <c r="AC3509" s="195" t="n"/>
      <c r="AD3509" s="25" t="n"/>
      <c r="AE3509" s="25" t="n"/>
      <c r="AG3509" s="25" t="n"/>
      <c r="AH3509" s="25" t="n"/>
      <c r="AI3509" s="394" t="n"/>
      <c r="AM3509" s="48" t="n"/>
      <c r="AN3509" s="48" t="n"/>
      <c r="AO3509" s="48" t="n"/>
    </row>
    <row r="3510">
      <c r="M3510" s="25" t="n"/>
      <c r="Q3510" s="25" t="n"/>
      <c r="U3510" s="194" t="n"/>
      <c r="AA3510" s="25" t="n"/>
      <c r="AB3510" s="25" t="n"/>
      <c r="AC3510" s="195" t="n"/>
      <c r="AD3510" s="25" t="n"/>
      <c r="AE3510" s="25" t="n"/>
      <c r="AG3510" s="25" t="n"/>
      <c r="AH3510" s="25" t="n"/>
      <c r="AI3510" s="394" t="n"/>
      <c r="AM3510" s="48" t="n"/>
      <c r="AN3510" s="48" t="n"/>
      <c r="AO3510" s="48" t="n"/>
    </row>
    <row r="3511">
      <c r="M3511" s="25" t="n"/>
      <c r="Q3511" s="25" t="n"/>
      <c r="U3511" s="194" t="n"/>
      <c r="AA3511" s="25" t="n"/>
      <c r="AB3511" s="25" t="n"/>
      <c r="AC3511" s="195" t="n"/>
      <c r="AD3511" s="25" t="n"/>
      <c r="AE3511" s="25" t="n"/>
      <c r="AG3511" s="25" t="n"/>
      <c r="AH3511" s="25" t="n"/>
      <c r="AI3511" s="394" t="n"/>
      <c r="AM3511" s="48" t="n"/>
      <c r="AN3511" s="48" t="n"/>
      <c r="AO3511" s="48" t="n"/>
    </row>
    <row r="3512">
      <c r="M3512" s="25" t="n"/>
      <c r="Q3512" s="25" t="n"/>
      <c r="U3512" s="194" t="n"/>
      <c r="AA3512" s="25" t="n"/>
      <c r="AB3512" s="25" t="n"/>
      <c r="AC3512" s="195" t="n"/>
      <c r="AD3512" s="25" t="n"/>
      <c r="AE3512" s="25" t="n"/>
      <c r="AG3512" s="25" t="n"/>
      <c r="AH3512" s="25" t="n"/>
      <c r="AI3512" s="394" t="n"/>
      <c r="AM3512" s="48" t="n"/>
      <c r="AN3512" s="48" t="n"/>
      <c r="AO3512" s="48" t="n"/>
    </row>
    <row r="3513">
      <c r="M3513" s="25" t="n"/>
      <c r="Q3513" s="25" t="n"/>
      <c r="U3513" s="194" t="n"/>
      <c r="AA3513" s="25" t="n"/>
      <c r="AB3513" s="25" t="n"/>
      <c r="AC3513" s="195" t="n"/>
      <c r="AD3513" s="25" t="n"/>
      <c r="AE3513" s="25" t="n"/>
      <c r="AG3513" s="25" t="n"/>
      <c r="AH3513" s="25" t="n"/>
      <c r="AI3513" s="394" t="n"/>
      <c r="AM3513" s="48" t="n"/>
      <c r="AN3513" s="48" t="n"/>
      <c r="AO3513" s="48" t="n"/>
    </row>
    <row r="3514">
      <c r="M3514" s="25" t="n"/>
      <c r="Q3514" s="25" t="n"/>
      <c r="U3514" s="194" t="n"/>
      <c r="AA3514" s="25" t="n"/>
      <c r="AB3514" s="25" t="n"/>
      <c r="AC3514" s="195" t="n"/>
      <c r="AD3514" s="25" t="n"/>
      <c r="AE3514" s="25" t="n"/>
      <c r="AG3514" s="25" t="n"/>
      <c r="AH3514" s="25" t="n"/>
      <c r="AI3514" s="394" t="n"/>
      <c r="AM3514" s="48" t="n"/>
      <c r="AN3514" s="48" t="n"/>
      <c r="AO3514" s="48" t="n"/>
    </row>
    <row r="3515">
      <c r="M3515" s="25" t="n"/>
      <c r="Q3515" s="25" t="n"/>
      <c r="U3515" s="194" t="n"/>
      <c r="AA3515" s="25" t="n"/>
      <c r="AB3515" s="25" t="n"/>
      <c r="AC3515" s="195" t="n"/>
      <c r="AD3515" s="25" t="n"/>
      <c r="AE3515" s="25" t="n"/>
      <c r="AG3515" s="25" t="n"/>
      <c r="AH3515" s="25" t="n"/>
      <c r="AI3515" s="394" t="n"/>
      <c r="AM3515" s="48" t="n"/>
      <c r="AN3515" s="48" t="n"/>
      <c r="AO3515" s="48" t="n"/>
    </row>
    <row r="3516">
      <c r="M3516" s="25" t="n"/>
      <c r="Q3516" s="25" t="n"/>
      <c r="U3516" s="194" t="n"/>
      <c r="AA3516" s="25" t="n"/>
      <c r="AB3516" s="25" t="n"/>
      <c r="AC3516" s="195" t="n"/>
      <c r="AD3516" s="25" t="n"/>
      <c r="AE3516" s="25" t="n"/>
      <c r="AG3516" s="25" t="n"/>
      <c r="AH3516" s="25" t="n"/>
      <c r="AI3516" s="394" t="n"/>
      <c r="AM3516" s="48" t="n"/>
      <c r="AN3516" s="48" t="n"/>
      <c r="AO3516" s="48" t="n"/>
    </row>
    <row r="3517">
      <c r="M3517" s="25" t="n"/>
      <c r="Q3517" s="25" t="n"/>
      <c r="U3517" s="194" t="n"/>
      <c r="AA3517" s="25" t="n"/>
      <c r="AB3517" s="25" t="n"/>
      <c r="AC3517" s="195" t="n"/>
      <c r="AD3517" s="25" t="n"/>
      <c r="AE3517" s="25" t="n"/>
      <c r="AG3517" s="25" t="n"/>
      <c r="AH3517" s="25" t="n"/>
      <c r="AI3517" s="394" t="n"/>
      <c r="AM3517" s="48" t="n"/>
      <c r="AN3517" s="48" t="n"/>
      <c r="AO3517" s="48" t="n"/>
    </row>
    <row r="3518">
      <c r="M3518" s="25" t="n"/>
      <c r="Q3518" s="25" t="n"/>
      <c r="U3518" s="194" t="n"/>
      <c r="AA3518" s="25" t="n"/>
      <c r="AB3518" s="25" t="n"/>
      <c r="AC3518" s="195" t="n"/>
      <c r="AD3518" s="25" t="n"/>
      <c r="AE3518" s="25" t="n"/>
      <c r="AG3518" s="25" t="n"/>
      <c r="AH3518" s="25" t="n"/>
      <c r="AI3518" s="394" t="n"/>
      <c r="AM3518" s="48" t="n"/>
      <c r="AN3518" s="48" t="n"/>
      <c r="AO3518" s="48" t="n"/>
    </row>
    <row r="3519">
      <c r="M3519" s="25" t="n"/>
      <c r="Q3519" s="25" t="n"/>
      <c r="U3519" s="194" t="n"/>
      <c r="AA3519" s="25" t="n"/>
      <c r="AB3519" s="25" t="n"/>
      <c r="AC3519" s="195" t="n"/>
      <c r="AD3519" s="25" t="n"/>
      <c r="AE3519" s="25" t="n"/>
      <c r="AG3519" s="25" t="n"/>
      <c r="AH3519" s="25" t="n"/>
      <c r="AI3519" s="394" t="n"/>
      <c r="AM3519" s="48" t="n"/>
      <c r="AN3519" s="48" t="n"/>
      <c r="AO3519" s="48" t="n"/>
    </row>
    <row r="3520">
      <c r="M3520" s="25" t="n"/>
      <c r="Q3520" s="25" t="n"/>
      <c r="U3520" s="194" t="n"/>
      <c r="AA3520" s="25" t="n"/>
      <c r="AB3520" s="25" t="n"/>
      <c r="AC3520" s="195" t="n"/>
      <c r="AD3520" s="25" t="n"/>
      <c r="AE3520" s="25" t="n"/>
      <c r="AG3520" s="25" t="n"/>
      <c r="AH3520" s="25" t="n"/>
      <c r="AI3520" s="394" t="n"/>
      <c r="AM3520" s="48" t="n"/>
      <c r="AN3520" s="48" t="n"/>
      <c r="AO3520" s="48" t="n"/>
    </row>
    <row r="3521">
      <c r="M3521" s="25" t="n"/>
      <c r="Q3521" s="25" t="n"/>
      <c r="U3521" s="194" t="n"/>
      <c r="AA3521" s="25" t="n"/>
      <c r="AB3521" s="25" t="n"/>
      <c r="AC3521" s="195" t="n"/>
      <c r="AD3521" s="25" t="n"/>
      <c r="AE3521" s="25" t="n"/>
      <c r="AG3521" s="25" t="n"/>
      <c r="AH3521" s="25" t="n"/>
      <c r="AI3521" s="394" t="n"/>
      <c r="AM3521" s="48" t="n"/>
      <c r="AN3521" s="48" t="n"/>
      <c r="AO3521" s="48" t="n"/>
    </row>
    <row r="3522">
      <c r="M3522" s="25" t="n"/>
      <c r="Q3522" s="25" t="n"/>
      <c r="U3522" s="194" t="n"/>
      <c r="AA3522" s="25" t="n"/>
      <c r="AB3522" s="25" t="n"/>
      <c r="AC3522" s="195" t="n"/>
      <c r="AD3522" s="25" t="n"/>
      <c r="AE3522" s="25" t="n"/>
      <c r="AG3522" s="25" t="n"/>
      <c r="AH3522" s="25" t="n"/>
      <c r="AI3522" s="394" t="n"/>
      <c r="AM3522" s="48" t="n"/>
      <c r="AN3522" s="48" t="n"/>
      <c r="AO3522" s="48" t="n"/>
    </row>
    <row r="3523">
      <c r="M3523" s="25" t="n"/>
      <c r="Q3523" s="25" t="n"/>
      <c r="U3523" s="194" t="n"/>
      <c r="AA3523" s="25" t="n"/>
      <c r="AB3523" s="25" t="n"/>
      <c r="AC3523" s="195" t="n"/>
      <c r="AD3523" s="25" t="n"/>
      <c r="AE3523" s="25" t="n"/>
      <c r="AG3523" s="25" t="n"/>
      <c r="AH3523" s="25" t="n"/>
      <c r="AI3523" s="394" t="n"/>
      <c r="AM3523" s="48" t="n"/>
      <c r="AN3523" s="48" t="n"/>
      <c r="AO3523" s="48" t="n"/>
    </row>
    <row r="3524">
      <c r="M3524" s="25" t="n"/>
      <c r="Q3524" s="25" t="n"/>
      <c r="U3524" s="194" t="n"/>
      <c r="AA3524" s="25" t="n"/>
      <c r="AB3524" s="25" t="n"/>
      <c r="AC3524" s="195" t="n"/>
      <c r="AD3524" s="25" t="n"/>
      <c r="AE3524" s="25" t="n"/>
      <c r="AG3524" s="25" t="n"/>
      <c r="AH3524" s="25" t="n"/>
      <c r="AI3524" s="394" t="n"/>
      <c r="AM3524" s="48" t="n"/>
      <c r="AN3524" s="48" t="n"/>
      <c r="AO3524" s="48" t="n"/>
    </row>
    <row r="3525">
      <c r="M3525" s="25" t="n"/>
      <c r="Q3525" s="25" t="n"/>
      <c r="U3525" s="194" t="n"/>
      <c r="AA3525" s="25" t="n"/>
      <c r="AB3525" s="25" t="n"/>
      <c r="AC3525" s="195" t="n"/>
      <c r="AD3525" s="25" t="n"/>
      <c r="AE3525" s="25" t="n"/>
      <c r="AG3525" s="25" t="n"/>
      <c r="AH3525" s="25" t="n"/>
      <c r="AI3525" s="394" t="n"/>
      <c r="AM3525" s="48" t="n"/>
      <c r="AN3525" s="48" t="n"/>
      <c r="AO3525" s="48" t="n"/>
    </row>
    <row r="3526">
      <c r="M3526" s="25" t="n"/>
      <c r="Q3526" s="25" t="n"/>
      <c r="U3526" s="194" t="n"/>
      <c r="AA3526" s="25" t="n"/>
      <c r="AB3526" s="25" t="n"/>
      <c r="AC3526" s="195" t="n"/>
      <c r="AD3526" s="25" t="n"/>
      <c r="AE3526" s="25" t="n"/>
      <c r="AG3526" s="25" t="n"/>
      <c r="AH3526" s="25" t="n"/>
      <c r="AI3526" s="394" t="n"/>
      <c r="AM3526" s="48" t="n"/>
      <c r="AN3526" s="48" t="n"/>
      <c r="AO3526" s="48" t="n"/>
    </row>
    <row r="3527">
      <c r="M3527" s="25" t="n"/>
      <c r="Q3527" s="25" t="n"/>
      <c r="U3527" s="194" t="n"/>
      <c r="AA3527" s="25" t="n"/>
      <c r="AB3527" s="25" t="n"/>
      <c r="AC3527" s="195" t="n"/>
      <c r="AD3527" s="25" t="n"/>
      <c r="AE3527" s="25" t="n"/>
      <c r="AG3527" s="25" t="n"/>
      <c r="AH3527" s="25" t="n"/>
      <c r="AI3527" s="394" t="n"/>
      <c r="AM3527" s="48" t="n"/>
      <c r="AN3527" s="48" t="n"/>
      <c r="AO3527" s="48" t="n"/>
    </row>
    <row r="3528">
      <c r="M3528" s="25" t="n"/>
      <c r="Q3528" s="25" t="n"/>
      <c r="U3528" s="194" t="n"/>
      <c r="AA3528" s="25" t="n"/>
      <c r="AB3528" s="25" t="n"/>
      <c r="AC3528" s="195" t="n"/>
      <c r="AD3528" s="25" t="n"/>
      <c r="AE3528" s="25" t="n"/>
      <c r="AG3528" s="25" t="n"/>
      <c r="AH3528" s="25" t="n"/>
      <c r="AI3528" s="394" t="n"/>
      <c r="AM3528" s="48" t="n"/>
      <c r="AN3528" s="48" t="n"/>
      <c r="AO3528" s="48" t="n"/>
    </row>
    <row r="3529">
      <c r="M3529" s="25" t="n"/>
      <c r="Q3529" s="25" t="n"/>
      <c r="U3529" s="194" t="n"/>
      <c r="AA3529" s="25" t="n"/>
      <c r="AB3529" s="25" t="n"/>
      <c r="AC3529" s="195" t="n"/>
      <c r="AD3529" s="25" t="n"/>
      <c r="AE3529" s="25" t="n"/>
      <c r="AG3529" s="25" t="n"/>
      <c r="AH3529" s="25" t="n"/>
      <c r="AI3529" s="394" t="n"/>
      <c r="AM3529" s="48" t="n"/>
      <c r="AN3529" s="48" t="n"/>
      <c r="AO3529" s="48" t="n"/>
    </row>
    <row r="3530">
      <c r="M3530" s="25" t="n"/>
      <c r="Q3530" s="25" t="n"/>
      <c r="U3530" s="194" t="n"/>
      <c r="AA3530" s="25" t="n"/>
      <c r="AB3530" s="25" t="n"/>
      <c r="AC3530" s="195" t="n"/>
      <c r="AD3530" s="25" t="n"/>
      <c r="AE3530" s="25" t="n"/>
      <c r="AG3530" s="25" t="n"/>
      <c r="AH3530" s="25" t="n"/>
      <c r="AI3530" s="394" t="n"/>
      <c r="AM3530" s="48" t="n"/>
      <c r="AN3530" s="48" t="n"/>
      <c r="AO3530" s="48" t="n"/>
    </row>
    <row r="3531">
      <c r="M3531" s="25" t="n"/>
      <c r="Q3531" s="25" t="n"/>
      <c r="U3531" s="194" t="n"/>
      <c r="AA3531" s="25" t="n"/>
      <c r="AB3531" s="25" t="n"/>
      <c r="AC3531" s="195" t="n"/>
      <c r="AD3531" s="25" t="n"/>
      <c r="AE3531" s="25" t="n"/>
      <c r="AG3531" s="25" t="n"/>
      <c r="AH3531" s="25" t="n"/>
      <c r="AI3531" s="394" t="n"/>
      <c r="AM3531" s="48" t="n"/>
      <c r="AN3531" s="48" t="n"/>
      <c r="AO3531" s="48" t="n"/>
    </row>
    <row r="3532">
      <c r="M3532" s="25" t="n"/>
      <c r="Q3532" s="25" t="n"/>
      <c r="U3532" s="194" t="n"/>
      <c r="AA3532" s="25" t="n"/>
      <c r="AB3532" s="25" t="n"/>
      <c r="AC3532" s="195" t="n"/>
      <c r="AD3532" s="25" t="n"/>
      <c r="AE3532" s="25" t="n"/>
      <c r="AG3532" s="25" t="n"/>
      <c r="AH3532" s="25" t="n"/>
      <c r="AI3532" s="394" t="n"/>
      <c r="AM3532" s="48" t="n"/>
      <c r="AN3532" s="48" t="n"/>
      <c r="AO3532" s="48" t="n"/>
    </row>
    <row r="3533">
      <c r="M3533" s="25" t="n"/>
      <c r="Q3533" s="25" t="n"/>
      <c r="U3533" s="194" t="n"/>
      <c r="AA3533" s="25" t="n"/>
      <c r="AB3533" s="25" t="n"/>
      <c r="AC3533" s="195" t="n"/>
      <c r="AD3533" s="25" t="n"/>
      <c r="AE3533" s="25" t="n"/>
      <c r="AG3533" s="25" t="n"/>
      <c r="AH3533" s="25" t="n"/>
      <c r="AI3533" s="394" t="n"/>
      <c r="AM3533" s="48" t="n"/>
      <c r="AN3533" s="48" t="n"/>
      <c r="AO3533" s="48" t="n"/>
    </row>
    <row r="3534">
      <c r="M3534" s="25" t="n"/>
      <c r="Q3534" s="25" t="n"/>
      <c r="U3534" s="194" t="n"/>
      <c r="AA3534" s="25" t="n"/>
      <c r="AB3534" s="25" t="n"/>
      <c r="AC3534" s="195" t="n"/>
      <c r="AD3534" s="25" t="n"/>
      <c r="AE3534" s="25" t="n"/>
      <c r="AG3534" s="25" t="n"/>
      <c r="AH3534" s="25" t="n"/>
      <c r="AI3534" s="394" t="n"/>
      <c r="AM3534" s="48" t="n"/>
      <c r="AN3534" s="48" t="n"/>
      <c r="AO3534" s="48" t="n"/>
    </row>
    <row r="3535">
      <c r="M3535" s="25" t="n"/>
      <c r="Q3535" s="25" t="n"/>
      <c r="U3535" s="194" t="n"/>
      <c r="AA3535" s="25" t="n"/>
      <c r="AB3535" s="25" t="n"/>
      <c r="AC3535" s="195" t="n"/>
      <c r="AD3535" s="25" t="n"/>
      <c r="AE3535" s="25" t="n"/>
      <c r="AG3535" s="25" t="n"/>
      <c r="AH3535" s="25" t="n"/>
      <c r="AI3535" s="394" t="n"/>
      <c r="AM3535" s="48" t="n"/>
      <c r="AN3535" s="48" t="n"/>
      <c r="AO3535" s="48" t="n"/>
    </row>
    <row r="3536">
      <c r="M3536" s="25" t="n"/>
      <c r="Q3536" s="25" t="n"/>
      <c r="U3536" s="194" t="n"/>
      <c r="AA3536" s="25" t="n"/>
      <c r="AB3536" s="25" t="n"/>
      <c r="AC3536" s="195" t="n"/>
      <c r="AD3536" s="25" t="n"/>
      <c r="AE3536" s="25" t="n"/>
      <c r="AG3536" s="25" t="n"/>
      <c r="AH3536" s="25" t="n"/>
      <c r="AI3536" s="394" t="n"/>
      <c r="AM3536" s="48" t="n"/>
      <c r="AN3536" s="48" t="n"/>
      <c r="AO3536" s="48" t="n"/>
    </row>
    <row r="3537">
      <c r="M3537" s="25" t="n"/>
      <c r="Q3537" s="25" t="n"/>
      <c r="U3537" s="194" t="n"/>
      <c r="AA3537" s="25" t="n"/>
      <c r="AB3537" s="25" t="n"/>
      <c r="AC3537" s="195" t="n"/>
      <c r="AD3537" s="25" t="n"/>
      <c r="AE3537" s="25" t="n"/>
      <c r="AG3537" s="25" t="n"/>
      <c r="AH3537" s="25" t="n"/>
      <c r="AI3537" s="394" t="n"/>
      <c r="AM3537" s="48" t="n"/>
      <c r="AN3537" s="48" t="n"/>
      <c r="AO3537" s="48" t="n"/>
    </row>
    <row r="3538">
      <c r="M3538" s="25" t="n"/>
      <c r="Q3538" s="25" t="n"/>
      <c r="U3538" s="194" t="n"/>
      <c r="AA3538" s="25" t="n"/>
      <c r="AB3538" s="25" t="n"/>
      <c r="AC3538" s="195" t="n"/>
      <c r="AD3538" s="25" t="n"/>
      <c r="AE3538" s="25" t="n"/>
      <c r="AG3538" s="25" t="n"/>
      <c r="AH3538" s="25" t="n"/>
      <c r="AI3538" s="394" t="n"/>
      <c r="AM3538" s="48" t="n"/>
      <c r="AN3538" s="48" t="n"/>
      <c r="AO3538" s="48" t="n"/>
    </row>
    <row r="3539">
      <c r="M3539" s="25" t="n"/>
      <c r="Q3539" s="25" t="n"/>
      <c r="U3539" s="194" t="n"/>
      <c r="AA3539" s="25" t="n"/>
      <c r="AB3539" s="25" t="n"/>
      <c r="AC3539" s="195" t="n"/>
      <c r="AD3539" s="25" t="n"/>
      <c r="AE3539" s="25" t="n"/>
      <c r="AG3539" s="25" t="n"/>
      <c r="AH3539" s="25" t="n"/>
      <c r="AI3539" s="394" t="n"/>
      <c r="AM3539" s="48" t="n"/>
      <c r="AN3539" s="48" t="n"/>
      <c r="AO3539" s="48" t="n"/>
    </row>
    <row r="3540">
      <c r="M3540" s="25" t="n"/>
      <c r="Q3540" s="25" t="n"/>
      <c r="U3540" s="194" t="n"/>
      <c r="AA3540" s="25" t="n"/>
      <c r="AB3540" s="25" t="n"/>
      <c r="AC3540" s="195" t="n"/>
      <c r="AD3540" s="25" t="n"/>
      <c r="AE3540" s="25" t="n"/>
      <c r="AG3540" s="25" t="n"/>
      <c r="AH3540" s="25" t="n"/>
      <c r="AI3540" s="394" t="n"/>
      <c r="AM3540" s="48" t="n"/>
      <c r="AN3540" s="48" t="n"/>
      <c r="AO3540" s="48" t="n"/>
    </row>
    <row r="3541">
      <c r="M3541" s="25" t="n"/>
      <c r="Q3541" s="25" t="n"/>
      <c r="U3541" s="194" t="n"/>
      <c r="AA3541" s="25" t="n"/>
      <c r="AB3541" s="25" t="n"/>
      <c r="AC3541" s="195" t="n"/>
      <c r="AD3541" s="25" t="n"/>
      <c r="AE3541" s="25" t="n"/>
      <c r="AG3541" s="25" t="n"/>
      <c r="AH3541" s="25" t="n"/>
      <c r="AI3541" s="394" t="n"/>
      <c r="AM3541" s="48" t="n"/>
      <c r="AN3541" s="48" t="n"/>
      <c r="AO3541" s="48" t="n"/>
    </row>
    <row r="3542">
      <c r="M3542" s="25" t="n"/>
      <c r="Q3542" s="25" t="n"/>
      <c r="U3542" s="194" t="n"/>
      <c r="AA3542" s="25" t="n"/>
      <c r="AB3542" s="25" t="n"/>
      <c r="AC3542" s="195" t="n"/>
      <c r="AD3542" s="25" t="n"/>
      <c r="AE3542" s="25" t="n"/>
      <c r="AG3542" s="25" t="n"/>
      <c r="AH3542" s="25" t="n"/>
      <c r="AI3542" s="394" t="n"/>
      <c r="AM3542" s="48" t="n"/>
      <c r="AN3542" s="48" t="n"/>
      <c r="AO3542" s="48" t="n"/>
    </row>
    <row r="3543">
      <c r="M3543" s="25" t="n"/>
      <c r="Q3543" s="25" t="n"/>
      <c r="U3543" s="194" t="n"/>
      <c r="AA3543" s="25" t="n"/>
      <c r="AB3543" s="25" t="n"/>
      <c r="AC3543" s="195" t="n"/>
      <c r="AD3543" s="25" t="n"/>
      <c r="AE3543" s="25" t="n"/>
      <c r="AG3543" s="25" t="n"/>
      <c r="AH3543" s="25" t="n"/>
      <c r="AI3543" s="394" t="n"/>
      <c r="AM3543" s="48" t="n"/>
      <c r="AN3543" s="48" t="n"/>
      <c r="AO3543" s="48" t="n"/>
    </row>
    <row r="3544">
      <c r="M3544" s="25" t="n"/>
      <c r="Q3544" s="25" t="n"/>
      <c r="U3544" s="194" t="n"/>
      <c r="AA3544" s="25" t="n"/>
      <c r="AB3544" s="25" t="n"/>
      <c r="AC3544" s="195" t="n"/>
      <c r="AD3544" s="25" t="n"/>
      <c r="AE3544" s="25" t="n"/>
      <c r="AG3544" s="25" t="n"/>
      <c r="AH3544" s="25" t="n"/>
      <c r="AI3544" s="394" t="n"/>
      <c r="AM3544" s="48" t="n"/>
      <c r="AN3544" s="48" t="n"/>
      <c r="AO3544" s="48" t="n"/>
    </row>
    <row r="3545">
      <c r="M3545" s="25" t="n"/>
      <c r="Q3545" s="25" t="n"/>
      <c r="U3545" s="194" t="n"/>
      <c r="AA3545" s="25" t="n"/>
      <c r="AB3545" s="25" t="n"/>
      <c r="AC3545" s="195" t="n"/>
      <c r="AD3545" s="25" t="n"/>
      <c r="AE3545" s="25" t="n"/>
      <c r="AG3545" s="25" t="n"/>
      <c r="AH3545" s="25" t="n"/>
      <c r="AI3545" s="394" t="n"/>
      <c r="AM3545" s="48" t="n"/>
      <c r="AN3545" s="48" t="n"/>
      <c r="AO3545" s="48" t="n"/>
    </row>
    <row r="3546">
      <c r="M3546" s="25" t="n"/>
      <c r="Q3546" s="25" t="n"/>
      <c r="U3546" s="194" t="n"/>
      <c r="AA3546" s="25" t="n"/>
      <c r="AB3546" s="25" t="n"/>
      <c r="AC3546" s="195" t="n"/>
      <c r="AD3546" s="25" t="n"/>
      <c r="AE3546" s="25" t="n"/>
      <c r="AG3546" s="25" t="n"/>
      <c r="AH3546" s="25" t="n"/>
      <c r="AI3546" s="394" t="n"/>
      <c r="AM3546" s="48" t="n"/>
      <c r="AN3546" s="48" t="n"/>
      <c r="AO3546" s="48" t="n"/>
    </row>
    <row r="3547">
      <c r="M3547" s="25" t="n"/>
      <c r="Q3547" s="25" t="n"/>
      <c r="U3547" s="194" t="n"/>
      <c r="AA3547" s="25" t="n"/>
      <c r="AB3547" s="25" t="n"/>
      <c r="AC3547" s="195" t="n"/>
      <c r="AD3547" s="25" t="n"/>
      <c r="AE3547" s="25" t="n"/>
      <c r="AG3547" s="25" t="n"/>
      <c r="AH3547" s="25" t="n"/>
      <c r="AI3547" s="394" t="n"/>
      <c r="AM3547" s="48" t="n"/>
      <c r="AN3547" s="48" t="n"/>
      <c r="AO3547" s="48" t="n"/>
    </row>
    <row r="3548">
      <c r="M3548" s="25" t="n"/>
      <c r="Q3548" s="25" t="n"/>
      <c r="U3548" s="194" t="n"/>
      <c r="AA3548" s="25" t="n"/>
      <c r="AB3548" s="25" t="n"/>
      <c r="AC3548" s="195" t="n"/>
      <c r="AD3548" s="25" t="n"/>
      <c r="AE3548" s="25" t="n"/>
      <c r="AG3548" s="25" t="n"/>
      <c r="AH3548" s="25" t="n"/>
      <c r="AI3548" s="394" t="n"/>
      <c r="AM3548" s="48" t="n"/>
      <c r="AN3548" s="48" t="n"/>
      <c r="AO3548" s="48" t="n"/>
    </row>
    <row r="3549">
      <c r="M3549" s="25" t="n"/>
      <c r="Q3549" s="25" t="n"/>
      <c r="U3549" s="194" t="n"/>
      <c r="AA3549" s="25" t="n"/>
      <c r="AB3549" s="25" t="n"/>
      <c r="AC3549" s="195" t="n"/>
      <c r="AD3549" s="25" t="n"/>
      <c r="AE3549" s="25" t="n"/>
      <c r="AG3549" s="25" t="n"/>
      <c r="AH3549" s="25" t="n"/>
      <c r="AI3549" s="394" t="n"/>
      <c r="AM3549" s="48" t="n"/>
      <c r="AN3549" s="48" t="n"/>
      <c r="AO3549" s="48" t="n"/>
    </row>
    <row r="3550">
      <c r="M3550" s="25" t="n"/>
      <c r="Q3550" s="25" t="n"/>
      <c r="U3550" s="194" t="n"/>
      <c r="AA3550" s="25" t="n"/>
      <c r="AB3550" s="25" t="n"/>
      <c r="AC3550" s="195" t="n"/>
      <c r="AD3550" s="25" t="n"/>
      <c r="AE3550" s="25" t="n"/>
      <c r="AG3550" s="25" t="n"/>
      <c r="AH3550" s="25" t="n"/>
      <c r="AI3550" s="394" t="n"/>
      <c r="AM3550" s="48" t="n"/>
      <c r="AN3550" s="48" t="n"/>
      <c r="AO3550" s="48" t="n"/>
    </row>
    <row r="3551">
      <c r="M3551" s="25" t="n"/>
      <c r="Q3551" s="25" t="n"/>
      <c r="U3551" s="194" t="n"/>
      <c r="AA3551" s="25" t="n"/>
      <c r="AB3551" s="25" t="n"/>
      <c r="AC3551" s="195" t="n"/>
      <c r="AD3551" s="25" t="n"/>
      <c r="AE3551" s="25" t="n"/>
      <c r="AG3551" s="25" t="n"/>
      <c r="AH3551" s="25" t="n"/>
      <c r="AI3551" s="394" t="n"/>
      <c r="AM3551" s="48" t="n"/>
      <c r="AN3551" s="48" t="n"/>
      <c r="AO3551" s="48" t="n"/>
    </row>
    <row r="3552">
      <c r="M3552" s="25" t="n"/>
      <c r="Q3552" s="25" t="n"/>
      <c r="U3552" s="194" t="n"/>
      <c r="AA3552" s="25" t="n"/>
      <c r="AB3552" s="25" t="n"/>
      <c r="AC3552" s="195" t="n"/>
      <c r="AD3552" s="25" t="n"/>
      <c r="AE3552" s="25" t="n"/>
      <c r="AG3552" s="25" t="n"/>
      <c r="AH3552" s="25" t="n"/>
      <c r="AI3552" s="394" t="n"/>
      <c r="AM3552" s="48" t="n"/>
      <c r="AN3552" s="48" t="n"/>
      <c r="AO3552" s="48" t="n"/>
    </row>
    <row r="3553">
      <c r="M3553" s="25" t="n"/>
      <c r="Q3553" s="25" t="n"/>
      <c r="U3553" s="194" t="n"/>
      <c r="AA3553" s="25" t="n"/>
      <c r="AB3553" s="25" t="n"/>
      <c r="AC3553" s="195" t="n"/>
      <c r="AD3553" s="25" t="n"/>
      <c r="AE3553" s="25" t="n"/>
      <c r="AG3553" s="25" t="n"/>
      <c r="AH3553" s="25" t="n"/>
      <c r="AI3553" s="394" t="n"/>
      <c r="AM3553" s="48" t="n"/>
      <c r="AN3553" s="48" t="n"/>
      <c r="AO3553" s="48" t="n"/>
    </row>
    <row r="3554">
      <c r="M3554" s="25" t="n"/>
      <c r="Q3554" s="25" t="n"/>
      <c r="U3554" s="194" t="n"/>
      <c r="AA3554" s="25" t="n"/>
      <c r="AB3554" s="25" t="n"/>
      <c r="AC3554" s="195" t="n"/>
      <c r="AD3554" s="25" t="n"/>
      <c r="AE3554" s="25" t="n"/>
      <c r="AG3554" s="25" t="n"/>
      <c r="AH3554" s="25" t="n"/>
      <c r="AI3554" s="394" t="n"/>
      <c r="AM3554" s="48" t="n"/>
      <c r="AN3554" s="48" t="n"/>
      <c r="AO3554" s="48" t="n"/>
    </row>
    <row r="3555">
      <c r="M3555" s="25" t="n"/>
      <c r="Q3555" s="25" t="n"/>
      <c r="U3555" s="194" t="n"/>
      <c r="AA3555" s="25" t="n"/>
      <c r="AB3555" s="25" t="n"/>
      <c r="AC3555" s="195" t="n"/>
      <c r="AD3555" s="25" t="n"/>
      <c r="AE3555" s="25" t="n"/>
      <c r="AG3555" s="25" t="n"/>
      <c r="AH3555" s="25" t="n"/>
      <c r="AI3555" s="394" t="n"/>
      <c r="AM3555" s="48" t="n"/>
      <c r="AN3555" s="48" t="n"/>
      <c r="AO3555" s="48" t="n"/>
    </row>
    <row r="3556">
      <c r="M3556" s="25" t="n"/>
      <c r="Q3556" s="25" t="n"/>
      <c r="U3556" s="194" t="n"/>
      <c r="AA3556" s="25" t="n"/>
      <c r="AB3556" s="25" t="n"/>
      <c r="AC3556" s="195" t="n"/>
      <c r="AD3556" s="25" t="n"/>
      <c r="AE3556" s="25" t="n"/>
      <c r="AG3556" s="25" t="n"/>
      <c r="AH3556" s="25" t="n"/>
      <c r="AI3556" s="394" t="n"/>
      <c r="AM3556" s="48" t="n"/>
      <c r="AN3556" s="48" t="n"/>
      <c r="AO3556" s="48" t="n"/>
    </row>
    <row r="3557">
      <c r="M3557" s="25" t="n"/>
      <c r="Q3557" s="25" t="n"/>
      <c r="U3557" s="194" t="n"/>
      <c r="AA3557" s="25" t="n"/>
      <c r="AB3557" s="25" t="n"/>
      <c r="AC3557" s="195" t="n"/>
      <c r="AD3557" s="25" t="n"/>
      <c r="AE3557" s="25" t="n"/>
      <c r="AG3557" s="25" t="n"/>
      <c r="AH3557" s="25" t="n"/>
      <c r="AI3557" s="394" t="n"/>
      <c r="AM3557" s="48" t="n"/>
      <c r="AN3557" s="48" t="n"/>
      <c r="AO3557" s="48" t="n"/>
    </row>
    <row r="3558">
      <c r="M3558" s="25" t="n"/>
      <c r="Q3558" s="25" t="n"/>
      <c r="U3558" s="194" t="n"/>
      <c r="AA3558" s="25" t="n"/>
      <c r="AB3558" s="25" t="n"/>
      <c r="AC3558" s="195" t="n"/>
      <c r="AD3558" s="25" t="n"/>
      <c r="AE3558" s="25" t="n"/>
      <c r="AG3558" s="25" t="n"/>
      <c r="AH3558" s="25" t="n"/>
      <c r="AI3558" s="394" t="n"/>
      <c r="AM3558" s="48" t="n"/>
      <c r="AN3558" s="48" t="n"/>
      <c r="AO3558" s="48" t="n"/>
    </row>
    <row r="3559">
      <c r="M3559" s="25" t="n"/>
      <c r="Q3559" s="25" t="n"/>
      <c r="U3559" s="194" t="n"/>
      <c r="AA3559" s="25" t="n"/>
      <c r="AB3559" s="25" t="n"/>
      <c r="AC3559" s="195" t="n"/>
      <c r="AD3559" s="25" t="n"/>
      <c r="AE3559" s="25" t="n"/>
      <c r="AG3559" s="25" t="n"/>
      <c r="AH3559" s="25" t="n"/>
      <c r="AI3559" s="394" t="n"/>
      <c r="AM3559" s="48" t="n"/>
      <c r="AN3559" s="48" t="n"/>
      <c r="AO3559" s="48" t="n"/>
    </row>
    <row r="3560">
      <c r="M3560" s="25" t="n"/>
      <c r="Q3560" s="25" t="n"/>
      <c r="U3560" s="194" t="n"/>
      <c r="AA3560" s="25" t="n"/>
      <c r="AB3560" s="25" t="n"/>
      <c r="AC3560" s="195" t="n"/>
      <c r="AD3560" s="25" t="n"/>
      <c r="AE3560" s="25" t="n"/>
      <c r="AG3560" s="25" t="n"/>
      <c r="AH3560" s="25" t="n"/>
      <c r="AI3560" s="394" t="n"/>
      <c r="AM3560" s="48" t="n"/>
      <c r="AN3560" s="48" t="n"/>
      <c r="AO3560" s="48" t="n"/>
    </row>
    <row r="3561">
      <c r="M3561" s="25" t="n"/>
      <c r="Q3561" s="25" t="n"/>
      <c r="U3561" s="194" t="n"/>
      <c r="AA3561" s="25" t="n"/>
      <c r="AB3561" s="25" t="n"/>
      <c r="AC3561" s="195" t="n"/>
      <c r="AD3561" s="25" t="n"/>
      <c r="AE3561" s="25" t="n"/>
      <c r="AG3561" s="25" t="n"/>
      <c r="AH3561" s="25" t="n"/>
      <c r="AI3561" s="394" t="n"/>
      <c r="AM3561" s="48" t="n"/>
      <c r="AN3561" s="48" t="n"/>
      <c r="AO3561" s="48" t="n"/>
    </row>
    <row r="3562">
      <c r="M3562" s="25" t="n"/>
      <c r="Q3562" s="25" t="n"/>
      <c r="U3562" s="194" t="n"/>
      <c r="AA3562" s="25" t="n"/>
      <c r="AB3562" s="25" t="n"/>
      <c r="AC3562" s="195" t="n"/>
      <c r="AD3562" s="25" t="n"/>
      <c r="AE3562" s="25" t="n"/>
      <c r="AG3562" s="25" t="n"/>
      <c r="AH3562" s="25" t="n"/>
      <c r="AI3562" s="394" t="n"/>
      <c r="AM3562" s="48" t="n"/>
      <c r="AN3562" s="48" t="n"/>
      <c r="AO3562" s="48" t="n"/>
    </row>
    <row r="3563">
      <c r="M3563" s="25" t="n"/>
      <c r="Q3563" s="25" t="n"/>
      <c r="U3563" s="194" t="n"/>
      <c r="AA3563" s="25" t="n"/>
      <c r="AB3563" s="25" t="n"/>
      <c r="AC3563" s="195" t="n"/>
      <c r="AD3563" s="25" t="n"/>
      <c r="AE3563" s="25" t="n"/>
      <c r="AG3563" s="25" t="n"/>
      <c r="AH3563" s="25" t="n"/>
      <c r="AI3563" s="394" t="n"/>
      <c r="AM3563" s="48" t="n"/>
      <c r="AN3563" s="48" t="n"/>
      <c r="AO3563" s="48" t="n"/>
    </row>
    <row r="3564">
      <c r="M3564" s="25" t="n"/>
      <c r="Q3564" s="25" t="n"/>
      <c r="U3564" s="194" t="n"/>
      <c r="AA3564" s="25" t="n"/>
      <c r="AB3564" s="25" t="n"/>
      <c r="AC3564" s="195" t="n"/>
      <c r="AD3564" s="25" t="n"/>
      <c r="AE3564" s="25" t="n"/>
      <c r="AG3564" s="25" t="n"/>
      <c r="AH3564" s="25" t="n"/>
      <c r="AI3564" s="394" t="n"/>
      <c r="AM3564" s="48" t="n"/>
      <c r="AN3564" s="48" t="n"/>
      <c r="AO3564" s="48" t="n"/>
    </row>
    <row r="3565">
      <c r="M3565" s="25" t="n"/>
      <c r="Q3565" s="25" t="n"/>
      <c r="U3565" s="194" t="n"/>
      <c r="AA3565" s="25" t="n"/>
      <c r="AB3565" s="25" t="n"/>
      <c r="AC3565" s="195" t="n"/>
      <c r="AD3565" s="25" t="n"/>
      <c r="AE3565" s="25" t="n"/>
      <c r="AG3565" s="25" t="n"/>
      <c r="AH3565" s="25" t="n"/>
      <c r="AI3565" s="394" t="n"/>
      <c r="AM3565" s="48" t="n"/>
      <c r="AN3565" s="48" t="n"/>
      <c r="AO3565" s="48" t="n"/>
    </row>
    <row r="3566">
      <c r="M3566" s="25" t="n"/>
      <c r="Q3566" s="25" t="n"/>
      <c r="U3566" s="194" t="n"/>
      <c r="AA3566" s="25" t="n"/>
      <c r="AB3566" s="25" t="n"/>
      <c r="AC3566" s="195" t="n"/>
      <c r="AD3566" s="25" t="n"/>
      <c r="AE3566" s="25" t="n"/>
      <c r="AG3566" s="25" t="n"/>
      <c r="AH3566" s="25" t="n"/>
      <c r="AI3566" s="394" t="n"/>
      <c r="AM3566" s="48" t="n"/>
      <c r="AN3566" s="48" t="n"/>
      <c r="AO3566" s="48" t="n"/>
    </row>
    <row r="3567">
      <c r="M3567" s="25" t="n"/>
      <c r="Q3567" s="25" t="n"/>
      <c r="U3567" s="194" t="n"/>
      <c r="AA3567" s="25" t="n"/>
      <c r="AB3567" s="25" t="n"/>
      <c r="AC3567" s="195" t="n"/>
      <c r="AD3567" s="25" t="n"/>
      <c r="AE3567" s="25" t="n"/>
      <c r="AG3567" s="25" t="n"/>
      <c r="AH3567" s="25" t="n"/>
      <c r="AI3567" s="394" t="n"/>
      <c r="AM3567" s="48" t="n"/>
      <c r="AN3567" s="48" t="n"/>
      <c r="AO3567" s="48" t="n"/>
    </row>
    <row r="3568">
      <c r="M3568" s="25" t="n"/>
      <c r="Q3568" s="25" t="n"/>
      <c r="U3568" s="194" t="n"/>
      <c r="AA3568" s="25" t="n"/>
      <c r="AB3568" s="25" t="n"/>
      <c r="AC3568" s="195" t="n"/>
      <c r="AD3568" s="25" t="n"/>
      <c r="AE3568" s="25" t="n"/>
      <c r="AG3568" s="25" t="n"/>
      <c r="AH3568" s="25" t="n"/>
      <c r="AI3568" s="394" t="n"/>
      <c r="AM3568" s="48" t="n"/>
      <c r="AN3568" s="48" t="n"/>
      <c r="AO3568" s="48" t="n"/>
    </row>
    <row r="3569">
      <c r="M3569" s="25" t="n"/>
      <c r="Q3569" s="25" t="n"/>
      <c r="U3569" s="194" t="n"/>
      <c r="AA3569" s="25" t="n"/>
      <c r="AB3569" s="25" t="n"/>
      <c r="AC3569" s="195" t="n"/>
      <c r="AD3569" s="25" t="n"/>
      <c r="AE3569" s="25" t="n"/>
      <c r="AG3569" s="25" t="n"/>
      <c r="AH3569" s="25" t="n"/>
      <c r="AI3569" s="394" t="n"/>
      <c r="AM3569" s="48" t="n"/>
      <c r="AN3569" s="48" t="n"/>
      <c r="AO3569" s="48" t="n"/>
    </row>
    <row r="3570">
      <c r="M3570" s="25" t="n"/>
      <c r="Q3570" s="25" t="n"/>
      <c r="U3570" s="194" t="n"/>
      <c r="AA3570" s="25" t="n"/>
      <c r="AB3570" s="25" t="n"/>
      <c r="AC3570" s="195" t="n"/>
      <c r="AD3570" s="25" t="n"/>
      <c r="AE3570" s="25" t="n"/>
      <c r="AG3570" s="25" t="n"/>
      <c r="AH3570" s="25" t="n"/>
      <c r="AI3570" s="394" t="n"/>
      <c r="AM3570" s="48" t="n"/>
      <c r="AN3570" s="48" t="n"/>
      <c r="AO3570" s="48" t="n"/>
    </row>
    <row r="3571">
      <c r="M3571" s="25" t="n"/>
      <c r="Q3571" s="25" t="n"/>
      <c r="U3571" s="194" t="n"/>
      <c r="AA3571" s="25" t="n"/>
      <c r="AB3571" s="25" t="n"/>
      <c r="AC3571" s="195" t="n"/>
      <c r="AD3571" s="25" t="n"/>
      <c r="AE3571" s="25" t="n"/>
      <c r="AG3571" s="25" t="n"/>
      <c r="AH3571" s="25" t="n"/>
      <c r="AI3571" s="394" t="n"/>
      <c r="AM3571" s="48" t="n"/>
      <c r="AN3571" s="48" t="n"/>
      <c r="AO3571" s="48" t="n"/>
    </row>
    <row r="3572">
      <c r="M3572" s="25" t="n"/>
      <c r="Q3572" s="25" t="n"/>
      <c r="U3572" s="194" t="n"/>
      <c r="AA3572" s="25" t="n"/>
      <c r="AB3572" s="25" t="n"/>
      <c r="AC3572" s="195" t="n"/>
      <c r="AD3572" s="25" t="n"/>
      <c r="AE3572" s="25" t="n"/>
      <c r="AG3572" s="25" t="n"/>
      <c r="AH3572" s="25" t="n"/>
      <c r="AI3572" s="394" t="n"/>
      <c r="AM3572" s="48" t="n"/>
      <c r="AN3572" s="48" t="n"/>
      <c r="AO3572" s="48" t="n"/>
    </row>
    <row r="3573">
      <c r="M3573" s="25" t="n"/>
      <c r="Q3573" s="25" t="n"/>
      <c r="U3573" s="194" t="n"/>
      <c r="AA3573" s="25" t="n"/>
      <c r="AB3573" s="25" t="n"/>
      <c r="AC3573" s="195" t="n"/>
      <c r="AD3573" s="25" t="n"/>
      <c r="AE3573" s="25" t="n"/>
      <c r="AG3573" s="25" t="n"/>
      <c r="AH3573" s="25" t="n"/>
      <c r="AI3573" s="394" t="n"/>
      <c r="AM3573" s="48" t="n"/>
      <c r="AN3573" s="48" t="n"/>
      <c r="AO3573" s="48" t="n"/>
    </row>
    <row r="3574">
      <c r="M3574" s="25" t="n"/>
      <c r="Q3574" s="25" t="n"/>
      <c r="U3574" s="194" t="n"/>
      <c r="AA3574" s="25" t="n"/>
      <c r="AB3574" s="25" t="n"/>
      <c r="AC3574" s="195" t="n"/>
      <c r="AD3574" s="25" t="n"/>
      <c r="AE3574" s="25" t="n"/>
      <c r="AG3574" s="25" t="n"/>
      <c r="AH3574" s="25" t="n"/>
      <c r="AI3574" s="394" t="n"/>
      <c r="AM3574" s="48" t="n"/>
      <c r="AN3574" s="48" t="n"/>
      <c r="AO3574" s="48" t="n"/>
    </row>
    <row r="3575">
      <c r="M3575" s="25" t="n"/>
      <c r="Q3575" s="25" t="n"/>
      <c r="U3575" s="194" t="n"/>
      <c r="AA3575" s="25" t="n"/>
      <c r="AB3575" s="25" t="n"/>
      <c r="AC3575" s="195" t="n"/>
      <c r="AD3575" s="25" t="n"/>
      <c r="AE3575" s="25" t="n"/>
      <c r="AG3575" s="25" t="n"/>
      <c r="AH3575" s="25" t="n"/>
      <c r="AI3575" s="394" t="n"/>
      <c r="AM3575" s="48" t="n"/>
      <c r="AN3575" s="48" t="n"/>
      <c r="AO3575" s="48" t="n"/>
    </row>
    <row r="3576">
      <c r="M3576" s="25" t="n"/>
      <c r="Q3576" s="25" t="n"/>
      <c r="U3576" s="194" t="n"/>
      <c r="AA3576" s="25" t="n"/>
      <c r="AB3576" s="25" t="n"/>
      <c r="AC3576" s="195" t="n"/>
      <c r="AD3576" s="25" t="n"/>
      <c r="AE3576" s="25" t="n"/>
      <c r="AG3576" s="25" t="n"/>
      <c r="AH3576" s="25" t="n"/>
      <c r="AI3576" s="394" t="n"/>
      <c r="AM3576" s="48" t="n"/>
      <c r="AN3576" s="48" t="n"/>
      <c r="AO3576" s="48" t="n"/>
    </row>
    <row r="3577">
      <c r="M3577" s="25" t="n"/>
      <c r="Q3577" s="25" t="n"/>
      <c r="U3577" s="194" t="n"/>
      <c r="AA3577" s="25" t="n"/>
      <c r="AB3577" s="25" t="n"/>
      <c r="AC3577" s="195" t="n"/>
      <c r="AD3577" s="25" t="n"/>
      <c r="AE3577" s="25" t="n"/>
      <c r="AG3577" s="25" t="n"/>
      <c r="AH3577" s="25" t="n"/>
      <c r="AI3577" s="394" t="n"/>
      <c r="AM3577" s="48" t="n"/>
      <c r="AN3577" s="48" t="n"/>
      <c r="AO3577" s="48" t="n"/>
    </row>
    <row r="3578">
      <c r="M3578" s="25" t="n"/>
      <c r="Q3578" s="25" t="n"/>
      <c r="U3578" s="194" t="n"/>
      <c r="AA3578" s="25" t="n"/>
      <c r="AB3578" s="25" t="n"/>
      <c r="AC3578" s="195" t="n"/>
      <c r="AD3578" s="25" t="n"/>
      <c r="AE3578" s="25" t="n"/>
      <c r="AG3578" s="25" t="n"/>
      <c r="AH3578" s="25" t="n"/>
      <c r="AI3578" s="394" t="n"/>
      <c r="AM3578" s="48" t="n"/>
      <c r="AN3578" s="48" t="n"/>
      <c r="AO3578" s="48" t="n"/>
    </row>
    <row r="3579">
      <c r="M3579" s="25" t="n"/>
      <c r="Q3579" s="25" t="n"/>
      <c r="U3579" s="194" t="n"/>
      <c r="AA3579" s="25" t="n"/>
      <c r="AB3579" s="25" t="n"/>
      <c r="AC3579" s="195" t="n"/>
      <c r="AD3579" s="25" t="n"/>
      <c r="AE3579" s="25" t="n"/>
      <c r="AG3579" s="25" t="n"/>
      <c r="AH3579" s="25" t="n"/>
      <c r="AI3579" s="394" t="n"/>
      <c r="AM3579" s="48" t="n"/>
      <c r="AN3579" s="48" t="n"/>
      <c r="AO3579" s="48" t="n"/>
    </row>
    <row r="3580">
      <c r="M3580" s="25" t="n"/>
      <c r="Q3580" s="25" t="n"/>
      <c r="U3580" s="194" t="n"/>
      <c r="AA3580" s="25" t="n"/>
      <c r="AB3580" s="25" t="n"/>
      <c r="AC3580" s="195" t="n"/>
      <c r="AD3580" s="25" t="n"/>
      <c r="AE3580" s="25" t="n"/>
      <c r="AG3580" s="25" t="n"/>
      <c r="AH3580" s="25" t="n"/>
      <c r="AI3580" s="394" t="n"/>
      <c r="AM3580" s="48" t="n"/>
      <c r="AN3580" s="48" t="n"/>
      <c r="AO3580" s="48" t="n"/>
    </row>
    <row r="3581">
      <c r="M3581" s="25" t="n"/>
      <c r="Q3581" s="25" t="n"/>
      <c r="U3581" s="194" t="n"/>
      <c r="AA3581" s="25" t="n"/>
      <c r="AB3581" s="25" t="n"/>
      <c r="AC3581" s="195" t="n"/>
      <c r="AD3581" s="25" t="n"/>
      <c r="AE3581" s="25" t="n"/>
      <c r="AG3581" s="25" t="n"/>
      <c r="AH3581" s="25" t="n"/>
      <c r="AI3581" s="394" t="n"/>
      <c r="AM3581" s="48" t="n"/>
      <c r="AN3581" s="48" t="n"/>
      <c r="AO3581" s="48" t="n"/>
    </row>
    <row r="3582">
      <c r="M3582" s="25" t="n"/>
      <c r="Q3582" s="25" t="n"/>
      <c r="U3582" s="194" t="n"/>
      <c r="AA3582" s="25" t="n"/>
      <c r="AB3582" s="25" t="n"/>
      <c r="AC3582" s="195" t="n"/>
      <c r="AD3582" s="25" t="n"/>
      <c r="AE3582" s="25" t="n"/>
      <c r="AG3582" s="25" t="n"/>
      <c r="AH3582" s="25" t="n"/>
      <c r="AI3582" s="394" t="n"/>
      <c r="AM3582" s="48" t="n"/>
      <c r="AN3582" s="48" t="n"/>
      <c r="AO3582" s="48" t="n"/>
    </row>
    <row r="3583">
      <c r="M3583" s="25" t="n"/>
      <c r="Q3583" s="25" t="n"/>
      <c r="U3583" s="194" t="n"/>
      <c r="AA3583" s="25" t="n"/>
      <c r="AB3583" s="25" t="n"/>
      <c r="AC3583" s="195" t="n"/>
      <c r="AD3583" s="25" t="n"/>
      <c r="AE3583" s="25" t="n"/>
      <c r="AG3583" s="25" t="n"/>
      <c r="AH3583" s="25" t="n"/>
      <c r="AI3583" s="394" t="n"/>
      <c r="AM3583" s="48" t="n"/>
      <c r="AN3583" s="48" t="n"/>
      <c r="AO3583" s="48" t="n"/>
    </row>
    <row r="3584">
      <c r="M3584" s="25" t="n"/>
      <c r="Q3584" s="25" t="n"/>
      <c r="U3584" s="194" t="n"/>
      <c r="AA3584" s="25" t="n"/>
      <c r="AB3584" s="25" t="n"/>
      <c r="AC3584" s="195" t="n"/>
      <c r="AD3584" s="25" t="n"/>
      <c r="AE3584" s="25" t="n"/>
      <c r="AG3584" s="25" t="n"/>
      <c r="AH3584" s="25" t="n"/>
      <c r="AI3584" s="394" t="n"/>
      <c r="AM3584" s="48" t="n"/>
      <c r="AN3584" s="48" t="n"/>
      <c r="AO3584" s="48" t="n"/>
    </row>
    <row r="3585">
      <c r="M3585" s="25" t="n"/>
      <c r="Q3585" s="25" t="n"/>
      <c r="U3585" s="194" t="n"/>
      <c r="AA3585" s="25" t="n"/>
      <c r="AB3585" s="25" t="n"/>
      <c r="AC3585" s="195" t="n"/>
      <c r="AD3585" s="25" t="n"/>
      <c r="AE3585" s="25" t="n"/>
      <c r="AG3585" s="25" t="n"/>
      <c r="AH3585" s="25" t="n"/>
      <c r="AI3585" s="394" t="n"/>
      <c r="AM3585" s="48" t="n"/>
      <c r="AN3585" s="48" t="n"/>
      <c r="AO3585" s="48" t="n"/>
    </row>
    <row r="3586">
      <c r="M3586" s="25" t="n"/>
      <c r="Q3586" s="25" t="n"/>
      <c r="U3586" s="194" t="n"/>
      <c r="AA3586" s="25" t="n"/>
      <c r="AB3586" s="25" t="n"/>
      <c r="AC3586" s="195" t="n"/>
      <c r="AD3586" s="25" t="n"/>
      <c r="AE3586" s="25" t="n"/>
      <c r="AG3586" s="25" t="n"/>
      <c r="AH3586" s="25" t="n"/>
      <c r="AI3586" s="394" t="n"/>
      <c r="AM3586" s="48" t="n"/>
      <c r="AN3586" s="48" t="n"/>
      <c r="AO3586" s="48" t="n"/>
    </row>
    <row r="3587">
      <c r="M3587" s="25" t="n"/>
      <c r="Q3587" s="25" t="n"/>
      <c r="U3587" s="194" t="n"/>
      <c r="AA3587" s="25" t="n"/>
      <c r="AB3587" s="25" t="n"/>
      <c r="AC3587" s="195" t="n"/>
      <c r="AD3587" s="25" t="n"/>
      <c r="AE3587" s="25" t="n"/>
      <c r="AG3587" s="25" t="n"/>
      <c r="AH3587" s="25" t="n"/>
      <c r="AI3587" s="394" t="n"/>
      <c r="AM3587" s="48" t="n"/>
      <c r="AN3587" s="48" t="n"/>
      <c r="AO3587" s="48" t="n"/>
    </row>
    <row r="3588">
      <c r="M3588" s="25" t="n"/>
      <c r="Q3588" s="25" t="n"/>
      <c r="U3588" s="194" t="n"/>
      <c r="AA3588" s="25" t="n"/>
      <c r="AB3588" s="25" t="n"/>
      <c r="AC3588" s="195" t="n"/>
      <c r="AD3588" s="25" t="n"/>
      <c r="AE3588" s="25" t="n"/>
      <c r="AG3588" s="25" t="n"/>
      <c r="AH3588" s="25" t="n"/>
      <c r="AI3588" s="394" t="n"/>
      <c r="AM3588" s="48" t="n"/>
      <c r="AN3588" s="48" t="n"/>
      <c r="AO3588" s="48" t="n"/>
    </row>
    <row r="3589">
      <c r="M3589" s="25" t="n"/>
      <c r="Q3589" s="25" t="n"/>
      <c r="U3589" s="194" t="n"/>
      <c r="AA3589" s="25" t="n"/>
      <c r="AB3589" s="25" t="n"/>
      <c r="AC3589" s="195" t="n"/>
      <c r="AD3589" s="25" t="n"/>
      <c r="AE3589" s="25" t="n"/>
      <c r="AG3589" s="25" t="n"/>
      <c r="AH3589" s="25" t="n"/>
      <c r="AI3589" s="394" t="n"/>
      <c r="AM3589" s="48" t="n"/>
      <c r="AN3589" s="48" t="n"/>
      <c r="AO3589" s="48" t="n"/>
    </row>
    <row r="3590">
      <c r="M3590" s="25" t="n"/>
      <c r="Q3590" s="25" t="n"/>
      <c r="U3590" s="194" t="n"/>
      <c r="AA3590" s="25" t="n"/>
      <c r="AB3590" s="25" t="n"/>
      <c r="AC3590" s="195" t="n"/>
      <c r="AD3590" s="25" t="n"/>
      <c r="AE3590" s="25" t="n"/>
      <c r="AG3590" s="25" t="n"/>
      <c r="AH3590" s="25" t="n"/>
      <c r="AI3590" s="394" t="n"/>
      <c r="AM3590" s="48" t="n"/>
      <c r="AN3590" s="48" t="n"/>
      <c r="AO3590" s="48" t="n"/>
    </row>
    <row r="3591">
      <c r="M3591" s="25" t="n"/>
      <c r="Q3591" s="25" t="n"/>
      <c r="U3591" s="194" t="n"/>
      <c r="AA3591" s="25" t="n"/>
      <c r="AB3591" s="25" t="n"/>
      <c r="AC3591" s="195" t="n"/>
      <c r="AD3591" s="25" t="n"/>
      <c r="AE3591" s="25" t="n"/>
      <c r="AG3591" s="25" t="n"/>
      <c r="AH3591" s="25" t="n"/>
      <c r="AI3591" s="394" t="n"/>
      <c r="AM3591" s="48" t="n"/>
      <c r="AN3591" s="48" t="n"/>
      <c r="AO3591" s="48" t="n"/>
    </row>
    <row r="3592">
      <c r="M3592" s="25" t="n"/>
      <c r="Q3592" s="25" t="n"/>
      <c r="U3592" s="194" t="n"/>
      <c r="AA3592" s="25" t="n"/>
      <c r="AB3592" s="25" t="n"/>
      <c r="AC3592" s="195" t="n"/>
      <c r="AD3592" s="25" t="n"/>
      <c r="AE3592" s="25" t="n"/>
      <c r="AG3592" s="25" t="n"/>
      <c r="AH3592" s="25" t="n"/>
      <c r="AI3592" s="394" t="n"/>
      <c r="AM3592" s="48" t="n"/>
      <c r="AN3592" s="48" t="n"/>
      <c r="AO3592" s="48" t="n"/>
    </row>
    <row r="3593">
      <c r="M3593" s="25" t="n"/>
      <c r="Q3593" s="25" t="n"/>
      <c r="U3593" s="194" t="n"/>
      <c r="AA3593" s="25" t="n"/>
      <c r="AB3593" s="25" t="n"/>
      <c r="AC3593" s="195" t="n"/>
      <c r="AD3593" s="25" t="n"/>
      <c r="AE3593" s="25" t="n"/>
      <c r="AG3593" s="25" t="n"/>
      <c r="AH3593" s="25" t="n"/>
      <c r="AI3593" s="394" t="n"/>
      <c r="AM3593" s="48" t="n"/>
      <c r="AN3593" s="48" t="n"/>
      <c r="AO3593" s="48" t="n"/>
    </row>
    <row r="3594">
      <c r="M3594" s="25" t="n"/>
      <c r="Q3594" s="25" t="n"/>
      <c r="U3594" s="194" t="n"/>
      <c r="AA3594" s="25" t="n"/>
      <c r="AB3594" s="25" t="n"/>
      <c r="AC3594" s="195" t="n"/>
      <c r="AD3594" s="25" t="n"/>
      <c r="AE3594" s="25" t="n"/>
      <c r="AG3594" s="25" t="n"/>
      <c r="AH3594" s="25" t="n"/>
      <c r="AI3594" s="394" t="n"/>
      <c r="AM3594" s="48" t="n"/>
      <c r="AN3594" s="48" t="n"/>
      <c r="AO3594" s="48" t="n"/>
    </row>
    <row r="3595">
      <c r="M3595" s="25" t="n"/>
      <c r="Q3595" s="25" t="n"/>
      <c r="U3595" s="194" t="n"/>
      <c r="AA3595" s="25" t="n"/>
      <c r="AB3595" s="25" t="n"/>
      <c r="AC3595" s="195" t="n"/>
      <c r="AD3595" s="25" t="n"/>
      <c r="AE3595" s="25" t="n"/>
      <c r="AG3595" s="25" t="n"/>
      <c r="AH3595" s="25" t="n"/>
      <c r="AI3595" s="394" t="n"/>
      <c r="AM3595" s="48" t="n"/>
      <c r="AN3595" s="48" t="n"/>
      <c r="AO3595" s="48" t="n"/>
    </row>
    <row r="3596">
      <c r="M3596" s="25" t="n"/>
      <c r="Q3596" s="25" t="n"/>
      <c r="U3596" s="194" t="n"/>
      <c r="AA3596" s="25" t="n"/>
      <c r="AB3596" s="25" t="n"/>
      <c r="AC3596" s="195" t="n"/>
      <c r="AD3596" s="25" t="n"/>
      <c r="AE3596" s="25" t="n"/>
      <c r="AG3596" s="25" t="n"/>
      <c r="AH3596" s="25" t="n"/>
      <c r="AI3596" s="394" t="n"/>
      <c r="AM3596" s="48" t="n"/>
      <c r="AN3596" s="48" t="n"/>
      <c r="AO3596" s="48" t="n"/>
    </row>
    <row r="3597">
      <c r="M3597" s="25" t="n"/>
      <c r="Q3597" s="25" t="n"/>
      <c r="U3597" s="194" t="n"/>
      <c r="AA3597" s="25" t="n"/>
      <c r="AB3597" s="25" t="n"/>
      <c r="AC3597" s="195" t="n"/>
      <c r="AD3597" s="25" t="n"/>
      <c r="AE3597" s="25" t="n"/>
      <c r="AG3597" s="25" t="n"/>
      <c r="AH3597" s="25" t="n"/>
      <c r="AI3597" s="394" t="n"/>
      <c r="AM3597" s="48" t="n"/>
      <c r="AN3597" s="48" t="n"/>
      <c r="AO3597" s="48" t="n"/>
    </row>
    <row r="3598">
      <c r="M3598" s="25" t="n"/>
      <c r="Q3598" s="25" t="n"/>
      <c r="U3598" s="194" t="n"/>
      <c r="AA3598" s="25" t="n"/>
      <c r="AB3598" s="25" t="n"/>
      <c r="AC3598" s="195" t="n"/>
      <c r="AD3598" s="25" t="n"/>
      <c r="AE3598" s="25" t="n"/>
      <c r="AG3598" s="25" t="n"/>
      <c r="AH3598" s="25" t="n"/>
      <c r="AI3598" s="394" t="n"/>
      <c r="AM3598" s="48" t="n"/>
      <c r="AN3598" s="48" t="n"/>
      <c r="AO3598" s="48" t="n"/>
    </row>
    <row r="3599">
      <c r="M3599" s="25" t="n"/>
      <c r="Q3599" s="25" t="n"/>
      <c r="U3599" s="194" t="n"/>
      <c r="AA3599" s="25" t="n"/>
      <c r="AB3599" s="25" t="n"/>
      <c r="AC3599" s="195" t="n"/>
      <c r="AD3599" s="25" t="n"/>
      <c r="AE3599" s="25" t="n"/>
      <c r="AG3599" s="25" t="n"/>
      <c r="AH3599" s="25" t="n"/>
      <c r="AI3599" s="394" t="n"/>
      <c r="AM3599" s="48" t="n"/>
      <c r="AN3599" s="48" t="n"/>
      <c r="AO3599" s="48" t="n"/>
    </row>
    <row r="3600">
      <c r="M3600" s="25" t="n"/>
      <c r="Q3600" s="25" t="n"/>
      <c r="U3600" s="194" t="n"/>
      <c r="AA3600" s="25" t="n"/>
      <c r="AB3600" s="25" t="n"/>
      <c r="AC3600" s="195" t="n"/>
      <c r="AD3600" s="25" t="n"/>
      <c r="AE3600" s="25" t="n"/>
      <c r="AG3600" s="25" t="n"/>
      <c r="AH3600" s="25" t="n"/>
      <c r="AI3600" s="394" t="n"/>
      <c r="AM3600" s="48" t="n"/>
      <c r="AN3600" s="48" t="n"/>
      <c r="AO3600" s="48" t="n"/>
    </row>
    <row r="3601">
      <c r="M3601" s="25" t="n"/>
      <c r="Q3601" s="25" t="n"/>
      <c r="U3601" s="194" t="n"/>
      <c r="AA3601" s="25" t="n"/>
      <c r="AB3601" s="25" t="n"/>
      <c r="AC3601" s="195" t="n"/>
      <c r="AD3601" s="25" t="n"/>
      <c r="AE3601" s="25" t="n"/>
      <c r="AG3601" s="25" t="n"/>
      <c r="AH3601" s="25" t="n"/>
      <c r="AI3601" s="394" t="n"/>
      <c r="AM3601" s="48" t="n"/>
      <c r="AN3601" s="48" t="n"/>
      <c r="AO3601" s="48" t="n"/>
    </row>
    <row r="3602">
      <c r="M3602" s="25" t="n"/>
      <c r="Q3602" s="25" t="n"/>
      <c r="U3602" s="194" t="n"/>
      <c r="AA3602" s="25" t="n"/>
      <c r="AB3602" s="25" t="n"/>
      <c r="AC3602" s="195" t="n"/>
      <c r="AD3602" s="25" t="n"/>
      <c r="AE3602" s="25" t="n"/>
      <c r="AG3602" s="25" t="n"/>
      <c r="AH3602" s="25" t="n"/>
      <c r="AI3602" s="394" t="n"/>
      <c r="AM3602" s="48" t="n"/>
      <c r="AN3602" s="48" t="n"/>
      <c r="AO3602" s="48" t="n"/>
    </row>
    <row r="3603">
      <c r="M3603" s="25" t="n"/>
      <c r="Q3603" s="25" t="n"/>
      <c r="U3603" s="194" t="n"/>
      <c r="AA3603" s="25" t="n"/>
      <c r="AB3603" s="25" t="n"/>
      <c r="AC3603" s="195" t="n"/>
      <c r="AD3603" s="25" t="n"/>
      <c r="AE3603" s="25" t="n"/>
      <c r="AG3603" s="25" t="n"/>
      <c r="AH3603" s="25" t="n"/>
      <c r="AI3603" s="394" t="n"/>
      <c r="AM3603" s="48" t="n"/>
      <c r="AN3603" s="48" t="n"/>
      <c r="AO3603" s="48" t="n"/>
    </row>
    <row r="3604">
      <c r="M3604" s="25" t="n"/>
      <c r="Q3604" s="25" t="n"/>
      <c r="U3604" s="194" t="n"/>
      <c r="AA3604" s="25" t="n"/>
      <c r="AB3604" s="25" t="n"/>
      <c r="AC3604" s="195" t="n"/>
      <c r="AD3604" s="25" t="n"/>
      <c r="AE3604" s="25" t="n"/>
      <c r="AG3604" s="25" t="n"/>
      <c r="AH3604" s="25" t="n"/>
      <c r="AI3604" s="394" t="n"/>
      <c r="AM3604" s="48" t="n"/>
      <c r="AN3604" s="48" t="n"/>
      <c r="AO3604" s="48" t="n"/>
    </row>
    <row r="3605">
      <c r="M3605" s="25" t="n"/>
      <c r="Q3605" s="25" t="n"/>
      <c r="U3605" s="194" t="n"/>
      <c r="AA3605" s="25" t="n"/>
      <c r="AB3605" s="25" t="n"/>
      <c r="AC3605" s="195" t="n"/>
      <c r="AD3605" s="25" t="n"/>
      <c r="AE3605" s="25" t="n"/>
      <c r="AG3605" s="25" t="n"/>
      <c r="AH3605" s="25" t="n"/>
      <c r="AI3605" s="394" t="n"/>
      <c r="AM3605" s="48" t="n"/>
      <c r="AN3605" s="48" t="n"/>
      <c r="AO3605" s="48" t="n"/>
    </row>
    <row r="3606">
      <c r="M3606" s="25" t="n"/>
      <c r="Q3606" s="25" t="n"/>
      <c r="U3606" s="194" t="n"/>
      <c r="AA3606" s="25" t="n"/>
      <c r="AB3606" s="25" t="n"/>
      <c r="AC3606" s="195" t="n"/>
      <c r="AD3606" s="25" t="n"/>
      <c r="AE3606" s="25" t="n"/>
      <c r="AG3606" s="25" t="n"/>
      <c r="AH3606" s="25" t="n"/>
      <c r="AI3606" s="394" t="n"/>
      <c r="AM3606" s="48" t="n"/>
      <c r="AN3606" s="48" t="n"/>
      <c r="AO3606" s="48" t="n"/>
    </row>
    <row r="3607">
      <c r="M3607" s="25" t="n"/>
      <c r="Q3607" s="25" t="n"/>
      <c r="U3607" s="194" t="n"/>
      <c r="AA3607" s="25" t="n"/>
      <c r="AB3607" s="25" t="n"/>
      <c r="AC3607" s="195" t="n"/>
      <c r="AD3607" s="25" t="n"/>
      <c r="AE3607" s="25" t="n"/>
      <c r="AG3607" s="25" t="n"/>
      <c r="AH3607" s="25" t="n"/>
      <c r="AI3607" s="394" t="n"/>
      <c r="AM3607" s="48" t="n"/>
      <c r="AN3607" s="48" t="n"/>
      <c r="AO3607" s="48" t="n"/>
    </row>
    <row r="3608">
      <c r="M3608" s="25" t="n"/>
      <c r="Q3608" s="25" t="n"/>
      <c r="U3608" s="194" t="n"/>
      <c r="AA3608" s="25" t="n"/>
      <c r="AB3608" s="25" t="n"/>
      <c r="AC3608" s="195" t="n"/>
      <c r="AD3608" s="25" t="n"/>
      <c r="AE3608" s="25" t="n"/>
      <c r="AG3608" s="25" t="n"/>
      <c r="AH3608" s="25" t="n"/>
      <c r="AI3608" s="394" t="n"/>
      <c r="AM3608" s="48" t="n"/>
      <c r="AN3608" s="48" t="n"/>
      <c r="AO3608" s="48" t="n"/>
    </row>
    <row r="3609">
      <c r="M3609" s="25" t="n"/>
      <c r="Q3609" s="25" t="n"/>
      <c r="U3609" s="194" t="n"/>
      <c r="AA3609" s="25" t="n"/>
      <c r="AB3609" s="25" t="n"/>
      <c r="AC3609" s="195" t="n"/>
      <c r="AD3609" s="25" t="n"/>
      <c r="AE3609" s="25" t="n"/>
      <c r="AG3609" s="25" t="n"/>
      <c r="AH3609" s="25" t="n"/>
      <c r="AI3609" s="394" t="n"/>
      <c r="AM3609" s="48" t="n"/>
      <c r="AN3609" s="48" t="n"/>
      <c r="AO3609" s="48" t="n"/>
    </row>
    <row r="3610">
      <c r="M3610" s="25" t="n"/>
      <c r="Q3610" s="25" t="n"/>
      <c r="U3610" s="194" t="n"/>
      <c r="AA3610" s="25" t="n"/>
      <c r="AB3610" s="25" t="n"/>
      <c r="AC3610" s="195" t="n"/>
      <c r="AD3610" s="25" t="n"/>
      <c r="AE3610" s="25" t="n"/>
      <c r="AG3610" s="25" t="n"/>
      <c r="AH3610" s="25" t="n"/>
      <c r="AI3610" s="394" t="n"/>
      <c r="AM3610" s="48" t="n"/>
      <c r="AN3610" s="48" t="n"/>
      <c r="AO3610" s="48" t="n"/>
    </row>
    <row r="3611">
      <c r="M3611" s="25" t="n"/>
      <c r="Q3611" s="25" t="n"/>
      <c r="U3611" s="194" t="n"/>
      <c r="AA3611" s="25" t="n"/>
      <c r="AB3611" s="25" t="n"/>
      <c r="AC3611" s="195" t="n"/>
      <c r="AD3611" s="25" t="n"/>
      <c r="AE3611" s="25" t="n"/>
      <c r="AG3611" s="25" t="n"/>
      <c r="AH3611" s="25" t="n"/>
      <c r="AI3611" s="394" t="n"/>
      <c r="AM3611" s="48" t="n"/>
      <c r="AN3611" s="48" t="n"/>
      <c r="AO3611" s="48" t="n"/>
    </row>
    <row r="3612">
      <c r="M3612" s="25" t="n"/>
      <c r="Q3612" s="25" t="n"/>
      <c r="U3612" s="194" t="n"/>
      <c r="AA3612" s="25" t="n"/>
      <c r="AB3612" s="25" t="n"/>
      <c r="AC3612" s="195" t="n"/>
      <c r="AD3612" s="25" t="n"/>
      <c r="AE3612" s="25" t="n"/>
      <c r="AG3612" s="25" t="n"/>
      <c r="AH3612" s="25" t="n"/>
      <c r="AI3612" s="394" t="n"/>
      <c r="AM3612" s="48" t="n"/>
      <c r="AN3612" s="48" t="n"/>
      <c r="AO3612" s="48" t="n"/>
    </row>
    <row r="3613">
      <c r="M3613" s="25" t="n"/>
      <c r="Q3613" s="25" t="n"/>
      <c r="U3613" s="194" t="n"/>
      <c r="AA3613" s="25" t="n"/>
      <c r="AB3613" s="25" t="n"/>
      <c r="AC3613" s="195" t="n"/>
      <c r="AD3613" s="25" t="n"/>
      <c r="AE3613" s="25" t="n"/>
      <c r="AG3613" s="25" t="n"/>
      <c r="AH3613" s="25" t="n"/>
      <c r="AI3613" s="394" t="n"/>
      <c r="AM3613" s="48" t="n"/>
      <c r="AN3613" s="48" t="n"/>
      <c r="AO3613" s="48" t="n"/>
    </row>
    <row r="3614">
      <c r="M3614" s="25" t="n"/>
      <c r="Q3614" s="25" t="n"/>
      <c r="U3614" s="194" t="n"/>
      <c r="AA3614" s="25" t="n"/>
      <c r="AB3614" s="25" t="n"/>
      <c r="AC3614" s="195" t="n"/>
      <c r="AD3614" s="25" t="n"/>
      <c r="AE3614" s="25" t="n"/>
      <c r="AG3614" s="25" t="n"/>
      <c r="AH3614" s="25" t="n"/>
      <c r="AI3614" s="394" t="n"/>
      <c r="AM3614" s="48" t="n"/>
      <c r="AN3614" s="48" t="n"/>
      <c r="AO3614" s="48" t="n"/>
    </row>
    <row r="3615">
      <c r="M3615" s="25" t="n"/>
      <c r="Q3615" s="25" t="n"/>
      <c r="U3615" s="194" t="n"/>
      <c r="AA3615" s="25" t="n"/>
      <c r="AB3615" s="25" t="n"/>
      <c r="AC3615" s="195" t="n"/>
      <c r="AD3615" s="25" t="n"/>
      <c r="AE3615" s="25" t="n"/>
      <c r="AG3615" s="25" t="n"/>
      <c r="AH3615" s="25" t="n"/>
      <c r="AI3615" s="394" t="n"/>
      <c r="AM3615" s="48" t="n"/>
      <c r="AN3615" s="48" t="n"/>
      <c r="AO3615" s="48" t="n"/>
    </row>
    <row r="3616">
      <c r="M3616" s="25" t="n"/>
      <c r="Q3616" s="25" t="n"/>
      <c r="U3616" s="194" t="n"/>
      <c r="AA3616" s="25" t="n"/>
      <c r="AB3616" s="25" t="n"/>
      <c r="AC3616" s="195" t="n"/>
      <c r="AD3616" s="25" t="n"/>
      <c r="AE3616" s="25" t="n"/>
      <c r="AG3616" s="25" t="n"/>
      <c r="AH3616" s="25" t="n"/>
      <c r="AI3616" s="394" t="n"/>
      <c r="AM3616" s="48" t="n"/>
      <c r="AN3616" s="48" t="n"/>
      <c r="AO3616" s="48" t="n"/>
    </row>
    <row r="3617">
      <c r="M3617" s="25" t="n"/>
      <c r="Q3617" s="25" t="n"/>
      <c r="U3617" s="194" t="n"/>
      <c r="AA3617" s="25" t="n"/>
      <c r="AB3617" s="25" t="n"/>
      <c r="AC3617" s="195" t="n"/>
      <c r="AD3617" s="25" t="n"/>
      <c r="AE3617" s="25" t="n"/>
      <c r="AG3617" s="25" t="n"/>
      <c r="AH3617" s="25" t="n"/>
      <c r="AI3617" s="394" t="n"/>
      <c r="AM3617" s="48" t="n"/>
      <c r="AN3617" s="48" t="n"/>
      <c r="AO3617" s="48" t="n"/>
    </row>
    <row r="3618">
      <c r="M3618" s="25" t="n"/>
      <c r="Q3618" s="25" t="n"/>
      <c r="U3618" s="194" t="n"/>
      <c r="AA3618" s="25" t="n"/>
      <c r="AB3618" s="25" t="n"/>
      <c r="AC3618" s="195" t="n"/>
      <c r="AD3618" s="25" t="n"/>
      <c r="AE3618" s="25" t="n"/>
      <c r="AG3618" s="25" t="n"/>
      <c r="AH3618" s="25" t="n"/>
      <c r="AI3618" s="394" t="n"/>
      <c r="AM3618" s="48" t="n"/>
      <c r="AN3618" s="48" t="n"/>
      <c r="AO3618" s="48" t="n"/>
    </row>
    <row r="3619">
      <c r="M3619" s="25" t="n"/>
      <c r="Q3619" s="25" t="n"/>
      <c r="U3619" s="194" t="n"/>
      <c r="AA3619" s="25" t="n"/>
      <c r="AB3619" s="25" t="n"/>
      <c r="AC3619" s="195" t="n"/>
      <c r="AD3619" s="25" t="n"/>
      <c r="AE3619" s="25" t="n"/>
      <c r="AG3619" s="25" t="n"/>
      <c r="AH3619" s="25" t="n"/>
      <c r="AI3619" s="394" t="n"/>
      <c r="AM3619" s="48" t="n"/>
      <c r="AN3619" s="48" t="n"/>
      <c r="AO3619" s="48" t="n"/>
    </row>
    <row r="3620">
      <c r="M3620" s="25" t="n"/>
      <c r="Q3620" s="25" t="n"/>
      <c r="U3620" s="194" t="n"/>
      <c r="AA3620" s="25" t="n"/>
      <c r="AB3620" s="25" t="n"/>
      <c r="AC3620" s="195" t="n"/>
      <c r="AD3620" s="25" t="n"/>
      <c r="AE3620" s="25" t="n"/>
      <c r="AG3620" s="25" t="n"/>
      <c r="AH3620" s="25" t="n"/>
      <c r="AI3620" s="394" t="n"/>
      <c r="AM3620" s="48" t="n"/>
      <c r="AN3620" s="48" t="n"/>
      <c r="AO3620" s="48" t="n"/>
    </row>
    <row r="3621">
      <c r="M3621" s="25" t="n"/>
      <c r="Q3621" s="25" t="n"/>
      <c r="U3621" s="194" t="n"/>
      <c r="AA3621" s="25" t="n"/>
      <c r="AB3621" s="25" t="n"/>
      <c r="AC3621" s="195" t="n"/>
      <c r="AD3621" s="25" t="n"/>
      <c r="AE3621" s="25" t="n"/>
      <c r="AG3621" s="25" t="n"/>
      <c r="AH3621" s="25" t="n"/>
      <c r="AI3621" s="394" t="n"/>
      <c r="AM3621" s="48" t="n"/>
      <c r="AN3621" s="48" t="n"/>
      <c r="AO3621" s="48" t="n"/>
    </row>
    <row r="3622">
      <c r="M3622" s="25" t="n"/>
      <c r="Q3622" s="25" t="n"/>
      <c r="U3622" s="194" t="n"/>
      <c r="AA3622" s="25" t="n"/>
      <c r="AB3622" s="25" t="n"/>
      <c r="AC3622" s="195" t="n"/>
      <c r="AD3622" s="25" t="n"/>
      <c r="AE3622" s="25" t="n"/>
      <c r="AG3622" s="25" t="n"/>
      <c r="AH3622" s="25" t="n"/>
      <c r="AI3622" s="394" t="n"/>
      <c r="AM3622" s="48" t="n"/>
      <c r="AN3622" s="48" t="n"/>
      <c r="AO3622" s="48" t="n"/>
    </row>
    <row r="3623">
      <c r="M3623" s="25" t="n"/>
      <c r="Q3623" s="25" t="n"/>
      <c r="U3623" s="194" t="n"/>
      <c r="AA3623" s="25" t="n"/>
      <c r="AB3623" s="25" t="n"/>
      <c r="AC3623" s="195" t="n"/>
      <c r="AD3623" s="25" t="n"/>
      <c r="AE3623" s="25" t="n"/>
      <c r="AG3623" s="25" t="n"/>
      <c r="AH3623" s="25" t="n"/>
      <c r="AI3623" s="394" t="n"/>
      <c r="AM3623" s="48" t="n"/>
      <c r="AN3623" s="48" t="n"/>
      <c r="AO3623" s="48" t="n"/>
    </row>
    <row r="3624">
      <c r="M3624" s="25" t="n"/>
      <c r="Q3624" s="25" t="n"/>
      <c r="U3624" s="194" t="n"/>
      <c r="AA3624" s="25" t="n"/>
      <c r="AB3624" s="25" t="n"/>
      <c r="AC3624" s="195" t="n"/>
      <c r="AD3624" s="25" t="n"/>
      <c r="AE3624" s="25" t="n"/>
      <c r="AG3624" s="25" t="n"/>
      <c r="AH3624" s="25" t="n"/>
      <c r="AI3624" s="394" t="n"/>
      <c r="AM3624" s="48" t="n"/>
      <c r="AN3624" s="48" t="n"/>
      <c r="AO3624" s="48" t="n"/>
    </row>
    <row r="3625">
      <c r="M3625" s="25" t="n"/>
      <c r="Q3625" s="25" t="n"/>
      <c r="U3625" s="194" t="n"/>
      <c r="AA3625" s="25" t="n"/>
      <c r="AB3625" s="25" t="n"/>
      <c r="AC3625" s="195" t="n"/>
      <c r="AD3625" s="25" t="n"/>
      <c r="AE3625" s="25" t="n"/>
      <c r="AG3625" s="25" t="n"/>
      <c r="AH3625" s="25" t="n"/>
      <c r="AI3625" s="394" t="n"/>
      <c r="AM3625" s="48" t="n"/>
      <c r="AN3625" s="48" t="n"/>
      <c r="AO3625" s="48" t="n"/>
    </row>
    <row r="3626">
      <c r="M3626" s="25" t="n"/>
      <c r="Q3626" s="25" t="n"/>
      <c r="U3626" s="194" t="n"/>
      <c r="AA3626" s="25" t="n"/>
      <c r="AB3626" s="25" t="n"/>
      <c r="AC3626" s="195" t="n"/>
      <c r="AD3626" s="25" t="n"/>
      <c r="AE3626" s="25" t="n"/>
      <c r="AG3626" s="25" t="n"/>
      <c r="AH3626" s="25" t="n"/>
      <c r="AI3626" s="394" t="n"/>
      <c r="AM3626" s="48" t="n"/>
      <c r="AN3626" s="48" t="n"/>
      <c r="AO3626" s="48" t="n"/>
    </row>
    <row r="3627">
      <c r="M3627" s="25" t="n"/>
      <c r="Q3627" s="25" t="n"/>
      <c r="U3627" s="194" t="n"/>
      <c r="AA3627" s="25" t="n"/>
      <c r="AB3627" s="25" t="n"/>
      <c r="AC3627" s="195" t="n"/>
      <c r="AD3627" s="25" t="n"/>
      <c r="AE3627" s="25" t="n"/>
      <c r="AG3627" s="25" t="n"/>
      <c r="AH3627" s="25" t="n"/>
      <c r="AI3627" s="394" t="n"/>
      <c r="AM3627" s="48" t="n"/>
      <c r="AN3627" s="48" t="n"/>
      <c r="AO3627" s="48" t="n"/>
    </row>
    <row r="3628">
      <c r="M3628" s="25" t="n"/>
      <c r="Q3628" s="25" t="n"/>
      <c r="U3628" s="194" t="n"/>
      <c r="AA3628" s="25" t="n"/>
      <c r="AB3628" s="25" t="n"/>
      <c r="AC3628" s="195" t="n"/>
      <c r="AD3628" s="25" t="n"/>
      <c r="AE3628" s="25" t="n"/>
      <c r="AG3628" s="25" t="n"/>
      <c r="AH3628" s="25" t="n"/>
      <c r="AI3628" s="394" t="n"/>
      <c r="AM3628" s="48" t="n"/>
      <c r="AN3628" s="48" t="n"/>
      <c r="AO3628" s="48" t="n"/>
    </row>
    <row r="3629">
      <c r="M3629" s="25" t="n"/>
      <c r="Q3629" s="25" t="n"/>
      <c r="U3629" s="194" t="n"/>
      <c r="AA3629" s="25" t="n"/>
      <c r="AB3629" s="25" t="n"/>
      <c r="AC3629" s="195" t="n"/>
      <c r="AD3629" s="25" t="n"/>
      <c r="AE3629" s="25" t="n"/>
      <c r="AG3629" s="25" t="n"/>
      <c r="AH3629" s="25" t="n"/>
      <c r="AI3629" s="394" t="n"/>
      <c r="AM3629" s="48" t="n"/>
      <c r="AN3629" s="48" t="n"/>
      <c r="AO3629" s="48" t="n"/>
    </row>
    <row r="3630">
      <c r="M3630" s="25" t="n"/>
      <c r="Q3630" s="25" t="n"/>
      <c r="U3630" s="194" t="n"/>
      <c r="AA3630" s="25" t="n"/>
      <c r="AB3630" s="25" t="n"/>
      <c r="AC3630" s="195" t="n"/>
      <c r="AD3630" s="25" t="n"/>
      <c r="AE3630" s="25" t="n"/>
      <c r="AG3630" s="25" t="n"/>
      <c r="AH3630" s="25" t="n"/>
      <c r="AI3630" s="394" t="n"/>
      <c r="AM3630" s="48" t="n"/>
      <c r="AN3630" s="48" t="n"/>
      <c r="AO3630" s="48" t="n"/>
    </row>
    <row r="3631">
      <c r="M3631" s="25" t="n"/>
      <c r="Q3631" s="25" t="n"/>
      <c r="U3631" s="194" t="n"/>
      <c r="AA3631" s="25" t="n"/>
      <c r="AB3631" s="25" t="n"/>
      <c r="AC3631" s="195" t="n"/>
      <c r="AD3631" s="25" t="n"/>
      <c r="AE3631" s="25" t="n"/>
      <c r="AG3631" s="25" t="n"/>
      <c r="AH3631" s="25" t="n"/>
      <c r="AI3631" s="394" t="n"/>
      <c r="AM3631" s="48" t="n"/>
      <c r="AN3631" s="48" t="n"/>
      <c r="AO3631" s="48" t="n"/>
    </row>
    <row r="3632">
      <c r="M3632" s="25" t="n"/>
      <c r="Q3632" s="25" t="n"/>
      <c r="U3632" s="194" t="n"/>
      <c r="AA3632" s="25" t="n"/>
      <c r="AB3632" s="25" t="n"/>
      <c r="AC3632" s="195" t="n"/>
      <c r="AD3632" s="25" t="n"/>
      <c r="AE3632" s="25" t="n"/>
      <c r="AG3632" s="25" t="n"/>
      <c r="AH3632" s="25" t="n"/>
      <c r="AI3632" s="394" t="n"/>
      <c r="AM3632" s="48" t="n"/>
      <c r="AN3632" s="48" t="n"/>
      <c r="AO3632" s="48" t="n"/>
    </row>
    <row r="3633">
      <c r="M3633" s="25" t="n"/>
      <c r="Q3633" s="25" t="n"/>
      <c r="U3633" s="194" t="n"/>
      <c r="AA3633" s="25" t="n"/>
      <c r="AB3633" s="25" t="n"/>
      <c r="AC3633" s="195" t="n"/>
      <c r="AD3633" s="25" t="n"/>
      <c r="AE3633" s="25" t="n"/>
      <c r="AG3633" s="25" t="n"/>
      <c r="AH3633" s="25" t="n"/>
      <c r="AI3633" s="394" t="n"/>
      <c r="AM3633" s="48" t="n"/>
      <c r="AN3633" s="48" t="n"/>
      <c r="AO3633" s="48" t="n"/>
    </row>
    <row r="3634">
      <c r="M3634" s="25" t="n"/>
      <c r="Q3634" s="25" t="n"/>
      <c r="U3634" s="194" t="n"/>
      <c r="AA3634" s="25" t="n"/>
      <c r="AB3634" s="25" t="n"/>
      <c r="AC3634" s="195" t="n"/>
      <c r="AD3634" s="25" t="n"/>
      <c r="AE3634" s="25" t="n"/>
      <c r="AG3634" s="25" t="n"/>
      <c r="AH3634" s="25" t="n"/>
      <c r="AI3634" s="394" t="n"/>
      <c r="AM3634" s="48" t="n"/>
      <c r="AN3634" s="48" t="n"/>
      <c r="AO3634" s="48" t="n"/>
    </row>
    <row r="3635">
      <c r="M3635" s="25" t="n"/>
      <c r="Q3635" s="25" t="n"/>
      <c r="U3635" s="194" t="n"/>
      <c r="AA3635" s="25" t="n"/>
      <c r="AB3635" s="25" t="n"/>
      <c r="AC3635" s="195" t="n"/>
      <c r="AD3635" s="25" t="n"/>
      <c r="AE3635" s="25" t="n"/>
      <c r="AG3635" s="25" t="n"/>
      <c r="AH3635" s="25" t="n"/>
      <c r="AI3635" s="394" t="n"/>
      <c r="AM3635" s="48" t="n"/>
      <c r="AN3635" s="48" t="n"/>
      <c r="AO3635" s="48" t="n"/>
    </row>
    <row r="3636">
      <c r="M3636" s="25" t="n"/>
      <c r="Q3636" s="25" t="n"/>
      <c r="U3636" s="194" t="n"/>
      <c r="AA3636" s="25" t="n"/>
      <c r="AB3636" s="25" t="n"/>
      <c r="AC3636" s="195" t="n"/>
      <c r="AD3636" s="25" t="n"/>
      <c r="AE3636" s="25" t="n"/>
      <c r="AG3636" s="25" t="n"/>
      <c r="AH3636" s="25" t="n"/>
      <c r="AI3636" s="394" t="n"/>
      <c r="AM3636" s="48" t="n"/>
      <c r="AN3636" s="48" t="n"/>
      <c r="AO3636" s="48" t="n"/>
    </row>
    <row r="3637">
      <c r="M3637" s="25" t="n"/>
      <c r="Q3637" s="25" t="n"/>
      <c r="U3637" s="194" t="n"/>
      <c r="AA3637" s="25" t="n"/>
      <c r="AB3637" s="25" t="n"/>
      <c r="AC3637" s="195" t="n"/>
      <c r="AD3637" s="25" t="n"/>
      <c r="AE3637" s="25" t="n"/>
      <c r="AG3637" s="25" t="n"/>
      <c r="AH3637" s="25" t="n"/>
      <c r="AI3637" s="394" t="n"/>
      <c r="AM3637" s="48" t="n"/>
      <c r="AN3637" s="48" t="n"/>
      <c r="AO3637" s="48" t="n"/>
    </row>
    <row r="3638">
      <c r="M3638" s="25" t="n"/>
      <c r="Q3638" s="25" t="n"/>
      <c r="U3638" s="194" t="n"/>
      <c r="AA3638" s="25" t="n"/>
      <c r="AB3638" s="25" t="n"/>
      <c r="AC3638" s="195" t="n"/>
      <c r="AD3638" s="25" t="n"/>
      <c r="AE3638" s="25" t="n"/>
      <c r="AG3638" s="25" t="n"/>
      <c r="AH3638" s="25" t="n"/>
      <c r="AI3638" s="394" t="n"/>
      <c r="AM3638" s="48" t="n"/>
      <c r="AN3638" s="48" t="n"/>
      <c r="AO3638" s="48" t="n"/>
    </row>
    <row r="3639">
      <c r="M3639" s="25" t="n"/>
      <c r="Q3639" s="25" t="n"/>
      <c r="U3639" s="194" t="n"/>
      <c r="AA3639" s="25" t="n"/>
      <c r="AB3639" s="25" t="n"/>
      <c r="AC3639" s="195" t="n"/>
      <c r="AD3639" s="25" t="n"/>
      <c r="AE3639" s="25" t="n"/>
      <c r="AG3639" s="25" t="n"/>
      <c r="AH3639" s="25" t="n"/>
      <c r="AI3639" s="394" t="n"/>
      <c r="AM3639" s="48" t="n"/>
      <c r="AN3639" s="48" t="n"/>
      <c r="AO3639" s="48" t="n"/>
    </row>
    <row r="3640">
      <c r="M3640" s="25" t="n"/>
      <c r="Q3640" s="25" t="n"/>
      <c r="U3640" s="194" t="n"/>
      <c r="AA3640" s="25" t="n"/>
      <c r="AB3640" s="25" t="n"/>
      <c r="AC3640" s="195" t="n"/>
      <c r="AD3640" s="25" t="n"/>
      <c r="AE3640" s="25" t="n"/>
      <c r="AG3640" s="25" t="n"/>
      <c r="AH3640" s="25" t="n"/>
      <c r="AI3640" s="394" t="n"/>
      <c r="AM3640" s="48" t="n"/>
      <c r="AN3640" s="48" t="n"/>
      <c r="AO3640" s="48" t="n"/>
    </row>
    <row r="3641">
      <c r="M3641" s="25" t="n"/>
      <c r="Q3641" s="25" t="n"/>
      <c r="U3641" s="194" t="n"/>
      <c r="AA3641" s="25" t="n"/>
      <c r="AB3641" s="25" t="n"/>
      <c r="AC3641" s="195" t="n"/>
      <c r="AD3641" s="25" t="n"/>
      <c r="AE3641" s="25" t="n"/>
      <c r="AG3641" s="25" t="n"/>
      <c r="AH3641" s="25" t="n"/>
      <c r="AI3641" s="394" t="n"/>
      <c r="AM3641" s="48" t="n"/>
      <c r="AN3641" s="48" t="n"/>
      <c r="AO3641" s="48" t="n"/>
    </row>
    <row r="3642">
      <c r="M3642" s="25" t="n"/>
      <c r="Q3642" s="25" t="n"/>
      <c r="U3642" s="194" t="n"/>
      <c r="AA3642" s="25" t="n"/>
      <c r="AB3642" s="25" t="n"/>
      <c r="AC3642" s="195" t="n"/>
      <c r="AD3642" s="25" t="n"/>
      <c r="AE3642" s="25" t="n"/>
      <c r="AG3642" s="25" t="n"/>
      <c r="AH3642" s="25" t="n"/>
      <c r="AI3642" s="394" t="n"/>
      <c r="AM3642" s="48" t="n"/>
      <c r="AN3642" s="48" t="n"/>
      <c r="AO3642" s="48" t="n"/>
    </row>
    <row r="3643">
      <c r="M3643" s="25" t="n"/>
      <c r="Q3643" s="25" t="n"/>
      <c r="U3643" s="194" t="n"/>
      <c r="AA3643" s="25" t="n"/>
      <c r="AB3643" s="25" t="n"/>
      <c r="AC3643" s="195" t="n"/>
      <c r="AD3643" s="25" t="n"/>
      <c r="AE3643" s="25" t="n"/>
      <c r="AG3643" s="25" t="n"/>
      <c r="AH3643" s="25" t="n"/>
      <c r="AI3643" s="394" t="n"/>
      <c r="AM3643" s="48" t="n"/>
      <c r="AN3643" s="48" t="n"/>
      <c r="AO3643" s="48" t="n"/>
    </row>
    <row r="3644">
      <c r="M3644" s="25" t="n"/>
      <c r="Q3644" s="25" t="n"/>
      <c r="U3644" s="194" t="n"/>
      <c r="AA3644" s="25" t="n"/>
      <c r="AB3644" s="25" t="n"/>
      <c r="AC3644" s="195" t="n"/>
      <c r="AD3644" s="25" t="n"/>
      <c r="AE3644" s="25" t="n"/>
      <c r="AG3644" s="25" t="n"/>
      <c r="AH3644" s="25" t="n"/>
      <c r="AI3644" s="394" t="n"/>
      <c r="AM3644" s="48" t="n"/>
      <c r="AN3644" s="48" t="n"/>
      <c r="AO3644" s="48" t="n"/>
    </row>
    <row r="3645">
      <c r="M3645" s="25" t="n"/>
      <c r="Q3645" s="25" t="n"/>
      <c r="U3645" s="194" t="n"/>
      <c r="AA3645" s="25" t="n"/>
      <c r="AB3645" s="25" t="n"/>
      <c r="AC3645" s="195" t="n"/>
      <c r="AD3645" s="25" t="n"/>
      <c r="AE3645" s="25" t="n"/>
      <c r="AG3645" s="25" t="n"/>
      <c r="AH3645" s="25" t="n"/>
      <c r="AI3645" s="394" t="n"/>
      <c r="AM3645" s="48" t="n"/>
      <c r="AN3645" s="48" t="n"/>
      <c r="AO3645" s="48" t="n"/>
    </row>
    <row r="3646">
      <c r="M3646" s="25" t="n"/>
      <c r="Q3646" s="25" t="n"/>
      <c r="U3646" s="194" t="n"/>
      <c r="AA3646" s="25" t="n"/>
      <c r="AB3646" s="25" t="n"/>
      <c r="AC3646" s="195" t="n"/>
      <c r="AD3646" s="25" t="n"/>
      <c r="AE3646" s="25" t="n"/>
      <c r="AG3646" s="25" t="n"/>
      <c r="AH3646" s="25" t="n"/>
      <c r="AI3646" s="394" t="n"/>
      <c r="AM3646" s="48" t="n"/>
      <c r="AN3646" s="48" t="n"/>
      <c r="AO3646" s="48" t="n"/>
    </row>
    <row r="3647">
      <c r="M3647" s="25" t="n"/>
      <c r="Q3647" s="25" t="n"/>
      <c r="U3647" s="194" t="n"/>
      <c r="AA3647" s="25" t="n"/>
      <c r="AB3647" s="25" t="n"/>
      <c r="AC3647" s="195" t="n"/>
      <c r="AD3647" s="25" t="n"/>
      <c r="AE3647" s="25" t="n"/>
      <c r="AG3647" s="25" t="n"/>
      <c r="AH3647" s="25" t="n"/>
      <c r="AI3647" s="394" t="n"/>
      <c r="AM3647" s="48" t="n"/>
      <c r="AN3647" s="48" t="n"/>
      <c r="AO3647" s="48" t="n"/>
    </row>
    <row r="3648">
      <c r="M3648" s="25" t="n"/>
      <c r="Q3648" s="25" t="n"/>
      <c r="U3648" s="194" t="n"/>
      <c r="AA3648" s="25" t="n"/>
      <c r="AB3648" s="25" t="n"/>
      <c r="AC3648" s="195" t="n"/>
      <c r="AD3648" s="25" t="n"/>
      <c r="AE3648" s="25" t="n"/>
      <c r="AG3648" s="25" t="n"/>
      <c r="AH3648" s="25" t="n"/>
      <c r="AI3648" s="394" t="n"/>
      <c r="AM3648" s="48" t="n"/>
      <c r="AN3648" s="48" t="n"/>
      <c r="AO3648" s="48" t="n"/>
    </row>
    <row r="3649">
      <c r="M3649" s="25" t="n"/>
      <c r="Q3649" s="25" t="n"/>
      <c r="U3649" s="194" t="n"/>
      <c r="AA3649" s="25" t="n"/>
      <c r="AB3649" s="25" t="n"/>
      <c r="AC3649" s="195" t="n"/>
      <c r="AD3649" s="25" t="n"/>
      <c r="AE3649" s="25" t="n"/>
      <c r="AG3649" s="25" t="n"/>
      <c r="AH3649" s="25" t="n"/>
      <c r="AI3649" s="394" t="n"/>
      <c r="AM3649" s="48" t="n"/>
      <c r="AN3649" s="48" t="n"/>
      <c r="AO3649" s="48" t="n"/>
    </row>
    <row r="3650">
      <c r="M3650" s="25" t="n"/>
      <c r="Q3650" s="25" t="n"/>
      <c r="U3650" s="194" t="n"/>
      <c r="AA3650" s="25" t="n"/>
      <c r="AB3650" s="25" t="n"/>
      <c r="AC3650" s="195" t="n"/>
      <c r="AD3650" s="25" t="n"/>
      <c r="AE3650" s="25" t="n"/>
      <c r="AG3650" s="25" t="n"/>
      <c r="AH3650" s="25" t="n"/>
      <c r="AI3650" s="394" t="n"/>
      <c r="AM3650" s="48" t="n"/>
      <c r="AN3650" s="48" t="n"/>
      <c r="AO3650" s="48" t="n"/>
    </row>
    <row r="3651">
      <c r="M3651" s="25" t="n"/>
      <c r="Q3651" s="25" t="n"/>
      <c r="U3651" s="194" t="n"/>
      <c r="AA3651" s="25" t="n"/>
      <c r="AB3651" s="25" t="n"/>
      <c r="AC3651" s="195" t="n"/>
      <c r="AD3651" s="25" t="n"/>
      <c r="AE3651" s="25" t="n"/>
      <c r="AG3651" s="25" t="n"/>
      <c r="AH3651" s="25" t="n"/>
      <c r="AI3651" s="394" t="n"/>
      <c r="AM3651" s="48" t="n"/>
      <c r="AN3651" s="48" t="n"/>
      <c r="AO3651" s="48" t="n"/>
    </row>
    <row r="3652">
      <c r="M3652" s="25" t="n"/>
      <c r="Q3652" s="25" t="n"/>
      <c r="U3652" s="194" t="n"/>
      <c r="AA3652" s="25" t="n"/>
      <c r="AB3652" s="25" t="n"/>
      <c r="AC3652" s="195" t="n"/>
      <c r="AD3652" s="25" t="n"/>
      <c r="AE3652" s="25" t="n"/>
      <c r="AG3652" s="25" t="n"/>
      <c r="AH3652" s="25" t="n"/>
      <c r="AI3652" s="394" t="n"/>
      <c r="AM3652" s="48" t="n"/>
      <c r="AN3652" s="48" t="n"/>
      <c r="AO3652" s="48" t="n"/>
    </row>
    <row r="3653">
      <c r="M3653" s="25" t="n"/>
      <c r="Q3653" s="25" t="n"/>
      <c r="U3653" s="194" t="n"/>
      <c r="AA3653" s="25" t="n"/>
      <c r="AB3653" s="25" t="n"/>
      <c r="AC3653" s="195" t="n"/>
      <c r="AD3653" s="25" t="n"/>
      <c r="AE3653" s="25" t="n"/>
      <c r="AG3653" s="25" t="n"/>
      <c r="AH3653" s="25" t="n"/>
      <c r="AI3653" s="394" t="n"/>
      <c r="AM3653" s="48" t="n"/>
      <c r="AN3653" s="48" t="n"/>
      <c r="AO3653" s="48" t="n"/>
    </row>
    <row r="3654">
      <c r="M3654" s="25" t="n"/>
      <c r="Q3654" s="25" t="n"/>
      <c r="U3654" s="194" t="n"/>
      <c r="AA3654" s="25" t="n"/>
      <c r="AB3654" s="25" t="n"/>
      <c r="AC3654" s="195" t="n"/>
      <c r="AD3654" s="25" t="n"/>
      <c r="AE3654" s="25" t="n"/>
      <c r="AG3654" s="25" t="n"/>
      <c r="AH3654" s="25" t="n"/>
      <c r="AI3654" s="394" t="n"/>
      <c r="AM3654" s="48" t="n"/>
      <c r="AN3654" s="48" t="n"/>
      <c r="AO3654" s="48" t="n"/>
    </row>
    <row r="3655">
      <c r="M3655" s="25" t="n"/>
      <c r="Q3655" s="25" t="n"/>
      <c r="U3655" s="194" t="n"/>
      <c r="AA3655" s="25" t="n"/>
      <c r="AB3655" s="25" t="n"/>
      <c r="AC3655" s="195" t="n"/>
      <c r="AD3655" s="25" t="n"/>
      <c r="AE3655" s="25" t="n"/>
      <c r="AG3655" s="25" t="n"/>
      <c r="AH3655" s="25" t="n"/>
      <c r="AI3655" s="394" t="n"/>
      <c r="AM3655" s="48" t="n"/>
      <c r="AN3655" s="48" t="n"/>
      <c r="AO3655" s="48" t="n"/>
    </row>
    <row r="3656">
      <c r="M3656" s="25" t="n"/>
      <c r="Q3656" s="25" t="n"/>
      <c r="U3656" s="194" t="n"/>
      <c r="AA3656" s="25" t="n"/>
      <c r="AB3656" s="25" t="n"/>
      <c r="AC3656" s="195" t="n"/>
      <c r="AD3656" s="25" t="n"/>
      <c r="AE3656" s="25" t="n"/>
      <c r="AG3656" s="25" t="n"/>
      <c r="AH3656" s="25" t="n"/>
      <c r="AI3656" s="394" t="n"/>
      <c r="AM3656" s="48" t="n"/>
      <c r="AN3656" s="48" t="n"/>
      <c r="AO3656" s="48" t="n"/>
    </row>
    <row r="3657">
      <c r="M3657" s="25" t="n"/>
      <c r="Q3657" s="25" t="n"/>
      <c r="U3657" s="194" t="n"/>
      <c r="AA3657" s="25" t="n"/>
      <c r="AB3657" s="25" t="n"/>
      <c r="AC3657" s="195" t="n"/>
      <c r="AD3657" s="25" t="n"/>
      <c r="AE3657" s="25" t="n"/>
      <c r="AG3657" s="25" t="n"/>
      <c r="AH3657" s="25" t="n"/>
      <c r="AI3657" s="394" t="n"/>
      <c r="AM3657" s="48" t="n"/>
      <c r="AN3657" s="48" t="n"/>
      <c r="AO3657" s="48" t="n"/>
    </row>
    <row r="3658">
      <c r="M3658" s="25" t="n"/>
      <c r="Q3658" s="25" t="n"/>
      <c r="U3658" s="194" t="n"/>
      <c r="AA3658" s="25" t="n"/>
      <c r="AB3658" s="25" t="n"/>
      <c r="AC3658" s="195" t="n"/>
      <c r="AD3658" s="25" t="n"/>
      <c r="AE3658" s="25" t="n"/>
      <c r="AG3658" s="25" t="n"/>
      <c r="AH3658" s="25" t="n"/>
      <c r="AI3658" s="394" t="n"/>
      <c r="AM3658" s="48" t="n"/>
      <c r="AN3658" s="48" t="n"/>
      <c r="AO3658" s="48" t="n"/>
    </row>
    <row r="3659">
      <c r="M3659" s="25" t="n"/>
      <c r="Q3659" s="25" t="n"/>
      <c r="U3659" s="194" t="n"/>
      <c r="AA3659" s="25" t="n"/>
      <c r="AB3659" s="25" t="n"/>
      <c r="AC3659" s="195" t="n"/>
      <c r="AD3659" s="25" t="n"/>
      <c r="AE3659" s="25" t="n"/>
      <c r="AG3659" s="25" t="n"/>
      <c r="AH3659" s="25" t="n"/>
      <c r="AI3659" s="394" t="n"/>
      <c r="AM3659" s="48" t="n"/>
      <c r="AN3659" s="48" t="n"/>
      <c r="AO3659" s="48" t="n"/>
    </row>
    <row r="3660">
      <c r="M3660" s="25" t="n"/>
      <c r="Q3660" s="25" t="n"/>
      <c r="U3660" s="194" t="n"/>
      <c r="AA3660" s="25" t="n"/>
      <c r="AB3660" s="25" t="n"/>
      <c r="AC3660" s="195" t="n"/>
      <c r="AD3660" s="25" t="n"/>
      <c r="AE3660" s="25" t="n"/>
      <c r="AG3660" s="25" t="n"/>
      <c r="AH3660" s="25" t="n"/>
      <c r="AI3660" s="394" t="n"/>
      <c r="AM3660" s="48" t="n"/>
      <c r="AN3660" s="48" t="n"/>
      <c r="AO3660" s="48" t="n"/>
    </row>
    <row r="3661">
      <c r="M3661" s="25" t="n"/>
      <c r="Q3661" s="25" t="n"/>
      <c r="U3661" s="194" t="n"/>
      <c r="AA3661" s="25" t="n"/>
      <c r="AB3661" s="25" t="n"/>
      <c r="AC3661" s="195" t="n"/>
      <c r="AD3661" s="25" t="n"/>
      <c r="AE3661" s="25" t="n"/>
      <c r="AG3661" s="25" t="n"/>
      <c r="AH3661" s="25" t="n"/>
      <c r="AI3661" s="394" t="n"/>
      <c r="AM3661" s="48" t="n"/>
      <c r="AN3661" s="48" t="n"/>
      <c r="AO3661" s="48" t="n"/>
    </row>
    <row r="3662">
      <c r="M3662" s="25" t="n"/>
      <c r="Q3662" s="25" t="n"/>
      <c r="U3662" s="194" t="n"/>
      <c r="AA3662" s="25" t="n"/>
      <c r="AB3662" s="25" t="n"/>
      <c r="AC3662" s="195" t="n"/>
      <c r="AD3662" s="25" t="n"/>
      <c r="AE3662" s="25" t="n"/>
      <c r="AG3662" s="25" t="n"/>
      <c r="AH3662" s="25" t="n"/>
      <c r="AI3662" s="394" t="n"/>
      <c r="AM3662" s="48" t="n"/>
      <c r="AN3662" s="48" t="n"/>
      <c r="AO3662" s="48" t="n"/>
    </row>
    <row r="3663">
      <c r="M3663" s="25" t="n"/>
      <c r="Q3663" s="25" t="n"/>
      <c r="U3663" s="194" t="n"/>
      <c r="AA3663" s="25" t="n"/>
      <c r="AB3663" s="25" t="n"/>
      <c r="AC3663" s="195" t="n"/>
      <c r="AD3663" s="25" t="n"/>
      <c r="AE3663" s="25" t="n"/>
      <c r="AG3663" s="25" t="n"/>
      <c r="AH3663" s="25" t="n"/>
      <c r="AI3663" s="394" t="n"/>
      <c r="AM3663" s="48" t="n"/>
      <c r="AN3663" s="48" t="n"/>
      <c r="AO3663" s="48" t="n"/>
    </row>
    <row r="3664">
      <c r="M3664" s="25" t="n"/>
      <c r="Q3664" s="25" t="n"/>
      <c r="U3664" s="194" t="n"/>
      <c r="AA3664" s="25" t="n"/>
      <c r="AB3664" s="25" t="n"/>
      <c r="AC3664" s="195" t="n"/>
      <c r="AD3664" s="25" t="n"/>
      <c r="AE3664" s="25" t="n"/>
      <c r="AG3664" s="25" t="n"/>
      <c r="AH3664" s="25" t="n"/>
      <c r="AI3664" s="394" t="n"/>
      <c r="AM3664" s="48" t="n"/>
      <c r="AN3664" s="48" t="n"/>
      <c r="AO3664" s="48" t="n"/>
    </row>
    <row r="3665">
      <c r="M3665" s="25" t="n"/>
      <c r="Q3665" s="25" t="n"/>
      <c r="U3665" s="194" t="n"/>
      <c r="AA3665" s="25" t="n"/>
      <c r="AB3665" s="25" t="n"/>
      <c r="AC3665" s="195" t="n"/>
      <c r="AD3665" s="25" t="n"/>
      <c r="AE3665" s="25" t="n"/>
      <c r="AG3665" s="25" t="n"/>
      <c r="AH3665" s="25" t="n"/>
      <c r="AI3665" s="394" t="n"/>
      <c r="AM3665" s="48" t="n"/>
      <c r="AN3665" s="48" t="n"/>
      <c r="AO3665" s="48" t="n"/>
    </row>
    <row r="3666">
      <c r="M3666" s="25" t="n"/>
      <c r="Q3666" s="25" t="n"/>
      <c r="U3666" s="194" t="n"/>
      <c r="AA3666" s="25" t="n"/>
      <c r="AB3666" s="25" t="n"/>
      <c r="AC3666" s="195" t="n"/>
      <c r="AD3666" s="25" t="n"/>
      <c r="AE3666" s="25" t="n"/>
      <c r="AG3666" s="25" t="n"/>
      <c r="AH3666" s="25" t="n"/>
      <c r="AI3666" s="394" t="n"/>
      <c r="AM3666" s="48" t="n"/>
      <c r="AN3666" s="48" t="n"/>
      <c r="AO3666" s="48" t="n"/>
    </row>
    <row r="3667">
      <c r="M3667" s="25" t="n"/>
      <c r="Q3667" s="25" t="n"/>
      <c r="U3667" s="194" t="n"/>
      <c r="AA3667" s="25" t="n"/>
      <c r="AB3667" s="25" t="n"/>
      <c r="AC3667" s="195" t="n"/>
      <c r="AD3667" s="25" t="n"/>
      <c r="AE3667" s="25" t="n"/>
      <c r="AG3667" s="25" t="n"/>
      <c r="AH3667" s="25" t="n"/>
      <c r="AI3667" s="394" t="n"/>
      <c r="AM3667" s="48" t="n"/>
      <c r="AN3667" s="48" t="n"/>
      <c r="AO3667" s="48" t="n"/>
    </row>
    <row r="3668">
      <c r="M3668" s="25" t="n"/>
      <c r="Q3668" s="25" t="n"/>
      <c r="U3668" s="194" t="n"/>
      <c r="AA3668" s="25" t="n"/>
      <c r="AB3668" s="25" t="n"/>
      <c r="AC3668" s="195" t="n"/>
      <c r="AD3668" s="25" t="n"/>
      <c r="AE3668" s="25" t="n"/>
      <c r="AG3668" s="25" t="n"/>
      <c r="AH3668" s="25" t="n"/>
      <c r="AI3668" s="394" t="n"/>
      <c r="AM3668" s="48" t="n"/>
      <c r="AN3668" s="48" t="n"/>
      <c r="AO3668" s="48" t="n"/>
    </row>
    <row r="3669">
      <c r="M3669" s="25" t="n"/>
      <c r="Q3669" s="25" t="n"/>
      <c r="U3669" s="194" t="n"/>
      <c r="AA3669" s="25" t="n"/>
      <c r="AB3669" s="25" t="n"/>
      <c r="AC3669" s="195" t="n"/>
      <c r="AD3669" s="25" t="n"/>
      <c r="AE3669" s="25" t="n"/>
      <c r="AG3669" s="25" t="n"/>
      <c r="AH3669" s="25" t="n"/>
      <c r="AI3669" s="394" t="n"/>
      <c r="AM3669" s="48" t="n"/>
      <c r="AN3669" s="48" t="n"/>
      <c r="AO3669" s="48" t="n"/>
    </row>
    <row r="3670">
      <c r="M3670" s="25" t="n"/>
      <c r="Q3670" s="25" t="n"/>
      <c r="U3670" s="194" t="n"/>
      <c r="AA3670" s="25" t="n"/>
      <c r="AB3670" s="25" t="n"/>
      <c r="AC3670" s="195" t="n"/>
      <c r="AD3670" s="25" t="n"/>
      <c r="AE3670" s="25" t="n"/>
      <c r="AG3670" s="25" t="n"/>
      <c r="AH3670" s="25" t="n"/>
      <c r="AI3670" s="394" t="n"/>
      <c r="AM3670" s="48" t="n"/>
      <c r="AN3670" s="48" t="n"/>
      <c r="AO3670" s="48" t="n"/>
    </row>
    <row r="3671">
      <c r="M3671" s="25" t="n"/>
      <c r="Q3671" s="25" t="n"/>
      <c r="U3671" s="194" t="n"/>
      <c r="AA3671" s="25" t="n"/>
      <c r="AB3671" s="25" t="n"/>
      <c r="AC3671" s="195" t="n"/>
      <c r="AD3671" s="25" t="n"/>
      <c r="AE3671" s="25" t="n"/>
      <c r="AG3671" s="25" t="n"/>
      <c r="AH3671" s="25" t="n"/>
      <c r="AI3671" s="394" t="n"/>
      <c r="AM3671" s="48" t="n"/>
      <c r="AN3671" s="48" t="n"/>
      <c r="AO3671" s="48" t="n"/>
    </row>
    <row r="3672">
      <c r="M3672" s="25" t="n"/>
      <c r="Q3672" s="25" t="n"/>
      <c r="U3672" s="194" t="n"/>
      <c r="AA3672" s="25" t="n"/>
      <c r="AB3672" s="25" t="n"/>
      <c r="AC3672" s="195" t="n"/>
      <c r="AD3672" s="25" t="n"/>
      <c r="AE3672" s="25" t="n"/>
      <c r="AG3672" s="25" t="n"/>
      <c r="AH3672" s="25" t="n"/>
      <c r="AI3672" s="394" t="n"/>
      <c r="AM3672" s="48" t="n"/>
      <c r="AN3672" s="48" t="n"/>
      <c r="AO3672" s="48" t="n"/>
    </row>
    <row r="3673">
      <c r="M3673" s="25" t="n"/>
      <c r="Q3673" s="25" t="n"/>
      <c r="U3673" s="194" t="n"/>
      <c r="AA3673" s="25" t="n"/>
      <c r="AB3673" s="25" t="n"/>
      <c r="AC3673" s="195" t="n"/>
      <c r="AD3673" s="25" t="n"/>
      <c r="AE3673" s="25" t="n"/>
      <c r="AG3673" s="25" t="n"/>
      <c r="AH3673" s="25" t="n"/>
      <c r="AI3673" s="394" t="n"/>
      <c r="AM3673" s="48" t="n"/>
      <c r="AN3673" s="48" t="n"/>
      <c r="AO3673" s="48" t="n"/>
    </row>
    <row r="3674">
      <c r="M3674" s="25" t="n"/>
      <c r="Q3674" s="25" t="n"/>
      <c r="U3674" s="194" t="n"/>
      <c r="AA3674" s="25" t="n"/>
      <c r="AB3674" s="25" t="n"/>
      <c r="AC3674" s="195" t="n"/>
      <c r="AD3674" s="25" t="n"/>
      <c r="AE3674" s="25" t="n"/>
      <c r="AG3674" s="25" t="n"/>
      <c r="AH3674" s="25" t="n"/>
      <c r="AI3674" s="394" t="n"/>
      <c r="AM3674" s="48" t="n"/>
      <c r="AN3674" s="48" t="n"/>
      <c r="AO3674" s="48" t="n"/>
    </row>
    <row r="3675">
      <c r="M3675" s="25" t="n"/>
      <c r="Q3675" s="25" t="n"/>
      <c r="U3675" s="194" t="n"/>
      <c r="AA3675" s="25" t="n"/>
      <c r="AB3675" s="25" t="n"/>
      <c r="AC3675" s="195" t="n"/>
      <c r="AD3675" s="25" t="n"/>
      <c r="AE3675" s="25" t="n"/>
      <c r="AG3675" s="25" t="n"/>
      <c r="AH3675" s="25" t="n"/>
      <c r="AI3675" s="394" t="n"/>
      <c r="AM3675" s="48" t="n"/>
      <c r="AN3675" s="48" t="n"/>
      <c r="AO3675" s="48" t="n"/>
    </row>
    <row r="3676">
      <c r="M3676" s="25" t="n"/>
      <c r="Q3676" s="25" t="n"/>
      <c r="U3676" s="194" t="n"/>
      <c r="AA3676" s="25" t="n"/>
      <c r="AB3676" s="25" t="n"/>
      <c r="AC3676" s="195" t="n"/>
      <c r="AD3676" s="25" t="n"/>
      <c r="AE3676" s="25" t="n"/>
      <c r="AG3676" s="25" t="n"/>
      <c r="AH3676" s="25" t="n"/>
      <c r="AI3676" s="394" t="n"/>
      <c r="AM3676" s="48" t="n"/>
      <c r="AN3676" s="48" t="n"/>
      <c r="AO3676" s="48" t="n"/>
    </row>
    <row r="3677">
      <c r="M3677" s="25" t="n"/>
      <c r="Q3677" s="25" t="n"/>
      <c r="U3677" s="194" t="n"/>
      <c r="AA3677" s="25" t="n"/>
      <c r="AB3677" s="25" t="n"/>
      <c r="AC3677" s="195" t="n"/>
      <c r="AD3677" s="25" t="n"/>
      <c r="AE3677" s="25" t="n"/>
      <c r="AG3677" s="25" t="n"/>
      <c r="AH3677" s="25" t="n"/>
      <c r="AI3677" s="394" t="n"/>
      <c r="AM3677" s="48" t="n"/>
      <c r="AN3677" s="48" t="n"/>
      <c r="AO3677" s="48" t="n"/>
    </row>
    <row r="3678">
      <c r="M3678" s="25" t="n"/>
      <c r="Q3678" s="25" t="n"/>
      <c r="U3678" s="194" t="n"/>
      <c r="AA3678" s="25" t="n"/>
      <c r="AB3678" s="25" t="n"/>
      <c r="AC3678" s="195" t="n"/>
      <c r="AD3678" s="25" t="n"/>
      <c r="AE3678" s="25" t="n"/>
      <c r="AG3678" s="25" t="n"/>
      <c r="AH3678" s="25" t="n"/>
      <c r="AI3678" s="394" t="n"/>
      <c r="AM3678" s="48" t="n"/>
      <c r="AN3678" s="48" t="n"/>
      <c r="AO3678" s="48" t="n"/>
    </row>
    <row r="3679">
      <c r="M3679" s="25" t="n"/>
      <c r="Q3679" s="25" t="n"/>
      <c r="U3679" s="194" t="n"/>
      <c r="AA3679" s="25" t="n"/>
      <c r="AB3679" s="25" t="n"/>
      <c r="AC3679" s="195" t="n"/>
      <c r="AD3679" s="25" t="n"/>
      <c r="AE3679" s="25" t="n"/>
      <c r="AG3679" s="25" t="n"/>
      <c r="AH3679" s="25" t="n"/>
      <c r="AI3679" s="394" t="n"/>
      <c r="AM3679" s="48" t="n"/>
      <c r="AN3679" s="48" t="n"/>
      <c r="AO3679" s="48" t="n"/>
    </row>
    <row r="3680">
      <c r="M3680" s="25" t="n"/>
      <c r="Q3680" s="25" t="n"/>
      <c r="U3680" s="194" t="n"/>
      <c r="AA3680" s="25" t="n"/>
      <c r="AB3680" s="25" t="n"/>
      <c r="AC3680" s="195" t="n"/>
      <c r="AD3680" s="25" t="n"/>
      <c r="AE3680" s="25" t="n"/>
      <c r="AG3680" s="25" t="n"/>
      <c r="AH3680" s="25" t="n"/>
      <c r="AI3680" s="394" t="n"/>
      <c r="AM3680" s="48" t="n"/>
      <c r="AN3680" s="48" t="n"/>
      <c r="AO3680" s="48" t="n"/>
    </row>
    <row r="3681">
      <c r="M3681" s="25" t="n"/>
      <c r="Q3681" s="25" t="n"/>
      <c r="U3681" s="194" t="n"/>
      <c r="AA3681" s="25" t="n"/>
      <c r="AB3681" s="25" t="n"/>
      <c r="AC3681" s="195" t="n"/>
      <c r="AD3681" s="25" t="n"/>
      <c r="AE3681" s="25" t="n"/>
      <c r="AG3681" s="25" t="n"/>
      <c r="AH3681" s="25" t="n"/>
      <c r="AI3681" s="394" t="n"/>
      <c r="AM3681" s="48" t="n"/>
      <c r="AN3681" s="48" t="n"/>
      <c r="AO3681" s="48" t="n"/>
    </row>
    <row r="3682">
      <c r="M3682" s="25" t="n"/>
      <c r="Q3682" s="25" t="n"/>
      <c r="U3682" s="194" t="n"/>
      <c r="AA3682" s="25" t="n"/>
      <c r="AB3682" s="25" t="n"/>
      <c r="AC3682" s="195" t="n"/>
      <c r="AD3682" s="25" t="n"/>
      <c r="AE3682" s="25" t="n"/>
      <c r="AG3682" s="25" t="n"/>
      <c r="AH3682" s="25" t="n"/>
      <c r="AI3682" s="394" t="n"/>
      <c r="AM3682" s="48" t="n"/>
      <c r="AN3682" s="48" t="n"/>
      <c r="AO3682" s="48" t="n"/>
    </row>
    <row r="3683">
      <c r="M3683" s="25" t="n"/>
      <c r="Q3683" s="25" t="n"/>
      <c r="U3683" s="194" t="n"/>
      <c r="AA3683" s="25" t="n"/>
      <c r="AB3683" s="25" t="n"/>
      <c r="AC3683" s="195" t="n"/>
      <c r="AD3683" s="25" t="n"/>
      <c r="AE3683" s="25" t="n"/>
      <c r="AG3683" s="25" t="n"/>
      <c r="AH3683" s="25" t="n"/>
      <c r="AI3683" s="394" t="n"/>
      <c r="AM3683" s="48" t="n"/>
      <c r="AN3683" s="48" t="n"/>
      <c r="AO3683" s="48" t="n"/>
    </row>
    <row r="3684">
      <c r="M3684" s="25" t="n"/>
      <c r="Q3684" s="25" t="n"/>
      <c r="U3684" s="194" t="n"/>
      <c r="AA3684" s="25" t="n"/>
      <c r="AB3684" s="25" t="n"/>
      <c r="AC3684" s="195" t="n"/>
      <c r="AD3684" s="25" t="n"/>
      <c r="AE3684" s="25" t="n"/>
      <c r="AG3684" s="25" t="n"/>
      <c r="AH3684" s="25" t="n"/>
      <c r="AI3684" s="394" t="n"/>
      <c r="AM3684" s="48" t="n"/>
      <c r="AN3684" s="48" t="n"/>
      <c r="AO3684" s="48" t="n"/>
    </row>
    <row r="3685">
      <c r="M3685" s="25" t="n"/>
      <c r="Q3685" s="25" t="n"/>
      <c r="U3685" s="194" t="n"/>
      <c r="AA3685" s="25" t="n"/>
      <c r="AB3685" s="25" t="n"/>
      <c r="AC3685" s="195" t="n"/>
      <c r="AD3685" s="25" t="n"/>
      <c r="AE3685" s="25" t="n"/>
      <c r="AG3685" s="25" t="n"/>
      <c r="AH3685" s="25" t="n"/>
      <c r="AI3685" s="394" t="n"/>
      <c r="AM3685" s="48" t="n"/>
      <c r="AN3685" s="48" t="n"/>
      <c r="AO3685" s="48" t="n"/>
    </row>
    <row r="3686">
      <c r="M3686" s="25" t="n"/>
      <c r="Q3686" s="25" t="n"/>
      <c r="U3686" s="194" t="n"/>
      <c r="AA3686" s="25" t="n"/>
      <c r="AB3686" s="25" t="n"/>
      <c r="AC3686" s="195" t="n"/>
      <c r="AD3686" s="25" t="n"/>
      <c r="AE3686" s="25" t="n"/>
      <c r="AG3686" s="25" t="n"/>
      <c r="AH3686" s="25" t="n"/>
      <c r="AI3686" s="394" t="n"/>
      <c r="AM3686" s="48" t="n"/>
      <c r="AN3686" s="48" t="n"/>
      <c r="AO3686" s="48" t="n"/>
    </row>
    <row r="3687">
      <c r="M3687" s="25" t="n"/>
      <c r="Q3687" s="25" t="n"/>
      <c r="U3687" s="194" t="n"/>
      <c r="AA3687" s="25" t="n"/>
      <c r="AB3687" s="25" t="n"/>
      <c r="AC3687" s="195" t="n"/>
      <c r="AD3687" s="25" t="n"/>
      <c r="AE3687" s="25" t="n"/>
      <c r="AG3687" s="25" t="n"/>
      <c r="AH3687" s="25" t="n"/>
      <c r="AI3687" s="394" t="n"/>
      <c r="AM3687" s="48" t="n"/>
      <c r="AN3687" s="48" t="n"/>
      <c r="AO3687" s="48" t="n"/>
    </row>
    <row r="3688">
      <c r="M3688" s="25" t="n"/>
      <c r="Q3688" s="25" t="n"/>
      <c r="U3688" s="194" t="n"/>
      <c r="AA3688" s="25" t="n"/>
      <c r="AB3688" s="25" t="n"/>
      <c r="AC3688" s="195" t="n"/>
      <c r="AD3688" s="25" t="n"/>
      <c r="AE3688" s="25" t="n"/>
      <c r="AG3688" s="25" t="n"/>
      <c r="AH3688" s="25" t="n"/>
      <c r="AI3688" s="394" t="n"/>
      <c r="AM3688" s="48" t="n"/>
      <c r="AN3688" s="48" t="n"/>
      <c r="AO3688" s="48" t="n"/>
    </row>
    <row r="3689">
      <c r="M3689" s="25" t="n"/>
      <c r="Q3689" s="25" t="n"/>
      <c r="U3689" s="194" t="n"/>
      <c r="AA3689" s="25" t="n"/>
      <c r="AB3689" s="25" t="n"/>
      <c r="AC3689" s="195" t="n"/>
      <c r="AD3689" s="25" t="n"/>
      <c r="AE3689" s="25" t="n"/>
      <c r="AG3689" s="25" t="n"/>
      <c r="AH3689" s="25" t="n"/>
      <c r="AI3689" s="394" t="n"/>
      <c r="AM3689" s="48" t="n"/>
      <c r="AN3689" s="48" t="n"/>
      <c r="AO3689" s="48" t="n"/>
    </row>
    <row r="3690">
      <c r="M3690" s="25" t="n"/>
      <c r="Q3690" s="25" t="n"/>
      <c r="U3690" s="194" t="n"/>
      <c r="AA3690" s="25" t="n"/>
      <c r="AB3690" s="25" t="n"/>
      <c r="AC3690" s="195" t="n"/>
      <c r="AD3690" s="25" t="n"/>
      <c r="AE3690" s="25" t="n"/>
      <c r="AG3690" s="25" t="n"/>
      <c r="AH3690" s="25" t="n"/>
      <c r="AI3690" s="394" t="n"/>
      <c r="AM3690" s="48" t="n"/>
      <c r="AN3690" s="48" t="n"/>
      <c r="AO3690" s="48" t="n"/>
    </row>
    <row r="3691">
      <c r="M3691" s="25" t="n"/>
      <c r="Q3691" s="25" t="n"/>
      <c r="U3691" s="194" t="n"/>
      <c r="AA3691" s="25" t="n"/>
      <c r="AB3691" s="25" t="n"/>
      <c r="AC3691" s="195" t="n"/>
      <c r="AD3691" s="25" t="n"/>
      <c r="AE3691" s="25" t="n"/>
      <c r="AG3691" s="25" t="n"/>
      <c r="AH3691" s="25" t="n"/>
      <c r="AI3691" s="394" t="n"/>
      <c r="AM3691" s="48" t="n"/>
      <c r="AN3691" s="48" t="n"/>
      <c r="AO3691" s="48" t="n"/>
    </row>
    <row r="3692">
      <c r="M3692" s="25" t="n"/>
      <c r="Q3692" s="25" t="n"/>
      <c r="U3692" s="194" t="n"/>
      <c r="AA3692" s="25" t="n"/>
      <c r="AB3692" s="25" t="n"/>
      <c r="AC3692" s="195" t="n"/>
      <c r="AD3692" s="25" t="n"/>
      <c r="AE3692" s="25" t="n"/>
      <c r="AG3692" s="25" t="n"/>
      <c r="AH3692" s="25" t="n"/>
      <c r="AI3692" s="394" t="n"/>
      <c r="AM3692" s="48" t="n"/>
      <c r="AN3692" s="48" t="n"/>
      <c r="AO3692" s="48" t="n"/>
    </row>
    <row r="3693">
      <c r="M3693" s="25" t="n"/>
      <c r="Q3693" s="25" t="n"/>
      <c r="U3693" s="194" t="n"/>
      <c r="AA3693" s="25" t="n"/>
      <c r="AB3693" s="25" t="n"/>
      <c r="AC3693" s="195" t="n"/>
      <c r="AD3693" s="25" t="n"/>
      <c r="AE3693" s="25" t="n"/>
      <c r="AG3693" s="25" t="n"/>
      <c r="AH3693" s="25" t="n"/>
      <c r="AI3693" s="394" t="n"/>
      <c r="AM3693" s="48" t="n"/>
      <c r="AN3693" s="48" t="n"/>
      <c r="AO3693" s="48" t="n"/>
    </row>
    <row r="3694">
      <c r="M3694" s="25" t="n"/>
      <c r="Q3694" s="25" t="n"/>
      <c r="U3694" s="194" t="n"/>
      <c r="AA3694" s="25" t="n"/>
      <c r="AB3694" s="25" t="n"/>
      <c r="AC3694" s="195" t="n"/>
      <c r="AD3694" s="25" t="n"/>
      <c r="AE3694" s="25" t="n"/>
      <c r="AG3694" s="25" t="n"/>
      <c r="AH3694" s="25" t="n"/>
      <c r="AI3694" s="394" t="n"/>
      <c r="AM3694" s="48" t="n"/>
      <c r="AN3694" s="48" t="n"/>
      <c r="AO3694" s="48" t="n"/>
    </row>
    <row r="3695">
      <c r="M3695" s="25" t="n"/>
      <c r="Q3695" s="25" t="n"/>
      <c r="U3695" s="194" t="n"/>
      <c r="AA3695" s="25" t="n"/>
      <c r="AB3695" s="25" t="n"/>
      <c r="AC3695" s="195" t="n"/>
      <c r="AD3695" s="25" t="n"/>
      <c r="AE3695" s="25" t="n"/>
      <c r="AG3695" s="25" t="n"/>
      <c r="AH3695" s="25" t="n"/>
      <c r="AI3695" s="394" t="n"/>
      <c r="AM3695" s="48" t="n"/>
      <c r="AN3695" s="48" t="n"/>
      <c r="AO3695" s="48" t="n"/>
    </row>
    <row r="3696">
      <c r="M3696" s="25" t="n"/>
      <c r="Q3696" s="25" t="n"/>
      <c r="U3696" s="194" t="n"/>
      <c r="AA3696" s="25" t="n"/>
      <c r="AB3696" s="25" t="n"/>
      <c r="AC3696" s="195" t="n"/>
      <c r="AD3696" s="25" t="n"/>
      <c r="AE3696" s="25" t="n"/>
      <c r="AG3696" s="25" t="n"/>
      <c r="AH3696" s="25" t="n"/>
      <c r="AI3696" s="394" t="n"/>
      <c r="AM3696" s="48" t="n"/>
      <c r="AN3696" s="48" t="n"/>
      <c r="AO3696" s="48" t="n"/>
    </row>
    <row r="3697">
      <c r="M3697" s="25" t="n"/>
      <c r="Q3697" s="25" t="n"/>
      <c r="U3697" s="194" t="n"/>
      <c r="AA3697" s="25" t="n"/>
      <c r="AB3697" s="25" t="n"/>
      <c r="AC3697" s="195" t="n"/>
      <c r="AD3697" s="25" t="n"/>
      <c r="AE3697" s="25" t="n"/>
      <c r="AG3697" s="25" t="n"/>
      <c r="AH3697" s="25" t="n"/>
      <c r="AI3697" s="394" t="n"/>
      <c r="AM3697" s="48" t="n"/>
      <c r="AN3697" s="48" t="n"/>
      <c r="AO3697" s="48" t="n"/>
    </row>
    <row r="3698">
      <c r="M3698" s="25" t="n"/>
      <c r="Q3698" s="25" t="n"/>
      <c r="U3698" s="194" t="n"/>
      <c r="AA3698" s="25" t="n"/>
      <c r="AB3698" s="25" t="n"/>
      <c r="AC3698" s="195" t="n"/>
      <c r="AD3698" s="25" t="n"/>
      <c r="AE3698" s="25" t="n"/>
      <c r="AG3698" s="25" t="n"/>
      <c r="AH3698" s="25" t="n"/>
      <c r="AI3698" s="394" t="n"/>
      <c r="AM3698" s="48" t="n"/>
      <c r="AN3698" s="48" t="n"/>
      <c r="AO3698" s="48" t="n"/>
    </row>
    <row r="3699">
      <c r="M3699" s="25" t="n"/>
      <c r="Q3699" s="25" t="n"/>
      <c r="U3699" s="194" t="n"/>
      <c r="AA3699" s="25" t="n"/>
      <c r="AB3699" s="25" t="n"/>
      <c r="AC3699" s="195" t="n"/>
      <c r="AD3699" s="25" t="n"/>
      <c r="AE3699" s="25" t="n"/>
      <c r="AG3699" s="25" t="n"/>
      <c r="AH3699" s="25" t="n"/>
      <c r="AI3699" s="394" t="n"/>
      <c r="AM3699" s="48" t="n"/>
      <c r="AN3699" s="48" t="n"/>
      <c r="AO3699" s="48" t="n"/>
    </row>
    <row r="3700">
      <c r="M3700" s="25" t="n"/>
      <c r="Q3700" s="25" t="n"/>
      <c r="U3700" s="194" t="n"/>
      <c r="AA3700" s="25" t="n"/>
      <c r="AB3700" s="25" t="n"/>
      <c r="AC3700" s="195" t="n"/>
      <c r="AD3700" s="25" t="n"/>
      <c r="AE3700" s="25" t="n"/>
      <c r="AG3700" s="25" t="n"/>
      <c r="AH3700" s="25" t="n"/>
      <c r="AI3700" s="394" t="n"/>
      <c r="AM3700" s="48" t="n"/>
      <c r="AN3700" s="48" t="n"/>
      <c r="AO3700" s="48" t="n"/>
    </row>
    <row r="3701">
      <c r="M3701" s="25" t="n"/>
      <c r="Q3701" s="25" t="n"/>
      <c r="U3701" s="194" t="n"/>
      <c r="AA3701" s="25" t="n"/>
      <c r="AB3701" s="25" t="n"/>
      <c r="AC3701" s="195" t="n"/>
      <c r="AD3701" s="25" t="n"/>
      <c r="AE3701" s="25" t="n"/>
      <c r="AG3701" s="25" t="n"/>
      <c r="AH3701" s="25" t="n"/>
      <c r="AI3701" s="394" t="n"/>
      <c r="AM3701" s="48" t="n"/>
      <c r="AN3701" s="48" t="n"/>
      <c r="AO3701" s="48" t="n"/>
    </row>
    <row r="3702">
      <c r="M3702" s="25" t="n"/>
      <c r="Q3702" s="25" t="n"/>
      <c r="U3702" s="194" t="n"/>
      <c r="AA3702" s="25" t="n"/>
      <c r="AB3702" s="25" t="n"/>
      <c r="AC3702" s="195" t="n"/>
      <c r="AD3702" s="25" t="n"/>
      <c r="AE3702" s="25" t="n"/>
      <c r="AG3702" s="25" t="n"/>
      <c r="AH3702" s="25" t="n"/>
      <c r="AI3702" s="394" t="n"/>
      <c r="AM3702" s="48" t="n"/>
      <c r="AN3702" s="48" t="n"/>
      <c r="AO3702" s="48" t="n"/>
    </row>
    <row r="3703">
      <c r="M3703" s="25" t="n"/>
      <c r="Q3703" s="25" t="n"/>
      <c r="U3703" s="194" t="n"/>
      <c r="AA3703" s="25" t="n"/>
      <c r="AB3703" s="25" t="n"/>
      <c r="AC3703" s="195" t="n"/>
      <c r="AD3703" s="25" t="n"/>
      <c r="AE3703" s="25" t="n"/>
      <c r="AG3703" s="25" t="n"/>
      <c r="AH3703" s="25" t="n"/>
      <c r="AI3703" s="394" t="n"/>
      <c r="AM3703" s="48" t="n"/>
      <c r="AN3703" s="48" t="n"/>
      <c r="AO3703" s="48" t="n"/>
    </row>
    <row r="3704">
      <c r="M3704" s="25" t="n"/>
      <c r="Q3704" s="25" t="n"/>
      <c r="U3704" s="194" t="n"/>
      <c r="AA3704" s="25" t="n"/>
      <c r="AB3704" s="25" t="n"/>
      <c r="AC3704" s="195" t="n"/>
      <c r="AD3704" s="25" t="n"/>
      <c r="AE3704" s="25" t="n"/>
      <c r="AG3704" s="25" t="n"/>
      <c r="AH3704" s="25" t="n"/>
      <c r="AI3704" s="394" t="n"/>
      <c r="AM3704" s="48" t="n"/>
      <c r="AN3704" s="48" t="n"/>
      <c r="AO3704" s="48" t="n"/>
    </row>
    <row r="3705">
      <c r="M3705" s="25" t="n"/>
      <c r="Q3705" s="25" t="n"/>
      <c r="U3705" s="194" t="n"/>
      <c r="AA3705" s="25" t="n"/>
      <c r="AB3705" s="25" t="n"/>
      <c r="AC3705" s="195" t="n"/>
      <c r="AD3705" s="25" t="n"/>
      <c r="AE3705" s="25" t="n"/>
      <c r="AG3705" s="25" t="n"/>
      <c r="AH3705" s="25" t="n"/>
      <c r="AI3705" s="394" t="n"/>
      <c r="AM3705" s="48" t="n"/>
      <c r="AN3705" s="48" t="n"/>
      <c r="AO3705" s="48" t="n"/>
    </row>
    <row r="3706">
      <c r="M3706" s="25" t="n"/>
      <c r="Q3706" s="25" t="n"/>
      <c r="U3706" s="194" t="n"/>
      <c r="AA3706" s="25" t="n"/>
      <c r="AB3706" s="25" t="n"/>
      <c r="AC3706" s="195" t="n"/>
      <c r="AD3706" s="25" t="n"/>
      <c r="AE3706" s="25" t="n"/>
      <c r="AG3706" s="25" t="n"/>
      <c r="AH3706" s="25" t="n"/>
      <c r="AI3706" s="394" t="n"/>
      <c r="AM3706" s="48" t="n"/>
      <c r="AN3706" s="48" t="n"/>
      <c r="AO3706" s="48" t="n"/>
    </row>
    <row r="3707">
      <c r="M3707" s="25" t="n"/>
      <c r="Q3707" s="25" t="n"/>
      <c r="U3707" s="194" t="n"/>
      <c r="AA3707" s="25" t="n"/>
      <c r="AB3707" s="25" t="n"/>
      <c r="AC3707" s="195" t="n"/>
      <c r="AD3707" s="25" t="n"/>
      <c r="AE3707" s="25" t="n"/>
      <c r="AG3707" s="25" t="n"/>
      <c r="AH3707" s="25" t="n"/>
      <c r="AI3707" s="394" t="n"/>
      <c r="AM3707" s="48" t="n"/>
      <c r="AN3707" s="48" t="n"/>
      <c r="AO3707" s="48" t="n"/>
    </row>
    <row r="3708">
      <c r="M3708" s="25" t="n"/>
      <c r="Q3708" s="25" t="n"/>
      <c r="U3708" s="194" t="n"/>
      <c r="AA3708" s="25" t="n"/>
      <c r="AB3708" s="25" t="n"/>
      <c r="AC3708" s="195" t="n"/>
      <c r="AD3708" s="25" t="n"/>
      <c r="AE3708" s="25" t="n"/>
      <c r="AG3708" s="25" t="n"/>
      <c r="AH3708" s="25" t="n"/>
      <c r="AI3708" s="394" t="n"/>
      <c r="AM3708" s="48" t="n"/>
      <c r="AN3708" s="48" t="n"/>
      <c r="AO3708" s="48" t="n"/>
    </row>
    <row r="3709">
      <c r="M3709" s="25" t="n"/>
      <c r="Q3709" s="25" t="n"/>
      <c r="U3709" s="194" t="n"/>
      <c r="AA3709" s="25" t="n"/>
      <c r="AB3709" s="25" t="n"/>
      <c r="AC3709" s="195" t="n"/>
      <c r="AD3709" s="25" t="n"/>
      <c r="AE3709" s="25" t="n"/>
      <c r="AG3709" s="25" t="n"/>
      <c r="AH3709" s="25" t="n"/>
      <c r="AI3709" s="394" t="n"/>
      <c r="AM3709" s="48" t="n"/>
      <c r="AN3709" s="48" t="n"/>
      <c r="AO3709" s="48" t="n"/>
    </row>
    <row r="3710">
      <c r="M3710" s="25" t="n"/>
      <c r="Q3710" s="25" t="n"/>
      <c r="U3710" s="194" t="n"/>
      <c r="AA3710" s="25" t="n"/>
      <c r="AB3710" s="25" t="n"/>
      <c r="AC3710" s="195" t="n"/>
      <c r="AD3710" s="25" t="n"/>
      <c r="AE3710" s="25" t="n"/>
      <c r="AG3710" s="25" t="n"/>
      <c r="AH3710" s="25" t="n"/>
      <c r="AI3710" s="394" t="n"/>
      <c r="AM3710" s="48" t="n"/>
      <c r="AN3710" s="48" t="n"/>
      <c r="AO3710" s="48" t="n"/>
    </row>
    <row r="3711">
      <c r="M3711" s="25" t="n"/>
      <c r="Q3711" s="25" t="n"/>
      <c r="U3711" s="194" t="n"/>
      <c r="AA3711" s="25" t="n"/>
      <c r="AB3711" s="25" t="n"/>
      <c r="AC3711" s="195" t="n"/>
      <c r="AD3711" s="25" t="n"/>
      <c r="AE3711" s="25" t="n"/>
      <c r="AG3711" s="25" t="n"/>
      <c r="AH3711" s="25" t="n"/>
      <c r="AI3711" s="394" t="n"/>
      <c r="AM3711" s="48" t="n"/>
      <c r="AN3711" s="48" t="n"/>
      <c r="AO3711" s="48" t="n"/>
    </row>
    <row r="3712">
      <c r="M3712" s="25" t="n"/>
      <c r="Q3712" s="25" t="n"/>
      <c r="U3712" s="194" t="n"/>
      <c r="AA3712" s="25" t="n"/>
      <c r="AB3712" s="25" t="n"/>
      <c r="AC3712" s="195" t="n"/>
      <c r="AD3712" s="25" t="n"/>
      <c r="AE3712" s="25" t="n"/>
      <c r="AG3712" s="25" t="n"/>
      <c r="AH3712" s="25" t="n"/>
      <c r="AI3712" s="394" t="n"/>
      <c r="AM3712" s="48" t="n"/>
      <c r="AN3712" s="48" t="n"/>
      <c r="AO3712" s="48" t="n"/>
    </row>
    <row r="3713">
      <c r="M3713" s="25" t="n"/>
      <c r="Q3713" s="25" t="n"/>
      <c r="U3713" s="194" t="n"/>
      <c r="AA3713" s="25" t="n"/>
      <c r="AB3713" s="25" t="n"/>
      <c r="AC3713" s="195" t="n"/>
      <c r="AD3713" s="25" t="n"/>
      <c r="AE3713" s="25" t="n"/>
      <c r="AG3713" s="25" t="n"/>
      <c r="AH3713" s="25" t="n"/>
      <c r="AI3713" s="394" t="n"/>
      <c r="AM3713" s="48" t="n"/>
      <c r="AN3713" s="48" t="n"/>
      <c r="AO3713" s="48" t="n"/>
    </row>
    <row r="3714">
      <c r="M3714" s="25" t="n"/>
      <c r="Q3714" s="25" t="n"/>
      <c r="U3714" s="194" t="n"/>
      <c r="AA3714" s="25" t="n"/>
      <c r="AB3714" s="25" t="n"/>
      <c r="AC3714" s="195" t="n"/>
      <c r="AD3714" s="25" t="n"/>
      <c r="AE3714" s="25" t="n"/>
      <c r="AG3714" s="25" t="n"/>
      <c r="AH3714" s="25" t="n"/>
      <c r="AI3714" s="394" t="n"/>
      <c r="AM3714" s="48" t="n"/>
      <c r="AN3714" s="48" t="n"/>
      <c r="AO3714" s="48" t="n"/>
    </row>
    <row r="3715">
      <c r="M3715" s="25" t="n"/>
      <c r="Q3715" s="25" t="n"/>
      <c r="U3715" s="194" t="n"/>
      <c r="AA3715" s="25" t="n"/>
      <c r="AB3715" s="25" t="n"/>
      <c r="AC3715" s="195" t="n"/>
      <c r="AD3715" s="25" t="n"/>
      <c r="AE3715" s="25" t="n"/>
      <c r="AG3715" s="25" t="n"/>
      <c r="AH3715" s="25" t="n"/>
      <c r="AI3715" s="394" t="n"/>
      <c r="AM3715" s="48" t="n"/>
      <c r="AN3715" s="48" t="n"/>
      <c r="AO3715" s="48" t="n"/>
    </row>
    <row r="3716">
      <c r="M3716" s="25" t="n"/>
      <c r="Q3716" s="25" t="n"/>
      <c r="U3716" s="194" t="n"/>
      <c r="AA3716" s="25" t="n"/>
      <c r="AB3716" s="25" t="n"/>
      <c r="AC3716" s="195" t="n"/>
      <c r="AD3716" s="25" t="n"/>
      <c r="AE3716" s="25" t="n"/>
      <c r="AG3716" s="25" t="n"/>
      <c r="AH3716" s="25" t="n"/>
      <c r="AI3716" s="394" t="n"/>
      <c r="AM3716" s="48" t="n"/>
      <c r="AN3716" s="48" t="n"/>
      <c r="AO3716" s="48" t="n"/>
    </row>
    <row r="3717">
      <c r="M3717" s="25" t="n"/>
      <c r="Q3717" s="25" t="n"/>
      <c r="U3717" s="194" t="n"/>
      <c r="AA3717" s="25" t="n"/>
      <c r="AB3717" s="25" t="n"/>
      <c r="AC3717" s="195" t="n"/>
      <c r="AD3717" s="25" t="n"/>
      <c r="AE3717" s="25" t="n"/>
      <c r="AG3717" s="25" t="n"/>
      <c r="AH3717" s="25" t="n"/>
      <c r="AI3717" s="394" t="n"/>
      <c r="AM3717" s="48" t="n"/>
      <c r="AN3717" s="48" t="n"/>
      <c r="AO3717" s="48" t="n"/>
    </row>
    <row r="3718">
      <c r="M3718" s="25" t="n"/>
      <c r="Q3718" s="25" t="n"/>
      <c r="U3718" s="194" t="n"/>
      <c r="AA3718" s="25" t="n"/>
      <c r="AB3718" s="25" t="n"/>
      <c r="AC3718" s="195" t="n"/>
      <c r="AD3718" s="25" t="n"/>
      <c r="AE3718" s="25" t="n"/>
      <c r="AG3718" s="25" t="n"/>
      <c r="AH3718" s="25" t="n"/>
      <c r="AI3718" s="394" t="n"/>
      <c r="AM3718" s="48" t="n"/>
      <c r="AN3718" s="48" t="n"/>
      <c r="AO3718" s="48" t="n"/>
    </row>
    <row r="3719">
      <c r="M3719" s="25" t="n"/>
      <c r="Q3719" s="25" t="n"/>
      <c r="U3719" s="194" t="n"/>
      <c r="AA3719" s="25" t="n"/>
      <c r="AB3719" s="25" t="n"/>
      <c r="AC3719" s="195" t="n"/>
      <c r="AD3719" s="25" t="n"/>
      <c r="AE3719" s="25" t="n"/>
      <c r="AG3719" s="25" t="n"/>
      <c r="AH3719" s="25" t="n"/>
      <c r="AI3719" s="394" t="n"/>
      <c r="AM3719" s="48" t="n"/>
      <c r="AN3719" s="48" t="n"/>
      <c r="AO3719" s="48" t="n"/>
    </row>
    <row r="3720">
      <c r="M3720" s="25" t="n"/>
      <c r="Q3720" s="25" t="n"/>
      <c r="U3720" s="194" t="n"/>
      <c r="AA3720" s="25" t="n"/>
      <c r="AB3720" s="25" t="n"/>
      <c r="AC3720" s="195" t="n"/>
      <c r="AD3720" s="25" t="n"/>
      <c r="AE3720" s="25" t="n"/>
      <c r="AG3720" s="25" t="n"/>
      <c r="AH3720" s="25" t="n"/>
      <c r="AI3720" s="394" t="n"/>
      <c r="AM3720" s="48" t="n"/>
      <c r="AN3720" s="48" t="n"/>
      <c r="AO3720" s="48" t="n"/>
    </row>
    <row r="3721">
      <c r="M3721" s="25" t="n"/>
      <c r="Q3721" s="25" t="n"/>
      <c r="U3721" s="194" t="n"/>
      <c r="AA3721" s="25" t="n"/>
      <c r="AB3721" s="25" t="n"/>
      <c r="AC3721" s="195" t="n"/>
      <c r="AD3721" s="25" t="n"/>
      <c r="AE3721" s="25" t="n"/>
      <c r="AG3721" s="25" t="n"/>
      <c r="AH3721" s="25" t="n"/>
      <c r="AI3721" s="394" t="n"/>
      <c r="AM3721" s="48" t="n"/>
      <c r="AN3721" s="48" t="n"/>
      <c r="AO3721" s="48" t="n"/>
    </row>
    <row r="3722">
      <c r="M3722" s="25" t="n"/>
      <c r="Q3722" s="25" t="n"/>
      <c r="U3722" s="194" t="n"/>
      <c r="AA3722" s="25" t="n"/>
      <c r="AB3722" s="25" t="n"/>
      <c r="AC3722" s="195" t="n"/>
      <c r="AD3722" s="25" t="n"/>
      <c r="AE3722" s="25" t="n"/>
      <c r="AG3722" s="25" t="n"/>
      <c r="AH3722" s="25" t="n"/>
      <c r="AI3722" s="394" t="n"/>
      <c r="AM3722" s="48" t="n"/>
      <c r="AN3722" s="48" t="n"/>
      <c r="AO3722" s="48" t="n"/>
    </row>
    <row r="3723">
      <c r="M3723" s="25" t="n"/>
      <c r="Q3723" s="25" t="n"/>
      <c r="U3723" s="194" t="n"/>
      <c r="AA3723" s="25" t="n"/>
      <c r="AB3723" s="25" t="n"/>
      <c r="AC3723" s="195" t="n"/>
      <c r="AD3723" s="25" t="n"/>
      <c r="AE3723" s="25" t="n"/>
      <c r="AG3723" s="25" t="n"/>
      <c r="AH3723" s="25" t="n"/>
      <c r="AI3723" s="394" t="n"/>
      <c r="AM3723" s="48" t="n"/>
      <c r="AN3723" s="48" t="n"/>
      <c r="AO3723" s="48" t="n"/>
    </row>
    <row r="3724">
      <c r="M3724" s="25" t="n"/>
      <c r="Q3724" s="25" t="n"/>
      <c r="U3724" s="194" t="n"/>
      <c r="AA3724" s="25" t="n"/>
      <c r="AB3724" s="25" t="n"/>
      <c r="AC3724" s="195" t="n"/>
      <c r="AD3724" s="25" t="n"/>
      <c r="AE3724" s="25" t="n"/>
      <c r="AG3724" s="25" t="n"/>
      <c r="AH3724" s="25" t="n"/>
      <c r="AI3724" s="394" t="n"/>
      <c r="AM3724" s="48" t="n"/>
      <c r="AN3724" s="48" t="n"/>
      <c r="AO3724" s="48" t="n"/>
    </row>
    <row r="3725">
      <c r="M3725" s="25" t="n"/>
      <c r="Q3725" s="25" t="n"/>
      <c r="U3725" s="194" t="n"/>
      <c r="AA3725" s="25" t="n"/>
      <c r="AB3725" s="25" t="n"/>
      <c r="AC3725" s="195" t="n"/>
      <c r="AD3725" s="25" t="n"/>
      <c r="AE3725" s="25" t="n"/>
      <c r="AG3725" s="25" t="n"/>
      <c r="AH3725" s="25" t="n"/>
      <c r="AI3725" s="394" t="n"/>
      <c r="AM3725" s="48" t="n"/>
      <c r="AN3725" s="48" t="n"/>
      <c r="AO3725" s="48" t="n"/>
    </row>
    <row r="3726">
      <c r="M3726" s="25" t="n"/>
      <c r="Q3726" s="25" t="n"/>
      <c r="U3726" s="194" t="n"/>
      <c r="AA3726" s="25" t="n"/>
      <c r="AB3726" s="25" t="n"/>
      <c r="AC3726" s="195" t="n"/>
      <c r="AD3726" s="25" t="n"/>
      <c r="AE3726" s="25" t="n"/>
      <c r="AG3726" s="25" t="n"/>
      <c r="AH3726" s="25" t="n"/>
      <c r="AI3726" s="394" t="n"/>
      <c r="AM3726" s="48" t="n"/>
      <c r="AN3726" s="48" t="n"/>
      <c r="AO3726" s="48" t="n"/>
    </row>
    <row r="3727">
      <c r="M3727" s="25" t="n"/>
      <c r="Q3727" s="25" t="n"/>
      <c r="U3727" s="194" t="n"/>
      <c r="AA3727" s="25" t="n"/>
      <c r="AB3727" s="25" t="n"/>
      <c r="AC3727" s="195" t="n"/>
      <c r="AD3727" s="25" t="n"/>
      <c r="AE3727" s="25" t="n"/>
      <c r="AG3727" s="25" t="n"/>
      <c r="AH3727" s="25" t="n"/>
      <c r="AI3727" s="394" t="n"/>
      <c r="AM3727" s="48" t="n"/>
      <c r="AN3727" s="48" t="n"/>
      <c r="AO3727" s="48" t="n"/>
    </row>
    <row r="3728">
      <c r="M3728" s="25" t="n"/>
      <c r="Q3728" s="25" t="n"/>
      <c r="U3728" s="194" t="n"/>
      <c r="AA3728" s="25" t="n"/>
      <c r="AB3728" s="25" t="n"/>
      <c r="AC3728" s="195" t="n"/>
      <c r="AD3728" s="25" t="n"/>
      <c r="AE3728" s="25" t="n"/>
      <c r="AG3728" s="25" t="n"/>
      <c r="AH3728" s="25" t="n"/>
      <c r="AI3728" s="394" t="n"/>
      <c r="AM3728" s="48" t="n"/>
      <c r="AN3728" s="48" t="n"/>
      <c r="AO3728" s="48" t="n"/>
    </row>
    <row r="3729">
      <c r="M3729" s="25" t="n"/>
      <c r="Q3729" s="25" t="n"/>
      <c r="U3729" s="194" t="n"/>
      <c r="AA3729" s="25" t="n"/>
      <c r="AB3729" s="25" t="n"/>
      <c r="AC3729" s="195" t="n"/>
      <c r="AD3729" s="25" t="n"/>
      <c r="AE3729" s="25" t="n"/>
      <c r="AG3729" s="25" t="n"/>
      <c r="AH3729" s="25" t="n"/>
      <c r="AI3729" s="394" t="n"/>
      <c r="AM3729" s="48" t="n"/>
      <c r="AN3729" s="48" t="n"/>
      <c r="AO3729" s="48" t="n"/>
    </row>
    <row r="3730">
      <c r="M3730" s="25" t="n"/>
      <c r="Q3730" s="25" t="n"/>
      <c r="U3730" s="194" t="n"/>
      <c r="AA3730" s="25" t="n"/>
      <c r="AB3730" s="25" t="n"/>
      <c r="AC3730" s="195" t="n"/>
      <c r="AD3730" s="25" t="n"/>
      <c r="AE3730" s="25" t="n"/>
      <c r="AG3730" s="25" t="n"/>
      <c r="AH3730" s="25" t="n"/>
      <c r="AI3730" s="394" t="n"/>
      <c r="AM3730" s="48" t="n"/>
      <c r="AN3730" s="48" t="n"/>
      <c r="AO3730" s="48" t="n"/>
    </row>
    <row r="3731">
      <c r="M3731" s="25" t="n"/>
      <c r="Q3731" s="25" t="n"/>
      <c r="U3731" s="194" t="n"/>
      <c r="AA3731" s="25" t="n"/>
      <c r="AB3731" s="25" t="n"/>
      <c r="AC3731" s="195" t="n"/>
      <c r="AD3731" s="25" t="n"/>
      <c r="AE3731" s="25" t="n"/>
      <c r="AG3731" s="25" t="n"/>
      <c r="AH3731" s="25" t="n"/>
      <c r="AI3731" s="394" t="n"/>
      <c r="AM3731" s="48" t="n"/>
      <c r="AN3731" s="48" t="n"/>
      <c r="AO3731" s="48" t="n"/>
    </row>
    <row r="3732">
      <c r="M3732" s="25" t="n"/>
      <c r="Q3732" s="25" t="n"/>
      <c r="U3732" s="194" t="n"/>
      <c r="AA3732" s="25" t="n"/>
      <c r="AB3732" s="25" t="n"/>
      <c r="AC3732" s="195" t="n"/>
      <c r="AD3732" s="25" t="n"/>
      <c r="AE3732" s="25" t="n"/>
      <c r="AG3732" s="25" t="n"/>
      <c r="AH3732" s="25" t="n"/>
      <c r="AI3732" s="394" t="n"/>
      <c r="AM3732" s="48" t="n"/>
      <c r="AN3732" s="48" t="n"/>
      <c r="AO3732" s="48" t="n"/>
    </row>
    <row r="3733">
      <c r="M3733" s="25" t="n"/>
      <c r="Q3733" s="25" t="n"/>
      <c r="U3733" s="194" t="n"/>
      <c r="AA3733" s="25" t="n"/>
      <c r="AB3733" s="25" t="n"/>
      <c r="AC3733" s="195" t="n"/>
      <c r="AD3733" s="25" t="n"/>
      <c r="AE3733" s="25" t="n"/>
      <c r="AG3733" s="25" t="n"/>
      <c r="AH3733" s="25" t="n"/>
      <c r="AI3733" s="394" t="n"/>
      <c r="AM3733" s="48" t="n"/>
      <c r="AN3733" s="48" t="n"/>
      <c r="AO3733" s="48" t="n"/>
    </row>
    <row r="3734">
      <c r="M3734" s="25" t="n"/>
      <c r="Q3734" s="25" t="n"/>
      <c r="U3734" s="194" t="n"/>
      <c r="AA3734" s="25" t="n"/>
      <c r="AB3734" s="25" t="n"/>
      <c r="AC3734" s="195" t="n"/>
      <c r="AD3734" s="25" t="n"/>
      <c r="AE3734" s="25" t="n"/>
      <c r="AG3734" s="25" t="n"/>
      <c r="AH3734" s="25" t="n"/>
      <c r="AI3734" s="394" t="n"/>
      <c r="AM3734" s="48" t="n"/>
      <c r="AN3734" s="48" t="n"/>
      <c r="AO3734" s="48" t="n"/>
    </row>
    <row r="3735">
      <c r="M3735" s="25" t="n"/>
      <c r="Q3735" s="25" t="n"/>
      <c r="U3735" s="194" t="n"/>
      <c r="AA3735" s="25" t="n"/>
      <c r="AB3735" s="25" t="n"/>
      <c r="AC3735" s="195" t="n"/>
      <c r="AD3735" s="25" t="n"/>
      <c r="AE3735" s="25" t="n"/>
      <c r="AG3735" s="25" t="n"/>
      <c r="AH3735" s="25" t="n"/>
      <c r="AI3735" s="394" t="n"/>
      <c r="AM3735" s="48" t="n"/>
      <c r="AN3735" s="48" t="n"/>
      <c r="AO3735" s="48" t="n"/>
    </row>
    <row r="3736">
      <c r="M3736" s="25" t="n"/>
      <c r="Q3736" s="25" t="n"/>
      <c r="U3736" s="194" t="n"/>
      <c r="AA3736" s="25" t="n"/>
      <c r="AB3736" s="25" t="n"/>
      <c r="AC3736" s="195" t="n"/>
      <c r="AD3736" s="25" t="n"/>
      <c r="AE3736" s="25" t="n"/>
      <c r="AG3736" s="25" t="n"/>
      <c r="AH3736" s="25" t="n"/>
      <c r="AI3736" s="394" t="n"/>
      <c r="AM3736" s="48" t="n"/>
      <c r="AN3736" s="48" t="n"/>
      <c r="AO3736" s="48" t="n"/>
    </row>
    <row r="3737">
      <c r="M3737" s="25" t="n"/>
      <c r="Q3737" s="25" t="n"/>
      <c r="U3737" s="194" t="n"/>
      <c r="AA3737" s="25" t="n"/>
      <c r="AB3737" s="25" t="n"/>
      <c r="AC3737" s="195" t="n"/>
      <c r="AD3737" s="25" t="n"/>
      <c r="AE3737" s="25" t="n"/>
      <c r="AG3737" s="25" t="n"/>
      <c r="AH3737" s="25" t="n"/>
      <c r="AI3737" s="394" t="n"/>
      <c r="AM3737" s="48" t="n"/>
      <c r="AN3737" s="48" t="n"/>
      <c r="AO3737" s="48" t="n"/>
    </row>
    <row r="3738">
      <c r="M3738" s="25" t="n"/>
      <c r="Q3738" s="25" t="n"/>
      <c r="U3738" s="194" t="n"/>
      <c r="AA3738" s="25" t="n"/>
      <c r="AB3738" s="25" t="n"/>
      <c r="AC3738" s="195" t="n"/>
      <c r="AD3738" s="25" t="n"/>
      <c r="AE3738" s="25" t="n"/>
      <c r="AG3738" s="25" t="n"/>
      <c r="AH3738" s="25" t="n"/>
      <c r="AI3738" s="394" t="n"/>
      <c r="AM3738" s="48" t="n"/>
      <c r="AN3738" s="48" t="n"/>
      <c r="AO3738" s="48" t="n"/>
    </row>
    <row r="3739">
      <c r="M3739" s="25" t="n"/>
      <c r="Q3739" s="25" t="n"/>
      <c r="U3739" s="194" t="n"/>
      <c r="AA3739" s="25" t="n"/>
      <c r="AB3739" s="25" t="n"/>
      <c r="AC3739" s="195" t="n"/>
      <c r="AD3739" s="25" t="n"/>
      <c r="AE3739" s="25" t="n"/>
      <c r="AG3739" s="25" t="n"/>
      <c r="AH3739" s="25" t="n"/>
      <c r="AI3739" s="394" t="n"/>
      <c r="AM3739" s="48" t="n"/>
      <c r="AN3739" s="48" t="n"/>
      <c r="AO3739" s="48" t="n"/>
    </row>
    <row r="3740">
      <c r="M3740" s="25" t="n"/>
      <c r="Q3740" s="25" t="n"/>
      <c r="U3740" s="194" t="n"/>
      <c r="AA3740" s="25" t="n"/>
      <c r="AB3740" s="25" t="n"/>
      <c r="AC3740" s="195" t="n"/>
      <c r="AD3740" s="25" t="n"/>
      <c r="AE3740" s="25" t="n"/>
      <c r="AG3740" s="25" t="n"/>
      <c r="AH3740" s="25" t="n"/>
      <c r="AI3740" s="394" t="n"/>
      <c r="AM3740" s="48" t="n"/>
      <c r="AN3740" s="48" t="n"/>
      <c r="AO3740" s="48" t="n"/>
    </row>
    <row r="3741">
      <c r="M3741" s="25" t="n"/>
      <c r="Q3741" s="25" t="n"/>
      <c r="U3741" s="194" t="n"/>
      <c r="AA3741" s="25" t="n"/>
      <c r="AB3741" s="25" t="n"/>
      <c r="AC3741" s="195" t="n"/>
      <c r="AD3741" s="25" t="n"/>
      <c r="AE3741" s="25" t="n"/>
      <c r="AG3741" s="25" t="n"/>
      <c r="AH3741" s="25" t="n"/>
      <c r="AI3741" s="394" t="n"/>
      <c r="AM3741" s="48" t="n"/>
      <c r="AN3741" s="48" t="n"/>
      <c r="AO3741" s="48" t="n"/>
    </row>
    <row r="3742">
      <c r="M3742" s="25" t="n"/>
      <c r="Q3742" s="25" t="n"/>
      <c r="U3742" s="194" t="n"/>
      <c r="AA3742" s="25" t="n"/>
      <c r="AB3742" s="25" t="n"/>
      <c r="AC3742" s="195" t="n"/>
      <c r="AD3742" s="25" t="n"/>
      <c r="AE3742" s="25" t="n"/>
      <c r="AG3742" s="25" t="n"/>
      <c r="AH3742" s="25" t="n"/>
      <c r="AI3742" s="394" t="n"/>
      <c r="AM3742" s="48" t="n"/>
      <c r="AN3742" s="48" t="n"/>
      <c r="AO3742" s="48" t="n"/>
    </row>
    <row r="3743">
      <c r="M3743" s="25" t="n"/>
      <c r="Q3743" s="25" t="n"/>
      <c r="U3743" s="194" t="n"/>
      <c r="AA3743" s="25" t="n"/>
      <c r="AB3743" s="25" t="n"/>
      <c r="AC3743" s="195" t="n"/>
      <c r="AD3743" s="25" t="n"/>
      <c r="AE3743" s="25" t="n"/>
      <c r="AG3743" s="25" t="n"/>
      <c r="AH3743" s="25" t="n"/>
      <c r="AI3743" s="394" t="n"/>
      <c r="AM3743" s="48" t="n"/>
      <c r="AN3743" s="48" t="n"/>
      <c r="AO3743" s="48" t="n"/>
    </row>
    <row r="3744">
      <c r="M3744" s="25" t="n"/>
      <c r="Q3744" s="25" t="n"/>
      <c r="U3744" s="194" t="n"/>
      <c r="AA3744" s="25" t="n"/>
      <c r="AB3744" s="25" t="n"/>
      <c r="AC3744" s="195" t="n"/>
      <c r="AD3744" s="25" t="n"/>
      <c r="AE3744" s="25" t="n"/>
      <c r="AG3744" s="25" t="n"/>
      <c r="AH3744" s="25" t="n"/>
      <c r="AI3744" s="394" t="n"/>
      <c r="AM3744" s="48" t="n"/>
      <c r="AN3744" s="48" t="n"/>
      <c r="AO3744" s="48" t="n"/>
    </row>
    <row r="3745">
      <c r="M3745" s="25" t="n"/>
      <c r="Q3745" s="25" t="n"/>
      <c r="U3745" s="194" t="n"/>
      <c r="AA3745" s="25" t="n"/>
      <c r="AB3745" s="25" t="n"/>
      <c r="AC3745" s="195" t="n"/>
      <c r="AD3745" s="25" t="n"/>
      <c r="AE3745" s="25" t="n"/>
      <c r="AG3745" s="25" t="n"/>
      <c r="AH3745" s="25" t="n"/>
      <c r="AI3745" s="394" t="n"/>
      <c r="AM3745" s="48" t="n"/>
      <c r="AN3745" s="48" t="n"/>
      <c r="AO3745" s="48" t="n"/>
    </row>
    <row r="3746">
      <c r="M3746" s="25" t="n"/>
      <c r="Q3746" s="25" t="n"/>
      <c r="U3746" s="194" t="n"/>
      <c r="AA3746" s="25" t="n"/>
      <c r="AB3746" s="25" t="n"/>
      <c r="AC3746" s="195" t="n"/>
      <c r="AD3746" s="25" t="n"/>
      <c r="AE3746" s="25" t="n"/>
      <c r="AG3746" s="25" t="n"/>
      <c r="AH3746" s="25" t="n"/>
      <c r="AI3746" s="394" t="n"/>
      <c r="AM3746" s="48" t="n"/>
      <c r="AN3746" s="48" t="n"/>
      <c r="AO3746" s="48" t="n"/>
    </row>
    <row r="3747">
      <c r="M3747" s="25" t="n"/>
      <c r="Q3747" s="25" t="n"/>
      <c r="U3747" s="194" t="n"/>
      <c r="AA3747" s="25" t="n"/>
      <c r="AB3747" s="25" t="n"/>
      <c r="AC3747" s="195" t="n"/>
      <c r="AD3747" s="25" t="n"/>
      <c r="AE3747" s="25" t="n"/>
      <c r="AG3747" s="25" t="n"/>
      <c r="AH3747" s="25" t="n"/>
      <c r="AI3747" s="394" t="n"/>
      <c r="AM3747" s="48" t="n"/>
      <c r="AN3747" s="48" t="n"/>
      <c r="AO3747" s="48" t="n"/>
    </row>
    <row r="3748">
      <c r="M3748" s="25" t="n"/>
      <c r="Q3748" s="25" t="n"/>
      <c r="U3748" s="194" t="n"/>
      <c r="AA3748" s="25" t="n"/>
      <c r="AB3748" s="25" t="n"/>
      <c r="AC3748" s="195" t="n"/>
      <c r="AD3748" s="25" t="n"/>
      <c r="AE3748" s="25" t="n"/>
      <c r="AG3748" s="25" t="n"/>
      <c r="AH3748" s="25" t="n"/>
      <c r="AI3748" s="394" t="n"/>
      <c r="AM3748" s="48" t="n"/>
      <c r="AN3748" s="48" t="n"/>
      <c r="AO3748" s="48" t="n"/>
    </row>
    <row r="3749">
      <c r="M3749" s="25" t="n"/>
      <c r="Q3749" s="25" t="n"/>
      <c r="U3749" s="194" t="n"/>
      <c r="AA3749" s="25" t="n"/>
      <c r="AB3749" s="25" t="n"/>
      <c r="AC3749" s="195" t="n"/>
      <c r="AD3749" s="25" t="n"/>
      <c r="AE3749" s="25" t="n"/>
      <c r="AG3749" s="25" t="n"/>
      <c r="AH3749" s="25" t="n"/>
      <c r="AI3749" s="394" t="n"/>
      <c r="AM3749" s="48" t="n"/>
      <c r="AN3749" s="48" t="n"/>
      <c r="AO3749" s="48" t="n"/>
    </row>
    <row r="3750">
      <c r="M3750" s="25" t="n"/>
      <c r="Q3750" s="25" t="n"/>
      <c r="U3750" s="194" t="n"/>
      <c r="AA3750" s="25" t="n"/>
      <c r="AB3750" s="25" t="n"/>
      <c r="AC3750" s="195" t="n"/>
      <c r="AD3750" s="25" t="n"/>
      <c r="AE3750" s="25" t="n"/>
      <c r="AG3750" s="25" t="n"/>
      <c r="AH3750" s="25" t="n"/>
      <c r="AI3750" s="394" t="n"/>
      <c r="AM3750" s="48" t="n"/>
      <c r="AN3750" s="48" t="n"/>
      <c r="AO3750" s="48" t="n"/>
    </row>
    <row r="3751">
      <c r="M3751" s="25" t="n"/>
      <c r="Q3751" s="25" t="n"/>
      <c r="U3751" s="194" t="n"/>
      <c r="AA3751" s="25" t="n"/>
      <c r="AB3751" s="25" t="n"/>
      <c r="AC3751" s="195" t="n"/>
      <c r="AD3751" s="25" t="n"/>
      <c r="AE3751" s="25" t="n"/>
      <c r="AG3751" s="25" t="n"/>
      <c r="AH3751" s="25" t="n"/>
      <c r="AI3751" s="394" t="n"/>
      <c r="AM3751" s="48" t="n"/>
      <c r="AN3751" s="48" t="n"/>
      <c r="AO3751" s="48" t="n"/>
    </row>
    <row r="3752">
      <c r="M3752" s="25" t="n"/>
      <c r="Q3752" s="25" t="n"/>
      <c r="U3752" s="194" t="n"/>
      <c r="AA3752" s="25" t="n"/>
      <c r="AB3752" s="25" t="n"/>
      <c r="AC3752" s="195" t="n"/>
      <c r="AD3752" s="25" t="n"/>
      <c r="AE3752" s="25" t="n"/>
      <c r="AG3752" s="25" t="n"/>
      <c r="AH3752" s="25" t="n"/>
      <c r="AI3752" s="394" t="n"/>
      <c r="AM3752" s="48" t="n"/>
      <c r="AN3752" s="48" t="n"/>
      <c r="AO3752" s="48" t="n"/>
    </row>
    <row r="3753">
      <c r="M3753" s="25" t="n"/>
      <c r="Q3753" s="25" t="n"/>
      <c r="U3753" s="194" t="n"/>
      <c r="AA3753" s="25" t="n"/>
      <c r="AB3753" s="25" t="n"/>
      <c r="AC3753" s="195" t="n"/>
      <c r="AD3753" s="25" t="n"/>
      <c r="AE3753" s="25" t="n"/>
      <c r="AG3753" s="25" t="n"/>
      <c r="AH3753" s="25" t="n"/>
      <c r="AI3753" s="394" t="n"/>
      <c r="AM3753" s="48" t="n"/>
      <c r="AN3753" s="48" t="n"/>
      <c r="AO3753" s="48" t="n"/>
    </row>
    <row r="3754">
      <c r="M3754" s="25" t="n"/>
      <c r="Q3754" s="25" t="n"/>
      <c r="U3754" s="194" t="n"/>
      <c r="AA3754" s="25" t="n"/>
      <c r="AB3754" s="25" t="n"/>
      <c r="AC3754" s="195" t="n"/>
      <c r="AD3754" s="25" t="n"/>
      <c r="AE3754" s="25" t="n"/>
      <c r="AG3754" s="25" t="n"/>
      <c r="AH3754" s="25" t="n"/>
      <c r="AI3754" s="394" t="n"/>
      <c r="AM3754" s="48" t="n"/>
      <c r="AN3754" s="48" t="n"/>
      <c r="AO3754" s="48" t="n"/>
    </row>
    <row r="3755">
      <c r="M3755" s="25" t="n"/>
      <c r="Q3755" s="25" t="n"/>
      <c r="U3755" s="194" t="n"/>
      <c r="AA3755" s="25" t="n"/>
      <c r="AB3755" s="25" t="n"/>
      <c r="AC3755" s="195" t="n"/>
      <c r="AD3755" s="25" t="n"/>
      <c r="AE3755" s="25" t="n"/>
      <c r="AG3755" s="25" t="n"/>
      <c r="AH3755" s="25" t="n"/>
      <c r="AI3755" s="394" t="n"/>
      <c r="AM3755" s="48" t="n"/>
      <c r="AN3755" s="48" t="n"/>
      <c r="AO3755" s="48" t="n"/>
    </row>
    <row r="3756">
      <c r="M3756" s="25" t="n"/>
      <c r="Q3756" s="25" t="n"/>
      <c r="U3756" s="194" t="n"/>
      <c r="AA3756" s="25" t="n"/>
      <c r="AB3756" s="25" t="n"/>
      <c r="AC3756" s="195" t="n"/>
      <c r="AD3756" s="25" t="n"/>
      <c r="AE3756" s="25" t="n"/>
      <c r="AG3756" s="25" t="n"/>
      <c r="AH3756" s="25" t="n"/>
      <c r="AI3756" s="394" t="n"/>
      <c r="AM3756" s="48" t="n"/>
      <c r="AN3756" s="48" t="n"/>
      <c r="AO3756" s="48" t="n"/>
    </row>
    <row r="3757">
      <c r="M3757" s="25" t="n"/>
      <c r="Q3757" s="25" t="n"/>
      <c r="U3757" s="194" t="n"/>
      <c r="AA3757" s="25" t="n"/>
      <c r="AB3757" s="25" t="n"/>
      <c r="AC3757" s="195" t="n"/>
      <c r="AD3757" s="25" t="n"/>
      <c r="AE3757" s="25" t="n"/>
      <c r="AG3757" s="25" t="n"/>
      <c r="AH3757" s="25" t="n"/>
      <c r="AI3757" s="394" t="n"/>
      <c r="AM3757" s="48" t="n"/>
      <c r="AN3757" s="48" t="n"/>
      <c r="AO3757" s="48" t="n"/>
    </row>
    <row r="3758">
      <c r="M3758" s="25" t="n"/>
      <c r="Q3758" s="25" t="n"/>
      <c r="U3758" s="194" t="n"/>
      <c r="AA3758" s="25" t="n"/>
      <c r="AB3758" s="25" t="n"/>
      <c r="AC3758" s="195" t="n"/>
      <c r="AD3758" s="25" t="n"/>
      <c r="AE3758" s="25" t="n"/>
      <c r="AG3758" s="25" t="n"/>
      <c r="AH3758" s="25" t="n"/>
      <c r="AI3758" s="394" t="n"/>
      <c r="AM3758" s="48" t="n"/>
      <c r="AN3758" s="48" t="n"/>
      <c r="AO3758" s="48" t="n"/>
    </row>
    <row r="3759">
      <c r="M3759" s="25" t="n"/>
      <c r="Q3759" s="25" t="n"/>
      <c r="U3759" s="194" t="n"/>
      <c r="AA3759" s="25" t="n"/>
      <c r="AB3759" s="25" t="n"/>
      <c r="AC3759" s="195" t="n"/>
      <c r="AD3759" s="25" t="n"/>
      <c r="AE3759" s="25" t="n"/>
      <c r="AG3759" s="25" t="n"/>
      <c r="AH3759" s="25" t="n"/>
      <c r="AI3759" s="394" t="n"/>
      <c r="AM3759" s="48" t="n"/>
      <c r="AN3759" s="48" t="n"/>
      <c r="AO3759" s="48" t="n"/>
    </row>
    <row r="3760">
      <c r="M3760" s="25" t="n"/>
      <c r="Q3760" s="25" t="n"/>
      <c r="U3760" s="194" t="n"/>
      <c r="AA3760" s="25" t="n"/>
      <c r="AB3760" s="25" t="n"/>
      <c r="AC3760" s="195" t="n"/>
      <c r="AD3760" s="25" t="n"/>
      <c r="AE3760" s="25" t="n"/>
      <c r="AG3760" s="25" t="n"/>
      <c r="AH3760" s="25" t="n"/>
      <c r="AI3760" s="394" t="n"/>
      <c r="AM3760" s="48" t="n"/>
      <c r="AN3760" s="48" t="n"/>
      <c r="AO3760" s="48" t="n"/>
    </row>
    <row r="3761">
      <c r="M3761" s="25" t="n"/>
      <c r="Q3761" s="25" t="n"/>
      <c r="U3761" s="194" t="n"/>
      <c r="AA3761" s="25" t="n"/>
      <c r="AB3761" s="25" t="n"/>
      <c r="AC3761" s="195" t="n"/>
      <c r="AD3761" s="25" t="n"/>
      <c r="AE3761" s="25" t="n"/>
      <c r="AG3761" s="25" t="n"/>
      <c r="AH3761" s="25" t="n"/>
      <c r="AI3761" s="394" t="n"/>
      <c r="AM3761" s="48" t="n"/>
      <c r="AN3761" s="48" t="n"/>
      <c r="AO3761" s="48" t="n"/>
    </row>
    <row r="3762">
      <c r="M3762" s="25" t="n"/>
      <c r="Q3762" s="25" t="n"/>
      <c r="U3762" s="194" t="n"/>
      <c r="AA3762" s="25" t="n"/>
      <c r="AB3762" s="25" t="n"/>
      <c r="AC3762" s="195" t="n"/>
      <c r="AD3762" s="25" t="n"/>
      <c r="AE3762" s="25" t="n"/>
      <c r="AG3762" s="25" t="n"/>
      <c r="AH3762" s="25" t="n"/>
      <c r="AI3762" s="394" t="n"/>
      <c r="AM3762" s="48" t="n"/>
      <c r="AN3762" s="48" t="n"/>
      <c r="AO3762" s="48" t="n"/>
    </row>
    <row r="3763">
      <c r="M3763" s="25" t="n"/>
      <c r="Q3763" s="25" t="n"/>
      <c r="U3763" s="194" t="n"/>
      <c r="AA3763" s="25" t="n"/>
      <c r="AB3763" s="25" t="n"/>
      <c r="AC3763" s="195" t="n"/>
      <c r="AD3763" s="25" t="n"/>
      <c r="AE3763" s="25" t="n"/>
      <c r="AG3763" s="25" t="n"/>
      <c r="AH3763" s="25" t="n"/>
      <c r="AI3763" s="394" t="n"/>
      <c r="AM3763" s="48" t="n"/>
      <c r="AN3763" s="48" t="n"/>
      <c r="AO3763" s="48" t="n"/>
    </row>
    <row r="3764">
      <c r="M3764" s="25" t="n"/>
      <c r="Q3764" s="25" t="n"/>
      <c r="U3764" s="194" t="n"/>
      <c r="AA3764" s="25" t="n"/>
      <c r="AB3764" s="25" t="n"/>
      <c r="AC3764" s="195" t="n"/>
      <c r="AD3764" s="25" t="n"/>
      <c r="AE3764" s="25" t="n"/>
      <c r="AG3764" s="25" t="n"/>
      <c r="AH3764" s="25" t="n"/>
      <c r="AI3764" s="394" t="n"/>
      <c r="AM3764" s="48" t="n"/>
      <c r="AN3764" s="48" t="n"/>
      <c r="AO3764" s="48" t="n"/>
    </row>
    <row r="3765">
      <c r="M3765" s="25" t="n"/>
      <c r="Q3765" s="25" t="n"/>
      <c r="U3765" s="194" t="n"/>
      <c r="AA3765" s="25" t="n"/>
      <c r="AB3765" s="25" t="n"/>
      <c r="AC3765" s="195" t="n"/>
      <c r="AD3765" s="25" t="n"/>
      <c r="AE3765" s="25" t="n"/>
      <c r="AG3765" s="25" t="n"/>
      <c r="AH3765" s="25" t="n"/>
      <c r="AI3765" s="394" t="n"/>
      <c r="AM3765" s="48" t="n"/>
      <c r="AN3765" s="48" t="n"/>
      <c r="AO3765" s="48" t="n"/>
    </row>
    <row r="3766">
      <c r="M3766" s="25" t="n"/>
      <c r="Q3766" s="25" t="n"/>
      <c r="U3766" s="194" t="n"/>
      <c r="AA3766" s="25" t="n"/>
      <c r="AB3766" s="25" t="n"/>
      <c r="AC3766" s="195" t="n"/>
      <c r="AD3766" s="25" t="n"/>
      <c r="AE3766" s="25" t="n"/>
      <c r="AG3766" s="25" t="n"/>
      <c r="AH3766" s="25" t="n"/>
      <c r="AI3766" s="394" t="n"/>
      <c r="AM3766" s="48" t="n"/>
      <c r="AN3766" s="48" t="n"/>
      <c r="AO3766" s="48" t="n"/>
    </row>
    <row r="3767">
      <c r="M3767" s="25" t="n"/>
      <c r="Q3767" s="25" t="n"/>
      <c r="U3767" s="194" t="n"/>
      <c r="AA3767" s="25" t="n"/>
      <c r="AB3767" s="25" t="n"/>
      <c r="AC3767" s="195" t="n"/>
      <c r="AD3767" s="25" t="n"/>
      <c r="AE3767" s="25" t="n"/>
      <c r="AG3767" s="25" t="n"/>
      <c r="AH3767" s="25" t="n"/>
      <c r="AI3767" s="394" t="n"/>
      <c r="AM3767" s="48" t="n"/>
      <c r="AN3767" s="48" t="n"/>
      <c r="AO3767" s="48" t="n"/>
    </row>
    <row r="3768">
      <c r="M3768" s="25" t="n"/>
      <c r="Q3768" s="25" t="n"/>
      <c r="U3768" s="194" t="n"/>
      <c r="AA3768" s="25" t="n"/>
      <c r="AB3768" s="25" t="n"/>
      <c r="AC3768" s="195" t="n"/>
      <c r="AD3768" s="25" t="n"/>
      <c r="AE3768" s="25" t="n"/>
      <c r="AG3768" s="25" t="n"/>
      <c r="AH3768" s="25" t="n"/>
      <c r="AI3768" s="394" t="n"/>
      <c r="AM3768" s="48" t="n"/>
      <c r="AN3768" s="48" t="n"/>
      <c r="AO3768" s="48" t="n"/>
    </row>
    <row r="3769">
      <c r="M3769" s="25" t="n"/>
      <c r="Q3769" s="25" t="n"/>
      <c r="U3769" s="194" t="n"/>
      <c r="AA3769" s="25" t="n"/>
      <c r="AB3769" s="25" t="n"/>
      <c r="AC3769" s="195" t="n"/>
      <c r="AD3769" s="25" t="n"/>
      <c r="AE3769" s="25" t="n"/>
      <c r="AG3769" s="25" t="n"/>
      <c r="AH3769" s="25" t="n"/>
      <c r="AI3769" s="394" t="n"/>
      <c r="AM3769" s="48" t="n"/>
      <c r="AN3769" s="48" t="n"/>
      <c r="AO3769" s="48" t="n"/>
    </row>
    <row r="3770">
      <c r="M3770" s="25" t="n"/>
      <c r="Q3770" s="25" t="n"/>
      <c r="U3770" s="194" t="n"/>
      <c r="AA3770" s="25" t="n"/>
      <c r="AB3770" s="25" t="n"/>
      <c r="AC3770" s="195" t="n"/>
      <c r="AD3770" s="25" t="n"/>
      <c r="AE3770" s="25" t="n"/>
      <c r="AG3770" s="25" t="n"/>
      <c r="AH3770" s="25" t="n"/>
      <c r="AI3770" s="394" t="n"/>
      <c r="AM3770" s="48" t="n"/>
      <c r="AN3770" s="48" t="n"/>
      <c r="AO3770" s="48" t="n"/>
    </row>
    <row r="3771">
      <c r="M3771" s="25" t="n"/>
      <c r="Q3771" s="25" t="n"/>
      <c r="U3771" s="194" t="n"/>
      <c r="AA3771" s="25" t="n"/>
      <c r="AB3771" s="25" t="n"/>
      <c r="AC3771" s="195" t="n"/>
      <c r="AD3771" s="25" t="n"/>
      <c r="AE3771" s="25" t="n"/>
      <c r="AG3771" s="25" t="n"/>
      <c r="AH3771" s="25" t="n"/>
      <c r="AI3771" s="394" t="n"/>
      <c r="AM3771" s="48" t="n"/>
      <c r="AN3771" s="48" t="n"/>
      <c r="AO3771" s="48" t="n"/>
    </row>
    <row r="3772">
      <c r="M3772" s="25" t="n"/>
      <c r="Q3772" s="25" t="n"/>
      <c r="U3772" s="194" t="n"/>
      <c r="AA3772" s="25" t="n"/>
      <c r="AB3772" s="25" t="n"/>
      <c r="AC3772" s="195" t="n"/>
      <c r="AD3772" s="25" t="n"/>
      <c r="AE3772" s="25" t="n"/>
      <c r="AG3772" s="25" t="n"/>
      <c r="AH3772" s="25" t="n"/>
      <c r="AI3772" s="394" t="n"/>
      <c r="AM3772" s="48" t="n"/>
      <c r="AN3772" s="48" t="n"/>
      <c r="AO3772" s="48" t="n"/>
    </row>
    <row r="3773">
      <c r="M3773" s="25" t="n"/>
      <c r="Q3773" s="25" t="n"/>
      <c r="U3773" s="194" t="n"/>
      <c r="AA3773" s="25" t="n"/>
      <c r="AB3773" s="25" t="n"/>
      <c r="AC3773" s="195" t="n"/>
      <c r="AD3773" s="25" t="n"/>
      <c r="AE3773" s="25" t="n"/>
      <c r="AG3773" s="25" t="n"/>
      <c r="AH3773" s="25" t="n"/>
      <c r="AI3773" s="394" t="n"/>
      <c r="AM3773" s="48" t="n"/>
      <c r="AN3773" s="48" t="n"/>
      <c r="AO3773" s="48" t="n"/>
    </row>
    <row r="3774">
      <c r="M3774" s="25" t="n"/>
      <c r="Q3774" s="25" t="n"/>
      <c r="U3774" s="194" t="n"/>
      <c r="AA3774" s="25" t="n"/>
      <c r="AB3774" s="25" t="n"/>
      <c r="AC3774" s="195" t="n"/>
      <c r="AD3774" s="25" t="n"/>
      <c r="AE3774" s="25" t="n"/>
      <c r="AG3774" s="25" t="n"/>
      <c r="AH3774" s="25" t="n"/>
      <c r="AI3774" s="394" t="n"/>
      <c r="AM3774" s="48" t="n"/>
      <c r="AN3774" s="48" t="n"/>
      <c r="AO3774" s="48" t="n"/>
    </row>
    <row r="3775">
      <c r="M3775" s="25" t="n"/>
      <c r="Q3775" s="25" t="n"/>
      <c r="U3775" s="194" t="n"/>
      <c r="AA3775" s="25" t="n"/>
      <c r="AB3775" s="25" t="n"/>
      <c r="AC3775" s="195" t="n"/>
      <c r="AD3775" s="25" t="n"/>
      <c r="AE3775" s="25" t="n"/>
      <c r="AG3775" s="25" t="n"/>
      <c r="AH3775" s="25" t="n"/>
      <c r="AI3775" s="394" t="n"/>
      <c r="AM3775" s="48" t="n"/>
      <c r="AN3775" s="48" t="n"/>
      <c r="AO3775" s="48" t="n"/>
    </row>
    <row r="3776">
      <c r="M3776" s="25" t="n"/>
      <c r="Q3776" s="25" t="n"/>
      <c r="U3776" s="194" t="n"/>
      <c r="AA3776" s="25" t="n"/>
      <c r="AB3776" s="25" t="n"/>
      <c r="AC3776" s="195" t="n"/>
      <c r="AD3776" s="25" t="n"/>
      <c r="AE3776" s="25" t="n"/>
      <c r="AG3776" s="25" t="n"/>
      <c r="AH3776" s="25" t="n"/>
      <c r="AI3776" s="394" t="n"/>
      <c r="AM3776" s="48" t="n"/>
      <c r="AN3776" s="48" t="n"/>
      <c r="AO3776" s="48" t="n"/>
    </row>
    <row r="3777">
      <c r="M3777" s="25" t="n"/>
      <c r="Q3777" s="25" t="n"/>
      <c r="U3777" s="194" t="n"/>
      <c r="AA3777" s="25" t="n"/>
      <c r="AB3777" s="25" t="n"/>
      <c r="AC3777" s="195" t="n"/>
      <c r="AD3777" s="25" t="n"/>
      <c r="AE3777" s="25" t="n"/>
      <c r="AG3777" s="25" t="n"/>
      <c r="AH3777" s="25" t="n"/>
      <c r="AI3777" s="394" t="n"/>
      <c r="AM3777" s="48" t="n"/>
      <c r="AN3777" s="48" t="n"/>
      <c r="AO3777" s="48" t="n"/>
    </row>
    <row r="3778">
      <c r="M3778" s="25" t="n"/>
      <c r="Q3778" s="25" t="n"/>
      <c r="U3778" s="194" t="n"/>
      <c r="AA3778" s="25" t="n"/>
      <c r="AB3778" s="25" t="n"/>
      <c r="AC3778" s="195" t="n"/>
      <c r="AD3778" s="25" t="n"/>
      <c r="AE3778" s="25" t="n"/>
      <c r="AG3778" s="25" t="n"/>
      <c r="AH3778" s="25" t="n"/>
      <c r="AI3778" s="394" t="n"/>
      <c r="AM3778" s="48" t="n"/>
      <c r="AN3778" s="48" t="n"/>
      <c r="AO3778" s="48" t="n"/>
    </row>
    <row r="3779">
      <c r="M3779" s="25" t="n"/>
      <c r="Q3779" s="25" t="n"/>
      <c r="U3779" s="194" t="n"/>
      <c r="AA3779" s="25" t="n"/>
      <c r="AB3779" s="25" t="n"/>
      <c r="AC3779" s="195" t="n"/>
      <c r="AD3779" s="25" t="n"/>
      <c r="AE3779" s="25" t="n"/>
      <c r="AG3779" s="25" t="n"/>
      <c r="AH3779" s="25" t="n"/>
      <c r="AI3779" s="394" t="n"/>
      <c r="AM3779" s="48" t="n"/>
      <c r="AN3779" s="48" t="n"/>
      <c r="AO3779" s="48" t="n"/>
    </row>
    <row r="3780">
      <c r="M3780" s="25" t="n"/>
      <c r="Q3780" s="25" t="n"/>
      <c r="U3780" s="194" t="n"/>
      <c r="AA3780" s="25" t="n"/>
      <c r="AB3780" s="25" t="n"/>
      <c r="AC3780" s="195" t="n"/>
      <c r="AD3780" s="25" t="n"/>
      <c r="AE3780" s="25" t="n"/>
      <c r="AG3780" s="25" t="n"/>
      <c r="AH3780" s="25" t="n"/>
      <c r="AI3780" s="394" t="n"/>
      <c r="AM3780" s="48" t="n"/>
      <c r="AN3780" s="48" t="n"/>
      <c r="AO3780" s="48" t="n"/>
    </row>
    <row r="3781">
      <c r="M3781" s="25" t="n"/>
      <c r="Q3781" s="25" t="n"/>
      <c r="U3781" s="194" t="n"/>
      <c r="AA3781" s="25" t="n"/>
      <c r="AB3781" s="25" t="n"/>
      <c r="AC3781" s="195" t="n"/>
      <c r="AD3781" s="25" t="n"/>
      <c r="AE3781" s="25" t="n"/>
      <c r="AG3781" s="25" t="n"/>
      <c r="AH3781" s="25" t="n"/>
      <c r="AI3781" s="394" t="n"/>
      <c r="AM3781" s="48" t="n"/>
      <c r="AN3781" s="48" t="n"/>
      <c r="AO3781" s="48" t="n"/>
    </row>
    <row r="3782">
      <c r="M3782" s="25" t="n"/>
      <c r="Q3782" s="25" t="n"/>
      <c r="U3782" s="194" t="n"/>
      <c r="AA3782" s="25" t="n"/>
      <c r="AB3782" s="25" t="n"/>
      <c r="AC3782" s="195" t="n"/>
      <c r="AD3782" s="25" t="n"/>
      <c r="AE3782" s="25" t="n"/>
      <c r="AG3782" s="25" t="n"/>
      <c r="AH3782" s="25" t="n"/>
      <c r="AI3782" s="394" t="n"/>
      <c r="AM3782" s="48" t="n"/>
      <c r="AN3782" s="48" t="n"/>
      <c r="AO3782" s="48" t="n"/>
    </row>
    <row r="3783">
      <c r="M3783" s="25" t="n"/>
      <c r="Q3783" s="25" t="n"/>
      <c r="U3783" s="194" t="n"/>
      <c r="AA3783" s="25" t="n"/>
      <c r="AB3783" s="25" t="n"/>
      <c r="AC3783" s="195" t="n"/>
      <c r="AD3783" s="25" t="n"/>
      <c r="AE3783" s="25" t="n"/>
      <c r="AG3783" s="25" t="n"/>
      <c r="AH3783" s="25" t="n"/>
      <c r="AI3783" s="394" t="n"/>
      <c r="AM3783" s="48" t="n"/>
      <c r="AN3783" s="48" t="n"/>
      <c r="AO3783" s="48" t="n"/>
    </row>
    <row r="3784">
      <c r="M3784" s="25" t="n"/>
      <c r="Q3784" s="25" t="n"/>
      <c r="U3784" s="194" t="n"/>
      <c r="AA3784" s="25" t="n"/>
      <c r="AB3784" s="25" t="n"/>
      <c r="AC3784" s="195" t="n"/>
      <c r="AD3784" s="25" t="n"/>
      <c r="AE3784" s="25" t="n"/>
      <c r="AG3784" s="25" t="n"/>
      <c r="AH3784" s="25" t="n"/>
      <c r="AI3784" s="394" t="n"/>
      <c r="AM3784" s="48" t="n"/>
      <c r="AN3784" s="48" t="n"/>
      <c r="AO3784" s="48" t="n"/>
    </row>
    <row r="3785">
      <c r="M3785" s="25" t="n"/>
      <c r="Q3785" s="25" t="n"/>
      <c r="U3785" s="194" t="n"/>
      <c r="AA3785" s="25" t="n"/>
      <c r="AB3785" s="25" t="n"/>
      <c r="AC3785" s="195" t="n"/>
      <c r="AD3785" s="25" t="n"/>
      <c r="AE3785" s="25" t="n"/>
      <c r="AG3785" s="25" t="n"/>
      <c r="AH3785" s="25" t="n"/>
      <c r="AI3785" s="394" t="n"/>
      <c r="AM3785" s="48" t="n"/>
      <c r="AN3785" s="48" t="n"/>
      <c r="AO3785" s="48" t="n"/>
    </row>
    <row r="3786">
      <c r="M3786" s="25" t="n"/>
      <c r="Q3786" s="25" t="n"/>
      <c r="U3786" s="194" t="n"/>
      <c r="AA3786" s="25" t="n"/>
      <c r="AB3786" s="25" t="n"/>
      <c r="AC3786" s="195" t="n"/>
      <c r="AD3786" s="25" t="n"/>
      <c r="AE3786" s="25" t="n"/>
      <c r="AG3786" s="25" t="n"/>
      <c r="AH3786" s="25" t="n"/>
      <c r="AI3786" s="394" t="n"/>
      <c r="AM3786" s="48" t="n"/>
      <c r="AN3786" s="48" t="n"/>
      <c r="AO3786" s="48" t="n"/>
    </row>
    <row r="3787">
      <c r="M3787" s="25" t="n"/>
      <c r="Q3787" s="25" t="n"/>
      <c r="U3787" s="194" t="n"/>
      <c r="AA3787" s="25" t="n"/>
      <c r="AB3787" s="25" t="n"/>
      <c r="AC3787" s="195" t="n"/>
      <c r="AD3787" s="25" t="n"/>
      <c r="AE3787" s="25" t="n"/>
      <c r="AG3787" s="25" t="n"/>
      <c r="AH3787" s="25" t="n"/>
      <c r="AI3787" s="394" t="n"/>
      <c r="AM3787" s="48" t="n"/>
      <c r="AN3787" s="48" t="n"/>
      <c r="AO3787" s="48" t="n"/>
    </row>
    <row r="3788">
      <c r="M3788" s="25" t="n"/>
      <c r="Q3788" s="25" t="n"/>
      <c r="U3788" s="194" t="n"/>
      <c r="AA3788" s="25" t="n"/>
      <c r="AB3788" s="25" t="n"/>
      <c r="AC3788" s="195" t="n"/>
      <c r="AD3788" s="25" t="n"/>
      <c r="AE3788" s="25" t="n"/>
      <c r="AG3788" s="25" t="n"/>
      <c r="AH3788" s="25" t="n"/>
      <c r="AI3788" s="394" t="n"/>
      <c r="AM3788" s="48" t="n"/>
      <c r="AN3788" s="48" t="n"/>
      <c r="AO3788" s="48" t="n"/>
    </row>
    <row r="3789">
      <c r="M3789" s="25" t="n"/>
      <c r="Q3789" s="25" t="n"/>
      <c r="U3789" s="194" t="n"/>
      <c r="AA3789" s="25" t="n"/>
      <c r="AB3789" s="25" t="n"/>
      <c r="AC3789" s="195" t="n"/>
      <c r="AD3789" s="25" t="n"/>
      <c r="AE3789" s="25" t="n"/>
      <c r="AG3789" s="25" t="n"/>
      <c r="AH3789" s="25" t="n"/>
      <c r="AI3789" s="394" t="n"/>
      <c r="AM3789" s="48" t="n"/>
      <c r="AN3789" s="48" t="n"/>
      <c r="AO3789" s="48" t="n"/>
    </row>
    <row r="3790">
      <c r="M3790" s="25" t="n"/>
      <c r="Q3790" s="25" t="n"/>
      <c r="U3790" s="194" t="n"/>
      <c r="AA3790" s="25" t="n"/>
      <c r="AB3790" s="25" t="n"/>
      <c r="AC3790" s="195" t="n"/>
      <c r="AD3790" s="25" t="n"/>
      <c r="AE3790" s="25" t="n"/>
      <c r="AG3790" s="25" t="n"/>
      <c r="AH3790" s="25" t="n"/>
      <c r="AI3790" s="394" t="n"/>
      <c r="AM3790" s="48" t="n"/>
      <c r="AN3790" s="48" t="n"/>
      <c r="AO3790" s="48" t="n"/>
    </row>
    <row r="3791">
      <c r="M3791" s="25" t="n"/>
      <c r="Q3791" s="25" t="n"/>
      <c r="U3791" s="194" t="n"/>
      <c r="AA3791" s="25" t="n"/>
      <c r="AB3791" s="25" t="n"/>
      <c r="AC3791" s="195" t="n"/>
      <c r="AD3791" s="25" t="n"/>
      <c r="AE3791" s="25" t="n"/>
      <c r="AG3791" s="25" t="n"/>
      <c r="AH3791" s="25" t="n"/>
      <c r="AI3791" s="394" t="n"/>
      <c r="AM3791" s="48" t="n"/>
      <c r="AN3791" s="48" t="n"/>
      <c r="AO3791" s="48" t="n"/>
    </row>
    <row r="3792">
      <c r="M3792" s="25" t="n"/>
      <c r="Q3792" s="25" t="n"/>
      <c r="U3792" s="194" t="n"/>
      <c r="AA3792" s="25" t="n"/>
      <c r="AB3792" s="25" t="n"/>
      <c r="AC3792" s="195" t="n"/>
      <c r="AD3792" s="25" t="n"/>
      <c r="AE3792" s="25" t="n"/>
      <c r="AG3792" s="25" t="n"/>
      <c r="AH3792" s="25" t="n"/>
      <c r="AI3792" s="394" t="n"/>
      <c r="AM3792" s="48" t="n"/>
      <c r="AN3792" s="48" t="n"/>
      <c r="AO3792" s="48" t="n"/>
    </row>
    <row r="3793">
      <c r="M3793" s="25" t="n"/>
      <c r="Q3793" s="25" t="n"/>
      <c r="U3793" s="194" t="n"/>
      <c r="AA3793" s="25" t="n"/>
      <c r="AB3793" s="25" t="n"/>
      <c r="AC3793" s="195" t="n"/>
      <c r="AD3793" s="25" t="n"/>
      <c r="AE3793" s="25" t="n"/>
      <c r="AG3793" s="25" t="n"/>
      <c r="AH3793" s="25" t="n"/>
      <c r="AI3793" s="394" t="n"/>
      <c r="AM3793" s="48" t="n"/>
      <c r="AN3793" s="48" t="n"/>
      <c r="AO3793" s="48" t="n"/>
    </row>
    <row r="3794">
      <c r="M3794" s="25" t="n"/>
      <c r="Q3794" s="25" t="n"/>
      <c r="U3794" s="194" t="n"/>
      <c r="AA3794" s="25" t="n"/>
      <c r="AB3794" s="25" t="n"/>
      <c r="AC3794" s="195" t="n"/>
      <c r="AD3794" s="25" t="n"/>
      <c r="AE3794" s="25" t="n"/>
      <c r="AG3794" s="25" t="n"/>
      <c r="AH3794" s="25" t="n"/>
      <c r="AI3794" s="394" t="n"/>
      <c r="AM3794" s="48" t="n"/>
      <c r="AN3794" s="48" t="n"/>
      <c r="AO3794" s="48" t="n"/>
    </row>
    <row r="3795">
      <c r="M3795" s="25" t="n"/>
      <c r="Q3795" s="25" t="n"/>
      <c r="U3795" s="194" t="n"/>
      <c r="AA3795" s="25" t="n"/>
      <c r="AB3795" s="25" t="n"/>
      <c r="AC3795" s="195" t="n"/>
      <c r="AD3795" s="25" t="n"/>
      <c r="AE3795" s="25" t="n"/>
      <c r="AG3795" s="25" t="n"/>
      <c r="AH3795" s="25" t="n"/>
      <c r="AI3795" s="394" t="n"/>
      <c r="AM3795" s="48" t="n"/>
      <c r="AN3795" s="48" t="n"/>
      <c r="AO3795" s="48" t="n"/>
    </row>
    <row r="3796">
      <c r="M3796" s="25" t="n"/>
      <c r="Q3796" s="25" t="n"/>
      <c r="U3796" s="194" t="n"/>
      <c r="AA3796" s="25" t="n"/>
      <c r="AB3796" s="25" t="n"/>
      <c r="AC3796" s="195" t="n"/>
      <c r="AD3796" s="25" t="n"/>
      <c r="AE3796" s="25" t="n"/>
      <c r="AG3796" s="25" t="n"/>
      <c r="AH3796" s="25" t="n"/>
      <c r="AI3796" s="394" t="n"/>
      <c r="AM3796" s="48" t="n"/>
      <c r="AN3796" s="48" t="n"/>
      <c r="AO3796" s="48" t="n"/>
    </row>
    <row r="3797">
      <c r="M3797" s="25" t="n"/>
      <c r="Q3797" s="25" t="n"/>
      <c r="U3797" s="194" t="n"/>
      <c r="AA3797" s="25" t="n"/>
      <c r="AB3797" s="25" t="n"/>
      <c r="AC3797" s="195" t="n"/>
      <c r="AD3797" s="25" t="n"/>
      <c r="AE3797" s="25" t="n"/>
      <c r="AG3797" s="25" t="n"/>
      <c r="AH3797" s="25" t="n"/>
      <c r="AI3797" s="394" t="n"/>
      <c r="AM3797" s="48" t="n"/>
      <c r="AN3797" s="48" t="n"/>
      <c r="AO3797" s="48" t="n"/>
    </row>
    <row r="3798">
      <c r="M3798" s="25" t="n"/>
      <c r="Q3798" s="25" t="n"/>
      <c r="U3798" s="194" t="n"/>
      <c r="AA3798" s="25" t="n"/>
      <c r="AB3798" s="25" t="n"/>
      <c r="AC3798" s="195" t="n"/>
      <c r="AD3798" s="25" t="n"/>
      <c r="AE3798" s="25" t="n"/>
      <c r="AG3798" s="25" t="n"/>
      <c r="AH3798" s="25" t="n"/>
      <c r="AI3798" s="394" t="n"/>
      <c r="AM3798" s="48" t="n"/>
      <c r="AN3798" s="48" t="n"/>
      <c r="AO3798" s="48" t="n"/>
    </row>
    <row r="3799">
      <c r="M3799" s="25" t="n"/>
      <c r="Q3799" s="25" t="n"/>
      <c r="U3799" s="194" t="n"/>
      <c r="AA3799" s="25" t="n"/>
      <c r="AB3799" s="25" t="n"/>
      <c r="AC3799" s="195" t="n"/>
      <c r="AD3799" s="25" t="n"/>
      <c r="AE3799" s="25" t="n"/>
      <c r="AG3799" s="25" t="n"/>
      <c r="AH3799" s="25" t="n"/>
      <c r="AI3799" s="394" t="n"/>
      <c r="AM3799" s="48" t="n"/>
      <c r="AN3799" s="48" t="n"/>
      <c r="AO3799" s="48" t="n"/>
    </row>
    <row r="3800">
      <c r="M3800" s="25" t="n"/>
      <c r="Q3800" s="25" t="n"/>
      <c r="U3800" s="194" t="n"/>
      <c r="AA3800" s="25" t="n"/>
      <c r="AB3800" s="25" t="n"/>
      <c r="AC3800" s="195" t="n"/>
      <c r="AD3800" s="25" t="n"/>
      <c r="AE3800" s="25" t="n"/>
      <c r="AG3800" s="25" t="n"/>
      <c r="AH3800" s="25" t="n"/>
      <c r="AI3800" s="394" t="n"/>
      <c r="AM3800" s="48" t="n"/>
      <c r="AN3800" s="48" t="n"/>
      <c r="AO3800" s="48" t="n"/>
    </row>
    <row r="3801">
      <c r="M3801" s="25" t="n"/>
      <c r="Q3801" s="25" t="n"/>
      <c r="U3801" s="194" t="n"/>
      <c r="AA3801" s="25" t="n"/>
      <c r="AB3801" s="25" t="n"/>
      <c r="AC3801" s="195" t="n"/>
      <c r="AD3801" s="25" t="n"/>
      <c r="AE3801" s="25" t="n"/>
      <c r="AG3801" s="25" t="n"/>
      <c r="AH3801" s="25" t="n"/>
      <c r="AI3801" s="394" t="n"/>
      <c r="AM3801" s="48" t="n"/>
      <c r="AN3801" s="48" t="n"/>
      <c r="AO3801" s="48" t="n"/>
    </row>
    <row r="3802">
      <c r="M3802" s="25" t="n"/>
      <c r="Q3802" s="25" t="n"/>
      <c r="U3802" s="194" t="n"/>
      <c r="AA3802" s="25" t="n"/>
      <c r="AB3802" s="25" t="n"/>
      <c r="AC3802" s="195" t="n"/>
      <c r="AD3802" s="25" t="n"/>
      <c r="AE3802" s="25" t="n"/>
      <c r="AG3802" s="25" t="n"/>
      <c r="AH3802" s="25" t="n"/>
      <c r="AI3802" s="394" t="n"/>
      <c r="AM3802" s="48" t="n"/>
      <c r="AN3802" s="48" t="n"/>
      <c r="AO3802" s="48" t="n"/>
    </row>
    <row r="3803">
      <c r="M3803" s="25" t="n"/>
      <c r="Q3803" s="25" t="n"/>
      <c r="U3803" s="194" t="n"/>
      <c r="AA3803" s="25" t="n"/>
      <c r="AB3803" s="25" t="n"/>
      <c r="AC3803" s="195" t="n"/>
      <c r="AD3803" s="25" t="n"/>
      <c r="AE3803" s="25" t="n"/>
      <c r="AG3803" s="25" t="n"/>
      <c r="AH3803" s="25" t="n"/>
      <c r="AI3803" s="394" t="n"/>
      <c r="AM3803" s="48" t="n"/>
      <c r="AN3803" s="48" t="n"/>
      <c r="AO3803" s="48" t="n"/>
    </row>
    <row r="3804">
      <c r="M3804" s="25" t="n"/>
      <c r="Q3804" s="25" t="n"/>
      <c r="U3804" s="194" t="n"/>
      <c r="AA3804" s="25" t="n"/>
      <c r="AB3804" s="25" t="n"/>
      <c r="AC3804" s="195" t="n"/>
      <c r="AD3804" s="25" t="n"/>
      <c r="AE3804" s="25" t="n"/>
      <c r="AG3804" s="25" t="n"/>
      <c r="AH3804" s="25" t="n"/>
      <c r="AI3804" s="394" t="n"/>
      <c r="AM3804" s="48" t="n"/>
      <c r="AN3804" s="48" t="n"/>
      <c r="AO3804" s="48" t="n"/>
    </row>
    <row r="3805">
      <c r="M3805" s="25" t="n"/>
      <c r="Q3805" s="25" t="n"/>
      <c r="U3805" s="194" t="n"/>
      <c r="AA3805" s="25" t="n"/>
      <c r="AB3805" s="25" t="n"/>
      <c r="AC3805" s="195" t="n"/>
      <c r="AD3805" s="25" t="n"/>
      <c r="AE3805" s="25" t="n"/>
      <c r="AG3805" s="25" t="n"/>
      <c r="AH3805" s="25" t="n"/>
      <c r="AI3805" s="394" t="n"/>
      <c r="AM3805" s="48" t="n"/>
      <c r="AN3805" s="48" t="n"/>
      <c r="AO3805" s="48" t="n"/>
    </row>
    <row r="3806">
      <c r="M3806" s="25" t="n"/>
      <c r="Q3806" s="25" t="n"/>
      <c r="U3806" s="194" t="n"/>
      <c r="AA3806" s="25" t="n"/>
      <c r="AB3806" s="25" t="n"/>
      <c r="AC3806" s="195" t="n"/>
      <c r="AD3806" s="25" t="n"/>
      <c r="AE3806" s="25" t="n"/>
      <c r="AG3806" s="25" t="n"/>
      <c r="AH3806" s="25" t="n"/>
      <c r="AI3806" s="394" t="n"/>
      <c r="AM3806" s="48" t="n"/>
      <c r="AN3806" s="48" t="n"/>
      <c r="AO3806" s="48" t="n"/>
    </row>
    <row r="3807">
      <c r="M3807" s="25" t="n"/>
      <c r="Q3807" s="25" t="n"/>
      <c r="U3807" s="194" t="n"/>
      <c r="AA3807" s="25" t="n"/>
      <c r="AB3807" s="25" t="n"/>
      <c r="AC3807" s="195" t="n"/>
      <c r="AD3807" s="25" t="n"/>
      <c r="AE3807" s="25" t="n"/>
      <c r="AG3807" s="25" t="n"/>
      <c r="AH3807" s="25" t="n"/>
      <c r="AI3807" s="394" t="n"/>
      <c r="AM3807" s="48" t="n"/>
      <c r="AN3807" s="48" t="n"/>
      <c r="AO3807" s="48" t="n"/>
    </row>
    <row r="3808">
      <c r="M3808" s="25" t="n"/>
      <c r="Q3808" s="25" t="n"/>
      <c r="U3808" s="194" t="n"/>
      <c r="AA3808" s="25" t="n"/>
      <c r="AB3808" s="25" t="n"/>
      <c r="AC3808" s="195" t="n"/>
      <c r="AD3808" s="25" t="n"/>
      <c r="AE3808" s="25" t="n"/>
      <c r="AG3808" s="25" t="n"/>
      <c r="AH3808" s="25" t="n"/>
      <c r="AI3808" s="394" t="n"/>
      <c r="AM3808" s="48" t="n"/>
      <c r="AN3808" s="48" t="n"/>
      <c r="AO3808" s="48" t="n"/>
    </row>
    <row r="3809">
      <c r="M3809" s="25" t="n"/>
      <c r="Q3809" s="25" t="n"/>
      <c r="U3809" s="194" t="n"/>
      <c r="AA3809" s="25" t="n"/>
      <c r="AB3809" s="25" t="n"/>
      <c r="AC3809" s="195" t="n"/>
      <c r="AD3809" s="25" t="n"/>
      <c r="AE3809" s="25" t="n"/>
      <c r="AG3809" s="25" t="n"/>
      <c r="AH3809" s="25" t="n"/>
      <c r="AI3809" s="394" t="n"/>
      <c r="AM3809" s="48" t="n"/>
      <c r="AN3809" s="48" t="n"/>
      <c r="AO3809" s="48" t="n"/>
    </row>
    <row r="3810">
      <c r="M3810" s="25" t="n"/>
      <c r="Q3810" s="25" t="n"/>
      <c r="U3810" s="194" t="n"/>
      <c r="AA3810" s="25" t="n"/>
      <c r="AB3810" s="25" t="n"/>
      <c r="AC3810" s="195" t="n"/>
      <c r="AD3810" s="25" t="n"/>
      <c r="AE3810" s="25" t="n"/>
      <c r="AG3810" s="25" t="n"/>
      <c r="AH3810" s="25" t="n"/>
      <c r="AI3810" s="394" t="n"/>
      <c r="AM3810" s="48" t="n"/>
      <c r="AN3810" s="48" t="n"/>
      <c r="AO3810" s="48" t="n"/>
    </row>
    <row r="3811">
      <c r="M3811" s="25" t="n"/>
      <c r="Q3811" s="25" t="n"/>
      <c r="U3811" s="194" t="n"/>
      <c r="AA3811" s="25" t="n"/>
      <c r="AB3811" s="25" t="n"/>
      <c r="AC3811" s="195" t="n"/>
      <c r="AD3811" s="25" t="n"/>
      <c r="AE3811" s="25" t="n"/>
      <c r="AG3811" s="25" t="n"/>
      <c r="AH3811" s="25" t="n"/>
      <c r="AI3811" s="394" t="n"/>
      <c r="AM3811" s="48" t="n"/>
      <c r="AN3811" s="48" t="n"/>
      <c r="AO3811" s="48" t="n"/>
    </row>
    <row r="3812">
      <c r="M3812" s="25" t="n"/>
      <c r="Q3812" s="25" t="n"/>
      <c r="U3812" s="194" t="n"/>
      <c r="AA3812" s="25" t="n"/>
      <c r="AB3812" s="25" t="n"/>
      <c r="AC3812" s="195" t="n"/>
      <c r="AD3812" s="25" t="n"/>
      <c r="AE3812" s="25" t="n"/>
      <c r="AG3812" s="25" t="n"/>
      <c r="AH3812" s="25" t="n"/>
      <c r="AI3812" s="394" t="n"/>
      <c r="AM3812" s="48" t="n"/>
      <c r="AN3812" s="48" t="n"/>
      <c r="AO3812" s="48" t="n"/>
    </row>
    <row r="3813">
      <c r="M3813" s="25" t="n"/>
      <c r="Q3813" s="25" t="n"/>
      <c r="U3813" s="194" t="n"/>
      <c r="AA3813" s="25" t="n"/>
      <c r="AB3813" s="25" t="n"/>
      <c r="AC3813" s="195" t="n"/>
      <c r="AD3813" s="25" t="n"/>
      <c r="AE3813" s="25" t="n"/>
      <c r="AG3813" s="25" t="n"/>
      <c r="AH3813" s="25" t="n"/>
      <c r="AI3813" s="394" t="n"/>
      <c r="AM3813" s="48" t="n"/>
      <c r="AN3813" s="48" t="n"/>
      <c r="AO3813" s="48" t="n"/>
    </row>
    <row r="3814">
      <c r="M3814" s="25" t="n"/>
      <c r="Q3814" s="25" t="n"/>
      <c r="U3814" s="194" t="n"/>
      <c r="AA3814" s="25" t="n"/>
      <c r="AB3814" s="25" t="n"/>
      <c r="AC3814" s="195" t="n"/>
      <c r="AD3814" s="25" t="n"/>
      <c r="AE3814" s="25" t="n"/>
      <c r="AG3814" s="25" t="n"/>
      <c r="AH3814" s="25" t="n"/>
      <c r="AI3814" s="394" t="n"/>
      <c r="AM3814" s="48" t="n"/>
      <c r="AN3814" s="48" t="n"/>
      <c r="AO3814" s="48" t="n"/>
    </row>
    <row r="3815">
      <c r="M3815" s="25" t="n"/>
      <c r="Q3815" s="25" t="n"/>
      <c r="U3815" s="194" t="n"/>
      <c r="AA3815" s="25" t="n"/>
      <c r="AB3815" s="25" t="n"/>
      <c r="AC3815" s="195" t="n"/>
      <c r="AD3815" s="25" t="n"/>
      <c r="AE3815" s="25" t="n"/>
      <c r="AG3815" s="25" t="n"/>
      <c r="AH3815" s="25" t="n"/>
      <c r="AI3815" s="394" t="n"/>
      <c r="AM3815" s="48" t="n"/>
      <c r="AN3815" s="48" t="n"/>
      <c r="AO3815" s="48" t="n"/>
    </row>
    <row r="3816">
      <c r="M3816" s="25" t="n"/>
      <c r="Q3816" s="25" t="n"/>
      <c r="U3816" s="194" t="n"/>
      <c r="AA3816" s="25" t="n"/>
      <c r="AB3816" s="25" t="n"/>
      <c r="AC3816" s="195" t="n"/>
      <c r="AD3816" s="25" t="n"/>
      <c r="AE3816" s="25" t="n"/>
      <c r="AG3816" s="25" t="n"/>
      <c r="AH3816" s="25" t="n"/>
      <c r="AI3816" s="394" t="n"/>
      <c r="AM3816" s="48" t="n"/>
      <c r="AN3816" s="48" t="n"/>
      <c r="AO3816" s="48" t="n"/>
    </row>
    <row r="3817">
      <c r="M3817" s="25" t="n"/>
      <c r="Q3817" s="25" t="n"/>
      <c r="U3817" s="194" t="n"/>
      <c r="AA3817" s="25" t="n"/>
      <c r="AB3817" s="25" t="n"/>
      <c r="AC3817" s="195" t="n"/>
      <c r="AD3817" s="25" t="n"/>
      <c r="AE3817" s="25" t="n"/>
      <c r="AG3817" s="25" t="n"/>
      <c r="AH3817" s="25" t="n"/>
      <c r="AI3817" s="394" t="n"/>
      <c r="AM3817" s="48" t="n"/>
      <c r="AN3817" s="48" t="n"/>
      <c r="AO3817" s="48" t="n"/>
    </row>
    <row r="3818">
      <c r="M3818" s="25" t="n"/>
      <c r="Q3818" s="25" t="n"/>
      <c r="U3818" s="194" t="n"/>
      <c r="AA3818" s="25" t="n"/>
      <c r="AB3818" s="25" t="n"/>
      <c r="AC3818" s="195" t="n"/>
      <c r="AD3818" s="25" t="n"/>
      <c r="AE3818" s="25" t="n"/>
      <c r="AG3818" s="25" t="n"/>
      <c r="AH3818" s="25" t="n"/>
      <c r="AI3818" s="394" t="n"/>
      <c r="AM3818" s="48" t="n"/>
      <c r="AN3818" s="48" t="n"/>
      <c r="AO3818" s="48" t="n"/>
    </row>
    <row r="3819">
      <c r="M3819" s="25" t="n"/>
      <c r="Q3819" s="25" t="n"/>
      <c r="U3819" s="194" t="n"/>
      <c r="AA3819" s="25" t="n"/>
      <c r="AB3819" s="25" t="n"/>
      <c r="AC3819" s="195" t="n"/>
      <c r="AD3819" s="25" t="n"/>
      <c r="AE3819" s="25" t="n"/>
      <c r="AG3819" s="25" t="n"/>
      <c r="AH3819" s="25" t="n"/>
      <c r="AI3819" s="394" t="n"/>
      <c r="AM3819" s="48" t="n"/>
      <c r="AN3819" s="48" t="n"/>
      <c r="AO3819" s="48" t="n"/>
    </row>
    <row r="3820">
      <c r="M3820" s="25" t="n"/>
      <c r="Q3820" s="25" t="n"/>
      <c r="U3820" s="194" t="n"/>
      <c r="AA3820" s="25" t="n"/>
      <c r="AB3820" s="25" t="n"/>
      <c r="AC3820" s="195" t="n"/>
      <c r="AD3820" s="25" t="n"/>
      <c r="AE3820" s="25" t="n"/>
      <c r="AG3820" s="25" t="n"/>
      <c r="AH3820" s="25" t="n"/>
      <c r="AI3820" s="394" t="n"/>
      <c r="AM3820" s="48" t="n"/>
      <c r="AN3820" s="48" t="n"/>
      <c r="AO3820" s="48" t="n"/>
    </row>
    <row r="3821">
      <c r="M3821" s="25" t="n"/>
      <c r="Q3821" s="25" t="n"/>
      <c r="U3821" s="194" t="n"/>
      <c r="AA3821" s="25" t="n"/>
      <c r="AB3821" s="25" t="n"/>
      <c r="AC3821" s="195" t="n"/>
      <c r="AD3821" s="25" t="n"/>
      <c r="AE3821" s="25" t="n"/>
      <c r="AG3821" s="25" t="n"/>
      <c r="AH3821" s="25" t="n"/>
      <c r="AI3821" s="394" t="n"/>
      <c r="AM3821" s="48" t="n"/>
      <c r="AN3821" s="48" t="n"/>
      <c r="AO3821" s="48" t="n"/>
    </row>
    <row r="3822">
      <c r="M3822" s="25" t="n"/>
      <c r="Q3822" s="25" t="n"/>
      <c r="U3822" s="194" t="n"/>
      <c r="AA3822" s="25" t="n"/>
      <c r="AB3822" s="25" t="n"/>
      <c r="AC3822" s="195" t="n"/>
      <c r="AD3822" s="25" t="n"/>
      <c r="AE3822" s="25" t="n"/>
      <c r="AG3822" s="25" t="n"/>
      <c r="AH3822" s="25" t="n"/>
      <c r="AI3822" s="394" t="n"/>
      <c r="AM3822" s="48" t="n"/>
      <c r="AN3822" s="48" t="n"/>
      <c r="AO3822" s="48" t="n"/>
    </row>
    <row r="3823">
      <c r="M3823" s="25" t="n"/>
      <c r="Q3823" s="25" t="n"/>
      <c r="U3823" s="194" t="n"/>
      <c r="AA3823" s="25" t="n"/>
      <c r="AB3823" s="25" t="n"/>
      <c r="AC3823" s="195" t="n"/>
      <c r="AD3823" s="25" t="n"/>
      <c r="AE3823" s="25" t="n"/>
      <c r="AG3823" s="25" t="n"/>
      <c r="AH3823" s="25" t="n"/>
      <c r="AI3823" s="394" t="n"/>
      <c r="AM3823" s="48" t="n"/>
      <c r="AN3823" s="48" t="n"/>
      <c r="AO3823" s="48" t="n"/>
    </row>
    <row r="3824">
      <c r="M3824" s="25" t="n"/>
      <c r="Q3824" s="25" t="n"/>
      <c r="U3824" s="194" t="n"/>
      <c r="AA3824" s="25" t="n"/>
      <c r="AB3824" s="25" t="n"/>
      <c r="AC3824" s="195" t="n"/>
      <c r="AD3824" s="25" t="n"/>
      <c r="AE3824" s="25" t="n"/>
      <c r="AG3824" s="25" t="n"/>
      <c r="AH3824" s="25" t="n"/>
      <c r="AI3824" s="394" t="n"/>
      <c r="AM3824" s="48" t="n"/>
      <c r="AN3824" s="48" t="n"/>
      <c r="AO3824" s="48" t="n"/>
    </row>
    <row r="3825">
      <c r="M3825" s="25" t="n"/>
      <c r="Q3825" s="25" t="n"/>
      <c r="U3825" s="194" t="n"/>
      <c r="AA3825" s="25" t="n"/>
      <c r="AB3825" s="25" t="n"/>
      <c r="AC3825" s="195" t="n"/>
      <c r="AD3825" s="25" t="n"/>
      <c r="AE3825" s="25" t="n"/>
      <c r="AG3825" s="25" t="n"/>
      <c r="AH3825" s="25" t="n"/>
      <c r="AI3825" s="394" t="n"/>
      <c r="AM3825" s="48" t="n"/>
      <c r="AN3825" s="48" t="n"/>
      <c r="AO3825" s="48" t="n"/>
    </row>
    <row r="3826">
      <c r="M3826" s="25" t="n"/>
      <c r="Q3826" s="25" t="n"/>
      <c r="U3826" s="194" t="n"/>
      <c r="AA3826" s="25" t="n"/>
      <c r="AB3826" s="25" t="n"/>
      <c r="AC3826" s="195" t="n"/>
      <c r="AD3826" s="25" t="n"/>
      <c r="AE3826" s="25" t="n"/>
      <c r="AG3826" s="25" t="n"/>
      <c r="AH3826" s="25" t="n"/>
      <c r="AI3826" s="394" t="n"/>
      <c r="AM3826" s="48" t="n"/>
      <c r="AN3826" s="48" t="n"/>
      <c r="AO3826" s="48" t="n"/>
    </row>
    <row r="3827">
      <c r="M3827" s="25" t="n"/>
      <c r="Q3827" s="25" t="n"/>
      <c r="U3827" s="194" t="n"/>
      <c r="AA3827" s="25" t="n"/>
      <c r="AB3827" s="25" t="n"/>
      <c r="AC3827" s="195" t="n"/>
      <c r="AD3827" s="25" t="n"/>
      <c r="AE3827" s="25" t="n"/>
      <c r="AG3827" s="25" t="n"/>
      <c r="AH3827" s="25" t="n"/>
      <c r="AI3827" s="394" t="n"/>
      <c r="AM3827" s="48" t="n"/>
      <c r="AN3827" s="48" t="n"/>
      <c r="AO3827" s="48" t="n"/>
    </row>
    <row r="3828">
      <c r="M3828" s="25" t="n"/>
      <c r="Q3828" s="25" t="n"/>
      <c r="U3828" s="194" t="n"/>
      <c r="AA3828" s="25" t="n"/>
      <c r="AB3828" s="25" t="n"/>
      <c r="AC3828" s="195" t="n"/>
      <c r="AD3828" s="25" t="n"/>
      <c r="AE3828" s="25" t="n"/>
      <c r="AG3828" s="25" t="n"/>
      <c r="AH3828" s="25" t="n"/>
      <c r="AI3828" s="394" t="n"/>
      <c r="AM3828" s="48" t="n"/>
      <c r="AN3828" s="48" t="n"/>
      <c r="AO3828" s="48" t="n"/>
    </row>
    <row r="3829">
      <c r="M3829" s="25" t="n"/>
      <c r="Q3829" s="25" t="n"/>
      <c r="U3829" s="194" t="n"/>
      <c r="AA3829" s="25" t="n"/>
      <c r="AB3829" s="25" t="n"/>
      <c r="AC3829" s="195" t="n"/>
      <c r="AD3829" s="25" t="n"/>
      <c r="AE3829" s="25" t="n"/>
      <c r="AG3829" s="25" t="n"/>
      <c r="AH3829" s="25" t="n"/>
      <c r="AI3829" s="394" t="n"/>
      <c r="AM3829" s="48" t="n"/>
      <c r="AN3829" s="48" t="n"/>
      <c r="AO3829" s="48" t="n"/>
    </row>
    <row r="3830">
      <c r="M3830" s="25" t="n"/>
      <c r="Q3830" s="25" t="n"/>
      <c r="U3830" s="194" t="n"/>
      <c r="AA3830" s="25" t="n"/>
      <c r="AB3830" s="25" t="n"/>
      <c r="AC3830" s="195" t="n"/>
      <c r="AD3830" s="25" t="n"/>
      <c r="AE3830" s="25" t="n"/>
      <c r="AG3830" s="25" t="n"/>
      <c r="AH3830" s="25" t="n"/>
      <c r="AI3830" s="394" t="n"/>
      <c r="AM3830" s="48" t="n"/>
      <c r="AN3830" s="48" t="n"/>
      <c r="AO3830" s="48" t="n"/>
    </row>
    <row r="3831">
      <c r="M3831" s="25" t="n"/>
      <c r="Q3831" s="25" t="n"/>
      <c r="U3831" s="194" t="n"/>
      <c r="AA3831" s="25" t="n"/>
      <c r="AB3831" s="25" t="n"/>
      <c r="AC3831" s="195" t="n"/>
      <c r="AD3831" s="25" t="n"/>
      <c r="AE3831" s="25" t="n"/>
      <c r="AG3831" s="25" t="n"/>
      <c r="AH3831" s="25" t="n"/>
      <c r="AI3831" s="394" t="n"/>
      <c r="AM3831" s="48" t="n"/>
      <c r="AN3831" s="48" t="n"/>
      <c r="AO3831" s="48" t="n"/>
    </row>
    <row r="3832">
      <c r="M3832" s="25" t="n"/>
      <c r="Q3832" s="25" t="n"/>
      <c r="U3832" s="194" t="n"/>
      <c r="AA3832" s="25" t="n"/>
      <c r="AB3832" s="25" t="n"/>
      <c r="AC3832" s="195" t="n"/>
      <c r="AD3832" s="25" t="n"/>
      <c r="AE3832" s="25" t="n"/>
      <c r="AG3832" s="25" t="n"/>
      <c r="AH3832" s="25" t="n"/>
      <c r="AI3832" s="394" t="n"/>
      <c r="AM3832" s="48" t="n"/>
      <c r="AN3832" s="48" t="n"/>
      <c r="AO3832" s="48" t="n"/>
    </row>
    <row r="3833">
      <c r="M3833" s="25" t="n"/>
      <c r="Q3833" s="25" t="n"/>
      <c r="U3833" s="194" t="n"/>
      <c r="AA3833" s="25" t="n"/>
      <c r="AB3833" s="25" t="n"/>
      <c r="AC3833" s="195" t="n"/>
      <c r="AD3833" s="25" t="n"/>
      <c r="AE3833" s="25" t="n"/>
      <c r="AG3833" s="25" t="n"/>
      <c r="AH3833" s="25" t="n"/>
      <c r="AI3833" s="394" t="n"/>
      <c r="AM3833" s="48" t="n"/>
      <c r="AN3833" s="48" t="n"/>
      <c r="AO3833" s="48" t="n"/>
    </row>
    <row r="3834">
      <c r="M3834" s="25" t="n"/>
      <c r="Q3834" s="25" t="n"/>
      <c r="U3834" s="194" t="n"/>
      <c r="AA3834" s="25" t="n"/>
      <c r="AB3834" s="25" t="n"/>
      <c r="AC3834" s="195" t="n"/>
      <c r="AD3834" s="25" t="n"/>
      <c r="AE3834" s="25" t="n"/>
      <c r="AG3834" s="25" t="n"/>
      <c r="AH3834" s="25" t="n"/>
      <c r="AI3834" s="394" t="n"/>
      <c r="AM3834" s="48" t="n"/>
      <c r="AN3834" s="48" t="n"/>
      <c r="AO3834" s="48" t="n"/>
    </row>
    <row r="3835">
      <c r="M3835" s="25" t="n"/>
      <c r="Q3835" s="25" t="n"/>
      <c r="U3835" s="194" t="n"/>
      <c r="AA3835" s="25" t="n"/>
      <c r="AB3835" s="25" t="n"/>
      <c r="AC3835" s="195" t="n"/>
      <c r="AD3835" s="25" t="n"/>
      <c r="AE3835" s="25" t="n"/>
      <c r="AG3835" s="25" t="n"/>
      <c r="AH3835" s="25" t="n"/>
      <c r="AI3835" s="394" t="n"/>
      <c r="AM3835" s="48" t="n"/>
      <c r="AN3835" s="48" t="n"/>
      <c r="AO3835" s="48" t="n"/>
    </row>
    <row r="3836">
      <c r="M3836" s="25" t="n"/>
      <c r="Q3836" s="25" t="n"/>
      <c r="U3836" s="194" t="n"/>
      <c r="AA3836" s="25" t="n"/>
      <c r="AB3836" s="25" t="n"/>
      <c r="AC3836" s="195" t="n"/>
      <c r="AD3836" s="25" t="n"/>
      <c r="AE3836" s="25" t="n"/>
      <c r="AG3836" s="25" t="n"/>
      <c r="AH3836" s="25" t="n"/>
      <c r="AI3836" s="394" t="n"/>
      <c r="AM3836" s="48" t="n"/>
      <c r="AN3836" s="48" t="n"/>
      <c r="AO3836" s="48" t="n"/>
    </row>
    <row r="3837">
      <c r="M3837" s="25" t="n"/>
      <c r="Q3837" s="25" t="n"/>
      <c r="U3837" s="194" t="n"/>
      <c r="AA3837" s="25" t="n"/>
      <c r="AB3837" s="25" t="n"/>
      <c r="AC3837" s="195" t="n"/>
      <c r="AD3837" s="25" t="n"/>
      <c r="AE3837" s="25" t="n"/>
      <c r="AG3837" s="25" t="n"/>
      <c r="AH3837" s="25" t="n"/>
      <c r="AI3837" s="394" t="n"/>
      <c r="AM3837" s="48" t="n"/>
      <c r="AN3837" s="48" t="n"/>
      <c r="AO3837" s="48" t="n"/>
    </row>
    <row r="3838">
      <c r="M3838" s="25" t="n"/>
      <c r="Q3838" s="25" t="n"/>
      <c r="U3838" s="194" t="n"/>
      <c r="AA3838" s="25" t="n"/>
      <c r="AB3838" s="25" t="n"/>
      <c r="AC3838" s="195" t="n"/>
      <c r="AD3838" s="25" t="n"/>
      <c r="AE3838" s="25" t="n"/>
      <c r="AG3838" s="25" t="n"/>
      <c r="AH3838" s="25" t="n"/>
      <c r="AI3838" s="394" t="n"/>
      <c r="AM3838" s="48" t="n"/>
      <c r="AN3838" s="48" t="n"/>
      <c r="AO3838" s="48" t="n"/>
    </row>
    <row r="3839">
      <c r="M3839" s="25" t="n"/>
      <c r="Q3839" s="25" t="n"/>
      <c r="U3839" s="194" t="n"/>
      <c r="AA3839" s="25" t="n"/>
      <c r="AB3839" s="25" t="n"/>
      <c r="AC3839" s="195" t="n"/>
      <c r="AD3839" s="25" t="n"/>
      <c r="AE3839" s="25" t="n"/>
      <c r="AG3839" s="25" t="n"/>
      <c r="AH3839" s="25" t="n"/>
      <c r="AI3839" s="394" t="n"/>
      <c r="AM3839" s="48" t="n"/>
      <c r="AN3839" s="48" t="n"/>
      <c r="AO3839" s="48" t="n"/>
    </row>
    <row r="3840">
      <c r="M3840" s="25" t="n"/>
      <c r="Q3840" s="25" t="n"/>
      <c r="U3840" s="194" t="n"/>
      <c r="AA3840" s="25" t="n"/>
      <c r="AB3840" s="25" t="n"/>
      <c r="AC3840" s="195" t="n"/>
      <c r="AD3840" s="25" t="n"/>
      <c r="AE3840" s="25" t="n"/>
      <c r="AG3840" s="25" t="n"/>
      <c r="AH3840" s="25" t="n"/>
      <c r="AI3840" s="394" t="n"/>
      <c r="AM3840" s="48" t="n"/>
      <c r="AN3840" s="48" t="n"/>
      <c r="AO3840" s="48" t="n"/>
    </row>
    <row r="3841">
      <c r="M3841" s="25" t="n"/>
      <c r="Q3841" s="25" t="n"/>
      <c r="U3841" s="194" t="n"/>
      <c r="AA3841" s="25" t="n"/>
      <c r="AB3841" s="25" t="n"/>
      <c r="AC3841" s="195" t="n"/>
      <c r="AD3841" s="25" t="n"/>
      <c r="AE3841" s="25" t="n"/>
      <c r="AG3841" s="25" t="n"/>
      <c r="AH3841" s="25" t="n"/>
      <c r="AI3841" s="394" t="n"/>
      <c r="AM3841" s="48" t="n"/>
      <c r="AN3841" s="48" t="n"/>
      <c r="AO3841" s="48" t="n"/>
    </row>
    <row r="3842">
      <c r="M3842" s="25" t="n"/>
      <c r="Q3842" s="25" t="n"/>
      <c r="U3842" s="194" t="n"/>
      <c r="AA3842" s="25" t="n"/>
      <c r="AB3842" s="25" t="n"/>
      <c r="AC3842" s="195" t="n"/>
      <c r="AD3842" s="25" t="n"/>
      <c r="AE3842" s="25" t="n"/>
      <c r="AG3842" s="25" t="n"/>
      <c r="AH3842" s="25" t="n"/>
      <c r="AI3842" s="394" t="n"/>
      <c r="AM3842" s="48" t="n"/>
      <c r="AN3842" s="48" t="n"/>
      <c r="AO3842" s="48" t="n"/>
    </row>
    <row r="3843">
      <c r="M3843" s="25" t="n"/>
      <c r="Q3843" s="25" t="n"/>
      <c r="U3843" s="194" t="n"/>
      <c r="AA3843" s="25" t="n"/>
      <c r="AB3843" s="25" t="n"/>
      <c r="AC3843" s="195" t="n"/>
      <c r="AD3843" s="25" t="n"/>
      <c r="AE3843" s="25" t="n"/>
      <c r="AG3843" s="25" t="n"/>
      <c r="AH3843" s="25" t="n"/>
      <c r="AI3843" s="394" t="n"/>
      <c r="AM3843" s="48" t="n"/>
      <c r="AN3843" s="48" t="n"/>
      <c r="AO3843" s="48" t="n"/>
    </row>
    <row r="3844">
      <c r="M3844" s="25" t="n"/>
      <c r="Q3844" s="25" t="n"/>
      <c r="U3844" s="194" t="n"/>
      <c r="AA3844" s="25" t="n"/>
      <c r="AB3844" s="25" t="n"/>
      <c r="AC3844" s="195" t="n"/>
      <c r="AD3844" s="25" t="n"/>
      <c r="AE3844" s="25" t="n"/>
      <c r="AG3844" s="25" t="n"/>
      <c r="AH3844" s="25" t="n"/>
      <c r="AI3844" s="394" t="n"/>
      <c r="AM3844" s="48" t="n"/>
      <c r="AN3844" s="48" t="n"/>
      <c r="AO3844" s="48" t="n"/>
    </row>
    <row r="3845">
      <c r="M3845" s="25" t="n"/>
      <c r="Q3845" s="25" t="n"/>
      <c r="U3845" s="194" t="n"/>
      <c r="AA3845" s="25" t="n"/>
      <c r="AB3845" s="25" t="n"/>
      <c r="AC3845" s="195" t="n"/>
      <c r="AD3845" s="25" t="n"/>
      <c r="AE3845" s="25" t="n"/>
      <c r="AG3845" s="25" t="n"/>
      <c r="AH3845" s="25" t="n"/>
      <c r="AI3845" s="394" t="n"/>
      <c r="AM3845" s="48" t="n"/>
      <c r="AN3845" s="48" t="n"/>
      <c r="AO3845" s="48" t="n"/>
    </row>
    <row r="3846">
      <c r="M3846" s="25" t="n"/>
      <c r="Q3846" s="25" t="n"/>
      <c r="U3846" s="194" t="n"/>
      <c r="AA3846" s="25" t="n"/>
      <c r="AB3846" s="25" t="n"/>
      <c r="AC3846" s="195" t="n"/>
      <c r="AD3846" s="25" t="n"/>
      <c r="AE3846" s="25" t="n"/>
      <c r="AG3846" s="25" t="n"/>
      <c r="AH3846" s="25" t="n"/>
      <c r="AI3846" s="394" t="n"/>
      <c r="AM3846" s="48" t="n"/>
      <c r="AN3846" s="48" t="n"/>
      <c r="AO3846" s="48" t="n"/>
    </row>
    <row r="3847">
      <c r="M3847" s="25" t="n"/>
      <c r="Q3847" s="25" t="n"/>
      <c r="U3847" s="194" t="n"/>
      <c r="AA3847" s="25" t="n"/>
      <c r="AB3847" s="25" t="n"/>
      <c r="AC3847" s="195" t="n"/>
      <c r="AD3847" s="25" t="n"/>
      <c r="AE3847" s="25" t="n"/>
      <c r="AG3847" s="25" t="n"/>
      <c r="AH3847" s="25" t="n"/>
      <c r="AI3847" s="394" t="n"/>
      <c r="AM3847" s="48" t="n"/>
      <c r="AN3847" s="48" t="n"/>
      <c r="AO3847" s="48" t="n"/>
    </row>
    <row r="3848">
      <c r="M3848" s="25" t="n"/>
      <c r="Q3848" s="25" t="n"/>
      <c r="U3848" s="194" t="n"/>
      <c r="AA3848" s="25" t="n"/>
      <c r="AB3848" s="25" t="n"/>
      <c r="AC3848" s="195" t="n"/>
      <c r="AD3848" s="25" t="n"/>
      <c r="AE3848" s="25" t="n"/>
      <c r="AG3848" s="25" t="n"/>
      <c r="AH3848" s="25" t="n"/>
      <c r="AI3848" s="394" t="n"/>
      <c r="AM3848" s="48" t="n"/>
      <c r="AN3848" s="48" t="n"/>
      <c r="AO3848" s="48" t="n"/>
    </row>
    <row r="3849">
      <c r="M3849" s="25" t="n"/>
      <c r="Q3849" s="25" t="n"/>
      <c r="U3849" s="194" t="n"/>
      <c r="AA3849" s="25" t="n"/>
      <c r="AB3849" s="25" t="n"/>
      <c r="AC3849" s="195" t="n"/>
      <c r="AD3849" s="25" t="n"/>
      <c r="AE3849" s="25" t="n"/>
      <c r="AG3849" s="25" t="n"/>
      <c r="AH3849" s="25" t="n"/>
      <c r="AI3849" s="394" t="n"/>
      <c r="AM3849" s="48" t="n"/>
      <c r="AN3849" s="48" t="n"/>
      <c r="AO3849" s="48" t="n"/>
    </row>
    <row r="3850">
      <c r="M3850" s="25" t="n"/>
      <c r="Q3850" s="25" t="n"/>
      <c r="U3850" s="194" t="n"/>
      <c r="AA3850" s="25" t="n"/>
      <c r="AB3850" s="25" t="n"/>
      <c r="AC3850" s="195" t="n"/>
      <c r="AD3850" s="25" t="n"/>
      <c r="AE3850" s="25" t="n"/>
      <c r="AG3850" s="25" t="n"/>
      <c r="AH3850" s="25" t="n"/>
      <c r="AI3850" s="394" t="n"/>
      <c r="AM3850" s="48" t="n"/>
      <c r="AN3850" s="48" t="n"/>
      <c r="AO3850" s="48" t="n"/>
    </row>
    <row r="3851">
      <c r="M3851" s="25" t="n"/>
      <c r="Q3851" s="25" t="n"/>
      <c r="U3851" s="194" t="n"/>
      <c r="AA3851" s="25" t="n"/>
      <c r="AB3851" s="25" t="n"/>
      <c r="AC3851" s="195" t="n"/>
      <c r="AD3851" s="25" t="n"/>
      <c r="AE3851" s="25" t="n"/>
      <c r="AG3851" s="25" t="n"/>
      <c r="AH3851" s="25" t="n"/>
      <c r="AI3851" s="394" t="n"/>
      <c r="AM3851" s="48" t="n"/>
      <c r="AN3851" s="48" t="n"/>
      <c r="AO3851" s="48" t="n"/>
    </row>
    <row r="3852">
      <c r="M3852" s="25" t="n"/>
      <c r="Q3852" s="25" t="n"/>
      <c r="U3852" s="194" t="n"/>
      <c r="AA3852" s="25" t="n"/>
      <c r="AB3852" s="25" t="n"/>
      <c r="AC3852" s="195" t="n"/>
      <c r="AD3852" s="25" t="n"/>
      <c r="AE3852" s="25" t="n"/>
      <c r="AG3852" s="25" t="n"/>
      <c r="AH3852" s="25" t="n"/>
      <c r="AI3852" s="394" t="n"/>
      <c r="AM3852" s="48" t="n"/>
      <c r="AN3852" s="48" t="n"/>
      <c r="AO3852" s="48" t="n"/>
    </row>
    <row r="3853">
      <c r="M3853" s="25" t="n"/>
      <c r="Q3853" s="25" t="n"/>
      <c r="U3853" s="194" t="n"/>
      <c r="AA3853" s="25" t="n"/>
      <c r="AB3853" s="25" t="n"/>
      <c r="AC3853" s="195" t="n"/>
      <c r="AD3853" s="25" t="n"/>
      <c r="AE3853" s="25" t="n"/>
      <c r="AG3853" s="25" t="n"/>
      <c r="AH3853" s="25" t="n"/>
      <c r="AI3853" s="394" t="n"/>
      <c r="AM3853" s="48" t="n"/>
      <c r="AN3853" s="48" t="n"/>
      <c r="AO3853" s="48" t="n"/>
    </row>
    <row r="3854">
      <c r="M3854" s="25" t="n"/>
      <c r="Q3854" s="25" t="n"/>
      <c r="U3854" s="194" t="n"/>
      <c r="AA3854" s="25" t="n"/>
      <c r="AB3854" s="25" t="n"/>
      <c r="AC3854" s="195" t="n"/>
      <c r="AD3854" s="25" t="n"/>
      <c r="AE3854" s="25" t="n"/>
      <c r="AG3854" s="25" t="n"/>
      <c r="AH3854" s="25" t="n"/>
      <c r="AI3854" s="394" t="n"/>
      <c r="AM3854" s="48" t="n"/>
      <c r="AN3854" s="48" t="n"/>
      <c r="AO3854" s="48" t="n"/>
    </row>
    <row r="3855">
      <c r="M3855" s="25" t="n"/>
      <c r="Q3855" s="25" t="n"/>
      <c r="U3855" s="194" t="n"/>
      <c r="AA3855" s="25" t="n"/>
      <c r="AB3855" s="25" t="n"/>
      <c r="AC3855" s="195" t="n"/>
      <c r="AD3855" s="25" t="n"/>
      <c r="AE3855" s="25" t="n"/>
      <c r="AG3855" s="25" t="n"/>
      <c r="AH3855" s="25" t="n"/>
      <c r="AI3855" s="394" t="n"/>
      <c r="AM3855" s="48" t="n"/>
      <c r="AN3855" s="48" t="n"/>
      <c r="AO3855" s="48" t="n"/>
    </row>
    <row r="3856">
      <c r="M3856" s="25" t="n"/>
      <c r="Q3856" s="25" t="n"/>
      <c r="U3856" s="194" t="n"/>
      <c r="AA3856" s="25" t="n"/>
      <c r="AB3856" s="25" t="n"/>
      <c r="AC3856" s="195" t="n"/>
      <c r="AD3856" s="25" t="n"/>
      <c r="AE3856" s="25" t="n"/>
      <c r="AG3856" s="25" t="n"/>
      <c r="AH3856" s="25" t="n"/>
      <c r="AI3856" s="394" t="n"/>
      <c r="AM3856" s="48" t="n"/>
      <c r="AN3856" s="48" t="n"/>
      <c r="AO3856" s="48" t="n"/>
    </row>
    <row r="3857">
      <c r="M3857" s="25" t="n"/>
      <c r="Q3857" s="25" t="n"/>
      <c r="U3857" s="194" t="n"/>
      <c r="AA3857" s="25" t="n"/>
      <c r="AB3857" s="25" t="n"/>
      <c r="AC3857" s="195" t="n"/>
      <c r="AD3857" s="25" t="n"/>
      <c r="AE3857" s="25" t="n"/>
      <c r="AG3857" s="25" t="n"/>
      <c r="AH3857" s="25" t="n"/>
      <c r="AI3857" s="394" t="n"/>
      <c r="AM3857" s="48" t="n"/>
      <c r="AN3857" s="48" t="n"/>
      <c r="AO3857" s="48" t="n"/>
    </row>
    <row r="3858">
      <c r="M3858" s="25" t="n"/>
      <c r="Q3858" s="25" t="n"/>
      <c r="U3858" s="194" t="n"/>
      <c r="AA3858" s="25" t="n"/>
      <c r="AB3858" s="25" t="n"/>
      <c r="AC3858" s="195" t="n"/>
      <c r="AD3858" s="25" t="n"/>
      <c r="AE3858" s="25" t="n"/>
      <c r="AG3858" s="25" t="n"/>
      <c r="AH3858" s="25" t="n"/>
      <c r="AI3858" s="394" t="n"/>
      <c r="AM3858" s="48" t="n"/>
      <c r="AN3858" s="48" t="n"/>
      <c r="AO3858" s="48" t="n"/>
    </row>
    <row r="3859">
      <c r="M3859" s="25" t="n"/>
      <c r="Q3859" s="25" t="n"/>
      <c r="U3859" s="194" t="n"/>
      <c r="AA3859" s="25" t="n"/>
      <c r="AB3859" s="25" t="n"/>
      <c r="AC3859" s="195" t="n"/>
      <c r="AD3859" s="25" t="n"/>
      <c r="AE3859" s="25" t="n"/>
      <c r="AG3859" s="25" t="n"/>
      <c r="AH3859" s="25" t="n"/>
      <c r="AI3859" s="394" t="n"/>
      <c r="AM3859" s="48" t="n"/>
      <c r="AN3859" s="48" t="n"/>
      <c r="AO3859" s="48" t="n"/>
    </row>
    <row r="3860">
      <c r="M3860" s="25" t="n"/>
      <c r="Q3860" s="25" t="n"/>
      <c r="U3860" s="194" t="n"/>
      <c r="AA3860" s="25" t="n"/>
      <c r="AB3860" s="25" t="n"/>
      <c r="AC3860" s="195" t="n"/>
      <c r="AD3860" s="25" t="n"/>
      <c r="AE3860" s="25" t="n"/>
      <c r="AG3860" s="25" t="n"/>
      <c r="AH3860" s="25" t="n"/>
      <c r="AI3860" s="394" t="n"/>
      <c r="AM3860" s="48" t="n"/>
      <c r="AN3860" s="48" t="n"/>
      <c r="AO3860" s="48" t="n"/>
    </row>
    <row r="3861">
      <c r="M3861" s="25" t="n"/>
      <c r="Q3861" s="25" t="n"/>
      <c r="U3861" s="194" t="n"/>
      <c r="AA3861" s="25" t="n"/>
      <c r="AB3861" s="25" t="n"/>
      <c r="AC3861" s="195" t="n"/>
      <c r="AD3861" s="25" t="n"/>
      <c r="AE3861" s="25" t="n"/>
      <c r="AG3861" s="25" t="n"/>
      <c r="AH3861" s="25" t="n"/>
      <c r="AI3861" s="394" t="n"/>
      <c r="AM3861" s="48" t="n"/>
      <c r="AN3861" s="48" t="n"/>
      <c r="AO3861" s="48" t="n"/>
    </row>
    <row r="3862">
      <c r="M3862" s="25" t="n"/>
      <c r="Q3862" s="25" t="n"/>
      <c r="U3862" s="194" t="n"/>
      <c r="AA3862" s="25" t="n"/>
      <c r="AB3862" s="25" t="n"/>
      <c r="AC3862" s="195" t="n"/>
      <c r="AD3862" s="25" t="n"/>
      <c r="AE3862" s="25" t="n"/>
      <c r="AG3862" s="25" t="n"/>
      <c r="AH3862" s="25" t="n"/>
      <c r="AI3862" s="394" t="n"/>
      <c r="AM3862" s="48" t="n"/>
      <c r="AN3862" s="48" t="n"/>
      <c r="AO3862" s="48" t="n"/>
    </row>
    <row r="3863">
      <c r="M3863" s="25" t="n"/>
      <c r="Q3863" s="25" t="n"/>
      <c r="U3863" s="194" t="n"/>
      <c r="AA3863" s="25" t="n"/>
      <c r="AB3863" s="25" t="n"/>
      <c r="AC3863" s="195" t="n"/>
      <c r="AD3863" s="25" t="n"/>
      <c r="AE3863" s="25" t="n"/>
      <c r="AG3863" s="25" t="n"/>
      <c r="AH3863" s="25" t="n"/>
      <c r="AI3863" s="394" t="n"/>
      <c r="AM3863" s="48" t="n"/>
      <c r="AN3863" s="48" t="n"/>
      <c r="AO3863" s="48" t="n"/>
    </row>
    <row r="3864">
      <c r="M3864" s="25" t="n"/>
      <c r="Q3864" s="25" t="n"/>
      <c r="U3864" s="194" t="n"/>
      <c r="AA3864" s="25" t="n"/>
      <c r="AB3864" s="25" t="n"/>
      <c r="AC3864" s="195" t="n"/>
      <c r="AD3864" s="25" t="n"/>
      <c r="AE3864" s="25" t="n"/>
      <c r="AG3864" s="25" t="n"/>
      <c r="AH3864" s="25" t="n"/>
      <c r="AI3864" s="394" t="n"/>
      <c r="AM3864" s="48" t="n"/>
      <c r="AN3864" s="48" t="n"/>
      <c r="AO3864" s="48" t="n"/>
    </row>
    <row r="3865">
      <c r="M3865" s="25" t="n"/>
      <c r="Q3865" s="25" t="n"/>
      <c r="U3865" s="194" t="n"/>
      <c r="AA3865" s="25" t="n"/>
      <c r="AB3865" s="25" t="n"/>
      <c r="AC3865" s="195" t="n"/>
      <c r="AD3865" s="25" t="n"/>
      <c r="AE3865" s="25" t="n"/>
      <c r="AG3865" s="25" t="n"/>
      <c r="AH3865" s="25" t="n"/>
      <c r="AI3865" s="394" t="n"/>
      <c r="AM3865" s="48" t="n"/>
      <c r="AN3865" s="48" t="n"/>
      <c r="AO3865" s="48" t="n"/>
    </row>
    <row r="3866">
      <c r="M3866" s="25" t="n"/>
      <c r="Q3866" s="25" t="n"/>
      <c r="U3866" s="194" t="n"/>
      <c r="AA3866" s="25" t="n"/>
      <c r="AB3866" s="25" t="n"/>
      <c r="AC3866" s="195" t="n"/>
      <c r="AD3866" s="25" t="n"/>
      <c r="AE3866" s="25" t="n"/>
      <c r="AG3866" s="25" t="n"/>
      <c r="AH3866" s="25" t="n"/>
      <c r="AI3866" s="394" t="n"/>
      <c r="AM3866" s="48" t="n"/>
      <c r="AN3866" s="48" t="n"/>
      <c r="AO3866" s="48" t="n"/>
    </row>
    <row r="3867">
      <c r="M3867" s="25" t="n"/>
      <c r="Q3867" s="25" t="n"/>
      <c r="U3867" s="194" t="n"/>
      <c r="AA3867" s="25" t="n"/>
      <c r="AB3867" s="25" t="n"/>
      <c r="AC3867" s="195" t="n"/>
      <c r="AD3867" s="25" t="n"/>
      <c r="AE3867" s="25" t="n"/>
      <c r="AG3867" s="25" t="n"/>
      <c r="AH3867" s="25" t="n"/>
      <c r="AI3867" s="394" t="n"/>
      <c r="AM3867" s="48" t="n"/>
      <c r="AN3867" s="48" t="n"/>
      <c r="AO3867" s="48" t="n"/>
    </row>
    <row r="3868">
      <c r="M3868" s="25" t="n"/>
      <c r="Q3868" s="25" t="n"/>
      <c r="U3868" s="194" t="n"/>
      <c r="AA3868" s="25" t="n"/>
      <c r="AB3868" s="25" t="n"/>
      <c r="AC3868" s="195" t="n"/>
      <c r="AD3868" s="25" t="n"/>
      <c r="AE3868" s="25" t="n"/>
      <c r="AG3868" s="25" t="n"/>
      <c r="AH3868" s="25" t="n"/>
      <c r="AI3868" s="394" t="n"/>
      <c r="AM3868" s="48" t="n"/>
      <c r="AN3868" s="48" t="n"/>
      <c r="AO3868" s="48" t="n"/>
    </row>
    <row r="3869">
      <c r="M3869" s="25" t="n"/>
      <c r="Q3869" s="25" t="n"/>
      <c r="U3869" s="194" t="n"/>
      <c r="AA3869" s="25" t="n"/>
      <c r="AB3869" s="25" t="n"/>
      <c r="AC3869" s="195" t="n"/>
      <c r="AD3869" s="25" t="n"/>
      <c r="AE3869" s="25" t="n"/>
      <c r="AG3869" s="25" t="n"/>
      <c r="AH3869" s="25" t="n"/>
      <c r="AI3869" s="394" t="n"/>
      <c r="AM3869" s="48" t="n"/>
      <c r="AN3869" s="48" t="n"/>
      <c r="AO3869" s="48" t="n"/>
    </row>
    <row r="3870">
      <c r="M3870" s="25" t="n"/>
      <c r="Q3870" s="25" t="n"/>
      <c r="U3870" s="194" t="n"/>
      <c r="AA3870" s="25" t="n"/>
      <c r="AB3870" s="25" t="n"/>
      <c r="AC3870" s="195" t="n"/>
      <c r="AD3870" s="25" t="n"/>
      <c r="AE3870" s="25" t="n"/>
      <c r="AG3870" s="25" t="n"/>
      <c r="AH3870" s="25" t="n"/>
      <c r="AI3870" s="394" t="n"/>
      <c r="AM3870" s="48" t="n"/>
      <c r="AN3870" s="48" t="n"/>
      <c r="AO3870" s="48" t="n"/>
    </row>
    <row r="3871">
      <c r="M3871" s="25" t="n"/>
      <c r="Q3871" s="25" t="n"/>
      <c r="U3871" s="194" t="n"/>
      <c r="AA3871" s="25" t="n"/>
      <c r="AB3871" s="25" t="n"/>
      <c r="AC3871" s="195" t="n"/>
      <c r="AD3871" s="25" t="n"/>
      <c r="AE3871" s="25" t="n"/>
      <c r="AG3871" s="25" t="n"/>
      <c r="AH3871" s="25" t="n"/>
      <c r="AI3871" s="394" t="n"/>
      <c r="AM3871" s="48" t="n"/>
      <c r="AN3871" s="48" t="n"/>
      <c r="AO3871" s="48" t="n"/>
    </row>
    <row r="3872">
      <c r="M3872" s="25" t="n"/>
      <c r="Q3872" s="25" t="n"/>
      <c r="U3872" s="194" t="n"/>
      <c r="AA3872" s="25" t="n"/>
      <c r="AB3872" s="25" t="n"/>
      <c r="AC3872" s="195" t="n"/>
      <c r="AD3872" s="25" t="n"/>
      <c r="AE3872" s="25" t="n"/>
      <c r="AG3872" s="25" t="n"/>
      <c r="AH3872" s="25" t="n"/>
      <c r="AI3872" s="394" t="n"/>
      <c r="AM3872" s="48" t="n"/>
      <c r="AN3872" s="48" t="n"/>
      <c r="AO3872" s="48" t="n"/>
    </row>
    <row r="3873">
      <c r="M3873" s="25" t="n"/>
      <c r="Q3873" s="25" t="n"/>
      <c r="U3873" s="194" t="n"/>
      <c r="AA3873" s="25" t="n"/>
      <c r="AB3873" s="25" t="n"/>
      <c r="AC3873" s="195" t="n"/>
      <c r="AD3873" s="25" t="n"/>
      <c r="AE3873" s="25" t="n"/>
      <c r="AG3873" s="25" t="n"/>
      <c r="AH3873" s="25" t="n"/>
      <c r="AI3873" s="394" t="n"/>
      <c r="AM3873" s="48" t="n"/>
      <c r="AN3873" s="48" t="n"/>
      <c r="AO3873" s="48" t="n"/>
    </row>
    <row r="3874">
      <c r="M3874" s="25" t="n"/>
      <c r="Q3874" s="25" t="n"/>
      <c r="U3874" s="194" t="n"/>
      <c r="AA3874" s="25" t="n"/>
      <c r="AB3874" s="25" t="n"/>
      <c r="AC3874" s="195" t="n"/>
      <c r="AD3874" s="25" t="n"/>
      <c r="AE3874" s="25" t="n"/>
      <c r="AG3874" s="25" t="n"/>
      <c r="AH3874" s="25" t="n"/>
      <c r="AI3874" s="394" t="n"/>
      <c r="AM3874" s="48" t="n"/>
      <c r="AN3874" s="48" t="n"/>
      <c r="AO3874" s="48" t="n"/>
    </row>
    <row r="3875">
      <c r="M3875" s="25" t="n"/>
      <c r="Q3875" s="25" t="n"/>
      <c r="U3875" s="194" t="n"/>
      <c r="AA3875" s="25" t="n"/>
      <c r="AB3875" s="25" t="n"/>
      <c r="AC3875" s="195" t="n"/>
      <c r="AD3875" s="25" t="n"/>
      <c r="AE3875" s="25" t="n"/>
      <c r="AG3875" s="25" t="n"/>
      <c r="AH3875" s="25" t="n"/>
      <c r="AI3875" s="394" t="n"/>
      <c r="AM3875" s="48" t="n"/>
      <c r="AN3875" s="48" t="n"/>
      <c r="AO3875" s="48" t="n"/>
    </row>
    <row r="3876">
      <c r="M3876" s="25" t="n"/>
      <c r="Q3876" s="25" t="n"/>
      <c r="U3876" s="194" t="n"/>
      <c r="AA3876" s="25" t="n"/>
      <c r="AB3876" s="25" t="n"/>
      <c r="AC3876" s="195" t="n"/>
      <c r="AD3876" s="25" t="n"/>
      <c r="AE3876" s="25" t="n"/>
      <c r="AG3876" s="25" t="n"/>
      <c r="AH3876" s="25" t="n"/>
      <c r="AI3876" s="394" t="n"/>
      <c r="AM3876" s="48" t="n"/>
      <c r="AN3876" s="48" t="n"/>
      <c r="AO3876" s="48" t="n"/>
    </row>
    <row r="3877">
      <c r="M3877" s="25" t="n"/>
      <c r="Q3877" s="25" t="n"/>
      <c r="U3877" s="194" t="n"/>
      <c r="AA3877" s="25" t="n"/>
      <c r="AB3877" s="25" t="n"/>
      <c r="AC3877" s="195" t="n"/>
      <c r="AD3877" s="25" t="n"/>
      <c r="AE3877" s="25" t="n"/>
      <c r="AG3877" s="25" t="n"/>
      <c r="AH3877" s="25" t="n"/>
      <c r="AI3877" s="394" t="n"/>
      <c r="AM3877" s="48" t="n"/>
      <c r="AN3877" s="48" t="n"/>
      <c r="AO3877" s="48" t="n"/>
    </row>
    <row r="3878">
      <c r="M3878" s="25" t="n"/>
      <c r="Q3878" s="25" t="n"/>
      <c r="U3878" s="194" t="n"/>
      <c r="AA3878" s="25" t="n"/>
      <c r="AB3878" s="25" t="n"/>
      <c r="AC3878" s="195" t="n"/>
      <c r="AD3878" s="25" t="n"/>
      <c r="AE3878" s="25" t="n"/>
      <c r="AG3878" s="25" t="n"/>
      <c r="AH3878" s="25" t="n"/>
      <c r="AI3878" s="394" t="n"/>
      <c r="AM3878" s="48" t="n"/>
      <c r="AN3878" s="48" t="n"/>
      <c r="AO3878" s="48" t="n"/>
    </row>
    <row r="3879">
      <c r="M3879" s="25" t="n"/>
      <c r="Q3879" s="25" t="n"/>
      <c r="U3879" s="194" t="n"/>
      <c r="AA3879" s="25" t="n"/>
      <c r="AB3879" s="25" t="n"/>
      <c r="AC3879" s="195" t="n"/>
      <c r="AD3879" s="25" t="n"/>
      <c r="AE3879" s="25" t="n"/>
      <c r="AG3879" s="25" t="n"/>
      <c r="AH3879" s="25" t="n"/>
      <c r="AI3879" s="394" t="n"/>
      <c r="AM3879" s="48" t="n"/>
      <c r="AN3879" s="48" t="n"/>
      <c r="AO3879" s="48" t="n"/>
    </row>
    <row r="3880">
      <c r="M3880" s="25" t="n"/>
      <c r="Q3880" s="25" t="n"/>
      <c r="U3880" s="194" t="n"/>
      <c r="AA3880" s="25" t="n"/>
      <c r="AB3880" s="25" t="n"/>
      <c r="AC3880" s="195" t="n"/>
      <c r="AD3880" s="25" t="n"/>
      <c r="AE3880" s="25" t="n"/>
      <c r="AG3880" s="25" t="n"/>
      <c r="AH3880" s="25" t="n"/>
      <c r="AI3880" s="394" t="n"/>
      <c r="AM3880" s="48" t="n"/>
      <c r="AN3880" s="48" t="n"/>
      <c r="AO3880" s="48" t="n"/>
    </row>
    <row r="3881">
      <c r="M3881" s="25" t="n"/>
      <c r="Q3881" s="25" t="n"/>
      <c r="U3881" s="194" t="n"/>
      <c r="AA3881" s="25" t="n"/>
      <c r="AB3881" s="25" t="n"/>
      <c r="AC3881" s="195" t="n"/>
      <c r="AD3881" s="25" t="n"/>
      <c r="AE3881" s="25" t="n"/>
      <c r="AG3881" s="25" t="n"/>
      <c r="AH3881" s="25" t="n"/>
      <c r="AI3881" s="394" t="n"/>
      <c r="AM3881" s="48" t="n"/>
      <c r="AN3881" s="48" t="n"/>
      <c r="AO3881" s="48" t="n"/>
    </row>
    <row r="3882">
      <c r="M3882" s="25" t="n"/>
      <c r="Q3882" s="25" t="n"/>
      <c r="U3882" s="194" t="n"/>
      <c r="AA3882" s="25" t="n"/>
      <c r="AB3882" s="25" t="n"/>
      <c r="AC3882" s="195" t="n"/>
      <c r="AD3882" s="25" t="n"/>
      <c r="AE3882" s="25" t="n"/>
      <c r="AG3882" s="25" t="n"/>
      <c r="AH3882" s="25" t="n"/>
      <c r="AI3882" s="394" t="n"/>
      <c r="AM3882" s="48" t="n"/>
      <c r="AN3882" s="48" t="n"/>
      <c r="AO3882" s="48" t="n"/>
    </row>
    <row r="3883">
      <c r="M3883" s="25" t="n"/>
      <c r="Q3883" s="25" t="n"/>
      <c r="U3883" s="194" t="n"/>
      <c r="AA3883" s="25" t="n"/>
      <c r="AB3883" s="25" t="n"/>
      <c r="AC3883" s="195" t="n"/>
      <c r="AD3883" s="25" t="n"/>
      <c r="AE3883" s="25" t="n"/>
      <c r="AG3883" s="25" t="n"/>
      <c r="AH3883" s="25" t="n"/>
      <c r="AI3883" s="394" t="n"/>
      <c r="AM3883" s="48" t="n"/>
      <c r="AN3883" s="48" t="n"/>
      <c r="AO3883" s="48" t="n"/>
    </row>
    <row r="3884">
      <c r="M3884" s="25" t="n"/>
      <c r="Q3884" s="25" t="n"/>
      <c r="U3884" s="194" t="n"/>
      <c r="AA3884" s="25" t="n"/>
      <c r="AB3884" s="25" t="n"/>
      <c r="AC3884" s="195" t="n"/>
      <c r="AD3884" s="25" t="n"/>
      <c r="AE3884" s="25" t="n"/>
      <c r="AG3884" s="25" t="n"/>
      <c r="AH3884" s="25" t="n"/>
      <c r="AI3884" s="394" t="n"/>
      <c r="AM3884" s="48" t="n"/>
      <c r="AN3884" s="48" t="n"/>
      <c r="AO3884" s="48" t="n"/>
    </row>
    <row r="3885">
      <c r="M3885" s="25" t="n"/>
      <c r="Q3885" s="25" t="n"/>
      <c r="U3885" s="194" t="n"/>
      <c r="AA3885" s="25" t="n"/>
      <c r="AB3885" s="25" t="n"/>
      <c r="AC3885" s="195" t="n"/>
      <c r="AD3885" s="25" t="n"/>
      <c r="AE3885" s="25" t="n"/>
      <c r="AG3885" s="25" t="n"/>
      <c r="AH3885" s="25" t="n"/>
      <c r="AI3885" s="394" t="n"/>
      <c r="AM3885" s="48" t="n"/>
      <c r="AN3885" s="48" t="n"/>
      <c r="AO3885" s="48" t="n"/>
    </row>
    <row r="3886">
      <c r="M3886" s="25" t="n"/>
      <c r="Q3886" s="25" t="n"/>
      <c r="U3886" s="194" t="n"/>
      <c r="AA3886" s="25" t="n"/>
      <c r="AB3886" s="25" t="n"/>
      <c r="AC3886" s="195" t="n"/>
      <c r="AD3886" s="25" t="n"/>
      <c r="AE3886" s="25" t="n"/>
      <c r="AG3886" s="25" t="n"/>
      <c r="AH3886" s="25" t="n"/>
      <c r="AI3886" s="394" t="n"/>
      <c r="AM3886" s="48" t="n"/>
      <c r="AN3886" s="48" t="n"/>
      <c r="AO3886" s="48" t="n"/>
    </row>
    <row r="3887">
      <c r="M3887" s="25" t="n"/>
      <c r="Q3887" s="25" t="n"/>
      <c r="U3887" s="194" t="n"/>
      <c r="AA3887" s="25" t="n"/>
      <c r="AB3887" s="25" t="n"/>
      <c r="AC3887" s="195" t="n"/>
      <c r="AD3887" s="25" t="n"/>
      <c r="AE3887" s="25" t="n"/>
      <c r="AG3887" s="25" t="n"/>
      <c r="AH3887" s="25" t="n"/>
      <c r="AI3887" s="394" t="n"/>
      <c r="AM3887" s="48" t="n"/>
      <c r="AN3887" s="48" t="n"/>
      <c r="AO3887" s="48" t="n"/>
    </row>
    <row r="3888">
      <c r="M3888" s="25" t="n"/>
      <c r="Q3888" s="25" t="n"/>
      <c r="U3888" s="194" t="n"/>
      <c r="AA3888" s="25" t="n"/>
      <c r="AB3888" s="25" t="n"/>
      <c r="AC3888" s="195" t="n"/>
      <c r="AD3888" s="25" t="n"/>
      <c r="AE3888" s="25" t="n"/>
      <c r="AG3888" s="25" t="n"/>
      <c r="AH3888" s="25" t="n"/>
      <c r="AI3888" s="394" t="n"/>
      <c r="AM3888" s="48" t="n"/>
      <c r="AN3888" s="48" t="n"/>
      <c r="AO3888" s="48" t="n"/>
    </row>
    <row r="3889">
      <c r="M3889" s="25" t="n"/>
      <c r="Q3889" s="25" t="n"/>
      <c r="U3889" s="194" t="n"/>
      <c r="AA3889" s="25" t="n"/>
      <c r="AB3889" s="25" t="n"/>
      <c r="AC3889" s="195" t="n"/>
      <c r="AD3889" s="25" t="n"/>
      <c r="AE3889" s="25" t="n"/>
      <c r="AG3889" s="25" t="n"/>
      <c r="AH3889" s="25" t="n"/>
      <c r="AI3889" s="394" t="n"/>
      <c r="AM3889" s="48" t="n"/>
      <c r="AN3889" s="48" t="n"/>
      <c r="AO3889" s="48" t="n"/>
    </row>
    <row r="3890">
      <c r="M3890" s="25" t="n"/>
      <c r="Q3890" s="25" t="n"/>
      <c r="U3890" s="194" t="n"/>
      <c r="AA3890" s="25" t="n"/>
      <c r="AB3890" s="25" t="n"/>
      <c r="AC3890" s="195" t="n"/>
      <c r="AD3890" s="25" t="n"/>
      <c r="AE3890" s="25" t="n"/>
      <c r="AG3890" s="25" t="n"/>
      <c r="AH3890" s="25" t="n"/>
      <c r="AI3890" s="394" t="n"/>
      <c r="AM3890" s="48" t="n"/>
      <c r="AN3890" s="48" t="n"/>
      <c r="AO3890" s="48" t="n"/>
    </row>
    <row r="3891">
      <c r="M3891" s="25" t="n"/>
      <c r="Q3891" s="25" t="n"/>
      <c r="U3891" s="194" t="n"/>
      <c r="AA3891" s="25" t="n"/>
      <c r="AB3891" s="25" t="n"/>
      <c r="AC3891" s="195" t="n"/>
      <c r="AD3891" s="25" t="n"/>
      <c r="AE3891" s="25" t="n"/>
      <c r="AG3891" s="25" t="n"/>
      <c r="AH3891" s="25" t="n"/>
      <c r="AI3891" s="394" t="n"/>
      <c r="AM3891" s="48" t="n"/>
      <c r="AN3891" s="48" t="n"/>
      <c r="AO3891" s="48" t="n"/>
    </row>
    <row r="3892">
      <c r="M3892" s="25" t="n"/>
      <c r="Q3892" s="25" t="n"/>
      <c r="U3892" s="194" t="n"/>
      <c r="AA3892" s="25" t="n"/>
      <c r="AB3892" s="25" t="n"/>
      <c r="AC3892" s="195" t="n"/>
      <c r="AD3892" s="25" t="n"/>
      <c r="AE3892" s="25" t="n"/>
      <c r="AG3892" s="25" t="n"/>
      <c r="AH3892" s="25" t="n"/>
      <c r="AI3892" s="394" t="n"/>
      <c r="AM3892" s="48" t="n"/>
      <c r="AN3892" s="48" t="n"/>
      <c r="AO3892" s="48" t="n"/>
    </row>
    <row r="3893">
      <c r="M3893" s="25" t="n"/>
      <c r="Q3893" s="25" t="n"/>
      <c r="U3893" s="194" t="n"/>
      <c r="AA3893" s="25" t="n"/>
      <c r="AB3893" s="25" t="n"/>
      <c r="AC3893" s="195" t="n"/>
      <c r="AD3893" s="25" t="n"/>
      <c r="AE3893" s="25" t="n"/>
      <c r="AG3893" s="25" t="n"/>
      <c r="AH3893" s="25" t="n"/>
      <c r="AI3893" s="394" t="n"/>
      <c r="AM3893" s="48" t="n"/>
      <c r="AN3893" s="48" t="n"/>
      <c r="AO3893" s="48" t="n"/>
    </row>
    <row r="3894">
      <c r="M3894" s="25" t="n"/>
      <c r="Q3894" s="25" t="n"/>
      <c r="U3894" s="194" t="n"/>
      <c r="AA3894" s="25" t="n"/>
      <c r="AB3894" s="25" t="n"/>
      <c r="AC3894" s="195" t="n"/>
      <c r="AD3894" s="25" t="n"/>
      <c r="AE3894" s="25" t="n"/>
      <c r="AG3894" s="25" t="n"/>
      <c r="AH3894" s="25" t="n"/>
      <c r="AI3894" s="394" t="n"/>
      <c r="AM3894" s="48" t="n"/>
      <c r="AN3894" s="48" t="n"/>
      <c r="AO3894" s="48" t="n"/>
    </row>
    <row r="3895">
      <c r="M3895" s="25" t="n"/>
      <c r="Q3895" s="25" t="n"/>
      <c r="U3895" s="194" t="n"/>
      <c r="AA3895" s="25" t="n"/>
      <c r="AB3895" s="25" t="n"/>
      <c r="AC3895" s="195" t="n"/>
      <c r="AD3895" s="25" t="n"/>
      <c r="AE3895" s="25" t="n"/>
      <c r="AG3895" s="25" t="n"/>
      <c r="AH3895" s="25" t="n"/>
      <c r="AI3895" s="394" t="n"/>
      <c r="AM3895" s="48" t="n"/>
      <c r="AN3895" s="48" t="n"/>
      <c r="AO3895" s="48" t="n"/>
    </row>
    <row r="3896">
      <c r="M3896" s="25" t="n"/>
      <c r="Q3896" s="25" t="n"/>
      <c r="U3896" s="194" t="n"/>
      <c r="AA3896" s="25" t="n"/>
      <c r="AB3896" s="25" t="n"/>
      <c r="AC3896" s="195" t="n"/>
      <c r="AD3896" s="25" t="n"/>
      <c r="AE3896" s="25" t="n"/>
      <c r="AG3896" s="25" t="n"/>
      <c r="AH3896" s="25" t="n"/>
      <c r="AI3896" s="394" t="n"/>
      <c r="AM3896" s="48" t="n"/>
      <c r="AN3896" s="48" t="n"/>
      <c r="AO3896" s="48" t="n"/>
    </row>
    <row r="3897">
      <c r="M3897" s="25" t="n"/>
      <c r="Q3897" s="25" t="n"/>
      <c r="U3897" s="194" t="n"/>
      <c r="AA3897" s="25" t="n"/>
      <c r="AB3897" s="25" t="n"/>
      <c r="AC3897" s="195" t="n"/>
      <c r="AD3897" s="25" t="n"/>
      <c r="AE3897" s="25" t="n"/>
      <c r="AG3897" s="25" t="n"/>
      <c r="AH3897" s="25" t="n"/>
      <c r="AI3897" s="394" t="n"/>
      <c r="AM3897" s="48" t="n"/>
      <c r="AN3897" s="48" t="n"/>
      <c r="AO3897" s="48" t="n"/>
    </row>
    <row r="3898">
      <c r="M3898" s="25" t="n"/>
      <c r="Q3898" s="25" t="n"/>
      <c r="U3898" s="194" t="n"/>
      <c r="AA3898" s="25" t="n"/>
      <c r="AB3898" s="25" t="n"/>
      <c r="AC3898" s="195" t="n"/>
      <c r="AD3898" s="25" t="n"/>
      <c r="AE3898" s="25" t="n"/>
      <c r="AG3898" s="25" t="n"/>
      <c r="AH3898" s="25" t="n"/>
      <c r="AI3898" s="394" t="n"/>
      <c r="AM3898" s="48" t="n"/>
      <c r="AN3898" s="48" t="n"/>
      <c r="AO3898" s="48" t="n"/>
    </row>
    <row r="3899">
      <c r="M3899" s="25" t="n"/>
      <c r="Q3899" s="25" t="n"/>
      <c r="U3899" s="194" t="n"/>
      <c r="AA3899" s="25" t="n"/>
      <c r="AB3899" s="25" t="n"/>
      <c r="AC3899" s="195" t="n"/>
      <c r="AD3899" s="25" t="n"/>
      <c r="AE3899" s="25" t="n"/>
      <c r="AG3899" s="25" t="n"/>
      <c r="AH3899" s="25" t="n"/>
      <c r="AI3899" s="394" t="n"/>
      <c r="AM3899" s="48" t="n"/>
      <c r="AN3899" s="48" t="n"/>
      <c r="AO3899" s="48" t="n"/>
    </row>
    <row r="3900">
      <c r="M3900" s="25" t="n"/>
      <c r="Q3900" s="25" t="n"/>
      <c r="U3900" s="194" t="n"/>
      <c r="AA3900" s="25" t="n"/>
      <c r="AB3900" s="25" t="n"/>
      <c r="AC3900" s="195" t="n"/>
      <c r="AD3900" s="25" t="n"/>
      <c r="AE3900" s="25" t="n"/>
      <c r="AG3900" s="25" t="n"/>
      <c r="AH3900" s="25" t="n"/>
      <c r="AI3900" s="394" t="n"/>
      <c r="AM3900" s="48" t="n"/>
      <c r="AN3900" s="48" t="n"/>
      <c r="AO3900" s="48" t="n"/>
    </row>
    <row r="3901">
      <c r="M3901" s="25" t="n"/>
      <c r="Q3901" s="25" t="n"/>
      <c r="U3901" s="194" t="n"/>
      <c r="AA3901" s="25" t="n"/>
      <c r="AB3901" s="25" t="n"/>
      <c r="AC3901" s="195" t="n"/>
      <c r="AD3901" s="25" t="n"/>
      <c r="AE3901" s="25" t="n"/>
      <c r="AG3901" s="25" t="n"/>
      <c r="AH3901" s="25" t="n"/>
      <c r="AI3901" s="394" t="n"/>
      <c r="AM3901" s="48" t="n"/>
      <c r="AN3901" s="48" t="n"/>
      <c r="AO3901" s="48" t="n"/>
    </row>
    <row r="3902">
      <c r="M3902" s="25" t="n"/>
      <c r="Q3902" s="25" t="n"/>
      <c r="U3902" s="194" t="n"/>
      <c r="AA3902" s="25" t="n"/>
      <c r="AB3902" s="25" t="n"/>
      <c r="AC3902" s="195" t="n"/>
      <c r="AD3902" s="25" t="n"/>
      <c r="AE3902" s="25" t="n"/>
      <c r="AG3902" s="25" t="n"/>
      <c r="AH3902" s="25" t="n"/>
      <c r="AI3902" s="394" t="n"/>
      <c r="AM3902" s="48" t="n"/>
      <c r="AN3902" s="48" t="n"/>
      <c r="AO3902" s="48" t="n"/>
    </row>
    <row r="3903">
      <c r="M3903" s="25" t="n"/>
      <c r="Q3903" s="25" t="n"/>
      <c r="U3903" s="194" t="n"/>
      <c r="AA3903" s="25" t="n"/>
      <c r="AB3903" s="25" t="n"/>
      <c r="AC3903" s="195" t="n"/>
      <c r="AD3903" s="25" t="n"/>
      <c r="AE3903" s="25" t="n"/>
      <c r="AG3903" s="25" t="n"/>
      <c r="AH3903" s="25" t="n"/>
      <c r="AI3903" s="394" t="n"/>
      <c r="AM3903" s="48" t="n"/>
      <c r="AN3903" s="48" t="n"/>
      <c r="AO3903" s="48" t="n"/>
    </row>
    <row r="3904">
      <c r="M3904" s="25" t="n"/>
      <c r="Q3904" s="25" t="n"/>
      <c r="U3904" s="194" t="n"/>
      <c r="AA3904" s="25" t="n"/>
      <c r="AB3904" s="25" t="n"/>
      <c r="AC3904" s="195" t="n"/>
      <c r="AD3904" s="25" t="n"/>
      <c r="AE3904" s="25" t="n"/>
      <c r="AG3904" s="25" t="n"/>
      <c r="AH3904" s="25" t="n"/>
      <c r="AI3904" s="394" t="n"/>
      <c r="AM3904" s="48" t="n"/>
      <c r="AN3904" s="48" t="n"/>
      <c r="AO3904" s="48" t="n"/>
    </row>
    <row r="3905">
      <c r="M3905" s="25" t="n"/>
      <c r="Q3905" s="25" t="n"/>
      <c r="U3905" s="194" t="n"/>
      <c r="AA3905" s="25" t="n"/>
      <c r="AB3905" s="25" t="n"/>
      <c r="AC3905" s="195" t="n"/>
      <c r="AD3905" s="25" t="n"/>
      <c r="AE3905" s="25" t="n"/>
      <c r="AG3905" s="25" t="n"/>
      <c r="AH3905" s="25" t="n"/>
      <c r="AI3905" s="394" t="n"/>
      <c r="AM3905" s="48" t="n"/>
      <c r="AN3905" s="48" t="n"/>
      <c r="AO3905" s="48" t="n"/>
    </row>
    <row r="3906">
      <c r="M3906" s="25" t="n"/>
      <c r="Q3906" s="25" t="n"/>
      <c r="U3906" s="194" t="n"/>
      <c r="AA3906" s="25" t="n"/>
      <c r="AB3906" s="25" t="n"/>
      <c r="AC3906" s="195" t="n"/>
      <c r="AD3906" s="25" t="n"/>
      <c r="AE3906" s="25" t="n"/>
      <c r="AG3906" s="25" t="n"/>
      <c r="AH3906" s="25" t="n"/>
      <c r="AI3906" s="394" t="n"/>
      <c r="AM3906" s="48" t="n"/>
      <c r="AN3906" s="48" t="n"/>
      <c r="AO3906" s="48" t="n"/>
    </row>
    <row r="3907">
      <c r="M3907" s="25" t="n"/>
      <c r="Q3907" s="25" t="n"/>
      <c r="U3907" s="194" t="n"/>
      <c r="AA3907" s="25" t="n"/>
      <c r="AB3907" s="25" t="n"/>
      <c r="AC3907" s="195" t="n"/>
      <c r="AD3907" s="25" t="n"/>
      <c r="AE3907" s="25" t="n"/>
      <c r="AG3907" s="25" t="n"/>
      <c r="AH3907" s="25" t="n"/>
      <c r="AI3907" s="394" t="n"/>
      <c r="AM3907" s="48" t="n"/>
      <c r="AN3907" s="48" t="n"/>
      <c r="AO3907" s="48" t="n"/>
    </row>
    <row r="3908">
      <c r="M3908" s="25" t="n"/>
      <c r="Q3908" s="25" t="n"/>
      <c r="U3908" s="194" t="n"/>
      <c r="AA3908" s="25" t="n"/>
      <c r="AB3908" s="25" t="n"/>
      <c r="AC3908" s="195" t="n"/>
      <c r="AD3908" s="25" t="n"/>
      <c r="AE3908" s="25" t="n"/>
      <c r="AG3908" s="25" t="n"/>
      <c r="AH3908" s="25" t="n"/>
      <c r="AI3908" s="394" t="n"/>
      <c r="AM3908" s="48" t="n"/>
      <c r="AN3908" s="48" t="n"/>
      <c r="AO3908" s="48" t="n"/>
    </row>
    <row r="3909">
      <c r="M3909" s="25" t="n"/>
      <c r="Q3909" s="25" t="n"/>
      <c r="U3909" s="194" t="n"/>
      <c r="AA3909" s="25" t="n"/>
      <c r="AB3909" s="25" t="n"/>
      <c r="AC3909" s="195" t="n"/>
      <c r="AD3909" s="25" t="n"/>
      <c r="AE3909" s="25" t="n"/>
      <c r="AG3909" s="25" t="n"/>
      <c r="AH3909" s="25" t="n"/>
      <c r="AI3909" s="394" t="n"/>
      <c r="AM3909" s="48" t="n"/>
      <c r="AN3909" s="48" t="n"/>
      <c r="AO3909" s="48" t="n"/>
    </row>
    <row r="3910">
      <c r="M3910" s="25" t="n"/>
      <c r="Q3910" s="25" t="n"/>
      <c r="U3910" s="194" t="n"/>
      <c r="AA3910" s="25" t="n"/>
      <c r="AB3910" s="25" t="n"/>
      <c r="AC3910" s="195" t="n"/>
      <c r="AD3910" s="25" t="n"/>
      <c r="AE3910" s="25" t="n"/>
      <c r="AG3910" s="25" t="n"/>
      <c r="AH3910" s="25" t="n"/>
      <c r="AI3910" s="394" t="n"/>
      <c r="AM3910" s="48" t="n"/>
      <c r="AN3910" s="48" t="n"/>
      <c r="AO3910" s="48" t="n"/>
    </row>
    <row r="3911">
      <c r="M3911" s="25" t="n"/>
      <c r="Q3911" s="25" t="n"/>
      <c r="U3911" s="194" t="n"/>
      <c r="AA3911" s="25" t="n"/>
      <c r="AB3911" s="25" t="n"/>
      <c r="AC3911" s="195" t="n"/>
      <c r="AD3911" s="25" t="n"/>
      <c r="AE3911" s="25" t="n"/>
      <c r="AG3911" s="25" t="n"/>
      <c r="AH3911" s="25" t="n"/>
      <c r="AI3911" s="394" t="n"/>
      <c r="AM3911" s="48" t="n"/>
      <c r="AN3911" s="48" t="n"/>
      <c r="AO3911" s="48" t="n"/>
    </row>
    <row r="3912">
      <c r="M3912" s="25" t="n"/>
      <c r="Q3912" s="25" t="n"/>
      <c r="U3912" s="194" t="n"/>
      <c r="AA3912" s="25" t="n"/>
      <c r="AB3912" s="25" t="n"/>
      <c r="AC3912" s="195" t="n"/>
      <c r="AD3912" s="25" t="n"/>
      <c r="AE3912" s="25" t="n"/>
      <c r="AG3912" s="25" t="n"/>
      <c r="AH3912" s="25" t="n"/>
      <c r="AI3912" s="394" t="n"/>
      <c r="AM3912" s="48" t="n"/>
      <c r="AN3912" s="48" t="n"/>
      <c r="AO3912" s="48" t="n"/>
    </row>
    <row r="3913">
      <c r="M3913" s="25" t="n"/>
      <c r="Q3913" s="25" t="n"/>
      <c r="U3913" s="194" t="n"/>
      <c r="AA3913" s="25" t="n"/>
      <c r="AB3913" s="25" t="n"/>
      <c r="AC3913" s="195" t="n"/>
      <c r="AD3913" s="25" t="n"/>
      <c r="AE3913" s="25" t="n"/>
      <c r="AG3913" s="25" t="n"/>
      <c r="AH3913" s="25" t="n"/>
      <c r="AI3913" s="394" t="n"/>
      <c r="AM3913" s="48" t="n"/>
      <c r="AN3913" s="48" t="n"/>
      <c r="AO3913" s="48" t="n"/>
    </row>
    <row r="3914">
      <c r="M3914" s="25" t="n"/>
      <c r="Q3914" s="25" t="n"/>
      <c r="U3914" s="194" t="n"/>
      <c r="AA3914" s="25" t="n"/>
      <c r="AB3914" s="25" t="n"/>
      <c r="AC3914" s="195" t="n"/>
      <c r="AD3914" s="25" t="n"/>
      <c r="AE3914" s="25" t="n"/>
      <c r="AG3914" s="25" t="n"/>
      <c r="AH3914" s="25" t="n"/>
      <c r="AI3914" s="394" t="n"/>
      <c r="AM3914" s="48" t="n"/>
      <c r="AN3914" s="48" t="n"/>
      <c r="AO3914" s="48" t="n"/>
    </row>
    <row r="3915">
      <c r="M3915" s="25" t="n"/>
      <c r="Q3915" s="25" t="n"/>
      <c r="U3915" s="194" t="n"/>
      <c r="AA3915" s="25" t="n"/>
      <c r="AB3915" s="25" t="n"/>
      <c r="AC3915" s="195" t="n"/>
      <c r="AD3915" s="25" t="n"/>
      <c r="AE3915" s="25" t="n"/>
      <c r="AG3915" s="25" t="n"/>
      <c r="AH3915" s="25" t="n"/>
      <c r="AI3915" s="394" t="n"/>
      <c r="AM3915" s="48" t="n"/>
      <c r="AN3915" s="48" t="n"/>
      <c r="AO3915" s="48" t="n"/>
    </row>
    <row r="3916">
      <c r="M3916" s="25" t="n"/>
      <c r="Q3916" s="25" t="n"/>
      <c r="U3916" s="194" t="n"/>
      <c r="AA3916" s="25" t="n"/>
      <c r="AB3916" s="25" t="n"/>
      <c r="AC3916" s="195" t="n"/>
      <c r="AD3916" s="25" t="n"/>
      <c r="AE3916" s="25" t="n"/>
      <c r="AG3916" s="25" t="n"/>
      <c r="AH3916" s="25" t="n"/>
      <c r="AI3916" s="394" t="n"/>
      <c r="AM3916" s="48" t="n"/>
      <c r="AN3916" s="48" t="n"/>
      <c r="AO3916" s="48" t="n"/>
    </row>
    <row r="3917">
      <c r="M3917" s="25" t="n"/>
      <c r="Q3917" s="25" t="n"/>
      <c r="U3917" s="194" t="n"/>
      <c r="AA3917" s="25" t="n"/>
      <c r="AB3917" s="25" t="n"/>
      <c r="AC3917" s="195" t="n"/>
      <c r="AD3917" s="25" t="n"/>
      <c r="AE3917" s="25" t="n"/>
      <c r="AG3917" s="25" t="n"/>
      <c r="AH3917" s="25" t="n"/>
      <c r="AI3917" s="394" t="n"/>
      <c r="AM3917" s="48" t="n"/>
      <c r="AN3917" s="48" t="n"/>
      <c r="AO3917" s="48" t="n"/>
    </row>
    <row r="3918">
      <c r="M3918" s="25" t="n"/>
      <c r="Q3918" s="25" t="n"/>
      <c r="U3918" s="194" t="n"/>
      <c r="AA3918" s="25" t="n"/>
      <c r="AB3918" s="25" t="n"/>
      <c r="AC3918" s="195" t="n"/>
      <c r="AD3918" s="25" t="n"/>
      <c r="AE3918" s="25" t="n"/>
      <c r="AG3918" s="25" t="n"/>
      <c r="AH3918" s="25" t="n"/>
      <c r="AI3918" s="394" t="n"/>
      <c r="AM3918" s="48" t="n"/>
      <c r="AN3918" s="48" t="n"/>
      <c r="AO3918" s="48" t="n"/>
    </row>
    <row r="3919">
      <c r="M3919" s="25" t="n"/>
      <c r="Q3919" s="25" t="n"/>
      <c r="U3919" s="194" t="n"/>
      <c r="AA3919" s="25" t="n"/>
      <c r="AB3919" s="25" t="n"/>
      <c r="AC3919" s="195" t="n"/>
      <c r="AD3919" s="25" t="n"/>
      <c r="AE3919" s="25" t="n"/>
      <c r="AG3919" s="25" t="n"/>
      <c r="AH3919" s="25" t="n"/>
      <c r="AI3919" s="394" t="n"/>
      <c r="AM3919" s="48" t="n"/>
      <c r="AN3919" s="48" t="n"/>
      <c r="AO3919" s="48" t="n"/>
    </row>
    <row r="3920">
      <c r="M3920" s="25" t="n"/>
      <c r="Q3920" s="25" t="n"/>
      <c r="U3920" s="194" t="n"/>
      <c r="AA3920" s="25" t="n"/>
      <c r="AB3920" s="25" t="n"/>
      <c r="AC3920" s="195" t="n"/>
      <c r="AD3920" s="25" t="n"/>
      <c r="AE3920" s="25" t="n"/>
      <c r="AG3920" s="25" t="n"/>
      <c r="AH3920" s="25" t="n"/>
      <c r="AI3920" s="394" t="n"/>
      <c r="AM3920" s="48" t="n"/>
      <c r="AN3920" s="48" t="n"/>
      <c r="AO3920" s="48" t="n"/>
    </row>
    <row r="3921">
      <c r="M3921" s="25" t="n"/>
      <c r="Q3921" s="25" t="n"/>
      <c r="U3921" s="194" t="n"/>
      <c r="AA3921" s="25" t="n"/>
      <c r="AB3921" s="25" t="n"/>
      <c r="AC3921" s="195" t="n"/>
      <c r="AD3921" s="25" t="n"/>
      <c r="AE3921" s="25" t="n"/>
      <c r="AG3921" s="25" t="n"/>
      <c r="AH3921" s="25" t="n"/>
      <c r="AI3921" s="394" t="n"/>
      <c r="AM3921" s="48" t="n"/>
      <c r="AN3921" s="48" t="n"/>
      <c r="AO3921" s="48" t="n"/>
    </row>
    <row r="3922">
      <c r="M3922" s="25" t="n"/>
      <c r="Q3922" s="25" t="n"/>
      <c r="U3922" s="194" t="n"/>
      <c r="AA3922" s="25" t="n"/>
      <c r="AB3922" s="25" t="n"/>
      <c r="AC3922" s="195" t="n"/>
      <c r="AD3922" s="25" t="n"/>
      <c r="AE3922" s="25" t="n"/>
      <c r="AG3922" s="25" t="n"/>
      <c r="AH3922" s="25" t="n"/>
      <c r="AI3922" s="394" t="n"/>
      <c r="AM3922" s="48" t="n"/>
      <c r="AN3922" s="48" t="n"/>
      <c r="AO3922" s="48" t="n"/>
    </row>
    <row r="3923">
      <c r="M3923" s="25" t="n"/>
      <c r="Q3923" s="25" t="n"/>
      <c r="U3923" s="194" t="n"/>
      <c r="AA3923" s="25" t="n"/>
      <c r="AB3923" s="25" t="n"/>
      <c r="AC3923" s="195" t="n"/>
      <c r="AD3923" s="25" t="n"/>
      <c r="AE3923" s="25" t="n"/>
      <c r="AG3923" s="25" t="n"/>
      <c r="AH3923" s="25" t="n"/>
      <c r="AI3923" s="394" t="n"/>
      <c r="AM3923" s="48" t="n"/>
      <c r="AN3923" s="48" t="n"/>
      <c r="AO3923" s="48" t="n"/>
    </row>
    <row r="3924">
      <c r="M3924" s="25" t="n"/>
      <c r="Q3924" s="25" t="n"/>
      <c r="U3924" s="194" t="n"/>
      <c r="AA3924" s="25" t="n"/>
      <c r="AB3924" s="25" t="n"/>
      <c r="AC3924" s="195" t="n"/>
      <c r="AD3924" s="25" t="n"/>
      <c r="AE3924" s="25" t="n"/>
      <c r="AG3924" s="25" t="n"/>
      <c r="AH3924" s="25" t="n"/>
      <c r="AI3924" s="394" t="n"/>
      <c r="AM3924" s="48" t="n"/>
      <c r="AN3924" s="48" t="n"/>
      <c r="AO3924" s="48" t="n"/>
    </row>
    <row r="3925">
      <c r="M3925" s="25" t="n"/>
      <c r="Q3925" s="25" t="n"/>
      <c r="U3925" s="194" t="n"/>
      <c r="AA3925" s="25" t="n"/>
      <c r="AB3925" s="25" t="n"/>
      <c r="AC3925" s="195" t="n"/>
      <c r="AD3925" s="25" t="n"/>
      <c r="AE3925" s="25" t="n"/>
      <c r="AG3925" s="25" t="n"/>
      <c r="AH3925" s="25" t="n"/>
      <c r="AI3925" s="394" t="n"/>
      <c r="AM3925" s="48" t="n"/>
      <c r="AN3925" s="48" t="n"/>
      <c r="AO3925" s="48" t="n"/>
    </row>
    <row r="3926">
      <c r="M3926" s="25" t="n"/>
      <c r="Q3926" s="25" t="n"/>
      <c r="U3926" s="194" t="n"/>
      <c r="AA3926" s="25" t="n"/>
      <c r="AB3926" s="25" t="n"/>
      <c r="AC3926" s="195" t="n"/>
      <c r="AD3926" s="25" t="n"/>
      <c r="AE3926" s="25" t="n"/>
      <c r="AG3926" s="25" t="n"/>
      <c r="AH3926" s="25" t="n"/>
      <c r="AI3926" s="394" t="n"/>
      <c r="AM3926" s="48" t="n"/>
      <c r="AN3926" s="48" t="n"/>
      <c r="AO3926" s="48" t="n"/>
    </row>
    <row r="3927">
      <c r="M3927" s="25" t="n"/>
      <c r="Q3927" s="25" t="n"/>
      <c r="U3927" s="194" t="n"/>
      <c r="AA3927" s="25" t="n"/>
      <c r="AB3927" s="25" t="n"/>
      <c r="AC3927" s="195" t="n"/>
      <c r="AD3927" s="25" t="n"/>
      <c r="AE3927" s="25" t="n"/>
      <c r="AG3927" s="25" t="n"/>
      <c r="AH3927" s="25" t="n"/>
      <c r="AI3927" s="394" t="n"/>
      <c r="AM3927" s="48" t="n"/>
      <c r="AN3927" s="48" t="n"/>
      <c r="AO3927" s="48" t="n"/>
    </row>
    <row r="3928">
      <c r="M3928" s="25" t="n"/>
      <c r="Q3928" s="25" t="n"/>
      <c r="U3928" s="194" t="n"/>
      <c r="AA3928" s="25" t="n"/>
      <c r="AB3928" s="25" t="n"/>
      <c r="AC3928" s="195" t="n"/>
      <c r="AD3928" s="25" t="n"/>
      <c r="AE3928" s="25" t="n"/>
      <c r="AG3928" s="25" t="n"/>
      <c r="AH3928" s="25" t="n"/>
      <c r="AI3928" s="394" t="n"/>
      <c r="AM3928" s="48" t="n"/>
      <c r="AN3928" s="48" t="n"/>
      <c r="AO3928" s="48" t="n"/>
    </row>
    <row r="3929">
      <c r="M3929" s="25" t="n"/>
      <c r="Q3929" s="25" t="n"/>
      <c r="U3929" s="194" t="n"/>
      <c r="AA3929" s="25" t="n"/>
      <c r="AB3929" s="25" t="n"/>
      <c r="AC3929" s="195" t="n"/>
      <c r="AD3929" s="25" t="n"/>
      <c r="AE3929" s="25" t="n"/>
      <c r="AG3929" s="25" t="n"/>
      <c r="AH3929" s="25" t="n"/>
      <c r="AI3929" s="394" t="n"/>
      <c r="AM3929" s="48" t="n"/>
      <c r="AN3929" s="48" t="n"/>
      <c r="AO3929" s="48" t="n"/>
    </row>
    <row r="3930">
      <c r="M3930" s="25" t="n"/>
      <c r="Q3930" s="25" t="n"/>
      <c r="U3930" s="194" t="n"/>
      <c r="AA3930" s="25" t="n"/>
      <c r="AB3930" s="25" t="n"/>
      <c r="AC3930" s="195" t="n"/>
      <c r="AD3930" s="25" t="n"/>
      <c r="AE3930" s="25" t="n"/>
      <c r="AG3930" s="25" t="n"/>
      <c r="AH3930" s="25" t="n"/>
      <c r="AI3930" s="394" t="n"/>
      <c r="AM3930" s="48" t="n"/>
      <c r="AN3930" s="48" t="n"/>
      <c r="AO3930" s="48" t="n"/>
    </row>
    <row r="3931">
      <c r="M3931" s="25" t="n"/>
      <c r="Q3931" s="25" t="n"/>
      <c r="U3931" s="194" t="n"/>
      <c r="AA3931" s="25" t="n"/>
      <c r="AB3931" s="25" t="n"/>
      <c r="AC3931" s="195" t="n"/>
      <c r="AD3931" s="25" t="n"/>
      <c r="AE3931" s="25" t="n"/>
      <c r="AG3931" s="25" t="n"/>
      <c r="AH3931" s="25" t="n"/>
      <c r="AI3931" s="394" t="n"/>
      <c r="AM3931" s="48" t="n"/>
      <c r="AN3931" s="48" t="n"/>
      <c r="AO3931" s="48" t="n"/>
    </row>
    <row r="3932">
      <c r="M3932" s="25" t="n"/>
      <c r="Q3932" s="25" t="n"/>
      <c r="U3932" s="194" t="n"/>
      <c r="AA3932" s="25" t="n"/>
      <c r="AB3932" s="25" t="n"/>
      <c r="AC3932" s="195" t="n"/>
      <c r="AD3932" s="25" t="n"/>
      <c r="AE3932" s="25" t="n"/>
      <c r="AG3932" s="25" t="n"/>
      <c r="AH3932" s="25" t="n"/>
      <c r="AI3932" s="394" t="n"/>
      <c r="AM3932" s="48" t="n"/>
      <c r="AN3932" s="48" t="n"/>
      <c r="AO3932" s="48" t="n"/>
    </row>
    <row r="3933">
      <c r="M3933" s="25" t="n"/>
      <c r="Q3933" s="25" t="n"/>
      <c r="U3933" s="194" t="n"/>
      <c r="AA3933" s="25" t="n"/>
      <c r="AB3933" s="25" t="n"/>
      <c r="AC3933" s="195" t="n"/>
      <c r="AD3933" s="25" t="n"/>
      <c r="AE3933" s="25" t="n"/>
      <c r="AG3933" s="25" t="n"/>
      <c r="AH3933" s="25" t="n"/>
      <c r="AI3933" s="394" t="n"/>
      <c r="AM3933" s="48" t="n"/>
      <c r="AN3933" s="48" t="n"/>
      <c r="AO3933" s="48" t="n"/>
    </row>
    <row r="3934">
      <c r="M3934" s="25" t="n"/>
      <c r="Q3934" s="25" t="n"/>
      <c r="U3934" s="194" t="n"/>
      <c r="AA3934" s="25" t="n"/>
      <c r="AB3934" s="25" t="n"/>
      <c r="AC3934" s="195" t="n"/>
      <c r="AD3934" s="25" t="n"/>
      <c r="AE3934" s="25" t="n"/>
      <c r="AG3934" s="25" t="n"/>
      <c r="AH3934" s="25" t="n"/>
      <c r="AI3934" s="394" t="n"/>
      <c r="AM3934" s="48" t="n"/>
      <c r="AN3934" s="48" t="n"/>
      <c r="AO3934" s="48" t="n"/>
    </row>
    <row r="3935">
      <c r="M3935" s="25" t="n"/>
      <c r="Q3935" s="25" t="n"/>
      <c r="U3935" s="194" t="n"/>
      <c r="AA3935" s="25" t="n"/>
      <c r="AB3935" s="25" t="n"/>
      <c r="AC3935" s="195" t="n"/>
      <c r="AD3935" s="25" t="n"/>
      <c r="AE3935" s="25" t="n"/>
      <c r="AG3935" s="25" t="n"/>
      <c r="AH3935" s="25" t="n"/>
      <c r="AI3935" s="394" t="n"/>
      <c r="AM3935" s="48" t="n"/>
      <c r="AN3935" s="48" t="n"/>
      <c r="AO3935" s="48" t="n"/>
    </row>
    <row r="3936">
      <c r="M3936" s="25" t="n"/>
      <c r="Q3936" s="25" t="n"/>
      <c r="U3936" s="194" t="n"/>
      <c r="AA3936" s="25" t="n"/>
      <c r="AB3936" s="25" t="n"/>
      <c r="AC3936" s="195" t="n"/>
      <c r="AD3936" s="25" t="n"/>
      <c r="AE3936" s="25" t="n"/>
      <c r="AG3936" s="25" t="n"/>
      <c r="AH3936" s="25" t="n"/>
      <c r="AI3936" s="394" t="n"/>
      <c r="AM3936" s="48" t="n"/>
      <c r="AN3936" s="48" t="n"/>
      <c r="AO3936" s="48" t="n"/>
    </row>
    <row r="3937">
      <c r="M3937" s="25" t="n"/>
      <c r="Q3937" s="25" t="n"/>
      <c r="U3937" s="194" t="n"/>
      <c r="AA3937" s="25" t="n"/>
      <c r="AB3937" s="25" t="n"/>
      <c r="AC3937" s="195" t="n"/>
      <c r="AD3937" s="25" t="n"/>
      <c r="AE3937" s="25" t="n"/>
      <c r="AG3937" s="25" t="n"/>
      <c r="AH3937" s="25" t="n"/>
      <c r="AI3937" s="394" t="n"/>
      <c r="AM3937" s="48" t="n"/>
      <c r="AN3937" s="48" t="n"/>
      <c r="AO3937" s="48" t="n"/>
    </row>
    <row r="3938">
      <c r="M3938" s="25" t="n"/>
      <c r="Q3938" s="25" t="n"/>
      <c r="U3938" s="194" t="n"/>
      <c r="AA3938" s="25" t="n"/>
      <c r="AB3938" s="25" t="n"/>
      <c r="AC3938" s="195" t="n"/>
      <c r="AD3938" s="25" t="n"/>
      <c r="AE3938" s="25" t="n"/>
      <c r="AG3938" s="25" t="n"/>
      <c r="AH3938" s="25" t="n"/>
      <c r="AI3938" s="394" t="n"/>
      <c r="AM3938" s="48" t="n"/>
      <c r="AN3938" s="48" t="n"/>
      <c r="AO3938" s="48" t="n"/>
    </row>
    <row r="3939">
      <c r="M3939" s="25" t="n"/>
      <c r="Q3939" s="25" t="n"/>
      <c r="U3939" s="194" t="n"/>
      <c r="AA3939" s="25" t="n"/>
      <c r="AB3939" s="25" t="n"/>
      <c r="AC3939" s="195" t="n"/>
      <c r="AD3939" s="25" t="n"/>
      <c r="AE3939" s="25" t="n"/>
      <c r="AG3939" s="25" t="n"/>
      <c r="AH3939" s="25" t="n"/>
      <c r="AI3939" s="394" t="n"/>
      <c r="AM3939" s="48" t="n"/>
      <c r="AN3939" s="48" t="n"/>
      <c r="AO3939" s="48" t="n"/>
    </row>
    <row r="3940">
      <c r="M3940" s="25" t="n"/>
      <c r="Q3940" s="25" t="n"/>
      <c r="U3940" s="194" t="n"/>
      <c r="AA3940" s="25" t="n"/>
      <c r="AB3940" s="25" t="n"/>
      <c r="AC3940" s="195" t="n"/>
      <c r="AD3940" s="25" t="n"/>
      <c r="AE3940" s="25" t="n"/>
      <c r="AG3940" s="25" t="n"/>
      <c r="AH3940" s="25" t="n"/>
      <c r="AI3940" s="394" t="n"/>
      <c r="AM3940" s="48" t="n"/>
      <c r="AN3940" s="48" t="n"/>
      <c r="AO3940" s="48" t="n"/>
    </row>
    <row r="3941">
      <c r="M3941" s="25" t="n"/>
      <c r="Q3941" s="25" t="n"/>
      <c r="U3941" s="194" t="n"/>
      <c r="AA3941" s="25" t="n"/>
      <c r="AB3941" s="25" t="n"/>
      <c r="AC3941" s="195" t="n"/>
      <c r="AD3941" s="25" t="n"/>
      <c r="AE3941" s="25" t="n"/>
      <c r="AG3941" s="25" t="n"/>
      <c r="AH3941" s="25" t="n"/>
      <c r="AI3941" s="394" t="n"/>
      <c r="AM3941" s="48" t="n"/>
      <c r="AN3941" s="48" t="n"/>
      <c r="AO3941" s="48" t="n"/>
    </row>
    <row r="3942">
      <c r="M3942" s="25" t="n"/>
      <c r="Q3942" s="25" t="n"/>
      <c r="U3942" s="194" t="n"/>
      <c r="AA3942" s="25" t="n"/>
      <c r="AB3942" s="25" t="n"/>
      <c r="AC3942" s="195" t="n"/>
      <c r="AD3942" s="25" t="n"/>
      <c r="AE3942" s="25" t="n"/>
      <c r="AG3942" s="25" t="n"/>
      <c r="AH3942" s="25" t="n"/>
      <c r="AI3942" s="394" t="n"/>
      <c r="AM3942" s="48" t="n"/>
      <c r="AN3942" s="48" t="n"/>
      <c r="AO3942" s="48" t="n"/>
    </row>
    <row r="3943">
      <c r="M3943" s="25" t="n"/>
      <c r="Q3943" s="25" t="n"/>
      <c r="U3943" s="194" t="n"/>
      <c r="AA3943" s="25" t="n"/>
      <c r="AB3943" s="25" t="n"/>
      <c r="AC3943" s="195" t="n"/>
      <c r="AD3943" s="25" t="n"/>
      <c r="AE3943" s="25" t="n"/>
      <c r="AG3943" s="25" t="n"/>
      <c r="AH3943" s="25" t="n"/>
      <c r="AI3943" s="394" t="n"/>
      <c r="AM3943" s="48" t="n"/>
      <c r="AN3943" s="48" t="n"/>
      <c r="AO3943" s="48" t="n"/>
    </row>
    <row r="3944">
      <c r="M3944" s="25" t="n"/>
      <c r="Q3944" s="25" t="n"/>
      <c r="U3944" s="194" t="n"/>
      <c r="AA3944" s="25" t="n"/>
      <c r="AB3944" s="25" t="n"/>
      <c r="AC3944" s="195" t="n"/>
      <c r="AD3944" s="25" t="n"/>
      <c r="AE3944" s="25" t="n"/>
      <c r="AG3944" s="25" t="n"/>
      <c r="AH3944" s="25" t="n"/>
      <c r="AI3944" s="394" t="n"/>
      <c r="AM3944" s="48" t="n"/>
      <c r="AN3944" s="48" t="n"/>
      <c r="AO3944" s="48" t="n"/>
    </row>
    <row r="3945">
      <c r="M3945" s="25" t="n"/>
      <c r="Q3945" s="25" t="n"/>
      <c r="U3945" s="194" t="n"/>
      <c r="AA3945" s="25" t="n"/>
      <c r="AB3945" s="25" t="n"/>
      <c r="AC3945" s="195" t="n"/>
      <c r="AD3945" s="25" t="n"/>
      <c r="AE3945" s="25" t="n"/>
      <c r="AG3945" s="25" t="n"/>
      <c r="AH3945" s="25" t="n"/>
      <c r="AI3945" s="394" t="n"/>
      <c r="AM3945" s="48" t="n"/>
      <c r="AN3945" s="48" t="n"/>
      <c r="AO3945" s="48" t="n"/>
    </row>
    <row r="3946">
      <c r="M3946" s="25" t="n"/>
      <c r="Q3946" s="25" t="n"/>
      <c r="U3946" s="194" t="n"/>
      <c r="AA3946" s="25" t="n"/>
      <c r="AB3946" s="25" t="n"/>
      <c r="AC3946" s="195" t="n"/>
      <c r="AD3946" s="25" t="n"/>
      <c r="AE3946" s="25" t="n"/>
      <c r="AG3946" s="25" t="n"/>
      <c r="AH3946" s="25" t="n"/>
      <c r="AI3946" s="394" t="n"/>
      <c r="AM3946" s="48" t="n"/>
      <c r="AN3946" s="48" t="n"/>
      <c r="AO3946" s="48" t="n"/>
    </row>
    <row r="3947">
      <c r="M3947" s="25" t="n"/>
      <c r="Q3947" s="25" t="n"/>
      <c r="U3947" s="194" t="n"/>
      <c r="AA3947" s="25" t="n"/>
      <c r="AB3947" s="25" t="n"/>
      <c r="AC3947" s="195" t="n"/>
      <c r="AD3947" s="25" t="n"/>
      <c r="AE3947" s="25" t="n"/>
      <c r="AG3947" s="25" t="n"/>
      <c r="AH3947" s="25" t="n"/>
      <c r="AI3947" s="394" t="n"/>
      <c r="AM3947" s="48" t="n"/>
      <c r="AN3947" s="48" t="n"/>
      <c r="AO3947" s="48" t="n"/>
    </row>
    <row r="3948">
      <c r="M3948" s="25" t="n"/>
      <c r="Q3948" s="25" t="n"/>
      <c r="U3948" s="194" t="n"/>
      <c r="AA3948" s="25" t="n"/>
      <c r="AB3948" s="25" t="n"/>
      <c r="AC3948" s="195" t="n"/>
      <c r="AD3948" s="25" t="n"/>
      <c r="AE3948" s="25" t="n"/>
      <c r="AG3948" s="25" t="n"/>
      <c r="AH3948" s="25" t="n"/>
      <c r="AI3948" s="394" t="n"/>
      <c r="AM3948" s="48" t="n"/>
      <c r="AN3948" s="48" t="n"/>
      <c r="AO3948" s="48" t="n"/>
    </row>
    <row r="3949">
      <c r="M3949" s="25" t="n"/>
      <c r="Q3949" s="25" t="n"/>
      <c r="U3949" s="194" t="n"/>
      <c r="AA3949" s="25" t="n"/>
      <c r="AB3949" s="25" t="n"/>
      <c r="AC3949" s="195" t="n"/>
      <c r="AD3949" s="25" t="n"/>
      <c r="AE3949" s="25" t="n"/>
      <c r="AG3949" s="25" t="n"/>
      <c r="AH3949" s="25" t="n"/>
      <c r="AI3949" s="394" t="n"/>
      <c r="AM3949" s="48" t="n"/>
      <c r="AN3949" s="48" t="n"/>
      <c r="AO3949" s="48" t="n"/>
    </row>
    <row r="3950">
      <c r="M3950" s="25" t="n"/>
      <c r="Q3950" s="25" t="n"/>
      <c r="U3950" s="194" t="n"/>
      <c r="AA3950" s="25" t="n"/>
      <c r="AB3950" s="25" t="n"/>
      <c r="AC3950" s="195" t="n"/>
      <c r="AD3950" s="25" t="n"/>
      <c r="AE3950" s="25" t="n"/>
      <c r="AG3950" s="25" t="n"/>
      <c r="AH3950" s="25" t="n"/>
      <c r="AI3950" s="394" t="n"/>
      <c r="AM3950" s="48" t="n"/>
      <c r="AN3950" s="48" t="n"/>
      <c r="AO3950" s="48" t="n"/>
    </row>
    <row r="3951">
      <c r="M3951" s="25" t="n"/>
      <c r="Q3951" s="25" t="n"/>
      <c r="U3951" s="194" t="n"/>
      <c r="AA3951" s="25" t="n"/>
      <c r="AB3951" s="25" t="n"/>
      <c r="AC3951" s="195" t="n"/>
      <c r="AD3951" s="25" t="n"/>
      <c r="AE3951" s="25" t="n"/>
      <c r="AG3951" s="25" t="n"/>
      <c r="AH3951" s="25" t="n"/>
      <c r="AI3951" s="394" t="n"/>
      <c r="AM3951" s="48" t="n"/>
      <c r="AN3951" s="48" t="n"/>
      <c r="AO3951" s="48" t="n"/>
    </row>
    <row r="3952">
      <c r="M3952" s="25" t="n"/>
      <c r="Q3952" s="25" t="n"/>
      <c r="U3952" s="194" t="n"/>
      <c r="AA3952" s="25" t="n"/>
      <c r="AB3952" s="25" t="n"/>
      <c r="AC3952" s="195" t="n"/>
      <c r="AD3952" s="25" t="n"/>
      <c r="AE3952" s="25" t="n"/>
      <c r="AG3952" s="25" t="n"/>
      <c r="AH3952" s="25" t="n"/>
      <c r="AI3952" s="394" t="n"/>
      <c r="AM3952" s="48" t="n"/>
      <c r="AN3952" s="48" t="n"/>
      <c r="AO3952" s="48" t="n"/>
    </row>
    <row r="3953">
      <c r="M3953" s="25" t="n"/>
      <c r="Q3953" s="25" t="n"/>
      <c r="U3953" s="194" t="n"/>
      <c r="AA3953" s="25" t="n"/>
      <c r="AB3953" s="25" t="n"/>
      <c r="AC3953" s="195" t="n"/>
      <c r="AD3953" s="25" t="n"/>
      <c r="AE3953" s="25" t="n"/>
      <c r="AG3953" s="25" t="n"/>
      <c r="AH3953" s="25" t="n"/>
      <c r="AI3953" s="394" t="n"/>
      <c r="AM3953" s="48" t="n"/>
      <c r="AN3953" s="48" t="n"/>
      <c r="AO3953" s="48" t="n"/>
    </row>
    <row r="3954">
      <c r="M3954" s="25" t="n"/>
      <c r="Q3954" s="25" t="n"/>
      <c r="U3954" s="194" t="n"/>
      <c r="AA3954" s="25" t="n"/>
      <c r="AB3954" s="25" t="n"/>
      <c r="AC3954" s="195" t="n"/>
      <c r="AD3954" s="25" t="n"/>
      <c r="AE3954" s="25" t="n"/>
      <c r="AG3954" s="25" t="n"/>
      <c r="AH3954" s="25" t="n"/>
      <c r="AI3954" s="394" t="n"/>
      <c r="AM3954" s="48" t="n"/>
      <c r="AN3954" s="48" t="n"/>
      <c r="AO3954" s="48" t="n"/>
    </row>
    <row r="3955">
      <c r="M3955" s="25" t="n"/>
      <c r="Q3955" s="25" t="n"/>
      <c r="U3955" s="194" t="n"/>
      <c r="AA3955" s="25" t="n"/>
      <c r="AB3955" s="25" t="n"/>
      <c r="AC3955" s="195" t="n"/>
      <c r="AD3955" s="25" t="n"/>
      <c r="AE3955" s="25" t="n"/>
      <c r="AG3955" s="25" t="n"/>
      <c r="AH3955" s="25" t="n"/>
      <c r="AI3955" s="394" t="n"/>
      <c r="AM3955" s="48" t="n"/>
      <c r="AN3955" s="48" t="n"/>
      <c r="AO3955" s="48" t="n"/>
    </row>
    <row r="3956">
      <c r="M3956" s="25" t="n"/>
      <c r="Q3956" s="25" t="n"/>
      <c r="U3956" s="194" t="n"/>
      <c r="AA3956" s="25" t="n"/>
      <c r="AB3956" s="25" t="n"/>
      <c r="AC3956" s="195" t="n"/>
      <c r="AD3956" s="25" t="n"/>
      <c r="AE3956" s="25" t="n"/>
      <c r="AG3956" s="25" t="n"/>
      <c r="AH3956" s="25" t="n"/>
      <c r="AI3956" s="394" t="n"/>
      <c r="AM3956" s="48" t="n"/>
      <c r="AN3956" s="48" t="n"/>
      <c r="AO3956" s="48" t="n"/>
    </row>
    <row r="3957">
      <c r="M3957" s="25" t="n"/>
      <c r="Q3957" s="25" t="n"/>
      <c r="U3957" s="194" t="n"/>
      <c r="AA3957" s="25" t="n"/>
      <c r="AB3957" s="25" t="n"/>
      <c r="AC3957" s="195" t="n"/>
      <c r="AD3957" s="25" t="n"/>
      <c r="AE3957" s="25" t="n"/>
      <c r="AG3957" s="25" t="n"/>
      <c r="AH3957" s="25" t="n"/>
      <c r="AI3957" s="394" t="n"/>
      <c r="AM3957" s="48" t="n"/>
      <c r="AN3957" s="48" t="n"/>
      <c r="AO3957" s="48" t="n"/>
    </row>
    <row r="3958">
      <c r="M3958" s="25" t="n"/>
      <c r="Q3958" s="25" t="n"/>
      <c r="U3958" s="194" t="n"/>
      <c r="AA3958" s="25" t="n"/>
      <c r="AB3958" s="25" t="n"/>
      <c r="AC3958" s="195" t="n"/>
      <c r="AD3958" s="25" t="n"/>
      <c r="AE3958" s="25" t="n"/>
      <c r="AG3958" s="25" t="n"/>
      <c r="AH3958" s="25" t="n"/>
      <c r="AI3958" s="394" t="n"/>
      <c r="AM3958" s="48" t="n"/>
      <c r="AN3958" s="48" t="n"/>
      <c r="AO3958" s="48" t="n"/>
    </row>
    <row r="3959">
      <c r="M3959" s="25" t="n"/>
      <c r="Q3959" s="25" t="n"/>
      <c r="U3959" s="194" t="n"/>
      <c r="AA3959" s="25" t="n"/>
      <c r="AB3959" s="25" t="n"/>
      <c r="AC3959" s="195" t="n"/>
      <c r="AD3959" s="25" t="n"/>
      <c r="AE3959" s="25" t="n"/>
      <c r="AG3959" s="25" t="n"/>
      <c r="AH3959" s="25" t="n"/>
      <c r="AI3959" s="394" t="n"/>
      <c r="AM3959" s="48" t="n"/>
      <c r="AN3959" s="48" t="n"/>
      <c r="AO3959" s="48" t="n"/>
    </row>
    <row r="3960">
      <c r="M3960" s="25" t="n"/>
      <c r="Q3960" s="25" t="n"/>
      <c r="U3960" s="194" t="n"/>
      <c r="AA3960" s="25" t="n"/>
      <c r="AB3960" s="25" t="n"/>
      <c r="AC3960" s="195" t="n"/>
      <c r="AD3960" s="25" t="n"/>
      <c r="AE3960" s="25" t="n"/>
      <c r="AG3960" s="25" t="n"/>
      <c r="AH3960" s="25" t="n"/>
      <c r="AI3960" s="394" t="n"/>
      <c r="AM3960" s="48" t="n"/>
      <c r="AN3960" s="48" t="n"/>
      <c r="AO3960" s="48" t="n"/>
    </row>
    <row r="3961">
      <c r="M3961" s="25" t="n"/>
      <c r="Q3961" s="25" t="n"/>
      <c r="U3961" s="194" t="n"/>
      <c r="AA3961" s="25" t="n"/>
      <c r="AB3961" s="25" t="n"/>
      <c r="AC3961" s="195" t="n"/>
      <c r="AD3961" s="25" t="n"/>
      <c r="AE3961" s="25" t="n"/>
      <c r="AG3961" s="25" t="n"/>
      <c r="AH3961" s="25" t="n"/>
      <c r="AI3961" s="394" t="n"/>
      <c r="AM3961" s="48" t="n"/>
      <c r="AN3961" s="48" t="n"/>
      <c r="AO3961" s="48" t="n"/>
    </row>
    <row r="3962">
      <c r="M3962" s="25" t="n"/>
      <c r="Q3962" s="25" t="n"/>
      <c r="U3962" s="194" t="n"/>
      <c r="AA3962" s="25" t="n"/>
      <c r="AB3962" s="25" t="n"/>
      <c r="AC3962" s="195" t="n"/>
      <c r="AD3962" s="25" t="n"/>
      <c r="AE3962" s="25" t="n"/>
      <c r="AG3962" s="25" t="n"/>
      <c r="AH3962" s="25" t="n"/>
      <c r="AI3962" s="394" t="n"/>
      <c r="AM3962" s="48" t="n"/>
      <c r="AN3962" s="48" t="n"/>
      <c r="AO3962" s="48" t="n"/>
    </row>
    <row r="3963">
      <c r="M3963" s="25" t="n"/>
      <c r="Q3963" s="25" t="n"/>
      <c r="U3963" s="194" t="n"/>
      <c r="AA3963" s="25" t="n"/>
      <c r="AB3963" s="25" t="n"/>
      <c r="AC3963" s="195" t="n"/>
      <c r="AD3963" s="25" t="n"/>
      <c r="AE3963" s="25" t="n"/>
      <c r="AG3963" s="25" t="n"/>
      <c r="AH3963" s="25" t="n"/>
      <c r="AI3963" s="394" t="n"/>
      <c r="AM3963" s="48" t="n"/>
      <c r="AN3963" s="48" t="n"/>
      <c r="AO3963" s="48" t="n"/>
    </row>
    <row r="3964">
      <c r="M3964" s="25" t="n"/>
      <c r="Q3964" s="25" t="n"/>
      <c r="U3964" s="194" t="n"/>
      <c r="AA3964" s="25" t="n"/>
      <c r="AB3964" s="25" t="n"/>
      <c r="AC3964" s="195" t="n"/>
      <c r="AD3964" s="25" t="n"/>
      <c r="AE3964" s="25" t="n"/>
      <c r="AG3964" s="25" t="n"/>
      <c r="AH3964" s="25" t="n"/>
      <c r="AI3964" s="394" t="n"/>
      <c r="AM3964" s="48" t="n"/>
      <c r="AN3964" s="48" t="n"/>
      <c r="AO3964" s="48" t="n"/>
    </row>
    <row r="3965">
      <c r="M3965" s="25" t="n"/>
      <c r="Q3965" s="25" t="n"/>
      <c r="U3965" s="194" t="n"/>
      <c r="AA3965" s="25" t="n"/>
      <c r="AB3965" s="25" t="n"/>
      <c r="AC3965" s="195" t="n"/>
      <c r="AD3965" s="25" t="n"/>
      <c r="AE3965" s="25" t="n"/>
      <c r="AG3965" s="25" t="n"/>
      <c r="AH3965" s="25" t="n"/>
      <c r="AI3965" s="394" t="n"/>
      <c r="AM3965" s="48" t="n"/>
      <c r="AN3965" s="48" t="n"/>
      <c r="AO3965" s="48" t="n"/>
    </row>
    <row r="3966">
      <c r="M3966" s="25" t="n"/>
      <c r="Q3966" s="25" t="n"/>
      <c r="U3966" s="194" t="n"/>
      <c r="AA3966" s="25" t="n"/>
      <c r="AB3966" s="25" t="n"/>
      <c r="AC3966" s="195" t="n"/>
      <c r="AD3966" s="25" t="n"/>
      <c r="AE3966" s="25" t="n"/>
      <c r="AG3966" s="25" t="n"/>
      <c r="AH3966" s="25" t="n"/>
      <c r="AI3966" s="394" t="n"/>
      <c r="AM3966" s="48" t="n"/>
      <c r="AN3966" s="48" t="n"/>
      <c r="AO3966" s="48" t="n"/>
    </row>
    <row r="3967">
      <c r="M3967" s="25" t="n"/>
      <c r="Q3967" s="25" t="n"/>
      <c r="U3967" s="194" t="n"/>
      <c r="AA3967" s="25" t="n"/>
      <c r="AB3967" s="25" t="n"/>
      <c r="AC3967" s="195" t="n"/>
      <c r="AD3967" s="25" t="n"/>
      <c r="AE3967" s="25" t="n"/>
      <c r="AG3967" s="25" t="n"/>
      <c r="AH3967" s="25" t="n"/>
      <c r="AI3967" s="394" t="n"/>
      <c r="AM3967" s="48" t="n"/>
      <c r="AN3967" s="48" t="n"/>
      <c r="AO3967" s="48" t="n"/>
    </row>
    <row r="3968">
      <c r="M3968" s="25" t="n"/>
      <c r="Q3968" s="25" t="n"/>
      <c r="U3968" s="194" t="n"/>
      <c r="AA3968" s="25" t="n"/>
      <c r="AB3968" s="25" t="n"/>
      <c r="AC3968" s="195" t="n"/>
      <c r="AD3968" s="25" t="n"/>
      <c r="AE3968" s="25" t="n"/>
      <c r="AG3968" s="25" t="n"/>
      <c r="AH3968" s="25" t="n"/>
      <c r="AI3968" s="394" t="n"/>
      <c r="AM3968" s="48" t="n"/>
      <c r="AN3968" s="48" t="n"/>
      <c r="AO3968" s="48" t="n"/>
    </row>
    <row r="3969">
      <c r="M3969" s="25" t="n"/>
      <c r="Q3969" s="25" t="n"/>
      <c r="U3969" s="194" t="n"/>
      <c r="AA3969" s="25" t="n"/>
      <c r="AB3969" s="25" t="n"/>
      <c r="AC3969" s="195" t="n"/>
      <c r="AD3969" s="25" t="n"/>
      <c r="AE3969" s="25" t="n"/>
      <c r="AG3969" s="25" t="n"/>
      <c r="AH3969" s="25" t="n"/>
      <c r="AI3969" s="394" t="n"/>
      <c r="AM3969" s="48" t="n"/>
      <c r="AN3969" s="48" t="n"/>
      <c r="AO3969" s="48" t="n"/>
    </row>
    <row r="3970">
      <c r="M3970" s="25" t="n"/>
      <c r="Q3970" s="25" t="n"/>
      <c r="U3970" s="194" t="n"/>
      <c r="AA3970" s="25" t="n"/>
      <c r="AB3970" s="25" t="n"/>
      <c r="AC3970" s="195" t="n"/>
      <c r="AD3970" s="25" t="n"/>
      <c r="AE3970" s="25" t="n"/>
      <c r="AG3970" s="25" t="n"/>
      <c r="AH3970" s="25" t="n"/>
      <c r="AI3970" s="394" t="n"/>
      <c r="AM3970" s="48" t="n"/>
      <c r="AN3970" s="48" t="n"/>
      <c r="AO3970" s="48" t="n"/>
    </row>
    <row r="3971">
      <c r="M3971" s="25" t="n"/>
      <c r="Q3971" s="25" t="n"/>
      <c r="U3971" s="194" t="n"/>
      <c r="AA3971" s="25" t="n"/>
      <c r="AB3971" s="25" t="n"/>
      <c r="AC3971" s="195" t="n"/>
      <c r="AD3971" s="25" t="n"/>
      <c r="AE3971" s="25" t="n"/>
      <c r="AG3971" s="25" t="n"/>
      <c r="AH3971" s="25" t="n"/>
      <c r="AI3971" s="394" t="n"/>
      <c r="AM3971" s="48" t="n"/>
      <c r="AN3971" s="48" t="n"/>
      <c r="AO3971" s="48" t="n"/>
    </row>
    <row r="3972">
      <c r="M3972" s="25" t="n"/>
      <c r="Q3972" s="25" t="n"/>
      <c r="U3972" s="194" t="n"/>
      <c r="AA3972" s="25" t="n"/>
      <c r="AB3972" s="25" t="n"/>
      <c r="AC3972" s="195" t="n"/>
      <c r="AD3972" s="25" t="n"/>
      <c r="AE3972" s="25" t="n"/>
      <c r="AG3972" s="25" t="n"/>
      <c r="AH3972" s="25" t="n"/>
      <c r="AI3972" s="394" t="n"/>
      <c r="AM3972" s="48" t="n"/>
      <c r="AN3972" s="48" t="n"/>
      <c r="AO3972" s="48" t="n"/>
    </row>
    <row r="3973">
      <c r="M3973" s="25" t="n"/>
      <c r="Q3973" s="25" t="n"/>
      <c r="U3973" s="194" t="n"/>
      <c r="AA3973" s="25" t="n"/>
      <c r="AB3973" s="25" t="n"/>
      <c r="AC3973" s="195" t="n"/>
      <c r="AD3973" s="25" t="n"/>
      <c r="AE3973" s="25" t="n"/>
      <c r="AG3973" s="25" t="n"/>
      <c r="AH3973" s="25" t="n"/>
      <c r="AI3973" s="394" t="n"/>
      <c r="AM3973" s="48" t="n"/>
      <c r="AN3973" s="48" t="n"/>
      <c r="AO3973" s="48" t="n"/>
    </row>
    <row r="3974">
      <c r="M3974" s="25" t="n"/>
      <c r="Q3974" s="25" t="n"/>
      <c r="U3974" s="194" t="n"/>
      <c r="AA3974" s="25" t="n"/>
      <c r="AB3974" s="25" t="n"/>
      <c r="AC3974" s="195" t="n"/>
      <c r="AD3974" s="25" t="n"/>
      <c r="AE3974" s="25" t="n"/>
      <c r="AG3974" s="25" t="n"/>
      <c r="AH3974" s="25" t="n"/>
      <c r="AI3974" s="394" t="n"/>
      <c r="AM3974" s="48" t="n"/>
      <c r="AN3974" s="48" t="n"/>
      <c r="AO3974" s="48" t="n"/>
    </row>
    <row r="3975">
      <c r="M3975" s="25" t="n"/>
      <c r="Q3975" s="25" t="n"/>
      <c r="U3975" s="194" t="n"/>
      <c r="AA3975" s="25" t="n"/>
      <c r="AB3975" s="25" t="n"/>
      <c r="AC3975" s="195" t="n"/>
      <c r="AD3975" s="25" t="n"/>
      <c r="AE3975" s="25" t="n"/>
      <c r="AG3975" s="25" t="n"/>
      <c r="AH3975" s="25" t="n"/>
      <c r="AI3975" s="394" t="n"/>
      <c r="AM3975" s="48" t="n"/>
      <c r="AN3975" s="48" t="n"/>
      <c r="AO3975" s="48" t="n"/>
    </row>
    <row r="3976">
      <c r="M3976" s="25" t="n"/>
      <c r="Q3976" s="25" t="n"/>
      <c r="U3976" s="194" t="n"/>
      <c r="AA3976" s="25" t="n"/>
      <c r="AB3976" s="25" t="n"/>
      <c r="AC3976" s="195" t="n"/>
      <c r="AD3976" s="25" t="n"/>
      <c r="AE3976" s="25" t="n"/>
      <c r="AG3976" s="25" t="n"/>
      <c r="AH3976" s="25" t="n"/>
      <c r="AI3976" s="394" t="n"/>
      <c r="AM3976" s="48" t="n"/>
      <c r="AN3976" s="48" t="n"/>
      <c r="AO3976" s="48" t="n"/>
    </row>
    <row r="3977">
      <c r="M3977" s="25" t="n"/>
      <c r="Q3977" s="25" t="n"/>
      <c r="U3977" s="194" t="n"/>
      <c r="AA3977" s="25" t="n"/>
      <c r="AB3977" s="25" t="n"/>
      <c r="AC3977" s="195" t="n"/>
      <c r="AD3977" s="25" t="n"/>
      <c r="AE3977" s="25" t="n"/>
      <c r="AG3977" s="25" t="n"/>
      <c r="AH3977" s="25" t="n"/>
      <c r="AI3977" s="394" t="n"/>
      <c r="AM3977" s="48" t="n"/>
      <c r="AN3977" s="48" t="n"/>
      <c r="AO3977" s="48" t="n"/>
    </row>
    <row r="3978">
      <c r="M3978" s="25" t="n"/>
      <c r="Q3978" s="25" t="n"/>
      <c r="U3978" s="194" t="n"/>
      <c r="AA3978" s="25" t="n"/>
      <c r="AB3978" s="25" t="n"/>
      <c r="AC3978" s="195" t="n"/>
      <c r="AD3978" s="25" t="n"/>
      <c r="AE3978" s="25" t="n"/>
      <c r="AG3978" s="25" t="n"/>
      <c r="AH3978" s="25" t="n"/>
      <c r="AI3978" s="394" t="n"/>
      <c r="AM3978" s="48" t="n"/>
      <c r="AN3978" s="48" t="n"/>
      <c r="AO3978" s="48" t="n"/>
    </row>
    <row r="3979">
      <c r="M3979" s="25" t="n"/>
      <c r="Q3979" s="25" t="n"/>
      <c r="U3979" s="194" t="n"/>
      <c r="AA3979" s="25" t="n"/>
      <c r="AB3979" s="25" t="n"/>
      <c r="AC3979" s="195" t="n"/>
      <c r="AD3979" s="25" t="n"/>
      <c r="AE3979" s="25" t="n"/>
      <c r="AG3979" s="25" t="n"/>
      <c r="AH3979" s="25" t="n"/>
      <c r="AI3979" s="394" t="n"/>
      <c r="AM3979" s="48" t="n"/>
      <c r="AN3979" s="48" t="n"/>
      <c r="AO3979" s="48" t="n"/>
    </row>
    <row r="3980">
      <c r="M3980" s="25" t="n"/>
      <c r="Q3980" s="25" t="n"/>
      <c r="U3980" s="194" t="n"/>
      <c r="AA3980" s="25" t="n"/>
      <c r="AB3980" s="25" t="n"/>
      <c r="AC3980" s="195" t="n"/>
      <c r="AD3980" s="25" t="n"/>
      <c r="AE3980" s="25" t="n"/>
      <c r="AG3980" s="25" t="n"/>
      <c r="AH3980" s="25" t="n"/>
      <c r="AI3980" s="394" t="n"/>
      <c r="AM3980" s="48" t="n"/>
      <c r="AN3980" s="48" t="n"/>
      <c r="AO3980" s="48" t="n"/>
    </row>
    <row r="3981">
      <c r="M3981" s="25" t="n"/>
      <c r="Q3981" s="25" t="n"/>
      <c r="U3981" s="194" t="n"/>
      <c r="AA3981" s="25" t="n"/>
      <c r="AB3981" s="25" t="n"/>
      <c r="AC3981" s="195" t="n"/>
      <c r="AD3981" s="25" t="n"/>
      <c r="AE3981" s="25" t="n"/>
      <c r="AG3981" s="25" t="n"/>
      <c r="AH3981" s="25" t="n"/>
      <c r="AI3981" s="394" t="n"/>
      <c r="AM3981" s="48" t="n"/>
      <c r="AN3981" s="48" t="n"/>
      <c r="AO3981" s="48" t="n"/>
    </row>
    <row r="3982">
      <c r="M3982" s="25" t="n"/>
      <c r="Q3982" s="25" t="n"/>
      <c r="U3982" s="194" t="n"/>
      <c r="AA3982" s="25" t="n"/>
      <c r="AB3982" s="25" t="n"/>
      <c r="AC3982" s="195" t="n"/>
      <c r="AD3982" s="25" t="n"/>
      <c r="AE3982" s="25" t="n"/>
      <c r="AG3982" s="25" t="n"/>
      <c r="AH3982" s="25" t="n"/>
      <c r="AI3982" s="394" t="n"/>
      <c r="AM3982" s="48" t="n"/>
      <c r="AN3982" s="48" t="n"/>
      <c r="AO3982" s="48" t="n"/>
    </row>
    <row r="3983">
      <c r="M3983" s="25" t="n"/>
      <c r="Q3983" s="25" t="n"/>
      <c r="U3983" s="194" t="n"/>
      <c r="AA3983" s="25" t="n"/>
      <c r="AB3983" s="25" t="n"/>
      <c r="AC3983" s="195" t="n"/>
      <c r="AD3983" s="25" t="n"/>
      <c r="AE3983" s="25" t="n"/>
      <c r="AG3983" s="25" t="n"/>
      <c r="AH3983" s="25" t="n"/>
      <c r="AI3983" s="394" t="n"/>
      <c r="AM3983" s="48" t="n"/>
      <c r="AN3983" s="48" t="n"/>
      <c r="AO3983" s="48" t="n"/>
    </row>
    <row r="3984">
      <c r="M3984" s="25" t="n"/>
      <c r="Q3984" s="25" t="n"/>
      <c r="U3984" s="194" t="n"/>
      <c r="AA3984" s="25" t="n"/>
      <c r="AB3984" s="25" t="n"/>
      <c r="AC3984" s="195" t="n"/>
      <c r="AD3984" s="25" t="n"/>
      <c r="AE3984" s="25" t="n"/>
      <c r="AG3984" s="25" t="n"/>
      <c r="AH3984" s="25" t="n"/>
      <c r="AI3984" s="394" t="n"/>
      <c r="AM3984" s="48" t="n"/>
      <c r="AN3984" s="48" t="n"/>
      <c r="AO3984" s="48" t="n"/>
    </row>
    <row r="3985">
      <c r="M3985" s="25" t="n"/>
      <c r="Q3985" s="25" t="n"/>
      <c r="U3985" s="194" t="n"/>
      <c r="AA3985" s="25" t="n"/>
      <c r="AB3985" s="25" t="n"/>
      <c r="AC3985" s="195" t="n"/>
      <c r="AD3985" s="25" t="n"/>
      <c r="AE3985" s="25" t="n"/>
      <c r="AG3985" s="25" t="n"/>
      <c r="AH3985" s="25" t="n"/>
      <c r="AI3985" s="394" t="n"/>
      <c r="AM3985" s="48" t="n"/>
      <c r="AN3985" s="48" t="n"/>
      <c r="AO3985" s="48" t="n"/>
    </row>
    <row r="3986">
      <c r="M3986" s="25" t="n"/>
      <c r="Q3986" s="25" t="n"/>
      <c r="U3986" s="194" t="n"/>
      <c r="AA3986" s="25" t="n"/>
      <c r="AB3986" s="25" t="n"/>
      <c r="AC3986" s="195" t="n"/>
      <c r="AD3986" s="25" t="n"/>
      <c r="AE3986" s="25" t="n"/>
      <c r="AG3986" s="25" t="n"/>
      <c r="AH3986" s="25" t="n"/>
      <c r="AI3986" s="394" t="n"/>
      <c r="AM3986" s="48" t="n"/>
      <c r="AN3986" s="48" t="n"/>
      <c r="AO3986" s="48" t="n"/>
    </row>
    <row r="3987">
      <c r="M3987" s="25" t="n"/>
      <c r="Q3987" s="25" t="n"/>
      <c r="U3987" s="194" t="n"/>
      <c r="AA3987" s="25" t="n"/>
      <c r="AB3987" s="25" t="n"/>
      <c r="AC3987" s="195" t="n"/>
      <c r="AD3987" s="25" t="n"/>
      <c r="AE3987" s="25" t="n"/>
      <c r="AG3987" s="25" t="n"/>
      <c r="AH3987" s="25" t="n"/>
      <c r="AI3987" s="394" t="n"/>
      <c r="AM3987" s="48" t="n"/>
      <c r="AN3987" s="48" t="n"/>
      <c r="AO3987" s="48" t="n"/>
    </row>
    <row r="3988">
      <c r="M3988" s="25" t="n"/>
      <c r="Q3988" s="25" t="n"/>
      <c r="U3988" s="194" t="n"/>
      <c r="AA3988" s="25" t="n"/>
      <c r="AB3988" s="25" t="n"/>
      <c r="AC3988" s="195" t="n"/>
      <c r="AD3988" s="25" t="n"/>
      <c r="AE3988" s="25" t="n"/>
      <c r="AG3988" s="25" t="n"/>
      <c r="AH3988" s="25" t="n"/>
      <c r="AI3988" s="394" t="n"/>
      <c r="AM3988" s="48" t="n"/>
      <c r="AN3988" s="48" t="n"/>
      <c r="AO3988" s="48" t="n"/>
    </row>
    <row r="3989">
      <c r="M3989" s="25" t="n"/>
      <c r="Q3989" s="25" t="n"/>
      <c r="U3989" s="194" t="n"/>
      <c r="AA3989" s="25" t="n"/>
      <c r="AB3989" s="25" t="n"/>
      <c r="AC3989" s="195" t="n"/>
      <c r="AD3989" s="25" t="n"/>
      <c r="AE3989" s="25" t="n"/>
      <c r="AG3989" s="25" t="n"/>
      <c r="AH3989" s="25" t="n"/>
      <c r="AI3989" s="394" t="n"/>
      <c r="AM3989" s="48" t="n"/>
      <c r="AN3989" s="48" t="n"/>
      <c r="AO3989" s="48" t="n"/>
    </row>
    <row r="3990">
      <c r="M3990" s="25" t="n"/>
      <c r="Q3990" s="25" t="n"/>
      <c r="U3990" s="194" t="n"/>
      <c r="AA3990" s="25" t="n"/>
      <c r="AB3990" s="25" t="n"/>
      <c r="AC3990" s="195" t="n"/>
      <c r="AD3990" s="25" t="n"/>
      <c r="AE3990" s="25" t="n"/>
      <c r="AG3990" s="25" t="n"/>
      <c r="AH3990" s="25" t="n"/>
      <c r="AI3990" s="394" t="n"/>
      <c r="AM3990" s="48" t="n"/>
      <c r="AN3990" s="48" t="n"/>
      <c r="AO3990" s="48" t="n"/>
    </row>
    <row r="3991">
      <c r="M3991" s="25" t="n"/>
      <c r="Q3991" s="25" t="n"/>
      <c r="U3991" s="194" t="n"/>
      <c r="AA3991" s="25" t="n"/>
      <c r="AB3991" s="25" t="n"/>
      <c r="AC3991" s="195" t="n"/>
      <c r="AD3991" s="25" t="n"/>
      <c r="AE3991" s="25" t="n"/>
      <c r="AG3991" s="25" t="n"/>
      <c r="AH3991" s="25" t="n"/>
      <c r="AI3991" s="394" t="n"/>
      <c r="AM3991" s="48" t="n"/>
      <c r="AN3991" s="48" t="n"/>
      <c r="AO3991" s="48" t="n"/>
    </row>
    <row r="3992">
      <c r="M3992" s="25" t="n"/>
      <c r="Q3992" s="25" t="n"/>
      <c r="U3992" s="194" t="n"/>
      <c r="AA3992" s="25" t="n"/>
      <c r="AB3992" s="25" t="n"/>
      <c r="AC3992" s="195" t="n"/>
      <c r="AD3992" s="25" t="n"/>
      <c r="AE3992" s="25" t="n"/>
      <c r="AG3992" s="25" t="n"/>
      <c r="AH3992" s="25" t="n"/>
      <c r="AI3992" s="394" t="n"/>
      <c r="AM3992" s="48" t="n"/>
      <c r="AN3992" s="48" t="n"/>
      <c r="AO3992" s="48" t="n"/>
    </row>
    <row r="3993">
      <c r="M3993" s="25" t="n"/>
      <c r="Q3993" s="25" t="n"/>
      <c r="U3993" s="194" t="n"/>
      <c r="AA3993" s="25" t="n"/>
      <c r="AB3993" s="25" t="n"/>
      <c r="AC3993" s="195" t="n"/>
      <c r="AD3993" s="25" t="n"/>
      <c r="AE3993" s="25" t="n"/>
      <c r="AG3993" s="25" t="n"/>
      <c r="AH3993" s="25" t="n"/>
      <c r="AI3993" s="394" t="n"/>
      <c r="AM3993" s="48" t="n"/>
      <c r="AN3993" s="48" t="n"/>
      <c r="AO3993" s="48" t="n"/>
    </row>
    <row r="3994">
      <c r="M3994" s="25" t="n"/>
      <c r="Q3994" s="25" t="n"/>
      <c r="U3994" s="194" t="n"/>
      <c r="AA3994" s="25" t="n"/>
      <c r="AB3994" s="25" t="n"/>
      <c r="AC3994" s="195" t="n"/>
      <c r="AD3994" s="25" t="n"/>
      <c r="AE3994" s="25" t="n"/>
      <c r="AG3994" s="25" t="n"/>
      <c r="AH3994" s="25" t="n"/>
      <c r="AI3994" s="394" t="n"/>
      <c r="AM3994" s="48" t="n"/>
      <c r="AN3994" s="48" t="n"/>
      <c r="AO3994" s="48" t="n"/>
    </row>
    <row r="3995">
      <c r="M3995" s="25" t="n"/>
      <c r="Q3995" s="25" t="n"/>
      <c r="U3995" s="194" t="n"/>
      <c r="AA3995" s="25" t="n"/>
      <c r="AB3995" s="25" t="n"/>
      <c r="AC3995" s="195" t="n"/>
      <c r="AD3995" s="25" t="n"/>
      <c r="AE3995" s="25" t="n"/>
      <c r="AG3995" s="25" t="n"/>
      <c r="AH3995" s="25" t="n"/>
      <c r="AI3995" s="394" t="n"/>
      <c r="AM3995" s="48" t="n"/>
      <c r="AN3995" s="48" t="n"/>
      <c r="AO3995" s="48" t="n"/>
    </row>
    <row r="3996">
      <c r="M3996" s="25" t="n"/>
      <c r="Q3996" s="25" t="n"/>
      <c r="U3996" s="194" t="n"/>
      <c r="AA3996" s="25" t="n"/>
      <c r="AB3996" s="25" t="n"/>
      <c r="AC3996" s="195" t="n"/>
      <c r="AD3996" s="25" t="n"/>
      <c r="AE3996" s="25" t="n"/>
      <c r="AG3996" s="25" t="n"/>
      <c r="AH3996" s="25" t="n"/>
      <c r="AI3996" s="394" t="n"/>
      <c r="AM3996" s="48" t="n"/>
      <c r="AN3996" s="48" t="n"/>
      <c r="AO3996" s="48" t="n"/>
    </row>
    <row r="3997">
      <c r="M3997" s="25" t="n"/>
      <c r="Q3997" s="25" t="n"/>
      <c r="U3997" s="194" t="n"/>
      <c r="AA3997" s="25" t="n"/>
      <c r="AB3997" s="25" t="n"/>
      <c r="AC3997" s="195" t="n"/>
      <c r="AD3997" s="25" t="n"/>
      <c r="AE3997" s="25" t="n"/>
      <c r="AG3997" s="25" t="n"/>
      <c r="AH3997" s="25" t="n"/>
      <c r="AI3997" s="394" t="n"/>
      <c r="AM3997" s="48" t="n"/>
      <c r="AN3997" s="48" t="n"/>
      <c r="AO3997" s="48" t="n"/>
    </row>
    <row r="3998">
      <c r="M3998" s="25" t="n"/>
      <c r="Q3998" s="25" t="n"/>
      <c r="U3998" s="194" t="n"/>
      <c r="AA3998" s="25" t="n"/>
      <c r="AB3998" s="25" t="n"/>
      <c r="AC3998" s="195" t="n"/>
      <c r="AD3998" s="25" t="n"/>
      <c r="AE3998" s="25" t="n"/>
      <c r="AG3998" s="25" t="n"/>
      <c r="AH3998" s="25" t="n"/>
      <c r="AI3998" s="394" t="n"/>
      <c r="AM3998" s="48" t="n"/>
      <c r="AN3998" s="48" t="n"/>
      <c r="AO3998" s="48" t="n"/>
    </row>
    <row r="3999">
      <c r="M3999" s="25" t="n"/>
      <c r="Q3999" s="25" t="n"/>
      <c r="U3999" s="194" t="n"/>
      <c r="AA3999" s="25" t="n"/>
      <c r="AB3999" s="25" t="n"/>
      <c r="AC3999" s="195" t="n"/>
      <c r="AD3999" s="25" t="n"/>
      <c r="AE3999" s="25" t="n"/>
      <c r="AG3999" s="25" t="n"/>
      <c r="AH3999" s="25" t="n"/>
      <c r="AI3999" s="394" t="n"/>
      <c r="AM3999" s="48" t="n"/>
      <c r="AN3999" s="48" t="n"/>
      <c r="AO3999" s="48" t="n"/>
    </row>
    <row r="4000">
      <c r="M4000" s="25" t="n"/>
      <c r="Q4000" s="25" t="n"/>
      <c r="U4000" s="194" t="n"/>
      <c r="AA4000" s="25" t="n"/>
      <c r="AB4000" s="25" t="n"/>
      <c r="AC4000" s="195" t="n"/>
      <c r="AD4000" s="25" t="n"/>
      <c r="AE4000" s="25" t="n"/>
      <c r="AG4000" s="25" t="n"/>
      <c r="AH4000" s="25" t="n"/>
      <c r="AI4000" s="394" t="n"/>
      <c r="AM4000" s="48" t="n"/>
      <c r="AN4000" s="48" t="n"/>
      <c r="AO4000" s="48" t="n"/>
    </row>
    <row r="4001">
      <c r="M4001" s="25" t="n"/>
      <c r="Q4001" s="25" t="n"/>
      <c r="U4001" s="194" t="n"/>
      <c r="AA4001" s="25" t="n"/>
      <c r="AB4001" s="25" t="n"/>
      <c r="AC4001" s="195" t="n"/>
      <c r="AD4001" s="25" t="n"/>
      <c r="AE4001" s="25" t="n"/>
      <c r="AG4001" s="25" t="n"/>
      <c r="AH4001" s="25" t="n"/>
      <c r="AI4001" s="394" t="n"/>
      <c r="AM4001" s="48" t="n"/>
      <c r="AN4001" s="48" t="n"/>
      <c r="AO4001" s="48" t="n"/>
    </row>
    <row r="4002">
      <c r="M4002" s="25" t="n"/>
      <c r="Q4002" s="25" t="n"/>
      <c r="U4002" s="194" t="n"/>
      <c r="AA4002" s="25" t="n"/>
      <c r="AB4002" s="25" t="n"/>
      <c r="AC4002" s="195" t="n"/>
      <c r="AD4002" s="25" t="n"/>
      <c r="AE4002" s="25" t="n"/>
      <c r="AG4002" s="25" t="n"/>
      <c r="AH4002" s="25" t="n"/>
      <c r="AI4002" s="394" t="n"/>
      <c r="AM4002" s="48" t="n"/>
      <c r="AN4002" s="48" t="n"/>
      <c r="AO4002" s="48" t="n"/>
    </row>
    <row r="4003">
      <c r="M4003" s="25" t="n"/>
      <c r="Q4003" s="25" t="n"/>
      <c r="U4003" s="194" t="n"/>
      <c r="AA4003" s="25" t="n"/>
      <c r="AB4003" s="25" t="n"/>
      <c r="AC4003" s="195" t="n"/>
      <c r="AD4003" s="25" t="n"/>
      <c r="AE4003" s="25" t="n"/>
      <c r="AG4003" s="25" t="n"/>
      <c r="AH4003" s="25" t="n"/>
      <c r="AI4003" s="394" t="n"/>
      <c r="AM4003" s="48" t="n"/>
      <c r="AN4003" s="48" t="n"/>
      <c r="AO4003" s="48" t="n"/>
    </row>
    <row r="4004">
      <c r="M4004" s="25" t="n"/>
      <c r="Q4004" s="25" t="n"/>
      <c r="U4004" s="194" t="n"/>
      <c r="AA4004" s="25" t="n"/>
      <c r="AB4004" s="25" t="n"/>
      <c r="AC4004" s="195" t="n"/>
      <c r="AD4004" s="25" t="n"/>
      <c r="AE4004" s="25" t="n"/>
      <c r="AG4004" s="25" t="n"/>
      <c r="AH4004" s="25" t="n"/>
      <c r="AI4004" s="394" t="n"/>
      <c r="AM4004" s="48" t="n"/>
      <c r="AN4004" s="48" t="n"/>
      <c r="AO4004" s="48" t="n"/>
    </row>
    <row r="4005">
      <c r="M4005" s="25" t="n"/>
      <c r="Q4005" s="25" t="n"/>
      <c r="U4005" s="194" t="n"/>
      <c r="AA4005" s="25" t="n"/>
      <c r="AB4005" s="25" t="n"/>
      <c r="AC4005" s="195" t="n"/>
      <c r="AD4005" s="25" t="n"/>
      <c r="AE4005" s="25" t="n"/>
      <c r="AG4005" s="25" t="n"/>
      <c r="AH4005" s="25" t="n"/>
      <c r="AI4005" s="394" t="n"/>
      <c r="AM4005" s="48" t="n"/>
      <c r="AN4005" s="48" t="n"/>
      <c r="AO4005" s="48" t="n"/>
    </row>
    <row r="4006">
      <c r="M4006" s="25" t="n"/>
      <c r="Q4006" s="25" t="n"/>
      <c r="U4006" s="194" t="n"/>
      <c r="AA4006" s="25" t="n"/>
      <c r="AB4006" s="25" t="n"/>
      <c r="AC4006" s="195" t="n"/>
      <c r="AD4006" s="25" t="n"/>
      <c r="AE4006" s="25" t="n"/>
      <c r="AG4006" s="25" t="n"/>
      <c r="AH4006" s="25" t="n"/>
      <c r="AI4006" s="394" t="n"/>
      <c r="AM4006" s="48" t="n"/>
      <c r="AN4006" s="48" t="n"/>
      <c r="AO4006" s="48" t="n"/>
    </row>
    <row r="4007">
      <c r="M4007" s="25" t="n"/>
      <c r="Q4007" s="25" t="n"/>
      <c r="U4007" s="194" t="n"/>
      <c r="AA4007" s="25" t="n"/>
      <c r="AB4007" s="25" t="n"/>
      <c r="AC4007" s="195" t="n"/>
      <c r="AD4007" s="25" t="n"/>
      <c r="AE4007" s="25" t="n"/>
      <c r="AG4007" s="25" t="n"/>
      <c r="AH4007" s="25" t="n"/>
      <c r="AI4007" s="394" t="n"/>
      <c r="AM4007" s="48" t="n"/>
      <c r="AN4007" s="48" t="n"/>
      <c r="AO4007" s="48" t="n"/>
    </row>
    <row r="4008">
      <c r="M4008" s="25" t="n"/>
      <c r="Q4008" s="25" t="n"/>
      <c r="U4008" s="194" t="n"/>
      <c r="AA4008" s="25" t="n"/>
      <c r="AB4008" s="25" t="n"/>
      <c r="AC4008" s="195" t="n"/>
      <c r="AD4008" s="25" t="n"/>
      <c r="AE4008" s="25" t="n"/>
      <c r="AG4008" s="25" t="n"/>
      <c r="AH4008" s="25" t="n"/>
      <c r="AI4008" s="394" t="n"/>
      <c r="AM4008" s="48" t="n"/>
      <c r="AN4008" s="48" t="n"/>
      <c r="AO4008" s="48" t="n"/>
    </row>
    <row r="4009">
      <c r="M4009" s="25" t="n"/>
      <c r="Q4009" s="25" t="n"/>
      <c r="U4009" s="194" t="n"/>
      <c r="AA4009" s="25" t="n"/>
      <c r="AB4009" s="25" t="n"/>
      <c r="AC4009" s="195" t="n"/>
      <c r="AD4009" s="25" t="n"/>
      <c r="AE4009" s="25" t="n"/>
      <c r="AG4009" s="25" t="n"/>
      <c r="AH4009" s="25" t="n"/>
      <c r="AI4009" s="394" t="n"/>
      <c r="AM4009" s="48" t="n"/>
      <c r="AN4009" s="48" t="n"/>
      <c r="AO4009" s="48" t="n"/>
    </row>
    <row r="4010">
      <c r="M4010" s="25" t="n"/>
      <c r="Q4010" s="25" t="n"/>
      <c r="U4010" s="194" t="n"/>
      <c r="AA4010" s="25" t="n"/>
      <c r="AB4010" s="25" t="n"/>
      <c r="AC4010" s="195" t="n"/>
      <c r="AD4010" s="25" t="n"/>
      <c r="AE4010" s="25" t="n"/>
      <c r="AG4010" s="25" t="n"/>
      <c r="AH4010" s="25" t="n"/>
      <c r="AI4010" s="394" t="n"/>
      <c r="AM4010" s="48" t="n"/>
      <c r="AN4010" s="48" t="n"/>
      <c r="AO4010" s="48" t="n"/>
    </row>
    <row r="4011">
      <c r="M4011" s="25" t="n"/>
      <c r="Q4011" s="25" t="n"/>
      <c r="U4011" s="194" t="n"/>
      <c r="AA4011" s="25" t="n"/>
      <c r="AB4011" s="25" t="n"/>
      <c r="AC4011" s="195" t="n"/>
      <c r="AD4011" s="25" t="n"/>
      <c r="AE4011" s="25" t="n"/>
      <c r="AG4011" s="25" t="n"/>
      <c r="AH4011" s="25" t="n"/>
      <c r="AI4011" s="394" t="n"/>
      <c r="AM4011" s="48" t="n"/>
      <c r="AN4011" s="48" t="n"/>
      <c r="AO4011" s="48" t="n"/>
    </row>
    <row r="4012">
      <c r="M4012" s="25" t="n"/>
      <c r="Q4012" s="25" t="n"/>
      <c r="U4012" s="194" t="n"/>
      <c r="AA4012" s="25" t="n"/>
      <c r="AB4012" s="25" t="n"/>
      <c r="AC4012" s="195" t="n"/>
      <c r="AD4012" s="25" t="n"/>
      <c r="AE4012" s="25" t="n"/>
      <c r="AG4012" s="25" t="n"/>
      <c r="AH4012" s="25" t="n"/>
      <c r="AI4012" s="394" t="n"/>
      <c r="AM4012" s="48" t="n"/>
      <c r="AN4012" s="48" t="n"/>
      <c r="AO4012" s="48" t="n"/>
    </row>
    <row r="4013">
      <c r="M4013" s="25" t="n"/>
      <c r="Q4013" s="25" t="n"/>
      <c r="U4013" s="194" t="n"/>
      <c r="AA4013" s="25" t="n"/>
      <c r="AB4013" s="25" t="n"/>
      <c r="AC4013" s="195" t="n"/>
      <c r="AD4013" s="25" t="n"/>
      <c r="AE4013" s="25" t="n"/>
      <c r="AG4013" s="25" t="n"/>
      <c r="AH4013" s="25" t="n"/>
      <c r="AI4013" s="394" t="n"/>
      <c r="AM4013" s="48" t="n"/>
      <c r="AN4013" s="48" t="n"/>
      <c r="AO4013" s="48" t="n"/>
    </row>
    <row r="4014">
      <c r="M4014" s="25" t="n"/>
      <c r="Q4014" s="25" t="n"/>
      <c r="U4014" s="194" t="n"/>
      <c r="AA4014" s="25" t="n"/>
      <c r="AB4014" s="25" t="n"/>
      <c r="AC4014" s="195" t="n"/>
      <c r="AD4014" s="25" t="n"/>
      <c r="AE4014" s="25" t="n"/>
      <c r="AG4014" s="25" t="n"/>
      <c r="AH4014" s="25" t="n"/>
      <c r="AI4014" s="394" t="n"/>
      <c r="AM4014" s="48" t="n"/>
      <c r="AN4014" s="48" t="n"/>
      <c r="AO4014" s="48" t="n"/>
    </row>
    <row r="4015">
      <c r="M4015" s="25" t="n"/>
      <c r="Q4015" s="25" t="n"/>
      <c r="U4015" s="194" t="n"/>
      <c r="AA4015" s="25" t="n"/>
      <c r="AB4015" s="25" t="n"/>
      <c r="AC4015" s="195" t="n"/>
      <c r="AD4015" s="25" t="n"/>
      <c r="AE4015" s="25" t="n"/>
      <c r="AG4015" s="25" t="n"/>
      <c r="AH4015" s="25" t="n"/>
      <c r="AI4015" s="394" t="n"/>
      <c r="AM4015" s="48" t="n"/>
      <c r="AN4015" s="48" t="n"/>
      <c r="AO4015" s="48" t="n"/>
    </row>
    <row r="4016">
      <c r="M4016" s="25" t="n"/>
      <c r="Q4016" s="25" t="n"/>
      <c r="U4016" s="194" t="n"/>
      <c r="AA4016" s="25" t="n"/>
      <c r="AB4016" s="25" t="n"/>
      <c r="AC4016" s="195" t="n"/>
      <c r="AD4016" s="25" t="n"/>
      <c r="AE4016" s="25" t="n"/>
      <c r="AG4016" s="25" t="n"/>
      <c r="AH4016" s="25" t="n"/>
      <c r="AI4016" s="394" t="n"/>
      <c r="AM4016" s="48" t="n"/>
      <c r="AN4016" s="48" t="n"/>
      <c r="AO4016" s="48" t="n"/>
    </row>
    <row r="4017">
      <c r="M4017" s="25" t="n"/>
      <c r="Q4017" s="25" t="n"/>
      <c r="U4017" s="194" t="n"/>
      <c r="AA4017" s="25" t="n"/>
      <c r="AB4017" s="25" t="n"/>
      <c r="AC4017" s="195" t="n"/>
      <c r="AD4017" s="25" t="n"/>
      <c r="AE4017" s="25" t="n"/>
      <c r="AG4017" s="25" t="n"/>
      <c r="AH4017" s="25" t="n"/>
      <c r="AI4017" s="394" t="n"/>
      <c r="AM4017" s="48" t="n"/>
      <c r="AN4017" s="48" t="n"/>
      <c r="AO4017" s="48" t="n"/>
    </row>
    <row r="4018">
      <c r="M4018" s="25" t="n"/>
      <c r="Q4018" s="25" t="n"/>
      <c r="U4018" s="194" t="n"/>
      <c r="AA4018" s="25" t="n"/>
      <c r="AB4018" s="25" t="n"/>
      <c r="AC4018" s="195" t="n"/>
      <c r="AD4018" s="25" t="n"/>
      <c r="AE4018" s="25" t="n"/>
      <c r="AG4018" s="25" t="n"/>
      <c r="AH4018" s="25" t="n"/>
      <c r="AI4018" s="394" t="n"/>
      <c r="AM4018" s="48" t="n"/>
      <c r="AN4018" s="48" t="n"/>
      <c r="AO4018" s="48" t="n"/>
    </row>
    <row r="4019">
      <c r="M4019" s="25" t="n"/>
      <c r="Q4019" s="25" t="n"/>
      <c r="U4019" s="194" t="n"/>
      <c r="AA4019" s="25" t="n"/>
      <c r="AB4019" s="25" t="n"/>
      <c r="AC4019" s="195" t="n"/>
      <c r="AD4019" s="25" t="n"/>
      <c r="AE4019" s="25" t="n"/>
      <c r="AG4019" s="25" t="n"/>
      <c r="AH4019" s="25" t="n"/>
      <c r="AI4019" s="394" t="n"/>
      <c r="AM4019" s="48" t="n"/>
      <c r="AN4019" s="48" t="n"/>
      <c r="AO4019" s="48" t="n"/>
    </row>
    <row r="4020">
      <c r="M4020" s="25" t="n"/>
      <c r="Q4020" s="25" t="n"/>
      <c r="U4020" s="194" t="n"/>
      <c r="AA4020" s="25" t="n"/>
      <c r="AB4020" s="25" t="n"/>
      <c r="AC4020" s="195" t="n"/>
      <c r="AD4020" s="25" t="n"/>
      <c r="AE4020" s="25" t="n"/>
      <c r="AG4020" s="25" t="n"/>
      <c r="AH4020" s="25" t="n"/>
      <c r="AI4020" s="394" t="n"/>
      <c r="AM4020" s="48" t="n"/>
      <c r="AN4020" s="48" t="n"/>
      <c r="AO4020" s="48" t="n"/>
    </row>
    <row r="4021">
      <c r="M4021" s="25" t="n"/>
      <c r="Q4021" s="25" t="n"/>
      <c r="U4021" s="194" t="n"/>
      <c r="AA4021" s="25" t="n"/>
      <c r="AB4021" s="25" t="n"/>
      <c r="AC4021" s="195" t="n"/>
      <c r="AD4021" s="25" t="n"/>
      <c r="AE4021" s="25" t="n"/>
      <c r="AG4021" s="25" t="n"/>
      <c r="AH4021" s="25" t="n"/>
      <c r="AI4021" s="394" t="n"/>
      <c r="AM4021" s="48" t="n"/>
      <c r="AN4021" s="48" t="n"/>
      <c r="AO4021" s="48" t="n"/>
    </row>
    <row r="4022">
      <c r="M4022" s="25" t="n"/>
      <c r="Q4022" s="25" t="n"/>
      <c r="U4022" s="194" t="n"/>
      <c r="AA4022" s="25" t="n"/>
      <c r="AB4022" s="25" t="n"/>
      <c r="AC4022" s="195" t="n"/>
      <c r="AD4022" s="25" t="n"/>
      <c r="AE4022" s="25" t="n"/>
      <c r="AG4022" s="25" t="n"/>
      <c r="AH4022" s="25" t="n"/>
      <c r="AI4022" s="394" t="n"/>
      <c r="AM4022" s="48" t="n"/>
      <c r="AN4022" s="48" t="n"/>
      <c r="AO4022" s="48" t="n"/>
    </row>
    <row r="4023">
      <c r="M4023" s="25" t="n"/>
      <c r="Q4023" s="25" t="n"/>
      <c r="U4023" s="194" t="n"/>
      <c r="AA4023" s="25" t="n"/>
      <c r="AB4023" s="25" t="n"/>
      <c r="AC4023" s="195" t="n"/>
      <c r="AD4023" s="25" t="n"/>
      <c r="AE4023" s="25" t="n"/>
      <c r="AG4023" s="25" t="n"/>
      <c r="AH4023" s="25" t="n"/>
      <c r="AI4023" s="394" t="n"/>
      <c r="AM4023" s="48" t="n"/>
      <c r="AN4023" s="48" t="n"/>
      <c r="AO4023" s="48" t="n"/>
    </row>
    <row r="4024">
      <c r="M4024" s="25" t="n"/>
      <c r="Q4024" s="25" t="n"/>
      <c r="U4024" s="194" t="n"/>
      <c r="AA4024" s="25" t="n"/>
      <c r="AB4024" s="25" t="n"/>
      <c r="AC4024" s="195" t="n"/>
      <c r="AD4024" s="25" t="n"/>
      <c r="AE4024" s="25" t="n"/>
      <c r="AG4024" s="25" t="n"/>
      <c r="AH4024" s="25" t="n"/>
      <c r="AI4024" s="394" t="n"/>
      <c r="AM4024" s="48" t="n"/>
      <c r="AN4024" s="48" t="n"/>
      <c r="AO4024" s="48" t="n"/>
    </row>
    <row r="4025">
      <c r="M4025" s="25" t="n"/>
      <c r="Q4025" s="25" t="n"/>
      <c r="U4025" s="194" t="n"/>
      <c r="AA4025" s="25" t="n"/>
      <c r="AB4025" s="25" t="n"/>
      <c r="AC4025" s="195" t="n"/>
      <c r="AD4025" s="25" t="n"/>
      <c r="AE4025" s="25" t="n"/>
      <c r="AG4025" s="25" t="n"/>
      <c r="AH4025" s="25" t="n"/>
      <c r="AI4025" s="394" t="n"/>
      <c r="AM4025" s="48" t="n"/>
      <c r="AN4025" s="48" t="n"/>
      <c r="AO4025" s="48" t="n"/>
    </row>
    <row r="4026">
      <c r="M4026" s="25" t="n"/>
      <c r="Q4026" s="25" t="n"/>
      <c r="U4026" s="194" t="n"/>
      <c r="AA4026" s="25" t="n"/>
      <c r="AB4026" s="25" t="n"/>
      <c r="AC4026" s="195" t="n"/>
      <c r="AD4026" s="25" t="n"/>
      <c r="AE4026" s="25" t="n"/>
      <c r="AG4026" s="25" t="n"/>
      <c r="AH4026" s="25" t="n"/>
      <c r="AI4026" s="394" t="n"/>
      <c r="AM4026" s="48" t="n"/>
      <c r="AN4026" s="48" t="n"/>
      <c r="AO4026" s="48" t="n"/>
    </row>
    <row r="4027">
      <c r="M4027" s="25" t="n"/>
      <c r="Q4027" s="25" t="n"/>
      <c r="U4027" s="194" t="n"/>
      <c r="AA4027" s="25" t="n"/>
      <c r="AB4027" s="25" t="n"/>
      <c r="AC4027" s="195" t="n"/>
      <c r="AD4027" s="25" t="n"/>
      <c r="AE4027" s="25" t="n"/>
      <c r="AG4027" s="25" t="n"/>
      <c r="AH4027" s="25" t="n"/>
      <c r="AI4027" s="394" t="n"/>
      <c r="AM4027" s="48" t="n"/>
      <c r="AN4027" s="48" t="n"/>
      <c r="AO4027" s="48" t="n"/>
    </row>
    <row r="4028">
      <c r="M4028" s="25" t="n"/>
      <c r="Q4028" s="25" t="n"/>
      <c r="U4028" s="194" t="n"/>
      <c r="AA4028" s="25" t="n"/>
      <c r="AB4028" s="25" t="n"/>
      <c r="AC4028" s="195" t="n"/>
      <c r="AD4028" s="25" t="n"/>
      <c r="AE4028" s="25" t="n"/>
      <c r="AG4028" s="25" t="n"/>
      <c r="AH4028" s="25" t="n"/>
      <c r="AI4028" s="394" t="n"/>
      <c r="AM4028" s="48" t="n"/>
      <c r="AN4028" s="48" t="n"/>
      <c r="AO4028" s="48" t="n"/>
    </row>
    <row r="4029">
      <c r="M4029" s="25" t="n"/>
      <c r="Q4029" s="25" t="n"/>
      <c r="U4029" s="194" t="n"/>
      <c r="AA4029" s="25" t="n"/>
      <c r="AB4029" s="25" t="n"/>
      <c r="AC4029" s="195" t="n"/>
      <c r="AD4029" s="25" t="n"/>
      <c r="AE4029" s="25" t="n"/>
      <c r="AG4029" s="25" t="n"/>
      <c r="AH4029" s="25" t="n"/>
      <c r="AI4029" s="394" t="n"/>
      <c r="AM4029" s="48" t="n"/>
      <c r="AN4029" s="48" t="n"/>
      <c r="AO4029" s="48" t="n"/>
    </row>
    <row r="4030">
      <c r="M4030" s="25" t="n"/>
      <c r="Q4030" s="25" t="n"/>
      <c r="U4030" s="194" t="n"/>
      <c r="AA4030" s="25" t="n"/>
      <c r="AB4030" s="25" t="n"/>
      <c r="AC4030" s="195" t="n"/>
      <c r="AD4030" s="25" t="n"/>
      <c r="AE4030" s="25" t="n"/>
      <c r="AG4030" s="25" t="n"/>
      <c r="AH4030" s="25" t="n"/>
      <c r="AI4030" s="394" t="n"/>
      <c r="AM4030" s="48" t="n"/>
      <c r="AN4030" s="48" t="n"/>
      <c r="AO4030" s="48" t="n"/>
    </row>
    <row r="4031">
      <c r="M4031" s="25" t="n"/>
      <c r="Q4031" s="25" t="n"/>
      <c r="U4031" s="194" t="n"/>
      <c r="AA4031" s="25" t="n"/>
      <c r="AB4031" s="25" t="n"/>
      <c r="AC4031" s="195" t="n"/>
      <c r="AD4031" s="25" t="n"/>
      <c r="AE4031" s="25" t="n"/>
      <c r="AG4031" s="25" t="n"/>
      <c r="AH4031" s="25" t="n"/>
      <c r="AI4031" s="394" t="n"/>
      <c r="AM4031" s="48" t="n"/>
      <c r="AN4031" s="48" t="n"/>
      <c r="AO4031" s="48" t="n"/>
    </row>
    <row r="4032">
      <c r="M4032" s="25" t="n"/>
      <c r="Q4032" s="25" t="n"/>
      <c r="U4032" s="194" t="n"/>
      <c r="AA4032" s="25" t="n"/>
      <c r="AB4032" s="25" t="n"/>
      <c r="AC4032" s="195" t="n"/>
      <c r="AD4032" s="25" t="n"/>
      <c r="AE4032" s="25" t="n"/>
      <c r="AG4032" s="25" t="n"/>
      <c r="AH4032" s="25" t="n"/>
      <c r="AI4032" s="394" t="n"/>
      <c r="AM4032" s="48" t="n"/>
      <c r="AN4032" s="48" t="n"/>
      <c r="AO4032" s="48" t="n"/>
    </row>
    <row r="4033">
      <c r="M4033" s="25" t="n"/>
      <c r="Q4033" s="25" t="n"/>
      <c r="U4033" s="194" t="n"/>
      <c r="AA4033" s="25" t="n"/>
      <c r="AB4033" s="25" t="n"/>
      <c r="AC4033" s="195" t="n"/>
      <c r="AD4033" s="25" t="n"/>
      <c r="AE4033" s="25" t="n"/>
      <c r="AG4033" s="25" t="n"/>
      <c r="AH4033" s="25" t="n"/>
      <c r="AI4033" s="394" t="n"/>
      <c r="AM4033" s="48" t="n"/>
      <c r="AN4033" s="48" t="n"/>
      <c r="AO4033" s="48" t="n"/>
    </row>
    <row r="4034">
      <c r="M4034" s="25" t="n"/>
      <c r="Q4034" s="25" t="n"/>
      <c r="U4034" s="194" t="n"/>
      <c r="AA4034" s="25" t="n"/>
      <c r="AB4034" s="25" t="n"/>
      <c r="AC4034" s="195" t="n"/>
      <c r="AD4034" s="25" t="n"/>
      <c r="AE4034" s="25" t="n"/>
      <c r="AG4034" s="25" t="n"/>
      <c r="AH4034" s="25" t="n"/>
      <c r="AI4034" s="394" t="n"/>
      <c r="AM4034" s="48" t="n"/>
      <c r="AN4034" s="48" t="n"/>
      <c r="AO4034" s="48" t="n"/>
    </row>
    <row r="4035">
      <c r="M4035" s="25" t="n"/>
      <c r="Q4035" s="25" t="n"/>
      <c r="U4035" s="194" t="n"/>
      <c r="AA4035" s="25" t="n"/>
      <c r="AB4035" s="25" t="n"/>
      <c r="AC4035" s="195" t="n"/>
      <c r="AD4035" s="25" t="n"/>
      <c r="AE4035" s="25" t="n"/>
      <c r="AG4035" s="25" t="n"/>
      <c r="AH4035" s="25" t="n"/>
      <c r="AI4035" s="394" t="n"/>
      <c r="AM4035" s="48" t="n"/>
      <c r="AN4035" s="48" t="n"/>
      <c r="AO4035" s="48" t="n"/>
    </row>
    <row r="4036">
      <c r="M4036" s="25" t="n"/>
      <c r="Q4036" s="25" t="n"/>
      <c r="U4036" s="194" t="n"/>
      <c r="AA4036" s="25" t="n"/>
      <c r="AB4036" s="25" t="n"/>
      <c r="AC4036" s="195" t="n"/>
      <c r="AD4036" s="25" t="n"/>
      <c r="AE4036" s="25" t="n"/>
      <c r="AG4036" s="25" t="n"/>
      <c r="AH4036" s="25" t="n"/>
      <c r="AI4036" s="394" t="n"/>
      <c r="AM4036" s="48" t="n"/>
      <c r="AN4036" s="48" t="n"/>
      <c r="AO4036" s="48" t="n"/>
    </row>
    <row r="4037">
      <c r="M4037" s="25" t="n"/>
      <c r="Q4037" s="25" t="n"/>
      <c r="U4037" s="194" t="n"/>
      <c r="AA4037" s="25" t="n"/>
      <c r="AB4037" s="25" t="n"/>
      <c r="AC4037" s="195" t="n"/>
      <c r="AD4037" s="25" t="n"/>
      <c r="AE4037" s="25" t="n"/>
      <c r="AG4037" s="25" t="n"/>
      <c r="AH4037" s="25" t="n"/>
      <c r="AI4037" s="394" t="n"/>
      <c r="AM4037" s="48" t="n"/>
      <c r="AN4037" s="48" t="n"/>
      <c r="AO4037" s="48" t="n"/>
    </row>
    <row r="4038">
      <c r="M4038" s="25" t="n"/>
      <c r="Q4038" s="25" t="n"/>
      <c r="U4038" s="194" t="n"/>
      <c r="AA4038" s="25" t="n"/>
      <c r="AB4038" s="25" t="n"/>
      <c r="AC4038" s="195" t="n"/>
      <c r="AD4038" s="25" t="n"/>
      <c r="AE4038" s="25" t="n"/>
      <c r="AG4038" s="25" t="n"/>
      <c r="AH4038" s="25" t="n"/>
      <c r="AI4038" s="394" t="n"/>
      <c r="AM4038" s="48" t="n"/>
      <c r="AN4038" s="48" t="n"/>
      <c r="AO4038" s="48" t="n"/>
    </row>
    <row r="4039">
      <c r="M4039" s="25" t="n"/>
      <c r="Q4039" s="25" t="n"/>
      <c r="U4039" s="194" t="n"/>
      <c r="AA4039" s="25" t="n"/>
      <c r="AB4039" s="25" t="n"/>
      <c r="AC4039" s="195" t="n"/>
      <c r="AD4039" s="25" t="n"/>
      <c r="AE4039" s="25" t="n"/>
      <c r="AG4039" s="25" t="n"/>
      <c r="AH4039" s="25" t="n"/>
      <c r="AI4039" s="394" t="n"/>
      <c r="AM4039" s="48" t="n"/>
      <c r="AN4039" s="48" t="n"/>
      <c r="AO4039" s="48" t="n"/>
    </row>
    <row r="4040">
      <c r="M4040" s="25" t="n"/>
      <c r="Q4040" s="25" t="n"/>
      <c r="U4040" s="194" t="n"/>
      <c r="AA4040" s="25" t="n"/>
      <c r="AB4040" s="25" t="n"/>
      <c r="AC4040" s="195" t="n"/>
      <c r="AD4040" s="25" t="n"/>
      <c r="AE4040" s="25" t="n"/>
      <c r="AG4040" s="25" t="n"/>
      <c r="AH4040" s="25" t="n"/>
      <c r="AI4040" s="394" t="n"/>
      <c r="AM4040" s="48" t="n"/>
      <c r="AN4040" s="48" t="n"/>
      <c r="AO4040" s="48" t="n"/>
    </row>
    <row r="4041">
      <c r="M4041" s="25" t="n"/>
      <c r="Q4041" s="25" t="n"/>
      <c r="U4041" s="194" t="n"/>
      <c r="AA4041" s="25" t="n"/>
      <c r="AB4041" s="25" t="n"/>
      <c r="AC4041" s="195" t="n"/>
      <c r="AD4041" s="25" t="n"/>
      <c r="AE4041" s="25" t="n"/>
      <c r="AG4041" s="25" t="n"/>
      <c r="AH4041" s="25" t="n"/>
      <c r="AI4041" s="394" t="n"/>
      <c r="AM4041" s="48" t="n"/>
      <c r="AN4041" s="48" t="n"/>
      <c r="AO4041" s="48" t="n"/>
    </row>
    <row r="4042">
      <c r="M4042" s="25" t="n"/>
      <c r="Q4042" s="25" t="n"/>
      <c r="U4042" s="194" t="n"/>
      <c r="AA4042" s="25" t="n"/>
      <c r="AB4042" s="25" t="n"/>
      <c r="AC4042" s="195" t="n"/>
      <c r="AD4042" s="25" t="n"/>
      <c r="AE4042" s="25" t="n"/>
      <c r="AG4042" s="25" t="n"/>
      <c r="AH4042" s="25" t="n"/>
      <c r="AI4042" s="394" t="n"/>
      <c r="AM4042" s="48" t="n"/>
      <c r="AN4042" s="48" t="n"/>
      <c r="AO4042" s="48" t="n"/>
    </row>
    <row r="4043">
      <c r="M4043" s="25" t="n"/>
      <c r="Q4043" s="25" t="n"/>
      <c r="U4043" s="194" t="n"/>
      <c r="AA4043" s="25" t="n"/>
      <c r="AB4043" s="25" t="n"/>
      <c r="AC4043" s="195" t="n"/>
      <c r="AD4043" s="25" t="n"/>
      <c r="AE4043" s="25" t="n"/>
      <c r="AG4043" s="25" t="n"/>
      <c r="AH4043" s="25" t="n"/>
      <c r="AI4043" s="394" t="n"/>
      <c r="AM4043" s="48" t="n"/>
      <c r="AN4043" s="48" t="n"/>
      <c r="AO4043" s="48" t="n"/>
    </row>
    <row r="4044">
      <c r="M4044" s="25" t="n"/>
      <c r="Q4044" s="25" t="n"/>
      <c r="U4044" s="194" t="n"/>
      <c r="AA4044" s="25" t="n"/>
      <c r="AB4044" s="25" t="n"/>
      <c r="AC4044" s="195" t="n"/>
      <c r="AD4044" s="25" t="n"/>
      <c r="AE4044" s="25" t="n"/>
      <c r="AG4044" s="25" t="n"/>
      <c r="AH4044" s="25" t="n"/>
      <c r="AI4044" s="394" t="n"/>
      <c r="AM4044" s="48" t="n"/>
      <c r="AN4044" s="48" t="n"/>
      <c r="AO4044" s="48" t="n"/>
    </row>
    <row r="4045">
      <c r="M4045" s="25" t="n"/>
      <c r="Q4045" s="25" t="n"/>
      <c r="U4045" s="194" t="n"/>
      <c r="AA4045" s="25" t="n"/>
      <c r="AB4045" s="25" t="n"/>
      <c r="AC4045" s="195" t="n"/>
      <c r="AD4045" s="25" t="n"/>
      <c r="AE4045" s="25" t="n"/>
      <c r="AG4045" s="25" t="n"/>
      <c r="AH4045" s="25" t="n"/>
      <c r="AI4045" s="394" t="n"/>
      <c r="AM4045" s="48" t="n"/>
      <c r="AN4045" s="48" t="n"/>
      <c r="AO4045" s="48" t="n"/>
    </row>
    <row r="4046">
      <c r="M4046" s="25" t="n"/>
      <c r="Q4046" s="25" t="n"/>
      <c r="U4046" s="194" t="n"/>
      <c r="AA4046" s="25" t="n"/>
      <c r="AB4046" s="25" t="n"/>
      <c r="AC4046" s="195" t="n"/>
      <c r="AD4046" s="25" t="n"/>
      <c r="AE4046" s="25" t="n"/>
      <c r="AG4046" s="25" t="n"/>
      <c r="AH4046" s="25" t="n"/>
      <c r="AI4046" s="394" t="n"/>
      <c r="AM4046" s="48" t="n"/>
      <c r="AN4046" s="48" t="n"/>
      <c r="AO4046" s="48" t="n"/>
    </row>
    <row r="4047">
      <c r="M4047" s="25" t="n"/>
      <c r="Q4047" s="25" t="n"/>
      <c r="U4047" s="194" t="n"/>
      <c r="AA4047" s="25" t="n"/>
      <c r="AB4047" s="25" t="n"/>
      <c r="AC4047" s="195" t="n"/>
      <c r="AD4047" s="25" t="n"/>
      <c r="AE4047" s="25" t="n"/>
      <c r="AG4047" s="25" t="n"/>
      <c r="AH4047" s="25" t="n"/>
      <c r="AI4047" s="394" t="n"/>
      <c r="AM4047" s="48" t="n"/>
      <c r="AN4047" s="48" t="n"/>
      <c r="AO4047" s="48" t="n"/>
    </row>
    <row r="4048">
      <c r="M4048" s="25" t="n"/>
      <c r="Q4048" s="25" t="n"/>
      <c r="U4048" s="194" t="n"/>
      <c r="AA4048" s="25" t="n"/>
      <c r="AB4048" s="25" t="n"/>
      <c r="AC4048" s="195" t="n"/>
      <c r="AD4048" s="25" t="n"/>
      <c r="AE4048" s="25" t="n"/>
      <c r="AG4048" s="25" t="n"/>
      <c r="AH4048" s="25" t="n"/>
      <c r="AI4048" s="394" t="n"/>
      <c r="AM4048" s="48" t="n"/>
      <c r="AN4048" s="48" t="n"/>
      <c r="AO4048" s="48" t="n"/>
    </row>
    <row r="4049">
      <c r="M4049" s="25" t="n"/>
      <c r="Q4049" s="25" t="n"/>
      <c r="U4049" s="194" t="n"/>
      <c r="AA4049" s="25" t="n"/>
      <c r="AB4049" s="25" t="n"/>
      <c r="AC4049" s="195" t="n"/>
      <c r="AD4049" s="25" t="n"/>
      <c r="AE4049" s="25" t="n"/>
      <c r="AG4049" s="25" t="n"/>
      <c r="AH4049" s="25" t="n"/>
      <c r="AI4049" s="394" t="n"/>
      <c r="AM4049" s="48" t="n"/>
      <c r="AN4049" s="48" t="n"/>
      <c r="AO4049" s="48" t="n"/>
    </row>
    <row r="4050">
      <c r="M4050" s="25" t="n"/>
      <c r="Q4050" s="25" t="n"/>
      <c r="U4050" s="194" t="n"/>
      <c r="AA4050" s="25" t="n"/>
      <c r="AB4050" s="25" t="n"/>
      <c r="AC4050" s="195" t="n"/>
      <c r="AD4050" s="25" t="n"/>
      <c r="AE4050" s="25" t="n"/>
      <c r="AG4050" s="25" t="n"/>
      <c r="AH4050" s="25" t="n"/>
      <c r="AI4050" s="394" t="n"/>
      <c r="AM4050" s="48" t="n"/>
      <c r="AN4050" s="48" t="n"/>
      <c r="AO4050" s="48" t="n"/>
    </row>
    <row r="4051">
      <c r="M4051" s="25" t="n"/>
      <c r="Q4051" s="25" t="n"/>
      <c r="U4051" s="194" t="n"/>
      <c r="AA4051" s="25" t="n"/>
      <c r="AB4051" s="25" t="n"/>
      <c r="AC4051" s="195" t="n"/>
      <c r="AD4051" s="25" t="n"/>
      <c r="AE4051" s="25" t="n"/>
      <c r="AG4051" s="25" t="n"/>
      <c r="AH4051" s="25" t="n"/>
      <c r="AI4051" s="394" t="n"/>
      <c r="AM4051" s="48" t="n"/>
      <c r="AN4051" s="48" t="n"/>
      <c r="AO4051" s="48" t="n"/>
    </row>
    <row r="4052">
      <c r="M4052" s="25" t="n"/>
      <c r="Q4052" s="25" t="n"/>
      <c r="U4052" s="194" t="n"/>
      <c r="AA4052" s="25" t="n"/>
      <c r="AB4052" s="25" t="n"/>
      <c r="AC4052" s="195" t="n"/>
      <c r="AD4052" s="25" t="n"/>
      <c r="AE4052" s="25" t="n"/>
      <c r="AG4052" s="25" t="n"/>
      <c r="AH4052" s="25" t="n"/>
      <c r="AI4052" s="394" t="n"/>
      <c r="AM4052" s="48" t="n"/>
      <c r="AN4052" s="48" t="n"/>
      <c r="AO4052" s="48" t="n"/>
    </row>
    <row r="4053">
      <c r="M4053" s="25" t="n"/>
      <c r="Q4053" s="25" t="n"/>
      <c r="U4053" s="194" t="n"/>
      <c r="AA4053" s="25" t="n"/>
      <c r="AB4053" s="25" t="n"/>
      <c r="AC4053" s="195" t="n"/>
      <c r="AD4053" s="25" t="n"/>
      <c r="AE4053" s="25" t="n"/>
      <c r="AG4053" s="25" t="n"/>
      <c r="AH4053" s="25" t="n"/>
      <c r="AI4053" s="394" t="n"/>
      <c r="AM4053" s="48" t="n"/>
      <c r="AN4053" s="48" t="n"/>
      <c r="AO4053" s="48" t="n"/>
    </row>
    <row r="4054">
      <c r="M4054" s="25" t="n"/>
      <c r="Q4054" s="25" t="n"/>
      <c r="U4054" s="194" t="n"/>
      <c r="AA4054" s="25" t="n"/>
      <c r="AB4054" s="25" t="n"/>
      <c r="AC4054" s="195" t="n"/>
      <c r="AD4054" s="25" t="n"/>
      <c r="AE4054" s="25" t="n"/>
      <c r="AG4054" s="25" t="n"/>
      <c r="AH4054" s="25" t="n"/>
      <c r="AI4054" s="394" t="n"/>
      <c r="AM4054" s="48" t="n"/>
      <c r="AN4054" s="48" t="n"/>
      <c r="AO4054" s="48" t="n"/>
    </row>
    <row r="4055">
      <c r="M4055" s="25" t="n"/>
      <c r="Q4055" s="25" t="n"/>
      <c r="U4055" s="194" t="n"/>
      <c r="AA4055" s="25" t="n"/>
      <c r="AB4055" s="25" t="n"/>
      <c r="AC4055" s="195" t="n"/>
      <c r="AD4055" s="25" t="n"/>
      <c r="AE4055" s="25" t="n"/>
      <c r="AG4055" s="25" t="n"/>
      <c r="AH4055" s="25" t="n"/>
      <c r="AI4055" s="394" t="n"/>
      <c r="AM4055" s="48" t="n"/>
      <c r="AN4055" s="48" t="n"/>
      <c r="AO4055" s="48" t="n"/>
    </row>
    <row r="4056">
      <c r="M4056" s="25" t="n"/>
      <c r="Q4056" s="25" t="n"/>
      <c r="U4056" s="194" t="n"/>
      <c r="AA4056" s="25" t="n"/>
      <c r="AB4056" s="25" t="n"/>
      <c r="AC4056" s="195" t="n"/>
      <c r="AD4056" s="25" t="n"/>
      <c r="AE4056" s="25" t="n"/>
      <c r="AG4056" s="25" t="n"/>
      <c r="AH4056" s="25" t="n"/>
      <c r="AI4056" s="394" t="n"/>
      <c r="AM4056" s="48" t="n"/>
      <c r="AN4056" s="48" t="n"/>
      <c r="AO4056" s="48" t="n"/>
    </row>
    <row r="4057">
      <c r="M4057" s="25" t="n"/>
      <c r="Q4057" s="25" t="n"/>
      <c r="U4057" s="194" t="n"/>
      <c r="AA4057" s="25" t="n"/>
      <c r="AB4057" s="25" t="n"/>
      <c r="AC4057" s="195" t="n"/>
      <c r="AD4057" s="25" t="n"/>
      <c r="AE4057" s="25" t="n"/>
      <c r="AG4057" s="25" t="n"/>
      <c r="AH4057" s="25" t="n"/>
      <c r="AI4057" s="394" t="n"/>
      <c r="AM4057" s="48" t="n"/>
      <c r="AN4057" s="48" t="n"/>
      <c r="AO4057" s="48" t="n"/>
    </row>
    <row r="4058">
      <c r="M4058" s="25" t="n"/>
      <c r="Q4058" s="25" t="n"/>
      <c r="U4058" s="194" t="n"/>
      <c r="AA4058" s="25" t="n"/>
      <c r="AB4058" s="25" t="n"/>
      <c r="AC4058" s="195" t="n"/>
      <c r="AD4058" s="25" t="n"/>
      <c r="AE4058" s="25" t="n"/>
      <c r="AG4058" s="25" t="n"/>
      <c r="AH4058" s="25" t="n"/>
      <c r="AI4058" s="394" t="n"/>
      <c r="AM4058" s="48" t="n"/>
      <c r="AN4058" s="48" t="n"/>
      <c r="AO4058" s="48" t="n"/>
    </row>
    <row r="4059">
      <c r="M4059" s="25" t="n"/>
      <c r="Q4059" s="25" t="n"/>
      <c r="U4059" s="194" t="n"/>
      <c r="AA4059" s="25" t="n"/>
      <c r="AB4059" s="25" t="n"/>
      <c r="AC4059" s="195" t="n"/>
      <c r="AD4059" s="25" t="n"/>
      <c r="AE4059" s="25" t="n"/>
      <c r="AG4059" s="25" t="n"/>
      <c r="AH4059" s="25" t="n"/>
      <c r="AI4059" s="394" t="n"/>
      <c r="AM4059" s="48" t="n"/>
      <c r="AN4059" s="48" t="n"/>
      <c r="AO4059" s="48" t="n"/>
    </row>
    <row r="4060">
      <c r="M4060" s="25" t="n"/>
      <c r="Q4060" s="25" t="n"/>
      <c r="U4060" s="194" t="n"/>
      <c r="AA4060" s="25" t="n"/>
      <c r="AB4060" s="25" t="n"/>
      <c r="AC4060" s="195" t="n"/>
      <c r="AD4060" s="25" t="n"/>
      <c r="AE4060" s="25" t="n"/>
      <c r="AG4060" s="25" t="n"/>
      <c r="AH4060" s="25" t="n"/>
      <c r="AI4060" s="394" t="n"/>
      <c r="AM4060" s="48" t="n"/>
      <c r="AN4060" s="48" t="n"/>
      <c r="AO4060" s="48" t="n"/>
    </row>
    <row r="4061">
      <c r="M4061" s="25" t="n"/>
      <c r="Q4061" s="25" t="n"/>
      <c r="U4061" s="194" t="n"/>
      <c r="AA4061" s="25" t="n"/>
      <c r="AB4061" s="25" t="n"/>
      <c r="AC4061" s="195" t="n"/>
      <c r="AD4061" s="25" t="n"/>
      <c r="AE4061" s="25" t="n"/>
      <c r="AG4061" s="25" t="n"/>
      <c r="AH4061" s="25" t="n"/>
      <c r="AI4061" s="394" t="n"/>
      <c r="AM4061" s="48" t="n"/>
      <c r="AN4061" s="48" t="n"/>
      <c r="AO4061" s="48" t="n"/>
    </row>
    <row r="4062">
      <c r="M4062" s="25" t="n"/>
      <c r="Q4062" s="25" t="n"/>
      <c r="U4062" s="194" t="n"/>
      <c r="AA4062" s="25" t="n"/>
      <c r="AB4062" s="25" t="n"/>
      <c r="AC4062" s="195" t="n"/>
      <c r="AD4062" s="25" t="n"/>
      <c r="AE4062" s="25" t="n"/>
      <c r="AG4062" s="25" t="n"/>
      <c r="AH4062" s="25" t="n"/>
      <c r="AI4062" s="394" t="n"/>
      <c r="AM4062" s="48" t="n"/>
      <c r="AN4062" s="48" t="n"/>
      <c r="AO4062" s="48" t="n"/>
    </row>
    <row r="4063">
      <c r="M4063" s="25" t="n"/>
      <c r="Q4063" s="25" t="n"/>
      <c r="U4063" s="194" t="n"/>
      <c r="AA4063" s="25" t="n"/>
      <c r="AB4063" s="25" t="n"/>
      <c r="AC4063" s="195" t="n"/>
      <c r="AD4063" s="25" t="n"/>
      <c r="AE4063" s="25" t="n"/>
      <c r="AG4063" s="25" t="n"/>
      <c r="AH4063" s="25" t="n"/>
      <c r="AI4063" s="394" t="n"/>
      <c r="AM4063" s="48" t="n"/>
      <c r="AN4063" s="48" t="n"/>
      <c r="AO4063" s="48" t="n"/>
    </row>
    <row r="4064">
      <c r="M4064" s="25" t="n"/>
      <c r="Q4064" s="25" t="n"/>
      <c r="U4064" s="194" t="n"/>
      <c r="AA4064" s="25" t="n"/>
      <c r="AB4064" s="25" t="n"/>
      <c r="AC4064" s="195" t="n"/>
      <c r="AD4064" s="25" t="n"/>
      <c r="AE4064" s="25" t="n"/>
      <c r="AG4064" s="25" t="n"/>
      <c r="AH4064" s="25" t="n"/>
      <c r="AI4064" s="394" t="n"/>
      <c r="AM4064" s="48" t="n"/>
      <c r="AN4064" s="48" t="n"/>
      <c r="AO4064" s="48" t="n"/>
    </row>
    <row r="4065">
      <c r="M4065" s="25" t="n"/>
      <c r="Q4065" s="25" t="n"/>
      <c r="U4065" s="194" t="n"/>
      <c r="AA4065" s="25" t="n"/>
      <c r="AB4065" s="25" t="n"/>
      <c r="AC4065" s="195" t="n"/>
      <c r="AD4065" s="25" t="n"/>
      <c r="AE4065" s="25" t="n"/>
      <c r="AG4065" s="25" t="n"/>
      <c r="AH4065" s="25" t="n"/>
      <c r="AI4065" s="394" t="n"/>
      <c r="AM4065" s="48" t="n"/>
      <c r="AN4065" s="48" t="n"/>
      <c r="AO4065" s="48" t="n"/>
    </row>
    <row r="4066">
      <c r="M4066" s="25" t="n"/>
      <c r="Q4066" s="25" t="n"/>
      <c r="U4066" s="194" t="n"/>
      <c r="AA4066" s="25" t="n"/>
      <c r="AB4066" s="25" t="n"/>
      <c r="AC4066" s="195" t="n"/>
      <c r="AD4066" s="25" t="n"/>
      <c r="AE4066" s="25" t="n"/>
      <c r="AG4066" s="25" t="n"/>
      <c r="AH4066" s="25" t="n"/>
      <c r="AI4066" s="394" t="n"/>
      <c r="AM4066" s="48" t="n"/>
      <c r="AN4066" s="48" t="n"/>
      <c r="AO4066" s="48" t="n"/>
    </row>
    <row r="4067">
      <c r="M4067" s="25" t="n"/>
      <c r="Q4067" s="25" t="n"/>
      <c r="U4067" s="194" t="n"/>
      <c r="AA4067" s="25" t="n"/>
      <c r="AB4067" s="25" t="n"/>
      <c r="AC4067" s="195" t="n"/>
      <c r="AD4067" s="25" t="n"/>
      <c r="AE4067" s="25" t="n"/>
      <c r="AG4067" s="25" t="n"/>
      <c r="AH4067" s="25" t="n"/>
      <c r="AI4067" s="394" t="n"/>
      <c r="AM4067" s="48" t="n"/>
      <c r="AN4067" s="48" t="n"/>
      <c r="AO4067" s="48" t="n"/>
    </row>
    <row r="4068">
      <c r="M4068" s="25" t="n"/>
      <c r="Q4068" s="25" t="n"/>
      <c r="U4068" s="194" t="n"/>
      <c r="AA4068" s="25" t="n"/>
      <c r="AB4068" s="25" t="n"/>
      <c r="AC4068" s="195" t="n"/>
      <c r="AD4068" s="25" t="n"/>
      <c r="AE4068" s="25" t="n"/>
      <c r="AG4068" s="25" t="n"/>
      <c r="AH4068" s="25" t="n"/>
      <c r="AI4068" s="394" t="n"/>
      <c r="AM4068" s="48" t="n"/>
      <c r="AN4068" s="48" t="n"/>
      <c r="AO4068" s="48" t="n"/>
    </row>
    <row r="4069">
      <c r="M4069" s="25" t="n"/>
      <c r="Q4069" s="25" t="n"/>
      <c r="U4069" s="194" t="n"/>
      <c r="AA4069" s="25" t="n"/>
      <c r="AB4069" s="25" t="n"/>
      <c r="AC4069" s="195" t="n"/>
      <c r="AD4069" s="25" t="n"/>
      <c r="AE4069" s="25" t="n"/>
      <c r="AG4069" s="25" t="n"/>
      <c r="AH4069" s="25" t="n"/>
      <c r="AI4069" s="394" t="n"/>
      <c r="AM4069" s="48" t="n"/>
      <c r="AN4069" s="48" t="n"/>
      <c r="AO4069" s="48" t="n"/>
    </row>
    <row r="4070">
      <c r="M4070" s="25" t="n"/>
      <c r="Q4070" s="25" t="n"/>
      <c r="U4070" s="194" t="n"/>
      <c r="AA4070" s="25" t="n"/>
      <c r="AB4070" s="25" t="n"/>
      <c r="AC4070" s="195" t="n"/>
      <c r="AD4070" s="25" t="n"/>
      <c r="AE4070" s="25" t="n"/>
      <c r="AG4070" s="25" t="n"/>
      <c r="AH4070" s="25" t="n"/>
      <c r="AI4070" s="394" t="n"/>
      <c r="AM4070" s="48" t="n"/>
      <c r="AN4070" s="48" t="n"/>
      <c r="AO4070" s="48" t="n"/>
    </row>
    <row r="4071">
      <c r="M4071" s="25" t="n"/>
      <c r="Q4071" s="25" t="n"/>
      <c r="U4071" s="194" t="n"/>
      <c r="AA4071" s="25" t="n"/>
      <c r="AB4071" s="25" t="n"/>
      <c r="AC4071" s="195" t="n"/>
      <c r="AD4071" s="25" t="n"/>
      <c r="AE4071" s="25" t="n"/>
      <c r="AG4071" s="25" t="n"/>
      <c r="AH4071" s="25" t="n"/>
      <c r="AI4071" s="394" t="n"/>
      <c r="AM4071" s="48" t="n"/>
      <c r="AN4071" s="48" t="n"/>
      <c r="AO4071" s="48" t="n"/>
    </row>
    <row r="4072">
      <c r="M4072" s="25" t="n"/>
      <c r="Q4072" s="25" t="n"/>
      <c r="U4072" s="194" t="n"/>
      <c r="AA4072" s="25" t="n"/>
      <c r="AB4072" s="25" t="n"/>
      <c r="AC4072" s="195" t="n"/>
      <c r="AD4072" s="25" t="n"/>
      <c r="AE4072" s="25" t="n"/>
      <c r="AG4072" s="25" t="n"/>
      <c r="AH4072" s="25" t="n"/>
      <c r="AI4072" s="394" t="n"/>
      <c r="AM4072" s="48" t="n"/>
      <c r="AN4072" s="48" t="n"/>
      <c r="AO4072" s="48" t="n"/>
    </row>
    <row r="4073">
      <c r="M4073" s="25" t="n"/>
      <c r="Q4073" s="25" t="n"/>
      <c r="U4073" s="194" t="n"/>
      <c r="AA4073" s="25" t="n"/>
      <c r="AB4073" s="25" t="n"/>
      <c r="AC4073" s="195" t="n"/>
      <c r="AD4073" s="25" t="n"/>
      <c r="AE4073" s="25" t="n"/>
      <c r="AG4073" s="25" t="n"/>
      <c r="AH4073" s="25" t="n"/>
      <c r="AI4073" s="394" t="n"/>
      <c r="AM4073" s="48" t="n"/>
      <c r="AN4073" s="48" t="n"/>
      <c r="AO4073" s="48" t="n"/>
    </row>
    <row r="4074">
      <c r="M4074" s="25" t="n"/>
      <c r="Q4074" s="25" t="n"/>
      <c r="U4074" s="194" t="n"/>
      <c r="AA4074" s="25" t="n"/>
      <c r="AB4074" s="25" t="n"/>
      <c r="AC4074" s="195" t="n"/>
      <c r="AD4074" s="25" t="n"/>
      <c r="AE4074" s="25" t="n"/>
      <c r="AG4074" s="25" t="n"/>
      <c r="AH4074" s="25" t="n"/>
      <c r="AI4074" s="394" t="n"/>
      <c r="AM4074" s="48" t="n"/>
      <c r="AN4074" s="48" t="n"/>
      <c r="AO4074" s="48" t="n"/>
    </row>
    <row r="4075">
      <c r="M4075" s="25" t="n"/>
      <c r="Q4075" s="25" t="n"/>
      <c r="U4075" s="194" t="n"/>
      <c r="AA4075" s="25" t="n"/>
      <c r="AB4075" s="25" t="n"/>
      <c r="AC4075" s="195" t="n"/>
      <c r="AD4075" s="25" t="n"/>
      <c r="AE4075" s="25" t="n"/>
      <c r="AG4075" s="25" t="n"/>
      <c r="AH4075" s="25" t="n"/>
      <c r="AI4075" s="394" t="n"/>
      <c r="AM4075" s="48" t="n"/>
      <c r="AN4075" s="48" t="n"/>
      <c r="AO4075" s="48" t="n"/>
    </row>
    <row r="4076">
      <c r="M4076" s="25" t="n"/>
      <c r="Q4076" s="25" t="n"/>
      <c r="U4076" s="194" t="n"/>
      <c r="AA4076" s="25" t="n"/>
      <c r="AB4076" s="25" t="n"/>
      <c r="AC4076" s="195" t="n"/>
      <c r="AD4076" s="25" t="n"/>
      <c r="AE4076" s="25" t="n"/>
      <c r="AG4076" s="25" t="n"/>
      <c r="AH4076" s="25" t="n"/>
      <c r="AI4076" s="394" t="n"/>
      <c r="AM4076" s="48" t="n"/>
      <c r="AN4076" s="48" t="n"/>
      <c r="AO4076" s="48" t="n"/>
    </row>
    <row r="4077">
      <c r="M4077" s="25" t="n"/>
      <c r="Q4077" s="25" t="n"/>
      <c r="U4077" s="194" t="n"/>
      <c r="AA4077" s="25" t="n"/>
      <c r="AB4077" s="25" t="n"/>
      <c r="AC4077" s="195" t="n"/>
      <c r="AD4077" s="25" t="n"/>
      <c r="AE4077" s="25" t="n"/>
      <c r="AG4077" s="25" t="n"/>
      <c r="AH4077" s="25" t="n"/>
      <c r="AI4077" s="394" t="n"/>
      <c r="AM4077" s="48" t="n"/>
      <c r="AN4077" s="48" t="n"/>
      <c r="AO4077" s="48" t="n"/>
    </row>
    <row r="4078">
      <c r="M4078" s="25" t="n"/>
      <c r="Q4078" s="25" t="n"/>
      <c r="U4078" s="194" t="n"/>
      <c r="AA4078" s="25" t="n"/>
      <c r="AB4078" s="25" t="n"/>
      <c r="AC4078" s="195" t="n"/>
      <c r="AD4078" s="25" t="n"/>
      <c r="AE4078" s="25" t="n"/>
      <c r="AG4078" s="25" t="n"/>
      <c r="AH4078" s="25" t="n"/>
      <c r="AI4078" s="394" t="n"/>
      <c r="AM4078" s="48" t="n"/>
      <c r="AN4078" s="48" t="n"/>
      <c r="AO4078" s="48" t="n"/>
    </row>
    <row r="4079">
      <c r="M4079" s="25" t="n"/>
      <c r="Q4079" s="25" t="n"/>
      <c r="U4079" s="194" t="n"/>
      <c r="AA4079" s="25" t="n"/>
      <c r="AB4079" s="25" t="n"/>
      <c r="AC4079" s="195" t="n"/>
      <c r="AD4079" s="25" t="n"/>
      <c r="AE4079" s="25" t="n"/>
      <c r="AG4079" s="25" t="n"/>
      <c r="AH4079" s="25" t="n"/>
      <c r="AI4079" s="394" t="n"/>
      <c r="AM4079" s="48" t="n"/>
      <c r="AN4079" s="48" t="n"/>
      <c r="AO4079" s="48" t="n"/>
    </row>
    <row r="4080">
      <c r="M4080" s="25" t="n"/>
      <c r="Q4080" s="25" t="n"/>
      <c r="U4080" s="194" t="n"/>
      <c r="AA4080" s="25" t="n"/>
      <c r="AB4080" s="25" t="n"/>
      <c r="AC4080" s="195" t="n"/>
      <c r="AD4080" s="25" t="n"/>
      <c r="AE4080" s="25" t="n"/>
      <c r="AG4080" s="25" t="n"/>
      <c r="AH4080" s="25" t="n"/>
      <c r="AI4080" s="394" t="n"/>
      <c r="AM4080" s="48" t="n"/>
      <c r="AN4080" s="48" t="n"/>
      <c r="AO4080" s="48" t="n"/>
    </row>
    <row r="4081">
      <c r="M4081" s="25" t="n"/>
      <c r="Q4081" s="25" t="n"/>
      <c r="U4081" s="194" t="n"/>
      <c r="AA4081" s="25" t="n"/>
      <c r="AB4081" s="25" t="n"/>
      <c r="AC4081" s="195" t="n"/>
      <c r="AD4081" s="25" t="n"/>
      <c r="AE4081" s="25" t="n"/>
      <c r="AG4081" s="25" t="n"/>
      <c r="AH4081" s="25" t="n"/>
      <c r="AI4081" s="394" t="n"/>
      <c r="AM4081" s="48" t="n"/>
      <c r="AN4081" s="48" t="n"/>
      <c r="AO4081" s="48" t="n"/>
    </row>
    <row r="4082">
      <c r="M4082" s="25" t="n"/>
      <c r="Q4082" s="25" t="n"/>
      <c r="U4082" s="194" t="n"/>
      <c r="AA4082" s="25" t="n"/>
      <c r="AB4082" s="25" t="n"/>
      <c r="AC4082" s="195" t="n"/>
      <c r="AD4082" s="25" t="n"/>
      <c r="AE4082" s="25" t="n"/>
      <c r="AG4082" s="25" t="n"/>
      <c r="AH4082" s="25" t="n"/>
      <c r="AI4082" s="394" t="n"/>
      <c r="AM4082" s="48" t="n"/>
      <c r="AN4082" s="48" t="n"/>
      <c r="AO4082" s="48" t="n"/>
    </row>
    <row r="4083">
      <c r="M4083" s="25" t="n"/>
      <c r="Q4083" s="25" t="n"/>
      <c r="U4083" s="194" t="n"/>
      <c r="AA4083" s="25" t="n"/>
      <c r="AB4083" s="25" t="n"/>
      <c r="AC4083" s="195" t="n"/>
      <c r="AD4083" s="25" t="n"/>
      <c r="AE4083" s="25" t="n"/>
      <c r="AG4083" s="25" t="n"/>
      <c r="AH4083" s="25" t="n"/>
      <c r="AI4083" s="394" t="n"/>
      <c r="AM4083" s="48" t="n"/>
      <c r="AN4083" s="48" t="n"/>
      <c r="AO4083" s="48" t="n"/>
    </row>
    <row r="4084">
      <c r="M4084" s="25" t="n"/>
      <c r="Q4084" s="25" t="n"/>
      <c r="U4084" s="194" t="n"/>
      <c r="AA4084" s="25" t="n"/>
      <c r="AB4084" s="25" t="n"/>
      <c r="AC4084" s="195" t="n"/>
      <c r="AD4084" s="25" t="n"/>
      <c r="AE4084" s="25" t="n"/>
      <c r="AG4084" s="25" t="n"/>
      <c r="AH4084" s="25" t="n"/>
      <c r="AI4084" s="394" t="n"/>
      <c r="AM4084" s="48" t="n"/>
      <c r="AN4084" s="48" t="n"/>
      <c r="AO4084" s="48" t="n"/>
    </row>
    <row r="4085">
      <c r="M4085" s="25" t="n"/>
      <c r="Q4085" s="25" t="n"/>
      <c r="U4085" s="194" t="n"/>
      <c r="AA4085" s="25" t="n"/>
      <c r="AB4085" s="25" t="n"/>
      <c r="AC4085" s="195" t="n"/>
      <c r="AD4085" s="25" t="n"/>
      <c r="AE4085" s="25" t="n"/>
      <c r="AG4085" s="25" t="n"/>
      <c r="AH4085" s="25" t="n"/>
      <c r="AI4085" s="394" t="n"/>
      <c r="AM4085" s="48" t="n"/>
      <c r="AN4085" s="48" t="n"/>
      <c r="AO4085" s="48" t="n"/>
    </row>
    <row r="4086">
      <c r="M4086" s="25" t="n"/>
      <c r="Q4086" s="25" t="n"/>
      <c r="U4086" s="194" t="n"/>
      <c r="AA4086" s="25" t="n"/>
      <c r="AB4086" s="25" t="n"/>
      <c r="AC4086" s="195" t="n"/>
      <c r="AD4086" s="25" t="n"/>
      <c r="AE4086" s="25" t="n"/>
      <c r="AG4086" s="25" t="n"/>
      <c r="AH4086" s="25" t="n"/>
      <c r="AI4086" s="394" t="n"/>
      <c r="AM4086" s="48" t="n"/>
      <c r="AN4086" s="48" t="n"/>
      <c r="AO4086" s="48" t="n"/>
    </row>
    <row r="4087">
      <c r="M4087" s="25" t="n"/>
      <c r="Q4087" s="25" t="n"/>
      <c r="U4087" s="194" t="n"/>
      <c r="AA4087" s="25" t="n"/>
      <c r="AB4087" s="25" t="n"/>
      <c r="AC4087" s="195" t="n"/>
      <c r="AD4087" s="25" t="n"/>
      <c r="AE4087" s="25" t="n"/>
      <c r="AG4087" s="25" t="n"/>
      <c r="AH4087" s="25" t="n"/>
      <c r="AI4087" s="394" t="n"/>
      <c r="AM4087" s="48" t="n"/>
      <c r="AN4087" s="48" t="n"/>
      <c r="AO4087" s="48" t="n"/>
    </row>
    <row r="4088">
      <c r="M4088" s="25" t="n"/>
      <c r="Q4088" s="25" t="n"/>
      <c r="U4088" s="194" t="n"/>
      <c r="AA4088" s="25" t="n"/>
      <c r="AB4088" s="25" t="n"/>
      <c r="AC4088" s="195" t="n"/>
      <c r="AD4088" s="25" t="n"/>
      <c r="AE4088" s="25" t="n"/>
      <c r="AG4088" s="25" t="n"/>
      <c r="AH4088" s="25" t="n"/>
      <c r="AI4088" s="394" t="n"/>
      <c r="AM4088" s="48" t="n"/>
      <c r="AN4088" s="48" t="n"/>
      <c r="AO4088" s="48" t="n"/>
    </row>
    <row r="4089">
      <c r="M4089" s="25" t="n"/>
      <c r="Q4089" s="25" t="n"/>
      <c r="U4089" s="194" t="n"/>
      <c r="AA4089" s="25" t="n"/>
      <c r="AB4089" s="25" t="n"/>
      <c r="AC4089" s="195" t="n"/>
      <c r="AD4089" s="25" t="n"/>
      <c r="AE4089" s="25" t="n"/>
      <c r="AG4089" s="25" t="n"/>
      <c r="AH4089" s="25" t="n"/>
      <c r="AI4089" s="394" t="n"/>
      <c r="AM4089" s="48" t="n"/>
      <c r="AN4089" s="48" t="n"/>
      <c r="AO4089" s="48" t="n"/>
    </row>
    <row r="4090">
      <c r="M4090" s="25" t="n"/>
      <c r="Q4090" s="25" t="n"/>
      <c r="U4090" s="194" t="n"/>
      <c r="AA4090" s="25" t="n"/>
      <c r="AB4090" s="25" t="n"/>
      <c r="AC4090" s="195" t="n"/>
      <c r="AD4090" s="25" t="n"/>
      <c r="AE4090" s="25" t="n"/>
      <c r="AG4090" s="25" t="n"/>
      <c r="AH4090" s="25" t="n"/>
      <c r="AI4090" s="394" t="n"/>
      <c r="AM4090" s="48" t="n"/>
      <c r="AN4090" s="48" t="n"/>
      <c r="AO4090" s="48" t="n"/>
    </row>
    <row r="4091">
      <c r="M4091" s="25" t="n"/>
      <c r="Q4091" s="25" t="n"/>
      <c r="U4091" s="194" t="n"/>
      <c r="AA4091" s="25" t="n"/>
      <c r="AB4091" s="25" t="n"/>
      <c r="AC4091" s="195" t="n"/>
      <c r="AD4091" s="25" t="n"/>
      <c r="AE4091" s="25" t="n"/>
      <c r="AG4091" s="25" t="n"/>
      <c r="AH4091" s="25" t="n"/>
      <c r="AI4091" s="394" t="n"/>
      <c r="AM4091" s="48" t="n"/>
      <c r="AN4091" s="48" t="n"/>
      <c r="AO4091" s="48" t="n"/>
    </row>
    <row r="4092">
      <c r="M4092" s="25" t="n"/>
      <c r="Q4092" s="25" t="n"/>
      <c r="U4092" s="194" t="n"/>
      <c r="AA4092" s="25" t="n"/>
      <c r="AB4092" s="25" t="n"/>
      <c r="AC4092" s="195" t="n"/>
      <c r="AD4092" s="25" t="n"/>
      <c r="AE4092" s="25" t="n"/>
      <c r="AG4092" s="25" t="n"/>
      <c r="AH4092" s="25" t="n"/>
      <c r="AI4092" s="394" t="n"/>
      <c r="AM4092" s="48" t="n"/>
      <c r="AN4092" s="48" t="n"/>
      <c r="AO4092" s="48" t="n"/>
    </row>
    <row r="4093">
      <c r="M4093" s="25" t="n"/>
      <c r="Q4093" s="25" t="n"/>
      <c r="U4093" s="194" t="n"/>
      <c r="AA4093" s="25" t="n"/>
      <c r="AB4093" s="25" t="n"/>
      <c r="AC4093" s="195" t="n"/>
      <c r="AD4093" s="25" t="n"/>
      <c r="AE4093" s="25" t="n"/>
      <c r="AG4093" s="25" t="n"/>
      <c r="AH4093" s="25" t="n"/>
      <c r="AI4093" s="394" t="n"/>
      <c r="AM4093" s="48" t="n"/>
      <c r="AN4093" s="48" t="n"/>
      <c r="AO4093" s="48" t="n"/>
    </row>
    <row r="4094">
      <c r="M4094" s="25" t="n"/>
      <c r="Q4094" s="25" t="n"/>
      <c r="U4094" s="194" t="n"/>
      <c r="AA4094" s="25" t="n"/>
      <c r="AB4094" s="25" t="n"/>
      <c r="AC4094" s="195" t="n"/>
      <c r="AD4094" s="25" t="n"/>
      <c r="AE4094" s="25" t="n"/>
      <c r="AG4094" s="25" t="n"/>
      <c r="AH4094" s="25" t="n"/>
      <c r="AI4094" s="394" t="n"/>
      <c r="AM4094" s="48" t="n"/>
      <c r="AN4094" s="48" t="n"/>
      <c r="AO4094" s="48" t="n"/>
    </row>
    <row r="4095">
      <c r="M4095" s="25" t="n"/>
      <c r="Q4095" s="25" t="n"/>
      <c r="U4095" s="194" t="n"/>
      <c r="AA4095" s="25" t="n"/>
      <c r="AB4095" s="25" t="n"/>
      <c r="AC4095" s="195" t="n"/>
      <c r="AD4095" s="25" t="n"/>
      <c r="AE4095" s="25" t="n"/>
      <c r="AG4095" s="25" t="n"/>
      <c r="AH4095" s="25" t="n"/>
      <c r="AI4095" s="394" t="n"/>
      <c r="AM4095" s="48" t="n"/>
      <c r="AN4095" s="48" t="n"/>
      <c r="AO4095" s="48" t="n"/>
    </row>
    <row r="4096">
      <c r="M4096" s="25" t="n"/>
      <c r="Q4096" s="25" t="n"/>
      <c r="U4096" s="194" t="n"/>
      <c r="AA4096" s="25" t="n"/>
      <c r="AB4096" s="25" t="n"/>
      <c r="AC4096" s="195" t="n"/>
      <c r="AD4096" s="25" t="n"/>
      <c r="AE4096" s="25" t="n"/>
      <c r="AG4096" s="25" t="n"/>
      <c r="AH4096" s="25" t="n"/>
      <c r="AI4096" s="394" t="n"/>
      <c r="AM4096" s="48" t="n"/>
      <c r="AN4096" s="48" t="n"/>
      <c r="AO4096" s="48" t="n"/>
    </row>
    <row r="4097">
      <c r="M4097" s="25" t="n"/>
      <c r="Q4097" s="25" t="n"/>
      <c r="U4097" s="194" t="n"/>
      <c r="AA4097" s="25" t="n"/>
      <c r="AB4097" s="25" t="n"/>
      <c r="AC4097" s="195" t="n"/>
      <c r="AD4097" s="25" t="n"/>
      <c r="AE4097" s="25" t="n"/>
      <c r="AG4097" s="25" t="n"/>
      <c r="AH4097" s="25" t="n"/>
      <c r="AI4097" s="394" t="n"/>
      <c r="AM4097" s="48" t="n"/>
      <c r="AN4097" s="48" t="n"/>
      <c r="AO4097" s="48" t="n"/>
    </row>
    <row r="4098">
      <c r="M4098" s="25" t="n"/>
      <c r="Q4098" s="25" t="n"/>
      <c r="U4098" s="194" t="n"/>
      <c r="AA4098" s="25" t="n"/>
      <c r="AB4098" s="25" t="n"/>
      <c r="AC4098" s="195" t="n"/>
      <c r="AD4098" s="25" t="n"/>
      <c r="AE4098" s="25" t="n"/>
      <c r="AG4098" s="25" t="n"/>
      <c r="AH4098" s="25" t="n"/>
      <c r="AI4098" s="394" t="n"/>
      <c r="AM4098" s="48" t="n"/>
      <c r="AN4098" s="48" t="n"/>
      <c r="AO4098" s="48" t="n"/>
    </row>
    <row r="4099">
      <c r="M4099" s="25" t="n"/>
      <c r="Q4099" s="25" t="n"/>
      <c r="U4099" s="194" t="n"/>
      <c r="AA4099" s="25" t="n"/>
      <c r="AB4099" s="25" t="n"/>
      <c r="AC4099" s="195" t="n"/>
      <c r="AD4099" s="25" t="n"/>
      <c r="AE4099" s="25" t="n"/>
      <c r="AG4099" s="25" t="n"/>
      <c r="AH4099" s="25" t="n"/>
      <c r="AI4099" s="394" t="n"/>
      <c r="AM4099" s="48" t="n"/>
      <c r="AN4099" s="48" t="n"/>
      <c r="AO4099" s="48" t="n"/>
    </row>
    <row r="4100">
      <c r="M4100" s="25" t="n"/>
      <c r="Q4100" s="25" t="n"/>
      <c r="U4100" s="194" t="n"/>
      <c r="AA4100" s="25" t="n"/>
      <c r="AB4100" s="25" t="n"/>
      <c r="AC4100" s="195" t="n"/>
      <c r="AD4100" s="25" t="n"/>
      <c r="AE4100" s="25" t="n"/>
      <c r="AG4100" s="25" t="n"/>
      <c r="AH4100" s="25" t="n"/>
      <c r="AI4100" s="394" t="n"/>
      <c r="AM4100" s="48" t="n"/>
      <c r="AN4100" s="48" t="n"/>
      <c r="AO4100" s="48" t="n"/>
    </row>
    <row r="4101">
      <c r="M4101" s="25" t="n"/>
      <c r="Q4101" s="25" t="n"/>
      <c r="U4101" s="194" t="n"/>
      <c r="AA4101" s="25" t="n"/>
      <c r="AB4101" s="25" t="n"/>
      <c r="AC4101" s="195" t="n"/>
      <c r="AD4101" s="25" t="n"/>
      <c r="AE4101" s="25" t="n"/>
      <c r="AG4101" s="25" t="n"/>
      <c r="AH4101" s="25" t="n"/>
      <c r="AI4101" s="394" t="n"/>
      <c r="AM4101" s="48" t="n"/>
      <c r="AN4101" s="48" t="n"/>
      <c r="AO4101" s="48" t="n"/>
    </row>
    <row r="4102">
      <c r="M4102" s="25" t="n"/>
      <c r="Q4102" s="25" t="n"/>
      <c r="U4102" s="194" t="n"/>
      <c r="AA4102" s="25" t="n"/>
      <c r="AB4102" s="25" t="n"/>
      <c r="AC4102" s="195" t="n"/>
      <c r="AD4102" s="25" t="n"/>
      <c r="AE4102" s="25" t="n"/>
      <c r="AG4102" s="25" t="n"/>
      <c r="AH4102" s="25" t="n"/>
      <c r="AI4102" s="394" t="n"/>
      <c r="AM4102" s="48" t="n"/>
      <c r="AN4102" s="48" t="n"/>
      <c r="AO4102" s="48" t="n"/>
    </row>
    <row r="4103">
      <c r="M4103" s="25" t="n"/>
      <c r="Q4103" s="25" t="n"/>
      <c r="U4103" s="194" t="n"/>
      <c r="AA4103" s="25" t="n"/>
      <c r="AB4103" s="25" t="n"/>
      <c r="AC4103" s="195" t="n"/>
      <c r="AD4103" s="25" t="n"/>
      <c r="AE4103" s="25" t="n"/>
      <c r="AG4103" s="25" t="n"/>
      <c r="AH4103" s="25" t="n"/>
      <c r="AI4103" s="394" t="n"/>
      <c r="AM4103" s="48" t="n"/>
      <c r="AN4103" s="48" t="n"/>
      <c r="AO4103" s="48" t="n"/>
    </row>
    <row r="4104">
      <c r="M4104" s="25" t="n"/>
      <c r="Q4104" s="25" t="n"/>
      <c r="U4104" s="194" t="n"/>
      <c r="AA4104" s="25" t="n"/>
      <c r="AB4104" s="25" t="n"/>
      <c r="AC4104" s="195" t="n"/>
      <c r="AD4104" s="25" t="n"/>
      <c r="AE4104" s="25" t="n"/>
      <c r="AG4104" s="25" t="n"/>
      <c r="AH4104" s="25" t="n"/>
      <c r="AI4104" s="394" t="n"/>
      <c r="AM4104" s="48" t="n"/>
      <c r="AN4104" s="48" t="n"/>
      <c r="AO4104" s="48" t="n"/>
    </row>
    <row r="4105">
      <c r="M4105" s="25" t="n"/>
      <c r="Q4105" s="25" t="n"/>
      <c r="U4105" s="194" t="n"/>
      <c r="AA4105" s="25" t="n"/>
      <c r="AB4105" s="25" t="n"/>
      <c r="AC4105" s="195" t="n"/>
      <c r="AD4105" s="25" t="n"/>
      <c r="AE4105" s="25" t="n"/>
      <c r="AG4105" s="25" t="n"/>
      <c r="AH4105" s="25" t="n"/>
      <c r="AI4105" s="394" t="n"/>
      <c r="AM4105" s="48" t="n"/>
      <c r="AN4105" s="48" t="n"/>
      <c r="AO4105" s="48" t="n"/>
    </row>
    <row r="4106">
      <c r="M4106" s="25" t="n"/>
      <c r="Q4106" s="25" t="n"/>
      <c r="U4106" s="194" t="n"/>
      <c r="AA4106" s="25" t="n"/>
      <c r="AB4106" s="25" t="n"/>
      <c r="AC4106" s="195" t="n"/>
      <c r="AD4106" s="25" t="n"/>
      <c r="AE4106" s="25" t="n"/>
      <c r="AG4106" s="25" t="n"/>
      <c r="AH4106" s="25" t="n"/>
      <c r="AI4106" s="394" t="n"/>
      <c r="AM4106" s="48" t="n"/>
      <c r="AN4106" s="48" t="n"/>
      <c r="AO4106" s="48" t="n"/>
    </row>
    <row r="4107">
      <c r="M4107" s="25" t="n"/>
      <c r="Q4107" s="25" t="n"/>
      <c r="U4107" s="194" t="n"/>
      <c r="AA4107" s="25" t="n"/>
      <c r="AB4107" s="25" t="n"/>
      <c r="AC4107" s="195" t="n"/>
      <c r="AD4107" s="25" t="n"/>
      <c r="AE4107" s="25" t="n"/>
      <c r="AG4107" s="25" t="n"/>
      <c r="AH4107" s="25" t="n"/>
      <c r="AI4107" s="394" t="n"/>
      <c r="AM4107" s="48" t="n"/>
      <c r="AN4107" s="48" t="n"/>
      <c r="AO4107" s="48" t="n"/>
    </row>
    <row r="4108">
      <c r="M4108" s="25" t="n"/>
      <c r="Q4108" s="25" t="n"/>
      <c r="U4108" s="194" t="n"/>
      <c r="AA4108" s="25" t="n"/>
      <c r="AB4108" s="25" t="n"/>
      <c r="AC4108" s="195" t="n"/>
      <c r="AD4108" s="25" t="n"/>
      <c r="AE4108" s="25" t="n"/>
      <c r="AG4108" s="25" t="n"/>
      <c r="AH4108" s="25" t="n"/>
      <c r="AI4108" s="394" t="n"/>
      <c r="AM4108" s="48" t="n"/>
      <c r="AN4108" s="48" t="n"/>
      <c r="AO4108" s="48" t="n"/>
    </row>
    <row r="4109">
      <c r="M4109" s="25" t="n"/>
      <c r="Q4109" s="25" t="n"/>
      <c r="U4109" s="194" t="n"/>
      <c r="AA4109" s="25" t="n"/>
      <c r="AB4109" s="25" t="n"/>
      <c r="AC4109" s="195" t="n"/>
      <c r="AD4109" s="25" t="n"/>
      <c r="AE4109" s="25" t="n"/>
      <c r="AG4109" s="25" t="n"/>
      <c r="AH4109" s="25" t="n"/>
      <c r="AI4109" s="394" t="n"/>
      <c r="AM4109" s="48" t="n"/>
      <c r="AN4109" s="48" t="n"/>
      <c r="AO4109" s="48" t="n"/>
    </row>
    <row r="4110">
      <c r="M4110" s="25" t="n"/>
      <c r="Q4110" s="25" t="n"/>
      <c r="U4110" s="194" t="n"/>
      <c r="AA4110" s="25" t="n"/>
      <c r="AB4110" s="25" t="n"/>
      <c r="AC4110" s="195" t="n"/>
      <c r="AD4110" s="25" t="n"/>
      <c r="AE4110" s="25" t="n"/>
      <c r="AG4110" s="25" t="n"/>
      <c r="AH4110" s="25" t="n"/>
      <c r="AI4110" s="394" t="n"/>
      <c r="AM4110" s="48" t="n"/>
      <c r="AN4110" s="48" t="n"/>
      <c r="AO4110" s="48" t="n"/>
    </row>
    <row r="4111">
      <c r="M4111" s="25" t="n"/>
      <c r="Q4111" s="25" t="n"/>
      <c r="U4111" s="194" t="n"/>
      <c r="AA4111" s="25" t="n"/>
      <c r="AB4111" s="25" t="n"/>
      <c r="AC4111" s="195" t="n"/>
      <c r="AD4111" s="25" t="n"/>
      <c r="AE4111" s="25" t="n"/>
      <c r="AG4111" s="25" t="n"/>
      <c r="AH4111" s="25" t="n"/>
      <c r="AI4111" s="394" t="n"/>
      <c r="AM4111" s="48" t="n"/>
      <c r="AN4111" s="48" t="n"/>
      <c r="AO4111" s="48" t="n"/>
    </row>
    <row r="4112">
      <c r="M4112" s="25" t="n"/>
      <c r="Q4112" s="25" t="n"/>
      <c r="U4112" s="194" t="n"/>
      <c r="AA4112" s="25" t="n"/>
      <c r="AB4112" s="25" t="n"/>
      <c r="AC4112" s="195" t="n"/>
      <c r="AD4112" s="25" t="n"/>
      <c r="AE4112" s="25" t="n"/>
      <c r="AG4112" s="25" t="n"/>
      <c r="AH4112" s="25" t="n"/>
      <c r="AI4112" s="394" t="n"/>
      <c r="AM4112" s="48" t="n"/>
      <c r="AN4112" s="48" t="n"/>
      <c r="AO4112" s="48" t="n"/>
    </row>
    <row r="4113">
      <c r="M4113" s="25" t="n"/>
      <c r="Q4113" s="25" t="n"/>
      <c r="U4113" s="194" t="n"/>
      <c r="AA4113" s="25" t="n"/>
      <c r="AB4113" s="25" t="n"/>
      <c r="AC4113" s="195" t="n"/>
      <c r="AD4113" s="25" t="n"/>
      <c r="AE4113" s="25" t="n"/>
      <c r="AG4113" s="25" t="n"/>
      <c r="AH4113" s="25" t="n"/>
      <c r="AI4113" s="394" t="n"/>
      <c r="AM4113" s="48" t="n"/>
      <c r="AN4113" s="48" t="n"/>
      <c r="AO4113" s="48" t="n"/>
    </row>
    <row r="4114">
      <c r="M4114" s="25" t="n"/>
      <c r="Q4114" s="25" t="n"/>
      <c r="U4114" s="194" t="n"/>
      <c r="AA4114" s="25" t="n"/>
      <c r="AB4114" s="25" t="n"/>
      <c r="AC4114" s="195" t="n"/>
      <c r="AD4114" s="25" t="n"/>
      <c r="AE4114" s="25" t="n"/>
      <c r="AG4114" s="25" t="n"/>
      <c r="AH4114" s="25" t="n"/>
      <c r="AI4114" s="394" t="n"/>
      <c r="AM4114" s="48" t="n"/>
      <c r="AN4114" s="48" t="n"/>
      <c r="AO4114" s="48" t="n"/>
    </row>
    <row r="4115">
      <c r="M4115" s="25" t="n"/>
      <c r="Q4115" s="25" t="n"/>
      <c r="U4115" s="194" t="n"/>
      <c r="AA4115" s="25" t="n"/>
      <c r="AB4115" s="25" t="n"/>
      <c r="AC4115" s="195" t="n"/>
      <c r="AD4115" s="25" t="n"/>
      <c r="AE4115" s="25" t="n"/>
      <c r="AG4115" s="25" t="n"/>
      <c r="AH4115" s="25" t="n"/>
      <c r="AI4115" s="394" t="n"/>
      <c r="AM4115" s="48" t="n"/>
      <c r="AN4115" s="48" t="n"/>
      <c r="AO4115" s="48" t="n"/>
    </row>
    <row r="4116">
      <c r="M4116" s="25" t="n"/>
      <c r="Q4116" s="25" t="n"/>
      <c r="U4116" s="194" t="n"/>
      <c r="AA4116" s="25" t="n"/>
      <c r="AB4116" s="25" t="n"/>
      <c r="AC4116" s="195" t="n"/>
      <c r="AD4116" s="25" t="n"/>
      <c r="AE4116" s="25" t="n"/>
      <c r="AG4116" s="25" t="n"/>
      <c r="AH4116" s="25" t="n"/>
      <c r="AI4116" s="394" t="n"/>
      <c r="AM4116" s="48" t="n"/>
      <c r="AN4116" s="48" t="n"/>
      <c r="AO4116" s="48" t="n"/>
    </row>
    <row r="4117">
      <c r="M4117" s="25" t="n"/>
      <c r="Q4117" s="25" t="n"/>
      <c r="U4117" s="194" t="n"/>
      <c r="AA4117" s="25" t="n"/>
      <c r="AB4117" s="25" t="n"/>
      <c r="AC4117" s="195" t="n"/>
      <c r="AD4117" s="25" t="n"/>
      <c r="AE4117" s="25" t="n"/>
      <c r="AG4117" s="25" t="n"/>
      <c r="AH4117" s="25" t="n"/>
      <c r="AI4117" s="394" t="n"/>
      <c r="AM4117" s="48" t="n"/>
      <c r="AN4117" s="48" t="n"/>
      <c r="AO4117" s="48" t="n"/>
    </row>
    <row r="4118">
      <c r="M4118" s="25" t="n"/>
      <c r="Q4118" s="25" t="n"/>
      <c r="U4118" s="194" t="n"/>
      <c r="AA4118" s="25" t="n"/>
      <c r="AB4118" s="25" t="n"/>
      <c r="AC4118" s="195" t="n"/>
      <c r="AD4118" s="25" t="n"/>
      <c r="AE4118" s="25" t="n"/>
      <c r="AG4118" s="25" t="n"/>
      <c r="AH4118" s="25" t="n"/>
      <c r="AI4118" s="394" t="n"/>
      <c r="AM4118" s="48" t="n"/>
      <c r="AN4118" s="48" t="n"/>
      <c r="AO4118" s="48" t="n"/>
    </row>
    <row r="4119">
      <c r="M4119" s="25" t="n"/>
      <c r="Q4119" s="25" t="n"/>
      <c r="U4119" s="194" t="n"/>
      <c r="AA4119" s="25" t="n"/>
      <c r="AB4119" s="25" t="n"/>
      <c r="AC4119" s="195" t="n"/>
      <c r="AD4119" s="25" t="n"/>
      <c r="AE4119" s="25" t="n"/>
      <c r="AG4119" s="25" t="n"/>
      <c r="AH4119" s="25" t="n"/>
      <c r="AI4119" s="394" t="n"/>
      <c r="AM4119" s="48" t="n"/>
      <c r="AN4119" s="48" t="n"/>
      <c r="AO4119" s="48" t="n"/>
    </row>
    <row r="4120">
      <c r="M4120" s="25" t="n"/>
      <c r="Q4120" s="25" t="n"/>
      <c r="U4120" s="194" t="n"/>
      <c r="AA4120" s="25" t="n"/>
      <c r="AB4120" s="25" t="n"/>
      <c r="AC4120" s="195" t="n"/>
      <c r="AD4120" s="25" t="n"/>
      <c r="AE4120" s="25" t="n"/>
      <c r="AG4120" s="25" t="n"/>
      <c r="AH4120" s="25" t="n"/>
      <c r="AI4120" s="394" t="n"/>
      <c r="AM4120" s="48" t="n"/>
      <c r="AN4120" s="48" t="n"/>
      <c r="AO4120" s="48" t="n"/>
    </row>
    <row r="4121">
      <c r="M4121" s="25" t="n"/>
      <c r="Q4121" s="25" t="n"/>
      <c r="U4121" s="194" t="n"/>
      <c r="AA4121" s="25" t="n"/>
      <c r="AB4121" s="25" t="n"/>
      <c r="AC4121" s="195" t="n"/>
      <c r="AD4121" s="25" t="n"/>
      <c r="AE4121" s="25" t="n"/>
      <c r="AG4121" s="25" t="n"/>
      <c r="AH4121" s="25" t="n"/>
      <c r="AI4121" s="394" t="n"/>
      <c r="AM4121" s="48" t="n"/>
      <c r="AN4121" s="48" t="n"/>
      <c r="AO4121" s="48" t="n"/>
    </row>
    <row r="4122">
      <c r="M4122" s="25" t="n"/>
      <c r="Q4122" s="25" t="n"/>
      <c r="U4122" s="194" t="n"/>
      <c r="AA4122" s="25" t="n"/>
      <c r="AB4122" s="25" t="n"/>
      <c r="AC4122" s="195" t="n"/>
      <c r="AD4122" s="25" t="n"/>
      <c r="AE4122" s="25" t="n"/>
      <c r="AG4122" s="25" t="n"/>
      <c r="AH4122" s="25" t="n"/>
      <c r="AI4122" s="394" t="n"/>
      <c r="AM4122" s="48" t="n"/>
      <c r="AN4122" s="48" t="n"/>
      <c r="AO4122" s="48" t="n"/>
    </row>
    <row r="4123">
      <c r="M4123" s="25" t="n"/>
      <c r="Q4123" s="25" t="n"/>
      <c r="U4123" s="194" t="n"/>
      <c r="AA4123" s="25" t="n"/>
      <c r="AB4123" s="25" t="n"/>
      <c r="AC4123" s="195" t="n"/>
      <c r="AD4123" s="25" t="n"/>
      <c r="AE4123" s="25" t="n"/>
      <c r="AG4123" s="25" t="n"/>
      <c r="AH4123" s="25" t="n"/>
      <c r="AI4123" s="394" t="n"/>
      <c r="AM4123" s="48" t="n"/>
      <c r="AN4123" s="48" t="n"/>
      <c r="AO4123" s="48" t="n"/>
    </row>
    <row r="4124">
      <c r="M4124" s="25" t="n"/>
      <c r="Q4124" s="25" t="n"/>
      <c r="U4124" s="194" t="n"/>
      <c r="AA4124" s="25" t="n"/>
      <c r="AB4124" s="25" t="n"/>
      <c r="AC4124" s="195" t="n"/>
      <c r="AD4124" s="25" t="n"/>
      <c r="AE4124" s="25" t="n"/>
      <c r="AG4124" s="25" t="n"/>
      <c r="AH4124" s="25" t="n"/>
      <c r="AI4124" s="394" t="n"/>
      <c r="AM4124" s="48" t="n"/>
      <c r="AN4124" s="48" t="n"/>
      <c r="AO4124" s="48" t="n"/>
    </row>
    <row r="4125">
      <c r="M4125" s="25" t="n"/>
      <c r="Q4125" s="25" t="n"/>
      <c r="U4125" s="194" t="n"/>
      <c r="AA4125" s="25" t="n"/>
      <c r="AB4125" s="25" t="n"/>
      <c r="AC4125" s="195" t="n"/>
      <c r="AD4125" s="25" t="n"/>
      <c r="AE4125" s="25" t="n"/>
      <c r="AG4125" s="25" t="n"/>
      <c r="AH4125" s="25" t="n"/>
      <c r="AI4125" s="394" t="n"/>
      <c r="AM4125" s="48" t="n"/>
      <c r="AN4125" s="48" t="n"/>
      <c r="AO4125" s="48" t="n"/>
    </row>
    <row r="4126">
      <c r="M4126" s="25" t="n"/>
      <c r="Q4126" s="25" t="n"/>
      <c r="U4126" s="194" t="n"/>
      <c r="AA4126" s="25" t="n"/>
      <c r="AB4126" s="25" t="n"/>
      <c r="AC4126" s="195" t="n"/>
      <c r="AD4126" s="25" t="n"/>
      <c r="AE4126" s="25" t="n"/>
      <c r="AG4126" s="25" t="n"/>
      <c r="AH4126" s="25" t="n"/>
      <c r="AI4126" s="394" t="n"/>
      <c r="AM4126" s="48" t="n"/>
      <c r="AN4126" s="48" t="n"/>
      <c r="AO4126" s="48" t="n"/>
    </row>
    <row r="4127">
      <c r="M4127" s="25" t="n"/>
      <c r="Q4127" s="25" t="n"/>
      <c r="U4127" s="194" t="n"/>
      <c r="AA4127" s="25" t="n"/>
      <c r="AB4127" s="25" t="n"/>
      <c r="AC4127" s="195" t="n"/>
      <c r="AD4127" s="25" t="n"/>
      <c r="AE4127" s="25" t="n"/>
      <c r="AG4127" s="25" t="n"/>
      <c r="AH4127" s="25" t="n"/>
      <c r="AI4127" s="394" t="n"/>
      <c r="AM4127" s="48" t="n"/>
      <c r="AN4127" s="48" t="n"/>
      <c r="AO4127" s="48" t="n"/>
    </row>
    <row r="4128">
      <c r="M4128" s="25" t="n"/>
      <c r="Q4128" s="25" t="n"/>
      <c r="U4128" s="194" t="n"/>
      <c r="AA4128" s="25" t="n"/>
      <c r="AB4128" s="25" t="n"/>
      <c r="AC4128" s="195" t="n"/>
      <c r="AD4128" s="25" t="n"/>
      <c r="AE4128" s="25" t="n"/>
      <c r="AG4128" s="25" t="n"/>
      <c r="AH4128" s="25" t="n"/>
      <c r="AI4128" s="394" t="n"/>
      <c r="AM4128" s="48" t="n"/>
      <c r="AN4128" s="48" t="n"/>
      <c r="AO4128" s="48" t="n"/>
    </row>
    <row r="4129">
      <c r="M4129" s="25" t="n"/>
      <c r="Q4129" s="25" t="n"/>
      <c r="U4129" s="194" t="n"/>
      <c r="AA4129" s="25" t="n"/>
      <c r="AB4129" s="25" t="n"/>
      <c r="AC4129" s="195" t="n"/>
      <c r="AD4129" s="25" t="n"/>
      <c r="AE4129" s="25" t="n"/>
      <c r="AG4129" s="25" t="n"/>
      <c r="AH4129" s="25" t="n"/>
      <c r="AI4129" s="394" t="n"/>
      <c r="AM4129" s="48" t="n"/>
      <c r="AN4129" s="48" t="n"/>
      <c r="AO4129" s="48" t="n"/>
    </row>
    <row r="4130">
      <c r="M4130" s="25" t="n"/>
      <c r="Q4130" s="25" t="n"/>
      <c r="U4130" s="194" t="n"/>
      <c r="AA4130" s="25" t="n"/>
      <c r="AB4130" s="25" t="n"/>
      <c r="AC4130" s="195" t="n"/>
      <c r="AD4130" s="25" t="n"/>
      <c r="AE4130" s="25" t="n"/>
      <c r="AG4130" s="25" t="n"/>
      <c r="AH4130" s="25" t="n"/>
      <c r="AI4130" s="394" t="n"/>
      <c r="AM4130" s="48" t="n"/>
      <c r="AN4130" s="48" t="n"/>
      <c r="AO4130" s="48" t="n"/>
    </row>
    <row r="4131">
      <c r="M4131" s="25" t="n"/>
      <c r="Q4131" s="25" t="n"/>
      <c r="U4131" s="194" t="n"/>
      <c r="AA4131" s="25" t="n"/>
      <c r="AB4131" s="25" t="n"/>
      <c r="AC4131" s="195" t="n"/>
      <c r="AD4131" s="25" t="n"/>
      <c r="AE4131" s="25" t="n"/>
      <c r="AG4131" s="25" t="n"/>
      <c r="AH4131" s="25" t="n"/>
      <c r="AI4131" s="394" t="n"/>
      <c r="AM4131" s="48" t="n"/>
      <c r="AN4131" s="48" t="n"/>
      <c r="AO4131" s="48" t="n"/>
    </row>
    <row r="4132">
      <c r="M4132" s="25" t="n"/>
      <c r="Q4132" s="25" t="n"/>
      <c r="U4132" s="194" t="n"/>
      <c r="AA4132" s="25" t="n"/>
      <c r="AB4132" s="25" t="n"/>
      <c r="AC4132" s="195" t="n"/>
      <c r="AD4132" s="25" t="n"/>
      <c r="AE4132" s="25" t="n"/>
      <c r="AG4132" s="25" t="n"/>
      <c r="AH4132" s="25" t="n"/>
      <c r="AI4132" s="394" t="n"/>
      <c r="AM4132" s="48" t="n"/>
      <c r="AN4132" s="48" t="n"/>
      <c r="AO4132" s="48" t="n"/>
    </row>
    <row r="4133">
      <c r="M4133" s="25" t="n"/>
      <c r="Q4133" s="25" t="n"/>
      <c r="U4133" s="194" t="n"/>
      <c r="AA4133" s="25" t="n"/>
      <c r="AB4133" s="25" t="n"/>
      <c r="AC4133" s="195" t="n"/>
      <c r="AD4133" s="25" t="n"/>
      <c r="AE4133" s="25" t="n"/>
      <c r="AG4133" s="25" t="n"/>
      <c r="AH4133" s="25" t="n"/>
      <c r="AI4133" s="394" t="n"/>
      <c r="AM4133" s="48" t="n"/>
      <c r="AN4133" s="48" t="n"/>
      <c r="AO4133" s="48" t="n"/>
    </row>
    <row r="4134">
      <c r="M4134" s="25" t="n"/>
      <c r="Q4134" s="25" t="n"/>
      <c r="U4134" s="194" t="n"/>
      <c r="AA4134" s="25" t="n"/>
      <c r="AB4134" s="25" t="n"/>
      <c r="AC4134" s="195" t="n"/>
      <c r="AD4134" s="25" t="n"/>
      <c r="AE4134" s="25" t="n"/>
      <c r="AG4134" s="25" t="n"/>
      <c r="AH4134" s="25" t="n"/>
      <c r="AI4134" s="394" t="n"/>
      <c r="AM4134" s="48" t="n"/>
      <c r="AN4134" s="48" t="n"/>
      <c r="AO4134" s="48" t="n"/>
    </row>
    <row r="4135">
      <c r="M4135" s="25" t="n"/>
      <c r="Q4135" s="25" t="n"/>
      <c r="U4135" s="194" t="n"/>
      <c r="AA4135" s="25" t="n"/>
      <c r="AB4135" s="25" t="n"/>
      <c r="AC4135" s="195" t="n"/>
      <c r="AD4135" s="25" t="n"/>
      <c r="AE4135" s="25" t="n"/>
      <c r="AG4135" s="25" t="n"/>
      <c r="AH4135" s="25" t="n"/>
      <c r="AI4135" s="394" t="n"/>
      <c r="AM4135" s="48" t="n"/>
      <c r="AN4135" s="48" t="n"/>
      <c r="AO4135" s="48" t="n"/>
    </row>
    <row r="4136">
      <c r="M4136" s="25" t="n"/>
      <c r="Q4136" s="25" t="n"/>
      <c r="U4136" s="194" t="n"/>
      <c r="AA4136" s="25" t="n"/>
      <c r="AB4136" s="25" t="n"/>
      <c r="AC4136" s="195" t="n"/>
      <c r="AD4136" s="25" t="n"/>
      <c r="AE4136" s="25" t="n"/>
      <c r="AG4136" s="25" t="n"/>
      <c r="AH4136" s="25" t="n"/>
      <c r="AI4136" s="394" t="n"/>
      <c r="AM4136" s="48" t="n"/>
      <c r="AN4136" s="48" t="n"/>
      <c r="AO4136" s="48" t="n"/>
    </row>
    <row r="4137">
      <c r="M4137" s="25" t="n"/>
      <c r="Q4137" s="25" t="n"/>
      <c r="U4137" s="194" t="n"/>
      <c r="AA4137" s="25" t="n"/>
      <c r="AB4137" s="25" t="n"/>
      <c r="AC4137" s="195" t="n"/>
      <c r="AD4137" s="25" t="n"/>
      <c r="AE4137" s="25" t="n"/>
      <c r="AG4137" s="25" t="n"/>
      <c r="AH4137" s="25" t="n"/>
      <c r="AI4137" s="394" t="n"/>
      <c r="AM4137" s="48" t="n"/>
      <c r="AN4137" s="48" t="n"/>
      <c r="AO4137" s="48" t="n"/>
    </row>
    <row r="4138">
      <c r="M4138" s="25" t="n"/>
      <c r="Q4138" s="25" t="n"/>
      <c r="U4138" s="194" t="n"/>
      <c r="AA4138" s="25" t="n"/>
      <c r="AB4138" s="25" t="n"/>
      <c r="AC4138" s="195" t="n"/>
      <c r="AD4138" s="25" t="n"/>
      <c r="AE4138" s="25" t="n"/>
      <c r="AG4138" s="25" t="n"/>
      <c r="AH4138" s="25" t="n"/>
      <c r="AI4138" s="394" t="n"/>
      <c r="AM4138" s="48" t="n"/>
      <c r="AN4138" s="48" t="n"/>
      <c r="AO4138" s="48" t="n"/>
    </row>
    <row r="4139">
      <c r="M4139" s="25" t="n"/>
      <c r="Q4139" s="25" t="n"/>
      <c r="U4139" s="194" t="n"/>
      <c r="AA4139" s="25" t="n"/>
      <c r="AB4139" s="25" t="n"/>
      <c r="AC4139" s="195" t="n"/>
      <c r="AD4139" s="25" t="n"/>
      <c r="AE4139" s="25" t="n"/>
      <c r="AG4139" s="25" t="n"/>
      <c r="AH4139" s="25" t="n"/>
      <c r="AI4139" s="394" t="n"/>
      <c r="AM4139" s="48" t="n"/>
      <c r="AN4139" s="48" t="n"/>
      <c r="AO4139" s="48" t="n"/>
    </row>
    <row r="4140">
      <c r="M4140" s="25" t="n"/>
      <c r="Q4140" s="25" t="n"/>
      <c r="U4140" s="194" t="n"/>
      <c r="AA4140" s="25" t="n"/>
      <c r="AB4140" s="25" t="n"/>
      <c r="AC4140" s="195" t="n"/>
      <c r="AD4140" s="25" t="n"/>
      <c r="AE4140" s="25" t="n"/>
      <c r="AG4140" s="25" t="n"/>
      <c r="AH4140" s="25" t="n"/>
      <c r="AI4140" s="394" t="n"/>
      <c r="AM4140" s="48" t="n"/>
      <c r="AN4140" s="48" t="n"/>
      <c r="AO4140" s="48" t="n"/>
    </row>
    <row r="4141">
      <c r="M4141" s="25" t="n"/>
      <c r="Q4141" s="25" t="n"/>
      <c r="U4141" s="194" t="n"/>
      <c r="AA4141" s="25" t="n"/>
      <c r="AB4141" s="25" t="n"/>
      <c r="AC4141" s="195" t="n"/>
      <c r="AD4141" s="25" t="n"/>
      <c r="AE4141" s="25" t="n"/>
      <c r="AG4141" s="25" t="n"/>
      <c r="AH4141" s="25" t="n"/>
      <c r="AI4141" s="394" t="n"/>
      <c r="AM4141" s="48" t="n"/>
      <c r="AN4141" s="48" t="n"/>
      <c r="AO4141" s="48" t="n"/>
    </row>
    <row r="4142">
      <c r="M4142" s="25" t="n"/>
      <c r="Q4142" s="25" t="n"/>
      <c r="U4142" s="194" t="n"/>
      <c r="AA4142" s="25" t="n"/>
      <c r="AB4142" s="25" t="n"/>
      <c r="AC4142" s="195" t="n"/>
      <c r="AD4142" s="25" t="n"/>
      <c r="AE4142" s="25" t="n"/>
      <c r="AG4142" s="25" t="n"/>
      <c r="AH4142" s="25" t="n"/>
      <c r="AI4142" s="394" t="n"/>
      <c r="AM4142" s="48" t="n"/>
      <c r="AN4142" s="48" t="n"/>
      <c r="AO4142" s="48" t="n"/>
    </row>
    <row r="4143">
      <c r="M4143" s="25" t="n"/>
      <c r="Q4143" s="25" t="n"/>
      <c r="U4143" s="194" t="n"/>
      <c r="AA4143" s="25" t="n"/>
      <c r="AB4143" s="25" t="n"/>
      <c r="AC4143" s="195" t="n"/>
      <c r="AD4143" s="25" t="n"/>
      <c r="AE4143" s="25" t="n"/>
      <c r="AG4143" s="25" t="n"/>
      <c r="AH4143" s="25" t="n"/>
      <c r="AI4143" s="394" t="n"/>
      <c r="AM4143" s="48" t="n"/>
      <c r="AN4143" s="48" t="n"/>
      <c r="AO4143" s="48" t="n"/>
    </row>
    <row r="4144">
      <c r="M4144" s="25" t="n"/>
      <c r="Q4144" s="25" t="n"/>
      <c r="U4144" s="194" t="n"/>
      <c r="AA4144" s="25" t="n"/>
      <c r="AB4144" s="25" t="n"/>
      <c r="AC4144" s="195" t="n"/>
      <c r="AD4144" s="25" t="n"/>
      <c r="AE4144" s="25" t="n"/>
      <c r="AG4144" s="25" t="n"/>
      <c r="AH4144" s="25" t="n"/>
      <c r="AI4144" s="394" t="n"/>
      <c r="AM4144" s="48" t="n"/>
      <c r="AN4144" s="48" t="n"/>
      <c r="AO4144" s="48" t="n"/>
    </row>
    <row r="4145">
      <c r="M4145" s="25" t="n"/>
      <c r="Q4145" s="25" t="n"/>
      <c r="U4145" s="194" t="n"/>
      <c r="AA4145" s="25" t="n"/>
      <c r="AB4145" s="25" t="n"/>
      <c r="AC4145" s="195" t="n"/>
      <c r="AD4145" s="25" t="n"/>
      <c r="AE4145" s="25" t="n"/>
      <c r="AG4145" s="25" t="n"/>
      <c r="AH4145" s="25" t="n"/>
      <c r="AI4145" s="394" t="n"/>
      <c r="AM4145" s="48" t="n"/>
      <c r="AN4145" s="48" t="n"/>
      <c r="AO4145" s="48" t="n"/>
    </row>
    <row r="4146">
      <c r="M4146" s="25" t="n"/>
      <c r="Q4146" s="25" t="n"/>
      <c r="U4146" s="194" t="n"/>
      <c r="AA4146" s="25" t="n"/>
      <c r="AB4146" s="25" t="n"/>
      <c r="AC4146" s="195" t="n"/>
      <c r="AD4146" s="25" t="n"/>
      <c r="AE4146" s="25" t="n"/>
      <c r="AG4146" s="25" t="n"/>
      <c r="AH4146" s="25" t="n"/>
      <c r="AI4146" s="394" t="n"/>
      <c r="AM4146" s="48" t="n"/>
      <c r="AN4146" s="48" t="n"/>
      <c r="AO4146" s="48" t="n"/>
    </row>
    <row r="4147">
      <c r="M4147" s="25" t="n"/>
      <c r="Q4147" s="25" t="n"/>
      <c r="U4147" s="194" t="n"/>
      <c r="AA4147" s="25" t="n"/>
      <c r="AB4147" s="25" t="n"/>
      <c r="AC4147" s="195" t="n"/>
      <c r="AD4147" s="25" t="n"/>
      <c r="AE4147" s="25" t="n"/>
      <c r="AG4147" s="25" t="n"/>
      <c r="AH4147" s="25" t="n"/>
      <c r="AI4147" s="394" t="n"/>
      <c r="AM4147" s="48" t="n"/>
      <c r="AN4147" s="48" t="n"/>
      <c r="AO4147" s="48" t="n"/>
    </row>
    <row r="4148">
      <c r="M4148" s="25" t="n"/>
      <c r="Q4148" s="25" t="n"/>
      <c r="U4148" s="194" t="n"/>
      <c r="AA4148" s="25" t="n"/>
      <c r="AB4148" s="25" t="n"/>
      <c r="AC4148" s="195" t="n"/>
      <c r="AD4148" s="25" t="n"/>
      <c r="AE4148" s="25" t="n"/>
      <c r="AG4148" s="25" t="n"/>
      <c r="AH4148" s="25" t="n"/>
      <c r="AI4148" s="394" t="n"/>
      <c r="AM4148" s="48" t="n"/>
      <c r="AN4148" s="48" t="n"/>
      <c r="AO4148" s="48" t="n"/>
    </row>
    <row r="4149">
      <c r="M4149" s="25" t="n"/>
      <c r="Q4149" s="25" t="n"/>
      <c r="U4149" s="194" t="n"/>
      <c r="AA4149" s="25" t="n"/>
      <c r="AB4149" s="25" t="n"/>
      <c r="AC4149" s="195" t="n"/>
      <c r="AD4149" s="25" t="n"/>
      <c r="AE4149" s="25" t="n"/>
      <c r="AG4149" s="25" t="n"/>
      <c r="AH4149" s="25" t="n"/>
      <c r="AI4149" s="394" t="n"/>
      <c r="AM4149" s="48" t="n"/>
      <c r="AN4149" s="48" t="n"/>
      <c r="AO4149" s="48" t="n"/>
    </row>
    <row r="4150">
      <c r="M4150" s="25" t="n"/>
      <c r="Q4150" s="25" t="n"/>
      <c r="U4150" s="194" t="n"/>
      <c r="AA4150" s="25" t="n"/>
      <c r="AB4150" s="25" t="n"/>
      <c r="AC4150" s="195" t="n"/>
      <c r="AD4150" s="25" t="n"/>
      <c r="AE4150" s="25" t="n"/>
      <c r="AG4150" s="25" t="n"/>
      <c r="AH4150" s="25" t="n"/>
      <c r="AI4150" s="394" t="n"/>
      <c r="AM4150" s="48" t="n"/>
      <c r="AN4150" s="48" t="n"/>
      <c r="AO4150" s="48" t="n"/>
    </row>
    <row r="4151">
      <c r="M4151" s="25" t="n"/>
      <c r="Q4151" s="25" t="n"/>
      <c r="U4151" s="194" t="n"/>
      <c r="AA4151" s="25" t="n"/>
      <c r="AB4151" s="25" t="n"/>
      <c r="AC4151" s="195" t="n"/>
      <c r="AD4151" s="25" t="n"/>
      <c r="AE4151" s="25" t="n"/>
      <c r="AG4151" s="25" t="n"/>
      <c r="AH4151" s="25" t="n"/>
      <c r="AI4151" s="394" t="n"/>
      <c r="AM4151" s="48" t="n"/>
      <c r="AN4151" s="48" t="n"/>
      <c r="AO4151" s="48" t="n"/>
    </row>
    <row r="4152">
      <c r="M4152" s="25" t="n"/>
      <c r="Q4152" s="25" t="n"/>
      <c r="U4152" s="194" t="n"/>
      <c r="AA4152" s="25" t="n"/>
      <c r="AB4152" s="25" t="n"/>
      <c r="AC4152" s="195" t="n"/>
      <c r="AD4152" s="25" t="n"/>
      <c r="AE4152" s="25" t="n"/>
      <c r="AG4152" s="25" t="n"/>
      <c r="AH4152" s="25" t="n"/>
      <c r="AI4152" s="394" t="n"/>
      <c r="AM4152" s="48" t="n"/>
      <c r="AN4152" s="48" t="n"/>
      <c r="AO4152" s="48" t="n"/>
    </row>
    <row r="4153">
      <c r="M4153" s="25" t="n"/>
      <c r="Q4153" s="25" t="n"/>
      <c r="U4153" s="194" t="n"/>
      <c r="AA4153" s="25" t="n"/>
      <c r="AB4153" s="25" t="n"/>
      <c r="AC4153" s="195" t="n"/>
      <c r="AD4153" s="25" t="n"/>
      <c r="AE4153" s="25" t="n"/>
      <c r="AG4153" s="25" t="n"/>
      <c r="AH4153" s="25" t="n"/>
      <c r="AI4153" s="394" t="n"/>
      <c r="AM4153" s="48" t="n"/>
      <c r="AN4153" s="48" t="n"/>
      <c r="AO4153" s="48" t="n"/>
    </row>
    <row r="4154">
      <c r="M4154" s="25" t="n"/>
      <c r="Q4154" s="25" t="n"/>
      <c r="U4154" s="194" t="n"/>
      <c r="AA4154" s="25" t="n"/>
      <c r="AB4154" s="25" t="n"/>
      <c r="AC4154" s="195" t="n"/>
      <c r="AD4154" s="25" t="n"/>
      <c r="AE4154" s="25" t="n"/>
      <c r="AG4154" s="25" t="n"/>
      <c r="AH4154" s="25" t="n"/>
      <c r="AI4154" s="394" t="n"/>
      <c r="AM4154" s="48" t="n"/>
      <c r="AN4154" s="48" t="n"/>
      <c r="AO4154" s="48" t="n"/>
    </row>
    <row r="4155">
      <c r="M4155" s="25" t="n"/>
      <c r="Q4155" s="25" t="n"/>
      <c r="U4155" s="194" t="n"/>
      <c r="AA4155" s="25" t="n"/>
      <c r="AB4155" s="25" t="n"/>
      <c r="AC4155" s="195" t="n"/>
      <c r="AD4155" s="25" t="n"/>
      <c r="AE4155" s="25" t="n"/>
      <c r="AG4155" s="25" t="n"/>
      <c r="AH4155" s="25" t="n"/>
      <c r="AI4155" s="394" t="n"/>
      <c r="AM4155" s="48" t="n"/>
      <c r="AN4155" s="48" t="n"/>
      <c r="AO4155" s="48" t="n"/>
    </row>
    <row r="4156">
      <c r="M4156" s="25" t="n"/>
      <c r="Q4156" s="25" t="n"/>
      <c r="U4156" s="194" t="n"/>
      <c r="AA4156" s="25" t="n"/>
      <c r="AB4156" s="25" t="n"/>
      <c r="AC4156" s="195" t="n"/>
      <c r="AD4156" s="25" t="n"/>
      <c r="AE4156" s="25" t="n"/>
      <c r="AG4156" s="25" t="n"/>
      <c r="AH4156" s="25" t="n"/>
      <c r="AI4156" s="394" t="n"/>
      <c r="AM4156" s="48" t="n"/>
      <c r="AN4156" s="48" t="n"/>
      <c r="AO4156" s="48" t="n"/>
    </row>
    <row r="4157">
      <c r="M4157" s="25" t="n"/>
      <c r="Q4157" s="25" t="n"/>
      <c r="U4157" s="194" t="n"/>
      <c r="AA4157" s="25" t="n"/>
      <c r="AB4157" s="25" t="n"/>
      <c r="AC4157" s="195" t="n"/>
      <c r="AD4157" s="25" t="n"/>
      <c r="AE4157" s="25" t="n"/>
      <c r="AG4157" s="25" t="n"/>
      <c r="AH4157" s="25" t="n"/>
      <c r="AI4157" s="394" t="n"/>
      <c r="AM4157" s="48" t="n"/>
      <c r="AN4157" s="48" t="n"/>
      <c r="AO4157" s="48" t="n"/>
    </row>
    <row r="4158">
      <c r="M4158" s="25" t="n"/>
      <c r="Q4158" s="25" t="n"/>
      <c r="U4158" s="194" t="n"/>
      <c r="AA4158" s="25" t="n"/>
      <c r="AB4158" s="25" t="n"/>
      <c r="AC4158" s="195" t="n"/>
      <c r="AD4158" s="25" t="n"/>
      <c r="AE4158" s="25" t="n"/>
      <c r="AG4158" s="25" t="n"/>
      <c r="AH4158" s="25" t="n"/>
      <c r="AI4158" s="394" t="n"/>
      <c r="AM4158" s="48" t="n"/>
      <c r="AN4158" s="48" t="n"/>
      <c r="AO4158" s="48" t="n"/>
    </row>
    <row r="4159">
      <c r="M4159" s="25" t="n"/>
      <c r="Q4159" s="25" t="n"/>
      <c r="U4159" s="194" t="n"/>
      <c r="AA4159" s="25" t="n"/>
      <c r="AB4159" s="25" t="n"/>
      <c r="AC4159" s="195" t="n"/>
      <c r="AD4159" s="25" t="n"/>
      <c r="AE4159" s="25" t="n"/>
      <c r="AG4159" s="25" t="n"/>
      <c r="AH4159" s="25" t="n"/>
      <c r="AI4159" s="394" t="n"/>
      <c r="AM4159" s="48" t="n"/>
      <c r="AN4159" s="48" t="n"/>
      <c r="AO4159" s="48" t="n"/>
    </row>
    <row r="4160">
      <c r="M4160" s="25" t="n"/>
      <c r="Q4160" s="25" t="n"/>
      <c r="U4160" s="194" t="n"/>
      <c r="AA4160" s="25" t="n"/>
      <c r="AB4160" s="25" t="n"/>
      <c r="AC4160" s="195" t="n"/>
      <c r="AD4160" s="25" t="n"/>
      <c r="AE4160" s="25" t="n"/>
      <c r="AG4160" s="25" t="n"/>
      <c r="AH4160" s="25" t="n"/>
      <c r="AI4160" s="394" t="n"/>
      <c r="AM4160" s="48" t="n"/>
      <c r="AN4160" s="48" t="n"/>
      <c r="AO4160" s="48" t="n"/>
    </row>
    <row r="4161">
      <c r="M4161" s="25" t="n"/>
      <c r="Q4161" s="25" t="n"/>
      <c r="U4161" s="194" t="n"/>
      <c r="AA4161" s="25" t="n"/>
      <c r="AB4161" s="25" t="n"/>
      <c r="AC4161" s="195" t="n"/>
      <c r="AD4161" s="25" t="n"/>
      <c r="AE4161" s="25" t="n"/>
      <c r="AG4161" s="25" t="n"/>
      <c r="AH4161" s="25" t="n"/>
      <c r="AI4161" s="394" t="n"/>
      <c r="AM4161" s="48" t="n"/>
      <c r="AN4161" s="48" t="n"/>
      <c r="AO4161" s="48" t="n"/>
    </row>
    <row r="4162">
      <c r="M4162" s="25" t="n"/>
      <c r="Q4162" s="25" t="n"/>
      <c r="U4162" s="194" t="n"/>
      <c r="AA4162" s="25" t="n"/>
      <c r="AB4162" s="25" t="n"/>
      <c r="AC4162" s="195" t="n"/>
      <c r="AD4162" s="25" t="n"/>
      <c r="AE4162" s="25" t="n"/>
      <c r="AG4162" s="25" t="n"/>
      <c r="AH4162" s="25" t="n"/>
      <c r="AI4162" s="394" t="n"/>
      <c r="AM4162" s="48" t="n"/>
      <c r="AN4162" s="48" t="n"/>
      <c r="AO4162" s="48" t="n"/>
    </row>
    <row r="4163">
      <c r="M4163" s="25" t="n"/>
      <c r="Q4163" s="25" t="n"/>
      <c r="U4163" s="194" t="n"/>
      <c r="AA4163" s="25" t="n"/>
      <c r="AB4163" s="25" t="n"/>
      <c r="AC4163" s="195" t="n"/>
      <c r="AD4163" s="25" t="n"/>
      <c r="AE4163" s="25" t="n"/>
      <c r="AG4163" s="25" t="n"/>
      <c r="AH4163" s="25" t="n"/>
      <c r="AI4163" s="394" t="n"/>
      <c r="AM4163" s="48" t="n"/>
      <c r="AN4163" s="48" t="n"/>
      <c r="AO4163" s="48" t="n"/>
    </row>
    <row r="4164">
      <c r="M4164" s="25" t="n"/>
      <c r="Q4164" s="25" t="n"/>
      <c r="U4164" s="194" t="n"/>
      <c r="AA4164" s="25" t="n"/>
      <c r="AB4164" s="25" t="n"/>
      <c r="AC4164" s="195" t="n"/>
      <c r="AD4164" s="25" t="n"/>
      <c r="AE4164" s="25" t="n"/>
      <c r="AG4164" s="25" t="n"/>
      <c r="AH4164" s="25" t="n"/>
      <c r="AI4164" s="394" t="n"/>
      <c r="AM4164" s="48" t="n"/>
      <c r="AN4164" s="48" t="n"/>
      <c r="AO4164" s="48" t="n"/>
    </row>
    <row r="4165">
      <c r="M4165" s="25" t="n"/>
      <c r="Q4165" s="25" t="n"/>
      <c r="U4165" s="194" t="n"/>
      <c r="AA4165" s="25" t="n"/>
      <c r="AB4165" s="25" t="n"/>
      <c r="AC4165" s="195" t="n"/>
      <c r="AD4165" s="25" t="n"/>
      <c r="AE4165" s="25" t="n"/>
      <c r="AG4165" s="25" t="n"/>
      <c r="AH4165" s="25" t="n"/>
      <c r="AI4165" s="394" t="n"/>
      <c r="AM4165" s="48" t="n"/>
      <c r="AN4165" s="48" t="n"/>
      <c r="AO4165" s="48" t="n"/>
    </row>
    <row r="4166">
      <c r="M4166" s="25" t="n"/>
      <c r="Q4166" s="25" t="n"/>
      <c r="U4166" s="194" t="n"/>
      <c r="AA4166" s="25" t="n"/>
      <c r="AB4166" s="25" t="n"/>
      <c r="AC4166" s="195" t="n"/>
      <c r="AD4166" s="25" t="n"/>
      <c r="AE4166" s="25" t="n"/>
      <c r="AG4166" s="25" t="n"/>
      <c r="AH4166" s="25" t="n"/>
      <c r="AI4166" s="394" t="n"/>
      <c r="AM4166" s="48" t="n"/>
      <c r="AN4166" s="48" t="n"/>
      <c r="AO4166" s="48" t="n"/>
    </row>
    <row r="4167">
      <c r="M4167" s="25" t="n"/>
      <c r="Q4167" s="25" t="n"/>
      <c r="U4167" s="194" t="n"/>
      <c r="AA4167" s="25" t="n"/>
      <c r="AB4167" s="25" t="n"/>
      <c r="AC4167" s="195" t="n"/>
      <c r="AD4167" s="25" t="n"/>
      <c r="AE4167" s="25" t="n"/>
      <c r="AG4167" s="25" t="n"/>
      <c r="AH4167" s="25" t="n"/>
      <c r="AI4167" s="394" t="n"/>
      <c r="AM4167" s="48" t="n"/>
      <c r="AN4167" s="48" t="n"/>
      <c r="AO4167" s="48" t="n"/>
    </row>
    <row r="4168">
      <c r="M4168" s="25" t="n"/>
      <c r="Q4168" s="25" t="n"/>
      <c r="U4168" s="194" t="n"/>
      <c r="AA4168" s="25" t="n"/>
      <c r="AB4168" s="25" t="n"/>
      <c r="AC4168" s="195" t="n"/>
      <c r="AD4168" s="25" t="n"/>
      <c r="AE4168" s="25" t="n"/>
      <c r="AG4168" s="25" t="n"/>
      <c r="AH4168" s="25" t="n"/>
      <c r="AI4168" s="394" t="n"/>
      <c r="AM4168" s="48" t="n"/>
      <c r="AN4168" s="48" t="n"/>
      <c r="AO4168" s="48" t="n"/>
    </row>
    <row r="4169">
      <c r="M4169" s="25" t="n"/>
      <c r="Q4169" s="25" t="n"/>
      <c r="U4169" s="194" t="n"/>
      <c r="AA4169" s="25" t="n"/>
      <c r="AB4169" s="25" t="n"/>
      <c r="AC4169" s="195" t="n"/>
      <c r="AD4169" s="25" t="n"/>
      <c r="AE4169" s="25" t="n"/>
      <c r="AG4169" s="25" t="n"/>
      <c r="AH4169" s="25" t="n"/>
      <c r="AI4169" s="394" t="n"/>
      <c r="AM4169" s="48" t="n"/>
      <c r="AN4169" s="48" t="n"/>
      <c r="AO4169" s="48" t="n"/>
    </row>
    <row r="4170">
      <c r="M4170" s="25" t="n"/>
      <c r="Q4170" s="25" t="n"/>
      <c r="U4170" s="194" t="n"/>
      <c r="AA4170" s="25" t="n"/>
      <c r="AB4170" s="25" t="n"/>
      <c r="AC4170" s="195" t="n"/>
      <c r="AD4170" s="25" t="n"/>
      <c r="AE4170" s="25" t="n"/>
      <c r="AG4170" s="25" t="n"/>
      <c r="AH4170" s="25" t="n"/>
      <c r="AI4170" s="394" t="n"/>
      <c r="AM4170" s="48" t="n"/>
      <c r="AN4170" s="48" t="n"/>
      <c r="AO4170" s="48" t="n"/>
    </row>
    <row r="4171">
      <c r="M4171" s="25" t="n"/>
      <c r="Q4171" s="25" t="n"/>
      <c r="U4171" s="194" t="n"/>
      <c r="AA4171" s="25" t="n"/>
      <c r="AB4171" s="25" t="n"/>
      <c r="AC4171" s="195" t="n"/>
      <c r="AD4171" s="25" t="n"/>
      <c r="AE4171" s="25" t="n"/>
      <c r="AG4171" s="25" t="n"/>
      <c r="AH4171" s="25" t="n"/>
      <c r="AI4171" s="394" t="n"/>
      <c r="AM4171" s="48" t="n"/>
      <c r="AN4171" s="48" t="n"/>
      <c r="AO4171" s="48" t="n"/>
    </row>
    <row r="4172">
      <c r="M4172" s="25" t="n"/>
      <c r="Q4172" s="25" t="n"/>
      <c r="U4172" s="194" t="n"/>
      <c r="AA4172" s="25" t="n"/>
      <c r="AB4172" s="25" t="n"/>
      <c r="AC4172" s="195" t="n"/>
      <c r="AD4172" s="25" t="n"/>
      <c r="AE4172" s="25" t="n"/>
      <c r="AG4172" s="25" t="n"/>
      <c r="AH4172" s="25" t="n"/>
      <c r="AI4172" s="394" t="n"/>
      <c r="AM4172" s="48" t="n"/>
      <c r="AN4172" s="48" t="n"/>
      <c r="AO4172" s="48" t="n"/>
    </row>
    <row r="4173">
      <c r="M4173" s="25" t="n"/>
      <c r="Q4173" s="25" t="n"/>
      <c r="U4173" s="194" t="n"/>
      <c r="AA4173" s="25" t="n"/>
      <c r="AB4173" s="25" t="n"/>
      <c r="AC4173" s="195" t="n"/>
      <c r="AD4173" s="25" t="n"/>
      <c r="AE4173" s="25" t="n"/>
      <c r="AG4173" s="25" t="n"/>
      <c r="AH4173" s="25" t="n"/>
      <c r="AI4173" s="394" t="n"/>
      <c r="AM4173" s="48" t="n"/>
      <c r="AN4173" s="48" t="n"/>
      <c r="AO4173" s="48" t="n"/>
    </row>
    <row r="4174">
      <c r="M4174" s="25" t="n"/>
      <c r="Q4174" s="25" t="n"/>
      <c r="U4174" s="194" t="n"/>
      <c r="AA4174" s="25" t="n"/>
      <c r="AB4174" s="25" t="n"/>
      <c r="AC4174" s="195" t="n"/>
      <c r="AD4174" s="25" t="n"/>
      <c r="AE4174" s="25" t="n"/>
      <c r="AG4174" s="25" t="n"/>
      <c r="AH4174" s="25" t="n"/>
      <c r="AI4174" s="394" t="n"/>
      <c r="AM4174" s="48" t="n"/>
      <c r="AN4174" s="48" t="n"/>
      <c r="AO4174" s="48" t="n"/>
    </row>
    <row r="4175">
      <c r="M4175" s="25" t="n"/>
      <c r="Q4175" s="25" t="n"/>
      <c r="U4175" s="194" t="n"/>
      <c r="AA4175" s="25" t="n"/>
      <c r="AB4175" s="25" t="n"/>
      <c r="AC4175" s="195" t="n"/>
      <c r="AD4175" s="25" t="n"/>
      <c r="AE4175" s="25" t="n"/>
      <c r="AG4175" s="25" t="n"/>
      <c r="AH4175" s="25" t="n"/>
      <c r="AI4175" s="394" t="n"/>
      <c r="AM4175" s="48" t="n"/>
      <c r="AN4175" s="48" t="n"/>
      <c r="AO4175" s="48" t="n"/>
    </row>
    <row r="4176">
      <c r="M4176" s="25" t="n"/>
      <c r="Q4176" s="25" t="n"/>
      <c r="U4176" s="194" t="n"/>
      <c r="AA4176" s="25" t="n"/>
      <c r="AB4176" s="25" t="n"/>
      <c r="AC4176" s="195" t="n"/>
      <c r="AD4176" s="25" t="n"/>
      <c r="AE4176" s="25" t="n"/>
      <c r="AG4176" s="25" t="n"/>
      <c r="AH4176" s="25" t="n"/>
      <c r="AI4176" s="394" t="n"/>
      <c r="AM4176" s="48" t="n"/>
      <c r="AN4176" s="48" t="n"/>
      <c r="AO4176" s="48" t="n"/>
    </row>
    <row r="4177">
      <c r="M4177" s="25" t="n"/>
      <c r="Q4177" s="25" t="n"/>
      <c r="U4177" s="194" t="n"/>
      <c r="AA4177" s="25" t="n"/>
      <c r="AB4177" s="25" t="n"/>
      <c r="AC4177" s="195" t="n"/>
      <c r="AD4177" s="25" t="n"/>
      <c r="AE4177" s="25" t="n"/>
      <c r="AG4177" s="25" t="n"/>
      <c r="AH4177" s="25" t="n"/>
      <c r="AI4177" s="394" t="n"/>
      <c r="AM4177" s="48" t="n"/>
      <c r="AN4177" s="48" t="n"/>
      <c r="AO4177" s="48" t="n"/>
    </row>
    <row r="4178">
      <c r="M4178" s="25" t="n"/>
      <c r="Q4178" s="25" t="n"/>
      <c r="U4178" s="194" t="n"/>
      <c r="AA4178" s="25" t="n"/>
      <c r="AB4178" s="25" t="n"/>
      <c r="AC4178" s="195" t="n"/>
      <c r="AD4178" s="25" t="n"/>
      <c r="AE4178" s="25" t="n"/>
      <c r="AG4178" s="25" t="n"/>
      <c r="AH4178" s="25" t="n"/>
      <c r="AI4178" s="394" t="n"/>
      <c r="AM4178" s="48" t="n"/>
      <c r="AN4178" s="48" t="n"/>
      <c r="AO4178" s="48" t="n"/>
    </row>
    <row r="4179">
      <c r="M4179" s="25" t="n"/>
      <c r="Q4179" s="25" t="n"/>
      <c r="U4179" s="194" t="n"/>
      <c r="AA4179" s="25" t="n"/>
      <c r="AB4179" s="25" t="n"/>
      <c r="AC4179" s="195" t="n"/>
      <c r="AD4179" s="25" t="n"/>
      <c r="AE4179" s="25" t="n"/>
      <c r="AG4179" s="25" t="n"/>
      <c r="AH4179" s="25" t="n"/>
      <c r="AI4179" s="394" t="n"/>
      <c r="AM4179" s="48" t="n"/>
      <c r="AN4179" s="48" t="n"/>
      <c r="AO4179" s="48" t="n"/>
    </row>
    <row r="4180">
      <c r="M4180" s="25" t="n"/>
      <c r="Q4180" s="25" t="n"/>
      <c r="U4180" s="194" t="n"/>
      <c r="AA4180" s="25" t="n"/>
      <c r="AB4180" s="25" t="n"/>
      <c r="AC4180" s="195" t="n"/>
      <c r="AD4180" s="25" t="n"/>
      <c r="AE4180" s="25" t="n"/>
      <c r="AG4180" s="25" t="n"/>
      <c r="AH4180" s="25" t="n"/>
      <c r="AI4180" s="394" t="n"/>
      <c r="AM4180" s="48" t="n"/>
      <c r="AN4180" s="48" t="n"/>
      <c r="AO4180" s="48" t="n"/>
    </row>
    <row r="4181">
      <c r="M4181" s="25" t="n"/>
      <c r="Q4181" s="25" t="n"/>
      <c r="U4181" s="194" t="n"/>
      <c r="AA4181" s="25" t="n"/>
      <c r="AB4181" s="25" t="n"/>
      <c r="AC4181" s="195" t="n"/>
      <c r="AD4181" s="25" t="n"/>
      <c r="AE4181" s="25" t="n"/>
      <c r="AG4181" s="25" t="n"/>
      <c r="AH4181" s="25" t="n"/>
      <c r="AI4181" s="394" t="n"/>
      <c r="AM4181" s="48" t="n"/>
      <c r="AN4181" s="48" t="n"/>
      <c r="AO4181" s="48" t="n"/>
    </row>
    <row r="4182">
      <c r="M4182" s="25" t="n"/>
      <c r="Q4182" s="25" t="n"/>
      <c r="U4182" s="194" t="n"/>
      <c r="AA4182" s="25" t="n"/>
      <c r="AB4182" s="25" t="n"/>
      <c r="AC4182" s="195" t="n"/>
      <c r="AD4182" s="25" t="n"/>
      <c r="AE4182" s="25" t="n"/>
      <c r="AG4182" s="25" t="n"/>
      <c r="AH4182" s="25" t="n"/>
      <c r="AI4182" s="394" t="n"/>
      <c r="AM4182" s="48" t="n"/>
      <c r="AN4182" s="48" t="n"/>
      <c r="AO4182" s="48" t="n"/>
    </row>
    <row r="4183">
      <c r="M4183" s="25" t="n"/>
      <c r="Q4183" s="25" t="n"/>
      <c r="U4183" s="194" t="n"/>
      <c r="AA4183" s="25" t="n"/>
      <c r="AB4183" s="25" t="n"/>
      <c r="AC4183" s="195" t="n"/>
      <c r="AD4183" s="25" t="n"/>
      <c r="AE4183" s="25" t="n"/>
      <c r="AG4183" s="25" t="n"/>
      <c r="AH4183" s="25" t="n"/>
      <c r="AI4183" s="394" t="n"/>
      <c r="AM4183" s="48" t="n"/>
      <c r="AN4183" s="48" t="n"/>
      <c r="AO4183" s="48" t="n"/>
    </row>
    <row r="4184">
      <c r="M4184" s="25" t="n"/>
      <c r="Q4184" s="25" t="n"/>
      <c r="U4184" s="194" t="n"/>
      <c r="AA4184" s="25" t="n"/>
      <c r="AB4184" s="25" t="n"/>
      <c r="AC4184" s="195" t="n"/>
      <c r="AD4184" s="25" t="n"/>
      <c r="AE4184" s="25" t="n"/>
      <c r="AG4184" s="25" t="n"/>
      <c r="AH4184" s="25" t="n"/>
      <c r="AI4184" s="394" t="n"/>
      <c r="AM4184" s="48" t="n"/>
      <c r="AN4184" s="48" t="n"/>
      <c r="AO4184" s="48" t="n"/>
    </row>
    <row r="4185">
      <c r="M4185" s="25" t="n"/>
      <c r="Q4185" s="25" t="n"/>
      <c r="U4185" s="194" t="n"/>
      <c r="AA4185" s="25" t="n"/>
      <c r="AB4185" s="25" t="n"/>
      <c r="AC4185" s="195" t="n"/>
      <c r="AD4185" s="25" t="n"/>
      <c r="AE4185" s="25" t="n"/>
      <c r="AG4185" s="25" t="n"/>
      <c r="AH4185" s="25" t="n"/>
      <c r="AI4185" s="394" t="n"/>
      <c r="AM4185" s="48" t="n"/>
      <c r="AN4185" s="48" t="n"/>
      <c r="AO4185" s="48" t="n"/>
    </row>
    <row r="4186">
      <c r="M4186" s="25" t="n"/>
      <c r="Q4186" s="25" t="n"/>
      <c r="U4186" s="194" t="n"/>
      <c r="AA4186" s="25" t="n"/>
      <c r="AB4186" s="25" t="n"/>
      <c r="AC4186" s="195" t="n"/>
      <c r="AD4186" s="25" t="n"/>
      <c r="AE4186" s="25" t="n"/>
      <c r="AG4186" s="25" t="n"/>
      <c r="AH4186" s="25" t="n"/>
      <c r="AI4186" s="394" t="n"/>
      <c r="AM4186" s="48" t="n"/>
      <c r="AN4186" s="48" t="n"/>
      <c r="AO4186" s="48" t="n"/>
    </row>
    <row r="4187">
      <c r="M4187" s="25" t="n"/>
      <c r="Q4187" s="25" t="n"/>
      <c r="U4187" s="194" t="n"/>
      <c r="AA4187" s="25" t="n"/>
      <c r="AB4187" s="25" t="n"/>
      <c r="AC4187" s="195" t="n"/>
      <c r="AD4187" s="25" t="n"/>
      <c r="AE4187" s="25" t="n"/>
      <c r="AG4187" s="25" t="n"/>
      <c r="AH4187" s="25" t="n"/>
      <c r="AI4187" s="394" t="n"/>
      <c r="AM4187" s="48" t="n"/>
      <c r="AN4187" s="48" t="n"/>
      <c r="AO4187" s="48" t="n"/>
    </row>
    <row r="4188">
      <c r="M4188" s="25" t="n"/>
      <c r="Q4188" s="25" t="n"/>
      <c r="U4188" s="194" t="n"/>
      <c r="AA4188" s="25" t="n"/>
      <c r="AB4188" s="25" t="n"/>
      <c r="AC4188" s="195" t="n"/>
      <c r="AD4188" s="25" t="n"/>
      <c r="AE4188" s="25" t="n"/>
      <c r="AG4188" s="25" t="n"/>
      <c r="AH4188" s="25" t="n"/>
      <c r="AI4188" s="394" t="n"/>
      <c r="AM4188" s="48" t="n"/>
      <c r="AN4188" s="48" t="n"/>
      <c r="AO4188" s="48" t="n"/>
    </row>
    <row r="4189">
      <c r="M4189" s="25" t="n"/>
      <c r="Q4189" s="25" t="n"/>
      <c r="U4189" s="194" t="n"/>
      <c r="AA4189" s="25" t="n"/>
      <c r="AB4189" s="25" t="n"/>
      <c r="AC4189" s="195" t="n"/>
      <c r="AD4189" s="25" t="n"/>
      <c r="AE4189" s="25" t="n"/>
      <c r="AG4189" s="25" t="n"/>
      <c r="AH4189" s="25" t="n"/>
      <c r="AI4189" s="394" t="n"/>
      <c r="AM4189" s="48" t="n"/>
      <c r="AN4189" s="48" t="n"/>
      <c r="AO4189" s="48" t="n"/>
    </row>
    <row r="4190">
      <c r="M4190" s="25" t="n"/>
      <c r="Q4190" s="25" t="n"/>
      <c r="U4190" s="194" t="n"/>
      <c r="AA4190" s="25" t="n"/>
      <c r="AB4190" s="25" t="n"/>
      <c r="AC4190" s="195" t="n"/>
      <c r="AD4190" s="25" t="n"/>
      <c r="AE4190" s="25" t="n"/>
      <c r="AG4190" s="25" t="n"/>
      <c r="AH4190" s="25" t="n"/>
      <c r="AI4190" s="394" t="n"/>
      <c r="AM4190" s="48" t="n"/>
      <c r="AN4190" s="48" t="n"/>
      <c r="AO4190" s="48" t="n"/>
    </row>
    <row r="4191">
      <c r="M4191" s="25" t="n"/>
      <c r="Q4191" s="25" t="n"/>
      <c r="U4191" s="194" t="n"/>
      <c r="AA4191" s="25" t="n"/>
      <c r="AB4191" s="25" t="n"/>
      <c r="AC4191" s="195" t="n"/>
      <c r="AD4191" s="25" t="n"/>
      <c r="AE4191" s="25" t="n"/>
      <c r="AG4191" s="25" t="n"/>
      <c r="AH4191" s="25" t="n"/>
      <c r="AI4191" s="394" t="n"/>
      <c r="AM4191" s="48" t="n"/>
      <c r="AN4191" s="48" t="n"/>
      <c r="AO4191" s="48" t="n"/>
    </row>
    <row r="4192">
      <c r="M4192" s="25" t="n"/>
      <c r="Q4192" s="25" t="n"/>
      <c r="U4192" s="194" t="n"/>
      <c r="AA4192" s="25" t="n"/>
      <c r="AB4192" s="25" t="n"/>
      <c r="AC4192" s="195" t="n"/>
      <c r="AD4192" s="25" t="n"/>
      <c r="AE4192" s="25" t="n"/>
      <c r="AG4192" s="25" t="n"/>
      <c r="AH4192" s="25" t="n"/>
      <c r="AI4192" s="394" t="n"/>
      <c r="AM4192" s="48" t="n"/>
      <c r="AN4192" s="48" t="n"/>
      <c r="AO4192" s="48" t="n"/>
    </row>
    <row r="4193">
      <c r="M4193" s="25" t="n"/>
      <c r="Q4193" s="25" t="n"/>
      <c r="U4193" s="194" t="n"/>
      <c r="AA4193" s="25" t="n"/>
      <c r="AB4193" s="25" t="n"/>
      <c r="AC4193" s="195" t="n"/>
      <c r="AD4193" s="25" t="n"/>
      <c r="AE4193" s="25" t="n"/>
      <c r="AG4193" s="25" t="n"/>
      <c r="AH4193" s="25" t="n"/>
      <c r="AI4193" s="394" t="n"/>
      <c r="AM4193" s="48" t="n"/>
      <c r="AN4193" s="48" t="n"/>
      <c r="AO4193" s="48" t="n"/>
    </row>
    <row r="4194">
      <c r="M4194" s="25" t="n"/>
      <c r="Q4194" s="25" t="n"/>
      <c r="U4194" s="194" t="n"/>
      <c r="AA4194" s="25" t="n"/>
      <c r="AB4194" s="25" t="n"/>
      <c r="AC4194" s="195" t="n"/>
      <c r="AD4194" s="25" t="n"/>
      <c r="AE4194" s="25" t="n"/>
      <c r="AG4194" s="25" t="n"/>
      <c r="AH4194" s="25" t="n"/>
      <c r="AI4194" s="394" t="n"/>
      <c r="AM4194" s="48" t="n"/>
      <c r="AN4194" s="48" t="n"/>
      <c r="AO4194" s="48" t="n"/>
    </row>
    <row r="4195">
      <c r="M4195" s="25" t="n"/>
      <c r="Q4195" s="25" t="n"/>
      <c r="U4195" s="194" t="n"/>
      <c r="AA4195" s="25" t="n"/>
      <c r="AB4195" s="25" t="n"/>
      <c r="AC4195" s="195" t="n"/>
      <c r="AD4195" s="25" t="n"/>
      <c r="AE4195" s="25" t="n"/>
      <c r="AG4195" s="25" t="n"/>
      <c r="AH4195" s="25" t="n"/>
      <c r="AI4195" s="394" t="n"/>
      <c r="AM4195" s="48" t="n"/>
      <c r="AN4195" s="48" t="n"/>
      <c r="AO4195" s="48" t="n"/>
    </row>
    <row r="4196">
      <c r="M4196" s="25" t="n"/>
      <c r="Q4196" s="25" t="n"/>
      <c r="U4196" s="194" t="n"/>
      <c r="AA4196" s="25" t="n"/>
      <c r="AB4196" s="25" t="n"/>
      <c r="AC4196" s="195" t="n"/>
      <c r="AD4196" s="25" t="n"/>
      <c r="AE4196" s="25" t="n"/>
      <c r="AG4196" s="25" t="n"/>
      <c r="AH4196" s="25" t="n"/>
      <c r="AI4196" s="394" t="n"/>
      <c r="AM4196" s="48" t="n"/>
      <c r="AN4196" s="48" t="n"/>
      <c r="AO4196" s="48" t="n"/>
    </row>
    <row r="4197">
      <c r="M4197" s="25" t="n"/>
      <c r="Q4197" s="25" t="n"/>
      <c r="U4197" s="194" t="n"/>
      <c r="AA4197" s="25" t="n"/>
      <c r="AB4197" s="25" t="n"/>
      <c r="AC4197" s="195" t="n"/>
      <c r="AD4197" s="25" t="n"/>
      <c r="AE4197" s="25" t="n"/>
      <c r="AG4197" s="25" t="n"/>
      <c r="AH4197" s="25" t="n"/>
      <c r="AI4197" s="394" t="n"/>
      <c r="AM4197" s="48" t="n"/>
      <c r="AN4197" s="48" t="n"/>
      <c r="AO4197" s="48" t="n"/>
    </row>
    <row r="4198">
      <c r="M4198" s="25" t="n"/>
      <c r="Q4198" s="25" t="n"/>
      <c r="U4198" s="194" t="n"/>
      <c r="AA4198" s="25" t="n"/>
      <c r="AB4198" s="25" t="n"/>
      <c r="AC4198" s="195" t="n"/>
      <c r="AD4198" s="25" t="n"/>
      <c r="AE4198" s="25" t="n"/>
      <c r="AG4198" s="25" t="n"/>
      <c r="AH4198" s="25" t="n"/>
      <c r="AI4198" s="394" t="n"/>
      <c r="AM4198" s="48" t="n"/>
      <c r="AN4198" s="48" t="n"/>
      <c r="AO4198" s="48" t="n"/>
    </row>
    <row r="4199">
      <c r="M4199" s="25" t="n"/>
      <c r="Q4199" s="25" t="n"/>
      <c r="U4199" s="194" t="n"/>
      <c r="AA4199" s="25" t="n"/>
      <c r="AB4199" s="25" t="n"/>
      <c r="AC4199" s="195" t="n"/>
      <c r="AD4199" s="25" t="n"/>
      <c r="AE4199" s="25" t="n"/>
      <c r="AG4199" s="25" t="n"/>
      <c r="AH4199" s="25" t="n"/>
      <c r="AI4199" s="394" t="n"/>
      <c r="AM4199" s="48" t="n"/>
      <c r="AN4199" s="48" t="n"/>
      <c r="AO4199" s="48" t="n"/>
    </row>
    <row r="4200">
      <c r="M4200" s="25" t="n"/>
      <c r="Q4200" s="25" t="n"/>
      <c r="U4200" s="194" t="n"/>
      <c r="AA4200" s="25" t="n"/>
      <c r="AB4200" s="25" t="n"/>
      <c r="AC4200" s="195" t="n"/>
      <c r="AD4200" s="25" t="n"/>
      <c r="AE4200" s="25" t="n"/>
      <c r="AG4200" s="25" t="n"/>
      <c r="AH4200" s="25" t="n"/>
      <c r="AI4200" s="394" t="n"/>
      <c r="AM4200" s="48" t="n"/>
      <c r="AN4200" s="48" t="n"/>
      <c r="AO4200" s="48" t="n"/>
    </row>
    <row r="4201">
      <c r="M4201" s="25" t="n"/>
      <c r="Q4201" s="25" t="n"/>
      <c r="U4201" s="194" t="n"/>
      <c r="AA4201" s="25" t="n"/>
      <c r="AB4201" s="25" t="n"/>
      <c r="AC4201" s="195" t="n"/>
      <c r="AD4201" s="25" t="n"/>
      <c r="AE4201" s="25" t="n"/>
      <c r="AG4201" s="25" t="n"/>
      <c r="AH4201" s="25" t="n"/>
      <c r="AI4201" s="394" t="n"/>
      <c r="AM4201" s="48" t="n"/>
      <c r="AN4201" s="48" t="n"/>
      <c r="AO4201" s="48" t="n"/>
    </row>
    <row r="4202">
      <c r="M4202" s="25" t="n"/>
      <c r="Q4202" s="25" t="n"/>
      <c r="U4202" s="194" t="n"/>
      <c r="AA4202" s="25" t="n"/>
      <c r="AB4202" s="25" t="n"/>
      <c r="AC4202" s="195" t="n"/>
      <c r="AD4202" s="25" t="n"/>
      <c r="AE4202" s="25" t="n"/>
      <c r="AG4202" s="25" t="n"/>
      <c r="AH4202" s="25" t="n"/>
      <c r="AI4202" s="394" t="n"/>
      <c r="AM4202" s="48" t="n"/>
      <c r="AN4202" s="48" t="n"/>
      <c r="AO4202" s="48" t="n"/>
    </row>
    <row r="4203">
      <c r="M4203" s="25" t="n"/>
      <c r="Q4203" s="25" t="n"/>
      <c r="U4203" s="194" t="n"/>
      <c r="AA4203" s="25" t="n"/>
      <c r="AB4203" s="25" t="n"/>
      <c r="AC4203" s="195" t="n"/>
      <c r="AD4203" s="25" t="n"/>
      <c r="AE4203" s="25" t="n"/>
      <c r="AG4203" s="25" t="n"/>
      <c r="AH4203" s="25" t="n"/>
      <c r="AI4203" s="394" t="n"/>
      <c r="AM4203" s="48" t="n"/>
      <c r="AN4203" s="48" t="n"/>
      <c r="AO4203" s="48" t="n"/>
    </row>
    <row r="4204">
      <c r="M4204" s="25" t="n"/>
      <c r="Q4204" s="25" t="n"/>
      <c r="U4204" s="194" t="n"/>
      <c r="AA4204" s="25" t="n"/>
      <c r="AB4204" s="25" t="n"/>
      <c r="AC4204" s="195" t="n"/>
      <c r="AD4204" s="25" t="n"/>
      <c r="AE4204" s="25" t="n"/>
      <c r="AG4204" s="25" t="n"/>
      <c r="AH4204" s="25" t="n"/>
      <c r="AI4204" s="394" t="n"/>
      <c r="AM4204" s="48" t="n"/>
      <c r="AN4204" s="48" t="n"/>
      <c r="AO4204" s="48" t="n"/>
    </row>
    <row r="4205">
      <c r="M4205" s="25" t="n"/>
      <c r="Q4205" s="25" t="n"/>
      <c r="U4205" s="194" t="n"/>
      <c r="AA4205" s="25" t="n"/>
      <c r="AB4205" s="25" t="n"/>
      <c r="AC4205" s="195" t="n"/>
      <c r="AD4205" s="25" t="n"/>
      <c r="AE4205" s="25" t="n"/>
      <c r="AG4205" s="25" t="n"/>
      <c r="AH4205" s="25" t="n"/>
      <c r="AI4205" s="394" t="n"/>
      <c r="AM4205" s="48" t="n"/>
      <c r="AN4205" s="48" t="n"/>
      <c r="AO4205" s="48" t="n"/>
    </row>
    <row r="4206">
      <c r="M4206" s="25" t="n"/>
      <c r="Q4206" s="25" t="n"/>
      <c r="U4206" s="194" t="n"/>
      <c r="AA4206" s="25" t="n"/>
      <c r="AB4206" s="25" t="n"/>
      <c r="AC4206" s="195" t="n"/>
      <c r="AD4206" s="25" t="n"/>
      <c r="AE4206" s="25" t="n"/>
      <c r="AG4206" s="25" t="n"/>
      <c r="AH4206" s="25" t="n"/>
      <c r="AI4206" s="394" t="n"/>
      <c r="AM4206" s="48" t="n"/>
      <c r="AN4206" s="48" t="n"/>
      <c r="AO4206" s="48" t="n"/>
    </row>
    <row r="4207">
      <c r="M4207" s="25" t="n"/>
      <c r="Q4207" s="25" t="n"/>
      <c r="U4207" s="194" t="n"/>
      <c r="AA4207" s="25" t="n"/>
      <c r="AB4207" s="25" t="n"/>
      <c r="AC4207" s="195" t="n"/>
      <c r="AD4207" s="25" t="n"/>
      <c r="AE4207" s="25" t="n"/>
      <c r="AG4207" s="25" t="n"/>
      <c r="AH4207" s="25" t="n"/>
      <c r="AI4207" s="394" t="n"/>
      <c r="AM4207" s="48" t="n"/>
      <c r="AN4207" s="48" t="n"/>
      <c r="AO4207" s="48" t="n"/>
    </row>
    <row r="4208">
      <c r="M4208" s="25" t="n"/>
      <c r="Q4208" s="25" t="n"/>
      <c r="U4208" s="194" t="n"/>
      <c r="AA4208" s="25" t="n"/>
      <c r="AB4208" s="25" t="n"/>
      <c r="AC4208" s="195" t="n"/>
      <c r="AD4208" s="25" t="n"/>
      <c r="AE4208" s="25" t="n"/>
      <c r="AG4208" s="25" t="n"/>
      <c r="AH4208" s="25" t="n"/>
      <c r="AI4208" s="394" t="n"/>
      <c r="AM4208" s="48" t="n"/>
      <c r="AN4208" s="48" t="n"/>
      <c r="AO4208" s="48" t="n"/>
    </row>
    <row r="4209">
      <c r="M4209" s="25" t="n"/>
      <c r="Q4209" s="25" t="n"/>
      <c r="U4209" s="194" t="n"/>
      <c r="AA4209" s="25" t="n"/>
      <c r="AB4209" s="25" t="n"/>
      <c r="AC4209" s="195" t="n"/>
      <c r="AD4209" s="25" t="n"/>
      <c r="AE4209" s="25" t="n"/>
      <c r="AG4209" s="25" t="n"/>
      <c r="AH4209" s="25" t="n"/>
      <c r="AI4209" s="394" t="n"/>
      <c r="AM4209" s="48" t="n"/>
      <c r="AN4209" s="48" t="n"/>
      <c r="AO4209" s="48" t="n"/>
    </row>
    <row r="4210">
      <c r="M4210" s="25" t="n"/>
      <c r="Q4210" s="25" t="n"/>
      <c r="U4210" s="194" t="n"/>
      <c r="AA4210" s="25" t="n"/>
      <c r="AB4210" s="25" t="n"/>
      <c r="AC4210" s="195" t="n"/>
      <c r="AD4210" s="25" t="n"/>
      <c r="AE4210" s="25" t="n"/>
      <c r="AG4210" s="25" t="n"/>
      <c r="AH4210" s="25" t="n"/>
      <c r="AI4210" s="394" t="n"/>
      <c r="AM4210" s="48" t="n"/>
      <c r="AN4210" s="48" t="n"/>
      <c r="AO4210" s="48" t="n"/>
    </row>
    <row r="4211">
      <c r="M4211" s="25" t="n"/>
      <c r="Q4211" s="25" t="n"/>
      <c r="U4211" s="194" t="n"/>
      <c r="AA4211" s="25" t="n"/>
      <c r="AB4211" s="25" t="n"/>
      <c r="AC4211" s="195" t="n"/>
      <c r="AD4211" s="25" t="n"/>
      <c r="AE4211" s="25" t="n"/>
      <c r="AG4211" s="25" t="n"/>
      <c r="AH4211" s="25" t="n"/>
      <c r="AI4211" s="394" t="n"/>
      <c r="AM4211" s="48" t="n"/>
      <c r="AN4211" s="48" t="n"/>
      <c r="AO4211" s="48" t="n"/>
    </row>
    <row r="4212">
      <c r="M4212" s="25" t="n"/>
      <c r="Q4212" s="25" t="n"/>
      <c r="U4212" s="194" t="n"/>
      <c r="AA4212" s="25" t="n"/>
      <c r="AB4212" s="25" t="n"/>
      <c r="AC4212" s="195" t="n"/>
      <c r="AD4212" s="25" t="n"/>
      <c r="AE4212" s="25" t="n"/>
      <c r="AG4212" s="25" t="n"/>
      <c r="AH4212" s="25" t="n"/>
      <c r="AI4212" s="394" t="n"/>
      <c r="AM4212" s="48" t="n"/>
      <c r="AN4212" s="48" t="n"/>
      <c r="AO4212" s="48" t="n"/>
    </row>
    <row r="4213">
      <c r="M4213" s="25" t="n"/>
      <c r="Q4213" s="25" t="n"/>
      <c r="U4213" s="194" t="n"/>
      <c r="AA4213" s="25" t="n"/>
      <c r="AB4213" s="25" t="n"/>
      <c r="AC4213" s="195" t="n"/>
      <c r="AD4213" s="25" t="n"/>
      <c r="AE4213" s="25" t="n"/>
      <c r="AG4213" s="25" t="n"/>
      <c r="AH4213" s="25" t="n"/>
      <c r="AI4213" s="394" t="n"/>
      <c r="AM4213" s="48" t="n"/>
      <c r="AN4213" s="48" t="n"/>
      <c r="AO4213" s="48" t="n"/>
    </row>
    <row r="4214">
      <c r="M4214" s="25" t="n"/>
      <c r="Q4214" s="25" t="n"/>
      <c r="U4214" s="194" t="n"/>
      <c r="AA4214" s="25" t="n"/>
      <c r="AB4214" s="25" t="n"/>
      <c r="AC4214" s="195" t="n"/>
      <c r="AD4214" s="25" t="n"/>
      <c r="AE4214" s="25" t="n"/>
      <c r="AG4214" s="25" t="n"/>
      <c r="AH4214" s="25" t="n"/>
      <c r="AI4214" s="394" t="n"/>
      <c r="AM4214" s="48" t="n"/>
      <c r="AN4214" s="48" t="n"/>
      <c r="AO4214" s="48" t="n"/>
    </row>
    <row r="4215">
      <c r="M4215" s="25" t="n"/>
      <c r="Q4215" s="25" t="n"/>
      <c r="U4215" s="194" t="n"/>
      <c r="AA4215" s="25" t="n"/>
      <c r="AB4215" s="25" t="n"/>
      <c r="AC4215" s="195" t="n"/>
      <c r="AD4215" s="25" t="n"/>
      <c r="AE4215" s="25" t="n"/>
      <c r="AG4215" s="25" t="n"/>
      <c r="AH4215" s="25" t="n"/>
      <c r="AI4215" s="394" t="n"/>
      <c r="AM4215" s="48" t="n"/>
      <c r="AN4215" s="48" t="n"/>
      <c r="AO4215" s="48" t="n"/>
    </row>
    <row r="4216">
      <c r="M4216" s="25" t="n"/>
      <c r="Q4216" s="25" t="n"/>
      <c r="U4216" s="194" t="n"/>
      <c r="AA4216" s="25" t="n"/>
      <c r="AB4216" s="25" t="n"/>
      <c r="AC4216" s="195" t="n"/>
      <c r="AD4216" s="25" t="n"/>
      <c r="AE4216" s="25" t="n"/>
      <c r="AG4216" s="25" t="n"/>
      <c r="AH4216" s="25" t="n"/>
      <c r="AI4216" s="394" t="n"/>
      <c r="AM4216" s="48" t="n"/>
      <c r="AN4216" s="48" t="n"/>
      <c r="AO4216" s="48" t="n"/>
    </row>
    <row r="4217">
      <c r="M4217" s="25" t="n"/>
      <c r="Q4217" s="25" t="n"/>
      <c r="U4217" s="194" t="n"/>
      <c r="AA4217" s="25" t="n"/>
      <c r="AB4217" s="25" t="n"/>
      <c r="AC4217" s="195" t="n"/>
      <c r="AD4217" s="25" t="n"/>
      <c r="AE4217" s="25" t="n"/>
      <c r="AG4217" s="25" t="n"/>
      <c r="AH4217" s="25" t="n"/>
      <c r="AI4217" s="394" t="n"/>
      <c r="AM4217" s="48" t="n"/>
      <c r="AN4217" s="48" t="n"/>
      <c r="AO4217" s="48" t="n"/>
    </row>
    <row r="4218">
      <c r="M4218" s="25" t="n"/>
      <c r="Q4218" s="25" t="n"/>
      <c r="U4218" s="194" t="n"/>
      <c r="AA4218" s="25" t="n"/>
      <c r="AB4218" s="25" t="n"/>
      <c r="AC4218" s="195" t="n"/>
      <c r="AD4218" s="25" t="n"/>
      <c r="AE4218" s="25" t="n"/>
      <c r="AG4218" s="25" t="n"/>
      <c r="AH4218" s="25" t="n"/>
      <c r="AI4218" s="394" t="n"/>
      <c r="AM4218" s="48" t="n"/>
      <c r="AN4218" s="48" t="n"/>
      <c r="AO4218" s="48" t="n"/>
    </row>
    <row r="4219">
      <c r="M4219" s="25" t="n"/>
      <c r="Q4219" s="25" t="n"/>
      <c r="U4219" s="194" t="n"/>
      <c r="AA4219" s="25" t="n"/>
      <c r="AB4219" s="25" t="n"/>
      <c r="AC4219" s="195" t="n"/>
      <c r="AD4219" s="25" t="n"/>
      <c r="AE4219" s="25" t="n"/>
      <c r="AG4219" s="25" t="n"/>
      <c r="AH4219" s="25" t="n"/>
      <c r="AI4219" s="394" t="n"/>
      <c r="AM4219" s="48" t="n"/>
      <c r="AN4219" s="48" t="n"/>
      <c r="AO4219" s="48" t="n"/>
    </row>
    <row r="4220">
      <c r="M4220" s="25" t="n"/>
      <c r="Q4220" s="25" t="n"/>
      <c r="U4220" s="194" t="n"/>
      <c r="AA4220" s="25" t="n"/>
      <c r="AB4220" s="25" t="n"/>
      <c r="AC4220" s="195" t="n"/>
      <c r="AD4220" s="25" t="n"/>
      <c r="AE4220" s="25" t="n"/>
      <c r="AG4220" s="25" t="n"/>
      <c r="AH4220" s="25" t="n"/>
      <c r="AI4220" s="394" t="n"/>
      <c r="AM4220" s="48" t="n"/>
      <c r="AN4220" s="48" t="n"/>
      <c r="AO4220" s="48" t="n"/>
    </row>
    <row r="4221">
      <c r="M4221" s="25" t="n"/>
      <c r="Q4221" s="25" t="n"/>
      <c r="U4221" s="194" t="n"/>
      <c r="AA4221" s="25" t="n"/>
      <c r="AB4221" s="25" t="n"/>
      <c r="AC4221" s="195" t="n"/>
      <c r="AD4221" s="25" t="n"/>
      <c r="AE4221" s="25" t="n"/>
      <c r="AG4221" s="25" t="n"/>
      <c r="AH4221" s="25" t="n"/>
      <c r="AI4221" s="394" t="n"/>
      <c r="AM4221" s="48" t="n"/>
      <c r="AN4221" s="48" t="n"/>
      <c r="AO4221" s="48" t="n"/>
    </row>
    <row r="4222">
      <c r="M4222" s="25" t="n"/>
      <c r="Q4222" s="25" t="n"/>
      <c r="U4222" s="194" t="n"/>
      <c r="AA4222" s="25" t="n"/>
      <c r="AB4222" s="25" t="n"/>
      <c r="AC4222" s="195" t="n"/>
      <c r="AD4222" s="25" t="n"/>
      <c r="AE4222" s="25" t="n"/>
      <c r="AG4222" s="25" t="n"/>
      <c r="AH4222" s="25" t="n"/>
      <c r="AI4222" s="394" t="n"/>
      <c r="AM4222" s="48" t="n"/>
      <c r="AN4222" s="48" t="n"/>
      <c r="AO4222" s="48" t="n"/>
    </row>
    <row r="4223">
      <c r="M4223" s="25" t="n"/>
      <c r="Q4223" s="25" t="n"/>
      <c r="U4223" s="194" t="n"/>
      <c r="AA4223" s="25" t="n"/>
      <c r="AB4223" s="25" t="n"/>
      <c r="AC4223" s="195" t="n"/>
      <c r="AD4223" s="25" t="n"/>
      <c r="AE4223" s="25" t="n"/>
      <c r="AG4223" s="25" t="n"/>
      <c r="AH4223" s="25" t="n"/>
      <c r="AI4223" s="394" t="n"/>
      <c r="AM4223" s="48" t="n"/>
      <c r="AN4223" s="48" t="n"/>
      <c r="AO4223" s="48" t="n"/>
    </row>
    <row r="4224">
      <c r="M4224" s="25" t="n"/>
      <c r="Q4224" s="25" t="n"/>
      <c r="U4224" s="194" t="n"/>
      <c r="AA4224" s="25" t="n"/>
      <c r="AB4224" s="25" t="n"/>
      <c r="AC4224" s="195" t="n"/>
      <c r="AD4224" s="25" t="n"/>
      <c r="AE4224" s="25" t="n"/>
      <c r="AG4224" s="25" t="n"/>
      <c r="AH4224" s="25" t="n"/>
      <c r="AI4224" s="394" t="n"/>
      <c r="AM4224" s="48" t="n"/>
      <c r="AN4224" s="48" t="n"/>
      <c r="AO4224" s="48" t="n"/>
    </row>
    <row r="4225">
      <c r="M4225" s="25" t="n"/>
      <c r="Q4225" s="25" t="n"/>
      <c r="U4225" s="194" t="n"/>
      <c r="AA4225" s="25" t="n"/>
      <c r="AB4225" s="25" t="n"/>
      <c r="AC4225" s="195" t="n"/>
      <c r="AD4225" s="25" t="n"/>
      <c r="AE4225" s="25" t="n"/>
      <c r="AG4225" s="25" t="n"/>
      <c r="AH4225" s="25" t="n"/>
      <c r="AI4225" s="394" t="n"/>
      <c r="AM4225" s="48" t="n"/>
      <c r="AN4225" s="48" t="n"/>
      <c r="AO4225" s="48" t="n"/>
    </row>
    <row r="4226">
      <c r="M4226" s="25" t="n"/>
      <c r="Q4226" s="25" t="n"/>
      <c r="U4226" s="194" t="n"/>
      <c r="AA4226" s="25" t="n"/>
      <c r="AB4226" s="25" t="n"/>
      <c r="AC4226" s="195" t="n"/>
      <c r="AD4226" s="25" t="n"/>
      <c r="AE4226" s="25" t="n"/>
      <c r="AG4226" s="25" t="n"/>
      <c r="AH4226" s="25" t="n"/>
      <c r="AI4226" s="394" t="n"/>
      <c r="AM4226" s="48" t="n"/>
      <c r="AN4226" s="48" t="n"/>
      <c r="AO4226" s="48" t="n"/>
    </row>
    <row r="4227">
      <c r="M4227" s="25" t="n"/>
      <c r="Q4227" s="25" t="n"/>
      <c r="U4227" s="194" t="n"/>
      <c r="AA4227" s="25" t="n"/>
      <c r="AB4227" s="25" t="n"/>
      <c r="AC4227" s="195" t="n"/>
      <c r="AD4227" s="25" t="n"/>
      <c r="AE4227" s="25" t="n"/>
      <c r="AG4227" s="25" t="n"/>
      <c r="AH4227" s="25" t="n"/>
      <c r="AI4227" s="394" t="n"/>
      <c r="AM4227" s="48" t="n"/>
      <c r="AN4227" s="48" t="n"/>
      <c r="AO4227" s="48" t="n"/>
    </row>
    <row r="4228">
      <c r="M4228" s="25" t="n"/>
      <c r="Q4228" s="25" t="n"/>
      <c r="U4228" s="194" t="n"/>
      <c r="AA4228" s="25" t="n"/>
      <c r="AB4228" s="25" t="n"/>
      <c r="AC4228" s="195" t="n"/>
      <c r="AD4228" s="25" t="n"/>
      <c r="AE4228" s="25" t="n"/>
      <c r="AG4228" s="25" t="n"/>
      <c r="AH4228" s="25" t="n"/>
      <c r="AI4228" s="394" t="n"/>
      <c r="AM4228" s="48" t="n"/>
      <c r="AN4228" s="48" t="n"/>
      <c r="AO4228" s="48" t="n"/>
    </row>
    <row r="4229">
      <c r="M4229" s="25" t="n"/>
      <c r="Q4229" s="25" t="n"/>
      <c r="U4229" s="194" t="n"/>
      <c r="AA4229" s="25" t="n"/>
      <c r="AB4229" s="25" t="n"/>
      <c r="AC4229" s="195" t="n"/>
      <c r="AD4229" s="25" t="n"/>
      <c r="AE4229" s="25" t="n"/>
      <c r="AG4229" s="25" t="n"/>
      <c r="AH4229" s="25" t="n"/>
      <c r="AI4229" s="394" t="n"/>
      <c r="AM4229" s="48" t="n"/>
      <c r="AN4229" s="48" t="n"/>
      <c r="AO4229" s="48" t="n"/>
    </row>
    <row r="4230">
      <c r="M4230" s="25" t="n"/>
      <c r="Q4230" s="25" t="n"/>
      <c r="U4230" s="194" t="n"/>
      <c r="AA4230" s="25" t="n"/>
      <c r="AB4230" s="25" t="n"/>
      <c r="AC4230" s="195" t="n"/>
      <c r="AD4230" s="25" t="n"/>
      <c r="AE4230" s="25" t="n"/>
      <c r="AG4230" s="25" t="n"/>
      <c r="AH4230" s="25" t="n"/>
      <c r="AI4230" s="394" t="n"/>
      <c r="AM4230" s="48" t="n"/>
      <c r="AN4230" s="48" t="n"/>
      <c r="AO4230" s="48" t="n"/>
    </row>
    <row r="4231">
      <c r="M4231" s="25" t="n"/>
      <c r="Q4231" s="25" t="n"/>
      <c r="U4231" s="194" t="n"/>
      <c r="AA4231" s="25" t="n"/>
      <c r="AB4231" s="25" t="n"/>
      <c r="AC4231" s="195" t="n"/>
      <c r="AD4231" s="25" t="n"/>
      <c r="AE4231" s="25" t="n"/>
      <c r="AG4231" s="25" t="n"/>
      <c r="AH4231" s="25" t="n"/>
      <c r="AI4231" s="394" t="n"/>
      <c r="AM4231" s="48" t="n"/>
      <c r="AN4231" s="48" t="n"/>
      <c r="AO4231" s="48" t="n"/>
    </row>
    <row r="4232">
      <c r="M4232" s="25" t="n"/>
      <c r="Q4232" s="25" t="n"/>
      <c r="U4232" s="194" t="n"/>
      <c r="AA4232" s="25" t="n"/>
      <c r="AB4232" s="25" t="n"/>
      <c r="AC4232" s="195" t="n"/>
      <c r="AD4232" s="25" t="n"/>
      <c r="AE4232" s="25" t="n"/>
      <c r="AG4232" s="25" t="n"/>
      <c r="AH4232" s="25" t="n"/>
      <c r="AI4232" s="394" t="n"/>
      <c r="AM4232" s="48" t="n"/>
      <c r="AN4232" s="48" t="n"/>
      <c r="AO4232" s="48" t="n"/>
    </row>
    <row r="4233">
      <c r="M4233" s="25" t="n"/>
      <c r="Q4233" s="25" t="n"/>
      <c r="U4233" s="194" t="n"/>
      <c r="AA4233" s="25" t="n"/>
      <c r="AB4233" s="25" t="n"/>
      <c r="AC4233" s="195" t="n"/>
      <c r="AD4233" s="25" t="n"/>
      <c r="AE4233" s="25" t="n"/>
      <c r="AG4233" s="25" t="n"/>
      <c r="AH4233" s="25" t="n"/>
      <c r="AI4233" s="394" t="n"/>
      <c r="AM4233" s="48" t="n"/>
      <c r="AN4233" s="48" t="n"/>
      <c r="AO4233" s="48" t="n"/>
    </row>
    <row r="4234">
      <c r="M4234" s="25" t="n"/>
      <c r="Q4234" s="25" t="n"/>
      <c r="U4234" s="194" t="n"/>
      <c r="AA4234" s="25" t="n"/>
      <c r="AB4234" s="25" t="n"/>
      <c r="AC4234" s="195" t="n"/>
      <c r="AD4234" s="25" t="n"/>
      <c r="AE4234" s="25" t="n"/>
      <c r="AG4234" s="25" t="n"/>
      <c r="AH4234" s="25" t="n"/>
      <c r="AI4234" s="394" t="n"/>
      <c r="AM4234" s="48" t="n"/>
      <c r="AN4234" s="48" t="n"/>
      <c r="AO4234" s="48" t="n"/>
    </row>
    <row r="4235">
      <c r="M4235" s="25" t="n"/>
      <c r="Q4235" s="25" t="n"/>
      <c r="U4235" s="194" t="n"/>
      <c r="AA4235" s="25" t="n"/>
      <c r="AB4235" s="25" t="n"/>
      <c r="AC4235" s="195" t="n"/>
      <c r="AD4235" s="25" t="n"/>
      <c r="AE4235" s="25" t="n"/>
      <c r="AG4235" s="25" t="n"/>
      <c r="AH4235" s="25" t="n"/>
      <c r="AI4235" s="394" t="n"/>
      <c r="AM4235" s="48" t="n"/>
      <c r="AN4235" s="48" t="n"/>
      <c r="AO4235" s="48" t="n"/>
    </row>
    <row r="4236">
      <c r="M4236" s="25" t="n"/>
      <c r="Q4236" s="25" t="n"/>
      <c r="U4236" s="194" t="n"/>
      <c r="AA4236" s="25" t="n"/>
      <c r="AB4236" s="25" t="n"/>
      <c r="AC4236" s="195" t="n"/>
      <c r="AD4236" s="25" t="n"/>
      <c r="AE4236" s="25" t="n"/>
      <c r="AG4236" s="25" t="n"/>
      <c r="AH4236" s="25" t="n"/>
      <c r="AI4236" s="394" t="n"/>
      <c r="AM4236" s="48" t="n"/>
      <c r="AN4236" s="48" t="n"/>
      <c r="AO4236" s="48" t="n"/>
    </row>
    <row r="4237">
      <c r="M4237" s="25" t="n"/>
      <c r="Q4237" s="25" t="n"/>
      <c r="U4237" s="194" t="n"/>
      <c r="AA4237" s="25" t="n"/>
      <c r="AB4237" s="25" t="n"/>
      <c r="AC4237" s="195" t="n"/>
      <c r="AD4237" s="25" t="n"/>
      <c r="AE4237" s="25" t="n"/>
      <c r="AG4237" s="25" t="n"/>
      <c r="AH4237" s="25" t="n"/>
      <c r="AI4237" s="394" t="n"/>
      <c r="AM4237" s="48" t="n"/>
      <c r="AN4237" s="48" t="n"/>
      <c r="AO4237" s="48" t="n"/>
    </row>
    <row r="4238">
      <c r="M4238" s="25" t="n"/>
      <c r="Q4238" s="25" t="n"/>
      <c r="U4238" s="194" t="n"/>
      <c r="AA4238" s="25" t="n"/>
      <c r="AB4238" s="25" t="n"/>
      <c r="AC4238" s="195" t="n"/>
      <c r="AD4238" s="25" t="n"/>
      <c r="AE4238" s="25" t="n"/>
      <c r="AG4238" s="25" t="n"/>
      <c r="AH4238" s="25" t="n"/>
      <c r="AI4238" s="394" t="n"/>
      <c r="AM4238" s="48" t="n"/>
      <c r="AN4238" s="48" t="n"/>
      <c r="AO4238" s="48" t="n"/>
    </row>
    <row r="4239">
      <c r="M4239" s="25" t="n"/>
      <c r="Q4239" s="25" t="n"/>
      <c r="U4239" s="194" t="n"/>
      <c r="AA4239" s="25" t="n"/>
      <c r="AB4239" s="25" t="n"/>
      <c r="AC4239" s="195" t="n"/>
      <c r="AD4239" s="25" t="n"/>
      <c r="AE4239" s="25" t="n"/>
      <c r="AG4239" s="25" t="n"/>
      <c r="AH4239" s="25" t="n"/>
      <c r="AI4239" s="394" t="n"/>
      <c r="AM4239" s="48" t="n"/>
      <c r="AN4239" s="48" t="n"/>
      <c r="AO4239" s="48" t="n"/>
    </row>
    <row r="4240">
      <c r="M4240" s="25" t="n"/>
      <c r="Q4240" s="25" t="n"/>
      <c r="U4240" s="194" t="n"/>
      <c r="AA4240" s="25" t="n"/>
      <c r="AB4240" s="25" t="n"/>
      <c r="AC4240" s="195" t="n"/>
      <c r="AD4240" s="25" t="n"/>
      <c r="AE4240" s="25" t="n"/>
      <c r="AG4240" s="25" t="n"/>
      <c r="AH4240" s="25" t="n"/>
      <c r="AI4240" s="394" t="n"/>
      <c r="AM4240" s="48" t="n"/>
      <c r="AN4240" s="48" t="n"/>
      <c r="AO4240" s="48" t="n"/>
    </row>
    <row r="4241">
      <c r="M4241" s="25" t="n"/>
      <c r="Q4241" s="25" t="n"/>
      <c r="U4241" s="194" t="n"/>
      <c r="AA4241" s="25" t="n"/>
      <c r="AB4241" s="25" t="n"/>
      <c r="AC4241" s="195" t="n"/>
      <c r="AD4241" s="25" t="n"/>
      <c r="AE4241" s="25" t="n"/>
      <c r="AG4241" s="25" t="n"/>
      <c r="AH4241" s="25" t="n"/>
      <c r="AI4241" s="394" t="n"/>
      <c r="AM4241" s="48" t="n"/>
      <c r="AN4241" s="48" t="n"/>
      <c r="AO4241" s="48" t="n"/>
    </row>
    <row r="4242">
      <c r="M4242" s="25" t="n"/>
      <c r="Q4242" s="25" t="n"/>
      <c r="U4242" s="194" t="n"/>
      <c r="AA4242" s="25" t="n"/>
      <c r="AB4242" s="25" t="n"/>
      <c r="AC4242" s="195" t="n"/>
      <c r="AD4242" s="25" t="n"/>
      <c r="AE4242" s="25" t="n"/>
      <c r="AG4242" s="25" t="n"/>
      <c r="AH4242" s="25" t="n"/>
      <c r="AI4242" s="394" t="n"/>
      <c r="AM4242" s="48" t="n"/>
      <c r="AN4242" s="48" t="n"/>
      <c r="AO4242" s="48" t="n"/>
    </row>
    <row r="4243">
      <c r="M4243" s="25" t="n"/>
      <c r="Q4243" s="25" t="n"/>
      <c r="U4243" s="194" t="n"/>
      <c r="AA4243" s="25" t="n"/>
      <c r="AB4243" s="25" t="n"/>
      <c r="AC4243" s="195" t="n"/>
      <c r="AD4243" s="25" t="n"/>
      <c r="AE4243" s="25" t="n"/>
      <c r="AG4243" s="25" t="n"/>
      <c r="AH4243" s="25" t="n"/>
      <c r="AI4243" s="394" t="n"/>
      <c r="AM4243" s="48" t="n"/>
      <c r="AN4243" s="48" t="n"/>
      <c r="AO4243" s="48" t="n"/>
    </row>
    <row r="4244">
      <c r="M4244" s="25" t="n"/>
      <c r="Q4244" s="25" t="n"/>
      <c r="U4244" s="194" t="n"/>
      <c r="AA4244" s="25" t="n"/>
      <c r="AB4244" s="25" t="n"/>
      <c r="AC4244" s="195" t="n"/>
      <c r="AD4244" s="25" t="n"/>
      <c r="AE4244" s="25" t="n"/>
      <c r="AG4244" s="25" t="n"/>
      <c r="AH4244" s="25" t="n"/>
      <c r="AI4244" s="394" t="n"/>
      <c r="AM4244" s="48" t="n"/>
      <c r="AN4244" s="48" t="n"/>
      <c r="AO4244" s="48" t="n"/>
    </row>
    <row r="4245">
      <c r="M4245" s="25" t="n"/>
      <c r="Q4245" s="25" t="n"/>
      <c r="U4245" s="194" t="n"/>
      <c r="AA4245" s="25" t="n"/>
      <c r="AB4245" s="25" t="n"/>
      <c r="AC4245" s="195" t="n"/>
      <c r="AD4245" s="25" t="n"/>
      <c r="AE4245" s="25" t="n"/>
      <c r="AG4245" s="25" t="n"/>
      <c r="AH4245" s="25" t="n"/>
      <c r="AI4245" s="394" t="n"/>
      <c r="AM4245" s="48" t="n"/>
      <c r="AN4245" s="48" t="n"/>
      <c r="AO4245" s="48" t="n"/>
    </row>
    <row r="4246">
      <c r="M4246" s="25" t="n"/>
      <c r="Q4246" s="25" t="n"/>
      <c r="U4246" s="194" t="n"/>
      <c r="AA4246" s="25" t="n"/>
      <c r="AB4246" s="25" t="n"/>
      <c r="AC4246" s="195" t="n"/>
      <c r="AD4246" s="25" t="n"/>
      <c r="AE4246" s="25" t="n"/>
      <c r="AG4246" s="25" t="n"/>
      <c r="AH4246" s="25" t="n"/>
      <c r="AI4246" s="394" t="n"/>
      <c r="AM4246" s="48" t="n"/>
      <c r="AN4246" s="48" t="n"/>
      <c r="AO4246" s="48" t="n"/>
    </row>
    <row r="4247">
      <c r="M4247" s="25" t="n"/>
      <c r="Q4247" s="25" t="n"/>
      <c r="U4247" s="194" t="n"/>
      <c r="AA4247" s="25" t="n"/>
      <c r="AB4247" s="25" t="n"/>
      <c r="AC4247" s="195" t="n"/>
      <c r="AD4247" s="25" t="n"/>
      <c r="AE4247" s="25" t="n"/>
      <c r="AG4247" s="25" t="n"/>
      <c r="AH4247" s="25" t="n"/>
      <c r="AI4247" s="394" t="n"/>
      <c r="AM4247" s="48" t="n"/>
      <c r="AN4247" s="48" t="n"/>
      <c r="AO4247" s="48" t="n"/>
    </row>
    <row r="4248">
      <c r="M4248" s="25" t="n"/>
      <c r="Q4248" s="25" t="n"/>
      <c r="U4248" s="194" t="n"/>
      <c r="AA4248" s="25" t="n"/>
      <c r="AB4248" s="25" t="n"/>
      <c r="AC4248" s="195" t="n"/>
      <c r="AD4248" s="25" t="n"/>
      <c r="AE4248" s="25" t="n"/>
      <c r="AG4248" s="25" t="n"/>
      <c r="AH4248" s="25" t="n"/>
      <c r="AI4248" s="394" t="n"/>
      <c r="AM4248" s="48" t="n"/>
      <c r="AN4248" s="48" t="n"/>
      <c r="AO4248" s="48" t="n"/>
    </row>
    <row r="4249">
      <c r="M4249" s="25" t="n"/>
      <c r="Q4249" s="25" t="n"/>
      <c r="U4249" s="194" t="n"/>
      <c r="AA4249" s="25" t="n"/>
      <c r="AB4249" s="25" t="n"/>
      <c r="AC4249" s="195" t="n"/>
      <c r="AD4249" s="25" t="n"/>
      <c r="AE4249" s="25" t="n"/>
      <c r="AG4249" s="25" t="n"/>
      <c r="AH4249" s="25" t="n"/>
      <c r="AI4249" s="394" t="n"/>
      <c r="AM4249" s="48" t="n"/>
      <c r="AN4249" s="48" t="n"/>
      <c r="AO4249" s="48" t="n"/>
    </row>
    <row r="4250">
      <c r="M4250" s="25" t="n"/>
      <c r="Q4250" s="25" t="n"/>
      <c r="U4250" s="194" t="n"/>
      <c r="AA4250" s="25" t="n"/>
      <c r="AB4250" s="25" t="n"/>
      <c r="AC4250" s="195" t="n"/>
      <c r="AD4250" s="25" t="n"/>
      <c r="AE4250" s="25" t="n"/>
      <c r="AG4250" s="25" t="n"/>
      <c r="AH4250" s="25" t="n"/>
      <c r="AI4250" s="394" t="n"/>
      <c r="AM4250" s="48" t="n"/>
      <c r="AN4250" s="48" t="n"/>
      <c r="AO4250" s="48" t="n"/>
    </row>
    <row r="4251">
      <c r="M4251" s="25" t="n"/>
      <c r="Q4251" s="25" t="n"/>
      <c r="U4251" s="194" t="n"/>
      <c r="AA4251" s="25" t="n"/>
      <c r="AB4251" s="25" t="n"/>
      <c r="AC4251" s="195" t="n"/>
      <c r="AD4251" s="25" t="n"/>
      <c r="AE4251" s="25" t="n"/>
      <c r="AG4251" s="25" t="n"/>
      <c r="AH4251" s="25" t="n"/>
      <c r="AI4251" s="394" t="n"/>
      <c r="AM4251" s="48" t="n"/>
      <c r="AN4251" s="48" t="n"/>
      <c r="AO4251" s="48" t="n"/>
    </row>
    <row r="4252">
      <c r="M4252" s="25" t="n"/>
      <c r="Q4252" s="25" t="n"/>
      <c r="U4252" s="194" t="n"/>
      <c r="AA4252" s="25" t="n"/>
      <c r="AB4252" s="25" t="n"/>
      <c r="AC4252" s="195" t="n"/>
      <c r="AD4252" s="25" t="n"/>
      <c r="AE4252" s="25" t="n"/>
      <c r="AG4252" s="25" t="n"/>
      <c r="AH4252" s="25" t="n"/>
      <c r="AI4252" s="394" t="n"/>
      <c r="AM4252" s="48" t="n"/>
      <c r="AN4252" s="48" t="n"/>
      <c r="AO4252" s="48" t="n"/>
    </row>
    <row r="4253">
      <c r="M4253" s="25" t="n"/>
      <c r="Q4253" s="25" t="n"/>
      <c r="U4253" s="194" t="n"/>
      <c r="AA4253" s="25" t="n"/>
      <c r="AB4253" s="25" t="n"/>
      <c r="AC4253" s="195" t="n"/>
      <c r="AD4253" s="25" t="n"/>
      <c r="AE4253" s="25" t="n"/>
      <c r="AG4253" s="25" t="n"/>
      <c r="AH4253" s="25" t="n"/>
      <c r="AI4253" s="394" t="n"/>
      <c r="AM4253" s="48" t="n"/>
      <c r="AN4253" s="48" t="n"/>
      <c r="AO4253" s="48" t="n"/>
    </row>
    <row r="4254">
      <c r="M4254" s="25" t="n"/>
      <c r="Q4254" s="25" t="n"/>
      <c r="U4254" s="194" t="n"/>
      <c r="AA4254" s="25" t="n"/>
      <c r="AB4254" s="25" t="n"/>
      <c r="AC4254" s="195" t="n"/>
      <c r="AD4254" s="25" t="n"/>
      <c r="AE4254" s="25" t="n"/>
      <c r="AG4254" s="25" t="n"/>
      <c r="AH4254" s="25" t="n"/>
      <c r="AI4254" s="394" t="n"/>
      <c r="AM4254" s="48" t="n"/>
      <c r="AN4254" s="48" t="n"/>
      <c r="AO4254" s="48" t="n"/>
    </row>
    <row r="4255">
      <c r="M4255" s="25" t="n"/>
      <c r="Q4255" s="25" t="n"/>
      <c r="U4255" s="194" t="n"/>
      <c r="AA4255" s="25" t="n"/>
      <c r="AB4255" s="25" t="n"/>
      <c r="AC4255" s="195" t="n"/>
      <c r="AD4255" s="25" t="n"/>
      <c r="AE4255" s="25" t="n"/>
      <c r="AG4255" s="25" t="n"/>
      <c r="AH4255" s="25" t="n"/>
      <c r="AI4255" s="394" t="n"/>
      <c r="AM4255" s="48" t="n"/>
      <c r="AN4255" s="48" t="n"/>
      <c r="AO4255" s="48" t="n"/>
    </row>
    <row r="4256">
      <c r="M4256" s="25" t="n"/>
      <c r="Q4256" s="25" t="n"/>
      <c r="U4256" s="194" t="n"/>
      <c r="AA4256" s="25" t="n"/>
      <c r="AB4256" s="25" t="n"/>
      <c r="AC4256" s="195" t="n"/>
      <c r="AD4256" s="25" t="n"/>
      <c r="AE4256" s="25" t="n"/>
      <c r="AG4256" s="25" t="n"/>
      <c r="AH4256" s="25" t="n"/>
      <c r="AI4256" s="394" t="n"/>
      <c r="AM4256" s="48" t="n"/>
      <c r="AN4256" s="48" t="n"/>
      <c r="AO4256" s="48" t="n"/>
    </row>
    <row r="4257">
      <c r="M4257" s="25" t="n"/>
      <c r="Q4257" s="25" t="n"/>
      <c r="U4257" s="194" t="n"/>
      <c r="AA4257" s="25" t="n"/>
      <c r="AB4257" s="25" t="n"/>
      <c r="AC4257" s="195" t="n"/>
      <c r="AD4257" s="25" t="n"/>
      <c r="AE4257" s="25" t="n"/>
      <c r="AG4257" s="25" t="n"/>
      <c r="AH4257" s="25" t="n"/>
      <c r="AI4257" s="394" t="n"/>
      <c r="AM4257" s="48" t="n"/>
      <c r="AN4257" s="48" t="n"/>
      <c r="AO4257" s="48" t="n"/>
    </row>
    <row r="4258">
      <c r="M4258" s="25" t="n"/>
      <c r="Q4258" s="25" t="n"/>
      <c r="U4258" s="194" t="n"/>
      <c r="AA4258" s="25" t="n"/>
      <c r="AB4258" s="25" t="n"/>
      <c r="AC4258" s="195" t="n"/>
      <c r="AD4258" s="25" t="n"/>
      <c r="AE4258" s="25" t="n"/>
      <c r="AG4258" s="25" t="n"/>
      <c r="AH4258" s="25" t="n"/>
      <c r="AI4258" s="394" t="n"/>
      <c r="AM4258" s="48" t="n"/>
      <c r="AN4258" s="48" t="n"/>
      <c r="AO4258" s="48" t="n"/>
    </row>
    <row r="4259">
      <c r="M4259" s="25" t="n"/>
      <c r="Q4259" s="25" t="n"/>
      <c r="U4259" s="194" t="n"/>
      <c r="AA4259" s="25" t="n"/>
      <c r="AB4259" s="25" t="n"/>
      <c r="AC4259" s="195" t="n"/>
      <c r="AD4259" s="25" t="n"/>
      <c r="AE4259" s="25" t="n"/>
      <c r="AG4259" s="25" t="n"/>
      <c r="AH4259" s="25" t="n"/>
      <c r="AI4259" s="394" t="n"/>
      <c r="AM4259" s="48" t="n"/>
      <c r="AN4259" s="48" t="n"/>
      <c r="AO4259" s="48" t="n"/>
    </row>
    <row r="4260">
      <c r="M4260" s="25" t="n"/>
      <c r="Q4260" s="25" t="n"/>
      <c r="U4260" s="194" t="n"/>
      <c r="AA4260" s="25" t="n"/>
      <c r="AB4260" s="25" t="n"/>
      <c r="AC4260" s="195" t="n"/>
      <c r="AD4260" s="25" t="n"/>
      <c r="AE4260" s="25" t="n"/>
      <c r="AG4260" s="25" t="n"/>
      <c r="AH4260" s="25" t="n"/>
      <c r="AI4260" s="394" t="n"/>
      <c r="AM4260" s="48" t="n"/>
      <c r="AN4260" s="48" t="n"/>
      <c r="AO4260" s="48" t="n"/>
    </row>
    <row r="4261">
      <c r="M4261" s="25" t="n"/>
      <c r="Q4261" s="25" t="n"/>
      <c r="U4261" s="194" t="n"/>
      <c r="AA4261" s="25" t="n"/>
      <c r="AB4261" s="25" t="n"/>
      <c r="AC4261" s="195" t="n"/>
      <c r="AD4261" s="25" t="n"/>
      <c r="AE4261" s="25" t="n"/>
      <c r="AG4261" s="25" t="n"/>
      <c r="AH4261" s="25" t="n"/>
      <c r="AI4261" s="394" t="n"/>
      <c r="AM4261" s="48" t="n"/>
      <c r="AN4261" s="48" t="n"/>
      <c r="AO4261" s="48" t="n"/>
    </row>
    <row r="4262">
      <c r="M4262" s="25" t="n"/>
      <c r="Q4262" s="25" t="n"/>
      <c r="U4262" s="194" t="n"/>
      <c r="AA4262" s="25" t="n"/>
      <c r="AB4262" s="25" t="n"/>
      <c r="AC4262" s="195" t="n"/>
      <c r="AD4262" s="25" t="n"/>
      <c r="AE4262" s="25" t="n"/>
      <c r="AG4262" s="25" t="n"/>
      <c r="AH4262" s="25" t="n"/>
      <c r="AI4262" s="394" t="n"/>
      <c r="AM4262" s="48" t="n"/>
      <c r="AN4262" s="48" t="n"/>
      <c r="AO4262" s="48" t="n"/>
    </row>
    <row r="4263">
      <c r="M4263" s="25" t="n"/>
      <c r="Q4263" s="25" t="n"/>
      <c r="U4263" s="194" t="n"/>
      <c r="AA4263" s="25" t="n"/>
      <c r="AB4263" s="25" t="n"/>
      <c r="AC4263" s="195" t="n"/>
      <c r="AD4263" s="25" t="n"/>
      <c r="AE4263" s="25" t="n"/>
      <c r="AG4263" s="25" t="n"/>
      <c r="AH4263" s="25" t="n"/>
      <c r="AI4263" s="394" t="n"/>
      <c r="AM4263" s="48" t="n"/>
      <c r="AN4263" s="48" t="n"/>
      <c r="AO4263" s="48" t="n"/>
    </row>
    <row r="4264">
      <c r="M4264" s="25" t="n"/>
      <c r="Q4264" s="25" t="n"/>
      <c r="U4264" s="194" t="n"/>
      <c r="AA4264" s="25" t="n"/>
      <c r="AB4264" s="25" t="n"/>
      <c r="AC4264" s="195" t="n"/>
      <c r="AD4264" s="25" t="n"/>
      <c r="AE4264" s="25" t="n"/>
      <c r="AG4264" s="25" t="n"/>
      <c r="AH4264" s="25" t="n"/>
      <c r="AI4264" s="394" t="n"/>
      <c r="AM4264" s="48" t="n"/>
      <c r="AN4264" s="48" t="n"/>
      <c r="AO4264" s="48" t="n"/>
    </row>
    <row r="4265">
      <c r="M4265" s="25" t="n"/>
      <c r="Q4265" s="25" t="n"/>
      <c r="U4265" s="194" t="n"/>
      <c r="AA4265" s="25" t="n"/>
      <c r="AB4265" s="25" t="n"/>
      <c r="AC4265" s="195" t="n"/>
      <c r="AD4265" s="25" t="n"/>
      <c r="AE4265" s="25" t="n"/>
      <c r="AG4265" s="25" t="n"/>
      <c r="AH4265" s="25" t="n"/>
      <c r="AI4265" s="394" t="n"/>
      <c r="AM4265" s="48" t="n"/>
      <c r="AN4265" s="48" t="n"/>
      <c r="AO4265" s="48" t="n"/>
    </row>
    <row r="4266">
      <c r="M4266" s="25" t="n"/>
      <c r="Q4266" s="25" t="n"/>
      <c r="U4266" s="194" t="n"/>
      <c r="AA4266" s="25" t="n"/>
      <c r="AB4266" s="25" t="n"/>
      <c r="AC4266" s="195" t="n"/>
      <c r="AD4266" s="25" t="n"/>
      <c r="AE4266" s="25" t="n"/>
      <c r="AG4266" s="25" t="n"/>
      <c r="AH4266" s="25" t="n"/>
      <c r="AI4266" s="394" t="n"/>
      <c r="AM4266" s="48" t="n"/>
      <c r="AN4266" s="48" t="n"/>
      <c r="AO4266" s="48" t="n"/>
    </row>
    <row r="4267">
      <c r="M4267" s="25" t="n"/>
      <c r="Q4267" s="25" t="n"/>
      <c r="U4267" s="194" t="n"/>
      <c r="AA4267" s="25" t="n"/>
      <c r="AB4267" s="25" t="n"/>
      <c r="AC4267" s="195" t="n"/>
      <c r="AD4267" s="25" t="n"/>
      <c r="AE4267" s="25" t="n"/>
      <c r="AG4267" s="25" t="n"/>
      <c r="AH4267" s="25" t="n"/>
      <c r="AI4267" s="394" t="n"/>
      <c r="AM4267" s="48" t="n"/>
      <c r="AN4267" s="48" t="n"/>
      <c r="AO4267" s="48" t="n"/>
    </row>
    <row r="4268">
      <c r="M4268" s="25" t="n"/>
      <c r="Q4268" s="25" t="n"/>
      <c r="U4268" s="194" t="n"/>
      <c r="AA4268" s="25" t="n"/>
      <c r="AB4268" s="25" t="n"/>
      <c r="AC4268" s="195" t="n"/>
      <c r="AD4268" s="25" t="n"/>
      <c r="AE4268" s="25" t="n"/>
      <c r="AG4268" s="25" t="n"/>
      <c r="AH4268" s="25" t="n"/>
      <c r="AI4268" s="394" t="n"/>
      <c r="AM4268" s="48" t="n"/>
      <c r="AN4268" s="48" t="n"/>
      <c r="AO4268" s="48" t="n"/>
    </row>
    <row r="4269">
      <c r="M4269" s="25" t="n"/>
      <c r="Q4269" s="25" t="n"/>
      <c r="U4269" s="194" t="n"/>
      <c r="AA4269" s="25" t="n"/>
      <c r="AB4269" s="25" t="n"/>
      <c r="AC4269" s="195" t="n"/>
      <c r="AD4269" s="25" t="n"/>
      <c r="AE4269" s="25" t="n"/>
      <c r="AG4269" s="25" t="n"/>
      <c r="AH4269" s="25" t="n"/>
      <c r="AI4269" s="394" t="n"/>
      <c r="AM4269" s="48" t="n"/>
      <c r="AN4269" s="48" t="n"/>
      <c r="AO4269" s="48" t="n"/>
    </row>
    <row r="4270">
      <c r="M4270" s="25" t="n"/>
      <c r="Q4270" s="25" t="n"/>
      <c r="U4270" s="194" t="n"/>
      <c r="AA4270" s="25" t="n"/>
      <c r="AB4270" s="25" t="n"/>
      <c r="AC4270" s="195" t="n"/>
      <c r="AD4270" s="25" t="n"/>
      <c r="AE4270" s="25" t="n"/>
      <c r="AG4270" s="25" t="n"/>
      <c r="AH4270" s="25" t="n"/>
      <c r="AI4270" s="394" t="n"/>
      <c r="AM4270" s="48" t="n"/>
      <c r="AN4270" s="48" t="n"/>
      <c r="AO4270" s="48" t="n"/>
    </row>
    <row r="4271">
      <c r="M4271" s="25" t="n"/>
      <c r="Q4271" s="25" t="n"/>
      <c r="U4271" s="194" t="n"/>
      <c r="AA4271" s="25" t="n"/>
      <c r="AB4271" s="25" t="n"/>
      <c r="AC4271" s="195" t="n"/>
      <c r="AD4271" s="25" t="n"/>
      <c r="AE4271" s="25" t="n"/>
      <c r="AG4271" s="25" t="n"/>
      <c r="AH4271" s="25" t="n"/>
      <c r="AI4271" s="394" t="n"/>
      <c r="AM4271" s="48" t="n"/>
      <c r="AN4271" s="48" t="n"/>
      <c r="AO4271" s="48" t="n"/>
    </row>
    <row r="4272">
      <c r="M4272" s="25" t="n"/>
      <c r="Q4272" s="25" t="n"/>
      <c r="U4272" s="194" t="n"/>
      <c r="AA4272" s="25" t="n"/>
      <c r="AB4272" s="25" t="n"/>
      <c r="AC4272" s="195" t="n"/>
      <c r="AD4272" s="25" t="n"/>
      <c r="AE4272" s="25" t="n"/>
      <c r="AG4272" s="25" t="n"/>
      <c r="AH4272" s="25" t="n"/>
      <c r="AI4272" s="394" t="n"/>
      <c r="AM4272" s="48" t="n"/>
      <c r="AN4272" s="48" t="n"/>
      <c r="AO4272" s="48" t="n"/>
    </row>
    <row r="4273">
      <c r="M4273" s="25" t="n"/>
      <c r="Q4273" s="25" t="n"/>
      <c r="U4273" s="194" t="n"/>
      <c r="AA4273" s="25" t="n"/>
      <c r="AB4273" s="25" t="n"/>
      <c r="AC4273" s="195" t="n"/>
      <c r="AD4273" s="25" t="n"/>
      <c r="AE4273" s="25" t="n"/>
      <c r="AG4273" s="25" t="n"/>
      <c r="AH4273" s="25" t="n"/>
      <c r="AI4273" s="394" t="n"/>
      <c r="AM4273" s="48" t="n"/>
      <c r="AN4273" s="48" t="n"/>
      <c r="AO4273" s="48" t="n"/>
    </row>
    <row r="4274">
      <c r="M4274" s="25" t="n"/>
      <c r="Q4274" s="25" t="n"/>
      <c r="U4274" s="194" t="n"/>
      <c r="AA4274" s="25" t="n"/>
      <c r="AB4274" s="25" t="n"/>
      <c r="AC4274" s="195" t="n"/>
      <c r="AD4274" s="25" t="n"/>
      <c r="AE4274" s="25" t="n"/>
      <c r="AG4274" s="25" t="n"/>
      <c r="AH4274" s="25" t="n"/>
      <c r="AI4274" s="394" t="n"/>
      <c r="AM4274" s="48" t="n"/>
      <c r="AN4274" s="48" t="n"/>
      <c r="AO4274" s="48" t="n"/>
    </row>
    <row r="4275">
      <c r="M4275" s="25" t="n"/>
      <c r="Q4275" s="25" t="n"/>
      <c r="U4275" s="194" t="n"/>
      <c r="AA4275" s="25" t="n"/>
      <c r="AB4275" s="25" t="n"/>
      <c r="AC4275" s="195" t="n"/>
      <c r="AD4275" s="25" t="n"/>
      <c r="AE4275" s="25" t="n"/>
      <c r="AG4275" s="25" t="n"/>
      <c r="AH4275" s="25" t="n"/>
      <c r="AI4275" s="394" t="n"/>
      <c r="AM4275" s="48" t="n"/>
      <c r="AN4275" s="48" t="n"/>
      <c r="AO4275" s="48" t="n"/>
    </row>
    <row r="4276">
      <c r="M4276" s="25" t="n"/>
      <c r="Q4276" s="25" t="n"/>
      <c r="U4276" s="194" t="n"/>
      <c r="AA4276" s="25" t="n"/>
      <c r="AB4276" s="25" t="n"/>
      <c r="AC4276" s="195" t="n"/>
      <c r="AD4276" s="25" t="n"/>
      <c r="AE4276" s="25" t="n"/>
      <c r="AG4276" s="25" t="n"/>
      <c r="AH4276" s="25" t="n"/>
      <c r="AI4276" s="394" t="n"/>
      <c r="AM4276" s="48" t="n"/>
      <c r="AN4276" s="48" t="n"/>
      <c r="AO4276" s="48" t="n"/>
    </row>
    <row r="4277">
      <c r="M4277" s="25" t="n"/>
      <c r="Q4277" s="25" t="n"/>
      <c r="U4277" s="194" t="n"/>
      <c r="AA4277" s="25" t="n"/>
      <c r="AB4277" s="25" t="n"/>
      <c r="AC4277" s="195" t="n"/>
      <c r="AD4277" s="25" t="n"/>
      <c r="AE4277" s="25" t="n"/>
      <c r="AG4277" s="25" t="n"/>
      <c r="AH4277" s="25" t="n"/>
      <c r="AI4277" s="394" t="n"/>
      <c r="AM4277" s="48" t="n"/>
      <c r="AN4277" s="48" t="n"/>
      <c r="AO4277" s="48" t="n"/>
    </row>
    <row r="4278">
      <c r="M4278" s="25" t="n"/>
      <c r="Q4278" s="25" t="n"/>
      <c r="U4278" s="194" t="n"/>
      <c r="AA4278" s="25" t="n"/>
      <c r="AB4278" s="25" t="n"/>
      <c r="AC4278" s="195" t="n"/>
      <c r="AD4278" s="25" t="n"/>
      <c r="AE4278" s="25" t="n"/>
      <c r="AG4278" s="25" t="n"/>
      <c r="AH4278" s="25" t="n"/>
      <c r="AI4278" s="394" t="n"/>
      <c r="AM4278" s="48" t="n"/>
      <c r="AN4278" s="48" t="n"/>
      <c r="AO4278" s="48" t="n"/>
    </row>
    <row r="4279">
      <c r="M4279" s="25" t="n"/>
      <c r="Q4279" s="25" t="n"/>
      <c r="U4279" s="194" t="n"/>
      <c r="AA4279" s="25" t="n"/>
      <c r="AB4279" s="25" t="n"/>
      <c r="AC4279" s="195" t="n"/>
      <c r="AD4279" s="25" t="n"/>
      <c r="AE4279" s="25" t="n"/>
      <c r="AG4279" s="25" t="n"/>
      <c r="AH4279" s="25" t="n"/>
      <c r="AI4279" s="394" t="n"/>
      <c r="AM4279" s="48" t="n"/>
      <c r="AN4279" s="48" t="n"/>
      <c r="AO4279" s="48" t="n"/>
    </row>
    <row r="4280">
      <c r="M4280" s="25" t="n"/>
      <c r="Q4280" s="25" t="n"/>
      <c r="U4280" s="194" t="n"/>
      <c r="AA4280" s="25" t="n"/>
      <c r="AB4280" s="25" t="n"/>
      <c r="AC4280" s="195" t="n"/>
      <c r="AD4280" s="25" t="n"/>
      <c r="AE4280" s="25" t="n"/>
      <c r="AG4280" s="25" t="n"/>
      <c r="AH4280" s="25" t="n"/>
      <c r="AI4280" s="394" t="n"/>
      <c r="AM4280" s="48" t="n"/>
      <c r="AN4280" s="48" t="n"/>
      <c r="AO4280" s="48" t="n"/>
    </row>
    <row r="4281">
      <c r="M4281" s="25" t="n"/>
      <c r="Q4281" s="25" t="n"/>
      <c r="U4281" s="194" t="n"/>
      <c r="AA4281" s="25" t="n"/>
      <c r="AB4281" s="25" t="n"/>
      <c r="AC4281" s="195" t="n"/>
      <c r="AD4281" s="25" t="n"/>
      <c r="AE4281" s="25" t="n"/>
      <c r="AG4281" s="25" t="n"/>
      <c r="AH4281" s="25" t="n"/>
      <c r="AI4281" s="394" t="n"/>
      <c r="AM4281" s="48" t="n"/>
      <c r="AN4281" s="48" t="n"/>
      <c r="AO4281" s="48" t="n"/>
    </row>
    <row r="4282">
      <c r="M4282" s="25" t="n"/>
      <c r="Q4282" s="25" t="n"/>
      <c r="U4282" s="194" t="n"/>
      <c r="AA4282" s="25" t="n"/>
      <c r="AB4282" s="25" t="n"/>
      <c r="AC4282" s="195" t="n"/>
      <c r="AD4282" s="25" t="n"/>
      <c r="AE4282" s="25" t="n"/>
      <c r="AG4282" s="25" t="n"/>
      <c r="AH4282" s="25" t="n"/>
      <c r="AI4282" s="394" t="n"/>
      <c r="AM4282" s="48" t="n"/>
      <c r="AN4282" s="48" t="n"/>
      <c r="AO4282" s="48" t="n"/>
    </row>
    <row r="4283">
      <c r="M4283" s="25" t="n"/>
      <c r="Q4283" s="25" t="n"/>
      <c r="U4283" s="194" t="n"/>
      <c r="AA4283" s="25" t="n"/>
      <c r="AB4283" s="25" t="n"/>
      <c r="AC4283" s="195" t="n"/>
      <c r="AD4283" s="25" t="n"/>
      <c r="AE4283" s="25" t="n"/>
      <c r="AG4283" s="25" t="n"/>
      <c r="AH4283" s="25" t="n"/>
      <c r="AI4283" s="394" t="n"/>
      <c r="AM4283" s="48" t="n"/>
      <c r="AN4283" s="48" t="n"/>
      <c r="AO4283" s="48" t="n"/>
    </row>
    <row r="4284">
      <c r="M4284" s="25" t="n"/>
      <c r="Q4284" s="25" t="n"/>
      <c r="U4284" s="194" t="n"/>
      <c r="AA4284" s="25" t="n"/>
      <c r="AB4284" s="25" t="n"/>
      <c r="AC4284" s="195" t="n"/>
      <c r="AD4284" s="25" t="n"/>
      <c r="AE4284" s="25" t="n"/>
      <c r="AG4284" s="25" t="n"/>
      <c r="AH4284" s="25" t="n"/>
      <c r="AI4284" s="394" t="n"/>
      <c r="AM4284" s="48" t="n"/>
      <c r="AN4284" s="48" t="n"/>
      <c r="AO4284" s="48" t="n"/>
    </row>
    <row r="4285">
      <c r="M4285" s="25" t="n"/>
      <c r="Q4285" s="25" t="n"/>
      <c r="U4285" s="194" t="n"/>
      <c r="AA4285" s="25" t="n"/>
      <c r="AB4285" s="25" t="n"/>
      <c r="AC4285" s="195" t="n"/>
      <c r="AD4285" s="25" t="n"/>
      <c r="AE4285" s="25" t="n"/>
      <c r="AG4285" s="25" t="n"/>
      <c r="AH4285" s="25" t="n"/>
      <c r="AI4285" s="394" t="n"/>
      <c r="AM4285" s="48" t="n"/>
      <c r="AN4285" s="48" t="n"/>
      <c r="AO4285" s="48" t="n"/>
    </row>
    <row r="4286">
      <c r="M4286" s="25" t="n"/>
      <c r="Q4286" s="25" t="n"/>
      <c r="U4286" s="194" t="n"/>
      <c r="AA4286" s="25" t="n"/>
      <c r="AB4286" s="25" t="n"/>
      <c r="AC4286" s="195" t="n"/>
      <c r="AD4286" s="25" t="n"/>
      <c r="AE4286" s="25" t="n"/>
      <c r="AG4286" s="25" t="n"/>
      <c r="AH4286" s="25" t="n"/>
      <c r="AI4286" s="394" t="n"/>
      <c r="AM4286" s="48" t="n"/>
      <c r="AN4286" s="48" t="n"/>
      <c r="AO4286" s="48" t="n"/>
    </row>
    <row r="4287">
      <c r="M4287" s="25" t="n"/>
      <c r="Q4287" s="25" t="n"/>
      <c r="U4287" s="194" t="n"/>
      <c r="AA4287" s="25" t="n"/>
      <c r="AB4287" s="25" t="n"/>
      <c r="AC4287" s="195" t="n"/>
      <c r="AD4287" s="25" t="n"/>
      <c r="AE4287" s="25" t="n"/>
      <c r="AG4287" s="25" t="n"/>
      <c r="AH4287" s="25" t="n"/>
      <c r="AI4287" s="394" t="n"/>
      <c r="AM4287" s="48" t="n"/>
      <c r="AN4287" s="48" t="n"/>
      <c r="AO4287" s="48" t="n"/>
    </row>
    <row r="4288">
      <c r="M4288" s="25" t="n"/>
      <c r="Q4288" s="25" t="n"/>
      <c r="U4288" s="194" t="n"/>
      <c r="AA4288" s="25" t="n"/>
      <c r="AB4288" s="25" t="n"/>
      <c r="AC4288" s="195" t="n"/>
      <c r="AD4288" s="25" t="n"/>
      <c r="AE4288" s="25" t="n"/>
      <c r="AG4288" s="25" t="n"/>
      <c r="AH4288" s="25" t="n"/>
      <c r="AI4288" s="394" t="n"/>
      <c r="AM4288" s="48" t="n"/>
      <c r="AN4288" s="48" t="n"/>
      <c r="AO4288" s="48" t="n"/>
    </row>
    <row r="4289">
      <c r="M4289" s="25" t="n"/>
      <c r="Q4289" s="25" t="n"/>
      <c r="U4289" s="194" t="n"/>
      <c r="AA4289" s="25" t="n"/>
      <c r="AB4289" s="25" t="n"/>
      <c r="AC4289" s="195" t="n"/>
      <c r="AD4289" s="25" t="n"/>
      <c r="AE4289" s="25" t="n"/>
      <c r="AG4289" s="25" t="n"/>
      <c r="AH4289" s="25" t="n"/>
      <c r="AI4289" s="394" t="n"/>
      <c r="AM4289" s="48" t="n"/>
      <c r="AN4289" s="48" t="n"/>
      <c r="AO4289" s="48" t="n"/>
    </row>
    <row r="4290">
      <c r="M4290" s="25" t="n"/>
      <c r="Q4290" s="25" t="n"/>
      <c r="U4290" s="194" t="n"/>
      <c r="AA4290" s="25" t="n"/>
      <c r="AB4290" s="25" t="n"/>
      <c r="AC4290" s="195" t="n"/>
      <c r="AD4290" s="25" t="n"/>
      <c r="AE4290" s="25" t="n"/>
      <c r="AG4290" s="25" t="n"/>
      <c r="AH4290" s="25" t="n"/>
      <c r="AI4290" s="394" t="n"/>
      <c r="AM4290" s="48" t="n"/>
      <c r="AN4290" s="48" t="n"/>
      <c r="AO4290" s="48" t="n"/>
    </row>
    <row r="4291">
      <c r="M4291" s="25" t="n"/>
      <c r="Q4291" s="25" t="n"/>
      <c r="U4291" s="194" t="n"/>
      <c r="AA4291" s="25" t="n"/>
      <c r="AB4291" s="25" t="n"/>
      <c r="AC4291" s="195" t="n"/>
      <c r="AD4291" s="25" t="n"/>
      <c r="AE4291" s="25" t="n"/>
      <c r="AG4291" s="25" t="n"/>
      <c r="AH4291" s="25" t="n"/>
      <c r="AI4291" s="394" t="n"/>
      <c r="AM4291" s="48" t="n"/>
      <c r="AN4291" s="48" t="n"/>
      <c r="AO4291" s="48" t="n"/>
    </row>
    <row r="4292">
      <c r="M4292" s="25" t="n"/>
      <c r="Q4292" s="25" t="n"/>
      <c r="U4292" s="194" t="n"/>
      <c r="AA4292" s="25" t="n"/>
      <c r="AB4292" s="25" t="n"/>
      <c r="AC4292" s="195" t="n"/>
      <c r="AD4292" s="25" t="n"/>
      <c r="AE4292" s="25" t="n"/>
      <c r="AG4292" s="25" t="n"/>
      <c r="AH4292" s="25" t="n"/>
      <c r="AI4292" s="394" t="n"/>
      <c r="AM4292" s="48" t="n"/>
      <c r="AN4292" s="48" t="n"/>
      <c r="AO4292" s="48" t="n"/>
    </row>
    <row r="4293">
      <c r="M4293" s="25" t="n"/>
      <c r="Q4293" s="25" t="n"/>
      <c r="U4293" s="194" t="n"/>
      <c r="AA4293" s="25" t="n"/>
      <c r="AB4293" s="25" t="n"/>
      <c r="AC4293" s="195" t="n"/>
      <c r="AD4293" s="25" t="n"/>
      <c r="AE4293" s="25" t="n"/>
      <c r="AG4293" s="25" t="n"/>
      <c r="AH4293" s="25" t="n"/>
      <c r="AI4293" s="394" t="n"/>
      <c r="AM4293" s="48" t="n"/>
      <c r="AN4293" s="48" t="n"/>
      <c r="AO4293" s="48" t="n"/>
    </row>
    <row r="4294">
      <c r="M4294" s="25" t="n"/>
      <c r="Q4294" s="25" t="n"/>
      <c r="U4294" s="194" t="n"/>
      <c r="AA4294" s="25" t="n"/>
      <c r="AB4294" s="25" t="n"/>
      <c r="AC4294" s="195" t="n"/>
      <c r="AD4294" s="25" t="n"/>
      <c r="AE4294" s="25" t="n"/>
      <c r="AG4294" s="25" t="n"/>
      <c r="AH4294" s="25" t="n"/>
      <c r="AI4294" s="394" t="n"/>
      <c r="AM4294" s="48" t="n"/>
      <c r="AN4294" s="48" t="n"/>
      <c r="AO4294" s="48" t="n"/>
    </row>
    <row r="4295">
      <c r="M4295" s="25" t="n"/>
      <c r="Q4295" s="25" t="n"/>
      <c r="U4295" s="194" t="n"/>
      <c r="AA4295" s="25" t="n"/>
      <c r="AB4295" s="25" t="n"/>
      <c r="AC4295" s="195" t="n"/>
      <c r="AD4295" s="25" t="n"/>
      <c r="AE4295" s="25" t="n"/>
      <c r="AG4295" s="25" t="n"/>
      <c r="AH4295" s="25" t="n"/>
      <c r="AI4295" s="394" t="n"/>
      <c r="AM4295" s="48" t="n"/>
      <c r="AN4295" s="48" t="n"/>
      <c r="AO4295" s="48" t="n"/>
    </row>
    <row r="4296">
      <c r="M4296" s="25" t="n"/>
      <c r="Q4296" s="25" t="n"/>
      <c r="U4296" s="194" t="n"/>
      <c r="AA4296" s="25" t="n"/>
      <c r="AB4296" s="25" t="n"/>
      <c r="AC4296" s="195" t="n"/>
      <c r="AD4296" s="25" t="n"/>
      <c r="AE4296" s="25" t="n"/>
      <c r="AG4296" s="25" t="n"/>
      <c r="AH4296" s="25" t="n"/>
      <c r="AI4296" s="394" t="n"/>
      <c r="AM4296" s="48" t="n"/>
      <c r="AN4296" s="48" t="n"/>
      <c r="AO4296" s="48" t="n"/>
    </row>
    <row r="4297">
      <c r="M4297" s="25" t="n"/>
      <c r="Q4297" s="25" t="n"/>
      <c r="U4297" s="194" t="n"/>
      <c r="AA4297" s="25" t="n"/>
      <c r="AB4297" s="25" t="n"/>
      <c r="AC4297" s="195" t="n"/>
      <c r="AD4297" s="25" t="n"/>
      <c r="AE4297" s="25" t="n"/>
      <c r="AG4297" s="25" t="n"/>
      <c r="AH4297" s="25" t="n"/>
      <c r="AI4297" s="394" t="n"/>
      <c r="AM4297" s="48" t="n"/>
      <c r="AN4297" s="48" t="n"/>
      <c r="AO4297" s="48" t="n"/>
    </row>
    <row r="4298">
      <c r="M4298" s="25" t="n"/>
      <c r="Q4298" s="25" t="n"/>
      <c r="U4298" s="194" t="n"/>
      <c r="AA4298" s="25" t="n"/>
      <c r="AB4298" s="25" t="n"/>
      <c r="AC4298" s="195" t="n"/>
      <c r="AD4298" s="25" t="n"/>
      <c r="AE4298" s="25" t="n"/>
      <c r="AG4298" s="25" t="n"/>
      <c r="AH4298" s="25" t="n"/>
      <c r="AI4298" s="394" t="n"/>
      <c r="AM4298" s="48" t="n"/>
      <c r="AN4298" s="48" t="n"/>
      <c r="AO4298" s="48" t="n"/>
    </row>
    <row r="4299">
      <c r="M4299" s="25" t="n"/>
      <c r="Q4299" s="25" t="n"/>
      <c r="U4299" s="194" t="n"/>
      <c r="AA4299" s="25" t="n"/>
      <c r="AB4299" s="25" t="n"/>
      <c r="AC4299" s="195" t="n"/>
      <c r="AD4299" s="25" t="n"/>
      <c r="AE4299" s="25" t="n"/>
      <c r="AG4299" s="25" t="n"/>
      <c r="AH4299" s="25" t="n"/>
      <c r="AI4299" s="394" t="n"/>
      <c r="AM4299" s="48" t="n"/>
      <c r="AN4299" s="48" t="n"/>
      <c r="AO4299" s="48" t="n"/>
    </row>
    <row r="4300">
      <c r="M4300" s="25" t="n"/>
      <c r="Q4300" s="25" t="n"/>
      <c r="U4300" s="194" t="n"/>
      <c r="AA4300" s="25" t="n"/>
      <c r="AB4300" s="25" t="n"/>
      <c r="AC4300" s="195" t="n"/>
      <c r="AD4300" s="25" t="n"/>
      <c r="AE4300" s="25" t="n"/>
      <c r="AG4300" s="25" t="n"/>
      <c r="AH4300" s="25" t="n"/>
      <c r="AI4300" s="394" t="n"/>
      <c r="AM4300" s="48" t="n"/>
      <c r="AN4300" s="48" t="n"/>
      <c r="AO4300" s="48" t="n"/>
    </row>
    <row r="4301">
      <c r="M4301" s="25" t="n"/>
      <c r="Q4301" s="25" t="n"/>
      <c r="U4301" s="194" t="n"/>
      <c r="AA4301" s="25" t="n"/>
      <c r="AB4301" s="25" t="n"/>
      <c r="AC4301" s="195" t="n"/>
      <c r="AD4301" s="25" t="n"/>
      <c r="AE4301" s="25" t="n"/>
      <c r="AG4301" s="25" t="n"/>
      <c r="AH4301" s="25" t="n"/>
      <c r="AI4301" s="394" t="n"/>
      <c r="AM4301" s="48" t="n"/>
      <c r="AN4301" s="48" t="n"/>
      <c r="AO4301" s="48" t="n"/>
    </row>
    <row r="4302">
      <c r="M4302" s="25" t="n"/>
      <c r="Q4302" s="25" t="n"/>
      <c r="U4302" s="194" t="n"/>
      <c r="AA4302" s="25" t="n"/>
      <c r="AB4302" s="25" t="n"/>
      <c r="AC4302" s="195" t="n"/>
      <c r="AD4302" s="25" t="n"/>
      <c r="AE4302" s="25" t="n"/>
      <c r="AG4302" s="25" t="n"/>
      <c r="AH4302" s="25" t="n"/>
      <c r="AI4302" s="394" t="n"/>
      <c r="AM4302" s="48" t="n"/>
      <c r="AN4302" s="48" t="n"/>
      <c r="AO4302" s="48" t="n"/>
    </row>
    <row r="4303">
      <c r="M4303" s="25" t="n"/>
      <c r="Q4303" s="25" t="n"/>
      <c r="U4303" s="194" t="n"/>
      <c r="AA4303" s="25" t="n"/>
      <c r="AB4303" s="25" t="n"/>
      <c r="AC4303" s="195" t="n"/>
      <c r="AD4303" s="25" t="n"/>
      <c r="AE4303" s="25" t="n"/>
      <c r="AG4303" s="25" t="n"/>
      <c r="AH4303" s="25" t="n"/>
      <c r="AI4303" s="394" t="n"/>
      <c r="AM4303" s="48" t="n"/>
      <c r="AN4303" s="48" t="n"/>
      <c r="AO4303" s="48" t="n"/>
    </row>
    <row r="4304">
      <c r="M4304" s="25" t="n"/>
      <c r="Q4304" s="25" t="n"/>
      <c r="U4304" s="194" t="n"/>
      <c r="AA4304" s="25" t="n"/>
      <c r="AB4304" s="25" t="n"/>
      <c r="AC4304" s="195" t="n"/>
      <c r="AD4304" s="25" t="n"/>
      <c r="AE4304" s="25" t="n"/>
      <c r="AG4304" s="25" t="n"/>
      <c r="AH4304" s="25" t="n"/>
      <c r="AI4304" s="394" t="n"/>
      <c r="AM4304" s="48" t="n"/>
      <c r="AN4304" s="48" t="n"/>
      <c r="AO4304" s="48" t="n"/>
    </row>
    <row r="4305">
      <c r="M4305" s="25" t="n"/>
      <c r="Q4305" s="25" t="n"/>
      <c r="U4305" s="194" t="n"/>
      <c r="AA4305" s="25" t="n"/>
      <c r="AB4305" s="25" t="n"/>
      <c r="AC4305" s="195" t="n"/>
      <c r="AD4305" s="25" t="n"/>
      <c r="AE4305" s="25" t="n"/>
      <c r="AG4305" s="25" t="n"/>
      <c r="AH4305" s="25" t="n"/>
      <c r="AI4305" s="394" t="n"/>
      <c r="AM4305" s="48" t="n"/>
      <c r="AN4305" s="48" t="n"/>
      <c r="AO4305" s="48" t="n"/>
    </row>
    <row r="4306">
      <c r="M4306" s="25" t="n"/>
      <c r="Q4306" s="25" t="n"/>
      <c r="U4306" s="194" t="n"/>
      <c r="AA4306" s="25" t="n"/>
      <c r="AB4306" s="25" t="n"/>
      <c r="AC4306" s="195" t="n"/>
      <c r="AD4306" s="25" t="n"/>
      <c r="AE4306" s="25" t="n"/>
      <c r="AG4306" s="25" t="n"/>
      <c r="AH4306" s="25" t="n"/>
      <c r="AI4306" s="394" t="n"/>
      <c r="AM4306" s="48" t="n"/>
      <c r="AN4306" s="48" t="n"/>
      <c r="AO4306" s="48" t="n"/>
    </row>
    <row r="4307">
      <c r="M4307" s="25" t="n"/>
      <c r="Q4307" s="25" t="n"/>
      <c r="U4307" s="194" t="n"/>
      <c r="AA4307" s="25" t="n"/>
      <c r="AB4307" s="25" t="n"/>
      <c r="AC4307" s="195" t="n"/>
      <c r="AD4307" s="25" t="n"/>
      <c r="AE4307" s="25" t="n"/>
      <c r="AG4307" s="25" t="n"/>
      <c r="AH4307" s="25" t="n"/>
      <c r="AI4307" s="394" t="n"/>
      <c r="AM4307" s="48" t="n"/>
      <c r="AN4307" s="48" t="n"/>
      <c r="AO4307" s="48" t="n"/>
    </row>
    <row r="4308">
      <c r="M4308" s="25" t="n"/>
      <c r="Q4308" s="25" t="n"/>
      <c r="U4308" s="194" t="n"/>
      <c r="AA4308" s="25" t="n"/>
      <c r="AB4308" s="25" t="n"/>
      <c r="AC4308" s="195" t="n"/>
      <c r="AD4308" s="25" t="n"/>
      <c r="AE4308" s="25" t="n"/>
      <c r="AG4308" s="25" t="n"/>
      <c r="AH4308" s="25" t="n"/>
      <c r="AI4308" s="394" t="n"/>
      <c r="AM4308" s="48" t="n"/>
      <c r="AN4308" s="48" t="n"/>
      <c r="AO4308" s="48" t="n"/>
    </row>
    <row r="4309">
      <c r="M4309" s="25" t="n"/>
      <c r="Q4309" s="25" t="n"/>
      <c r="U4309" s="194" t="n"/>
      <c r="AA4309" s="25" t="n"/>
      <c r="AB4309" s="25" t="n"/>
      <c r="AC4309" s="195" t="n"/>
      <c r="AD4309" s="25" t="n"/>
      <c r="AE4309" s="25" t="n"/>
      <c r="AG4309" s="25" t="n"/>
      <c r="AH4309" s="25" t="n"/>
      <c r="AI4309" s="394" t="n"/>
      <c r="AM4309" s="48" t="n"/>
      <c r="AN4309" s="48" t="n"/>
      <c r="AO4309" s="48" t="n"/>
    </row>
    <row r="4310">
      <c r="M4310" s="25" t="n"/>
      <c r="Q4310" s="25" t="n"/>
      <c r="U4310" s="194" t="n"/>
      <c r="AA4310" s="25" t="n"/>
      <c r="AB4310" s="25" t="n"/>
      <c r="AC4310" s="195" t="n"/>
      <c r="AD4310" s="25" t="n"/>
      <c r="AE4310" s="25" t="n"/>
      <c r="AG4310" s="25" t="n"/>
      <c r="AH4310" s="25" t="n"/>
      <c r="AI4310" s="394" t="n"/>
      <c r="AM4310" s="48" t="n"/>
      <c r="AN4310" s="48" t="n"/>
      <c r="AO4310" s="48" t="n"/>
    </row>
    <row r="4311">
      <c r="M4311" s="25" t="n"/>
      <c r="Q4311" s="25" t="n"/>
      <c r="U4311" s="194" t="n"/>
      <c r="AA4311" s="25" t="n"/>
      <c r="AB4311" s="25" t="n"/>
      <c r="AC4311" s="195" t="n"/>
      <c r="AD4311" s="25" t="n"/>
      <c r="AE4311" s="25" t="n"/>
      <c r="AG4311" s="25" t="n"/>
      <c r="AH4311" s="25" t="n"/>
      <c r="AI4311" s="394" t="n"/>
      <c r="AM4311" s="48" t="n"/>
      <c r="AN4311" s="48" t="n"/>
      <c r="AO4311" s="48" t="n"/>
    </row>
    <row r="4312">
      <c r="M4312" s="25" t="n"/>
      <c r="Q4312" s="25" t="n"/>
      <c r="U4312" s="194" t="n"/>
      <c r="AA4312" s="25" t="n"/>
      <c r="AB4312" s="25" t="n"/>
      <c r="AC4312" s="195" t="n"/>
      <c r="AD4312" s="25" t="n"/>
      <c r="AE4312" s="25" t="n"/>
      <c r="AG4312" s="25" t="n"/>
      <c r="AH4312" s="25" t="n"/>
      <c r="AI4312" s="394" t="n"/>
      <c r="AM4312" s="48" t="n"/>
      <c r="AN4312" s="48" t="n"/>
      <c r="AO4312" s="48" t="n"/>
    </row>
    <row r="4313">
      <c r="M4313" s="25" t="n"/>
      <c r="Q4313" s="25" t="n"/>
      <c r="U4313" s="194" t="n"/>
      <c r="AA4313" s="25" t="n"/>
      <c r="AB4313" s="25" t="n"/>
      <c r="AC4313" s="195" t="n"/>
      <c r="AD4313" s="25" t="n"/>
      <c r="AE4313" s="25" t="n"/>
      <c r="AG4313" s="25" t="n"/>
      <c r="AH4313" s="25" t="n"/>
      <c r="AI4313" s="394" t="n"/>
      <c r="AM4313" s="48" t="n"/>
      <c r="AN4313" s="48" t="n"/>
      <c r="AO4313" s="48" t="n"/>
    </row>
    <row r="4314">
      <c r="M4314" s="25" t="n"/>
      <c r="Q4314" s="25" t="n"/>
      <c r="U4314" s="194" t="n"/>
      <c r="AA4314" s="25" t="n"/>
      <c r="AB4314" s="25" t="n"/>
      <c r="AC4314" s="195" t="n"/>
      <c r="AD4314" s="25" t="n"/>
      <c r="AE4314" s="25" t="n"/>
      <c r="AG4314" s="25" t="n"/>
      <c r="AH4314" s="25" t="n"/>
      <c r="AI4314" s="394" t="n"/>
      <c r="AM4314" s="48" t="n"/>
      <c r="AN4314" s="48" t="n"/>
      <c r="AO4314" s="48" t="n"/>
    </row>
    <row r="4315">
      <c r="M4315" s="25" t="n"/>
      <c r="Q4315" s="25" t="n"/>
      <c r="U4315" s="194" t="n"/>
      <c r="AA4315" s="25" t="n"/>
      <c r="AB4315" s="25" t="n"/>
      <c r="AC4315" s="195" t="n"/>
      <c r="AD4315" s="25" t="n"/>
      <c r="AE4315" s="25" t="n"/>
      <c r="AG4315" s="25" t="n"/>
      <c r="AH4315" s="25" t="n"/>
      <c r="AI4315" s="394" t="n"/>
      <c r="AM4315" s="48" t="n"/>
      <c r="AN4315" s="48" t="n"/>
      <c r="AO4315" s="48" t="n"/>
    </row>
    <row r="4316">
      <c r="M4316" s="25" t="n"/>
      <c r="Q4316" s="25" t="n"/>
      <c r="U4316" s="194" t="n"/>
      <c r="AA4316" s="25" t="n"/>
      <c r="AB4316" s="25" t="n"/>
      <c r="AC4316" s="195" t="n"/>
      <c r="AD4316" s="25" t="n"/>
      <c r="AE4316" s="25" t="n"/>
      <c r="AG4316" s="25" t="n"/>
      <c r="AH4316" s="25" t="n"/>
      <c r="AI4316" s="394" t="n"/>
      <c r="AM4316" s="48" t="n"/>
      <c r="AN4316" s="48" t="n"/>
      <c r="AO4316" s="48" t="n"/>
    </row>
    <row r="4317">
      <c r="M4317" s="25" t="n"/>
      <c r="Q4317" s="25" t="n"/>
      <c r="U4317" s="194" t="n"/>
      <c r="AA4317" s="25" t="n"/>
      <c r="AB4317" s="25" t="n"/>
      <c r="AC4317" s="195" t="n"/>
      <c r="AD4317" s="25" t="n"/>
      <c r="AE4317" s="25" t="n"/>
      <c r="AG4317" s="25" t="n"/>
      <c r="AH4317" s="25" t="n"/>
      <c r="AI4317" s="394" t="n"/>
      <c r="AM4317" s="48" t="n"/>
      <c r="AN4317" s="48" t="n"/>
      <c r="AO4317" s="48" t="n"/>
    </row>
    <row r="4318">
      <c r="M4318" s="25" t="n"/>
      <c r="Q4318" s="25" t="n"/>
      <c r="U4318" s="194" t="n"/>
      <c r="AA4318" s="25" t="n"/>
      <c r="AB4318" s="25" t="n"/>
      <c r="AC4318" s="195" t="n"/>
      <c r="AD4318" s="25" t="n"/>
      <c r="AE4318" s="25" t="n"/>
      <c r="AG4318" s="25" t="n"/>
      <c r="AH4318" s="25" t="n"/>
      <c r="AI4318" s="394" t="n"/>
      <c r="AM4318" s="48" t="n"/>
      <c r="AN4318" s="48" t="n"/>
      <c r="AO4318" s="48" t="n"/>
    </row>
    <row r="4319">
      <c r="M4319" s="25" t="n"/>
      <c r="Q4319" s="25" t="n"/>
      <c r="U4319" s="194" t="n"/>
      <c r="AA4319" s="25" t="n"/>
      <c r="AB4319" s="25" t="n"/>
      <c r="AC4319" s="195" t="n"/>
      <c r="AD4319" s="25" t="n"/>
      <c r="AE4319" s="25" t="n"/>
      <c r="AG4319" s="25" t="n"/>
      <c r="AH4319" s="25" t="n"/>
      <c r="AI4319" s="394" t="n"/>
      <c r="AM4319" s="48" t="n"/>
      <c r="AN4319" s="48" t="n"/>
      <c r="AO4319" s="48" t="n"/>
    </row>
    <row r="4320">
      <c r="M4320" s="25" t="n"/>
      <c r="Q4320" s="25" t="n"/>
      <c r="U4320" s="194" t="n"/>
      <c r="AA4320" s="25" t="n"/>
      <c r="AB4320" s="25" t="n"/>
      <c r="AC4320" s="195" t="n"/>
      <c r="AD4320" s="25" t="n"/>
      <c r="AE4320" s="25" t="n"/>
      <c r="AG4320" s="25" t="n"/>
      <c r="AH4320" s="25" t="n"/>
      <c r="AI4320" s="394" t="n"/>
      <c r="AM4320" s="48" t="n"/>
      <c r="AN4320" s="48" t="n"/>
      <c r="AO4320" s="48" t="n"/>
    </row>
    <row r="4321">
      <c r="M4321" s="25" t="n"/>
      <c r="Q4321" s="25" t="n"/>
      <c r="U4321" s="194" t="n"/>
      <c r="AA4321" s="25" t="n"/>
      <c r="AB4321" s="25" t="n"/>
      <c r="AC4321" s="195" t="n"/>
      <c r="AD4321" s="25" t="n"/>
      <c r="AE4321" s="25" t="n"/>
      <c r="AG4321" s="25" t="n"/>
      <c r="AH4321" s="25" t="n"/>
      <c r="AI4321" s="394" t="n"/>
      <c r="AM4321" s="48" t="n"/>
      <c r="AN4321" s="48" t="n"/>
      <c r="AO4321" s="48" t="n"/>
    </row>
    <row r="4322">
      <c r="M4322" s="25" t="n"/>
      <c r="Q4322" s="25" t="n"/>
      <c r="U4322" s="194" t="n"/>
      <c r="AA4322" s="25" t="n"/>
      <c r="AB4322" s="25" t="n"/>
      <c r="AC4322" s="195" t="n"/>
      <c r="AD4322" s="25" t="n"/>
      <c r="AE4322" s="25" t="n"/>
      <c r="AG4322" s="25" t="n"/>
      <c r="AH4322" s="25" t="n"/>
      <c r="AI4322" s="394" t="n"/>
      <c r="AM4322" s="48" t="n"/>
      <c r="AN4322" s="48" t="n"/>
      <c r="AO4322" s="48" t="n"/>
    </row>
    <row r="4323">
      <c r="M4323" s="25" t="n"/>
      <c r="Q4323" s="25" t="n"/>
      <c r="U4323" s="194" t="n"/>
      <c r="AA4323" s="25" t="n"/>
      <c r="AB4323" s="25" t="n"/>
      <c r="AC4323" s="195" t="n"/>
      <c r="AD4323" s="25" t="n"/>
      <c r="AE4323" s="25" t="n"/>
      <c r="AG4323" s="25" t="n"/>
      <c r="AH4323" s="25" t="n"/>
      <c r="AI4323" s="394" t="n"/>
      <c r="AM4323" s="48" t="n"/>
      <c r="AN4323" s="48" t="n"/>
      <c r="AO4323" s="48" t="n"/>
    </row>
    <row r="4324">
      <c r="M4324" s="25" t="n"/>
      <c r="Q4324" s="25" t="n"/>
      <c r="U4324" s="194" t="n"/>
      <c r="AA4324" s="25" t="n"/>
      <c r="AB4324" s="25" t="n"/>
      <c r="AC4324" s="195" t="n"/>
      <c r="AD4324" s="25" t="n"/>
      <c r="AE4324" s="25" t="n"/>
      <c r="AG4324" s="25" t="n"/>
      <c r="AH4324" s="25" t="n"/>
      <c r="AI4324" s="394" t="n"/>
      <c r="AM4324" s="48" t="n"/>
      <c r="AN4324" s="48" t="n"/>
      <c r="AO4324" s="48" t="n"/>
    </row>
    <row r="4325">
      <c r="M4325" s="25" t="n"/>
      <c r="Q4325" s="25" t="n"/>
      <c r="U4325" s="194" t="n"/>
      <c r="AA4325" s="25" t="n"/>
      <c r="AB4325" s="25" t="n"/>
      <c r="AC4325" s="195" t="n"/>
      <c r="AD4325" s="25" t="n"/>
      <c r="AE4325" s="25" t="n"/>
      <c r="AG4325" s="25" t="n"/>
      <c r="AH4325" s="25" t="n"/>
      <c r="AI4325" s="394" t="n"/>
      <c r="AM4325" s="48" t="n"/>
      <c r="AN4325" s="48" t="n"/>
      <c r="AO4325" s="48" t="n"/>
    </row>
    <row r="4326">
      <c r="M4326" s="25" t="n"/>
      <c r="Q4326" s="25" t="n"/>
      <c r="U4326" s="194" t="n"/>
      <c r="AA4326" s="25" t="n"/>
      <c r="AB4326" s="25" t="n"/>
      <c r="AC4326" s="195" t="n"/>
      <c r="AD4326" s="25" t="n"/>
      <c r="AE4326" s="25" t="n"/>
      <c r="AG4326" s="25" t="n"/>
      <c r="AH4326" s="25" t="n"/>
      <c r="AI4326" s="394" t="n"/>
      <c r="AM4326" s="48" t="n"/>
      <c r="AN4326" s="48" t="n"/>
      <c r="AO4326" s="48" t="n"/>
    </row>
    <row r="4327">
      <c r="M4327" s="25" t="n"/>
      <c r="Q4327" s="25" t="n"/>
      <c r="U4327" s="194" t="n"/>
      <c r="AA4327" s="25" t="n"/>
      <c r="AB4327" s="25" t="n"/>
      <c r="AC4327" s="195" t="n"/>
      <c r="AD4327" s="25" t="n"/>
      <c r="AE4327" s="25" t="n"/>
      <c r="AG4327" s="25" t="n"/>
      <c r="AH4327" s="25" t="n"/>
      <c r="AI4327" s="394" t="n"/>
      <c r="AM4327" s="48" t="n"/>
      <c r="AN4327" s="48" t="n"/>
      <c r="AO4327" s="48" t="n"/>
    </row>
    <row r="4328">
      <c r="M4328" s="25" t="n"/>
      <c r="Q4328" s="25" t="n"/>
      <c r="U4328" s="194" t="n"/>
      <c r="AA4328" s="25" t="n"/>
      <c r="AB4328" s="25" t="n"/>
      <c r="AC4328" s="195" t="n"/>
      <c r="AD4328" s="25" t="n"/>
      <c r="AE4328" s="25" t="n"/>
      <c r="AG4328" s="25" t="n"/>
      <c r="AH4328" s="25" t="n"/>
      <c r="AI4328" s="394" t="n"/>
      <c r="AM4328" s="48" t="n"/>
      <c r="AN4328" s="48" t="n"/>
      <c r="AO4328" s="48" t="n"/>
    </row>
    <row r="4329">
      <c r="M4329" s="25" t="n"/>
      <c r="Q4329" s="25" t="n"/>
      <c r="U4329" s="194" t="n"/>
      <c r="AA4329" s="25" t="n"/>
      <c r="AB4329" s="25" t="n"/>
      <c r="AC4329" s="195" t="n"/>
      <c r="AD4329" s="25" t="n"/>
      <c r="AE4329" s="25" t="n"/>
      <c r="AG4329" s="25" t="n"/>
      <c r="AH4329" s="25" t="n"/>
      <c r="AI4329" s="394" t="n"/>
      <c r="AM4329" s="48" t="n"/>
      <c r="AN4329" s="48" t="n"/>
      <c r="AO4329" s="48" t="n"/>
    </row>
    <row r="4330">
      <c r="M4330" s="25" t="n"/>
      <c r="Q4330" s="25" t="n"/>
      <c r="U4330" s="194" t="n"/>
      <c r="AA4330" s="25" t="n"/>
      <c r="AB4330" s="25" t="n"/>
      <c r="AC4330" s="195" t="n"/>
      <c r="AD4330" s="25" t="n"/>
      <c r="AE4330" s="25" t="n"/>
      <c r="AG4330" s="25" t="n"/>
      <c r="AH4330" s="25" t="n"/>
      <c r="AI4330" s="394" t="n"/>
      <c r="AM4330" s="48" t="n"/>
      <c r="AN4330" s="48" t="n"/>
      <c r="AO4330" s="48" t="n"/>
    </row>
    <row r="4331">
      <c r="M4331" s="25" t="n"/>
      <c r="Q4331" s="25" t="n"/>
      <c r="U4331" s="194" t="n"/>
      <c r="AA4331" s="25" t="n"/>
      <c r="AB4331" s="25" t="n"/>
      <c r="AC4331" s="195" t="n"/>
      <c r="AD4331" s="25" t="n"/>
      <c r="AE4331" s="25" t="n"/>
      <c r="AG4331" s="25" t="n"/>
      <c r="AH4331" s="25" t="n"/>
      <c r="AI4331" s="394" t="n"/>
      <c r="AM4331" s="48" t="n"/>
      <c r="AN4331" s="48" t="n"/>
      <c r="AO4331" s="48" t="n"/>
    </row>
    <row r="4332">
      <c r="M4332" s="25" t="n"/>
      <c r="Q4332" s="25" t="n"/>
      <c r="U4332" s="194" t="n"/>
      <c r="AA4332" s="25" t="n"/>
      <c r="AB4332" s="25" t="n"/>
      <c r="AC4332" s="195" t="n"/>
      <c r="AD4332" s="25" t="n"/>
      <c r="AE4332" s="25" t="n"/>
      <c r="AG4332" s="25" t="n"/>
      <c r="AH4332" s="25" t="n"/>
      <c r="AI4332" s="394" t="n"/>
      <c r="AM4332" s="48" t="n"/>
      <c r="AN4332" s="48" t="n"/>
      <c r="AO4332" s="48" t="n"/>
    </row>
    <row r="4333">
      <c r="M4333" s="25" t="n"/>
      <c r="Q4333" s="25" t="n"/>
      <c r="U4333" s="194" t="n"/>
      <c r="AA4333" s="25" t="n"/>
      <c r="AB4333" s="25" t="n"/>
      <c r="AC4333" s="195" t="n"/>
      <c r="AD4333" s="25" t="n"/>
      <c r="AE4333" s="25" t="n"/>
      <c r="AG4333" s="25" t="n"/>
      <c r="AH4333" s="25" t="n"/>
      <c r="AI4333" s="394" t="n"/>
      <c r="AM4333" s="48" t="n"/>
      <c r="AN4333" s="48" t="n"/>
      <c r="AO4333" s="48" t="n"/>
    </row>
    <row r="4334">
      <c r="M4334" s="25" t="n"/>
      <c r="Q4334" s="25" t="n"/>
      <c r="U4334" s="194" t="n"/>
      <c r="AA4334" s="25" t="n"/>
      <c r="AB4334" s="25" t="n"/>
      <c r="AC4334" s="195" t="n"/>
      <c r="AD4334" s="25" t="n"/>
      <c r="AE4334" s="25" t="n"/>
      <c r="AG4334" s="25" t="n"/>
      <c r="AH4334" s="25" t="n"/>
      <c r="AI4334" s="394" t="n"/>
      <c r="AM4334" s="48" t="n"/>
      <c r="AN4334" s="48" t="n"/>
      <c r="AO4334" s="48" t="n"/>
    </row>
    <row r="4335">
      <c r="M4335" s="25" t="n"/>
      <c r="Q4335" s="25" t="n"/>
      <c r="U4335" s="194" t="n"/>
      <c r="AA4335" s="25" t="n"/>
      <c r="AB4335" s="25" t="n"/>
      <c r="AC4335" s="195" t="n"/>
      <c r="AD4335" s="25" t="n"/>
      <c r="AE4335" s="25" t="n"/>
      <c r="AG4335" s="25" t="n"/>
      <c r="AH4335" s="25" t="n"/>
      <c r="AI4335" s="394" t="n"/>
      <c r="AM4335" s="48" t="n"/>
      <c r="AN4335" s="48" t="n"/>
      <c r="AO4335" s="48" t="n"/>
    </row>
    <row r="4336">
      <c r="M4336" s="25" t="n"/>
      <c r="Q4336" s="25" t="n"/>
      <c r="U4336" s="194" t="n"/>
      <c r="AA4336" s="25" t="n"/>
      <c r="AB4336" s="25" t="n"/>
      <c r="AC4336" s="195" t="n"/>
      <c r="AD4336" s="25" t="n"/>
      <c r="AE4336" s="25" t="n"/>
      <c r="AG4336" s="25" t="n"/>
      <c r="AH4336" s="25" t="n"/>
      <c r="AI4336" s="394" t="n"/>
      <c r="AM4336" s="48" t="n"/>
      <c r="AN4336" s="48" t="n"/>
      <c r="AO4336" s="48" t="n"/>
    </row>
    <row r="4337">
      <c r="M4337" s="25" t="n"/>
      <c r="Q4337" s="25" t="n"/>
      <c r="U4337" s="194" t="n"/>
      <c r="AA4337" s="25" t="n"/>
      <c r="AB4337" s="25" t="n"/>
      <c r="AC4337" s="195" t="n"/>
      <c r="AD4337" s="25" t="n"/>
      <c r="AE4337" s="25" t="n"/>
      <c r="AG4337" s="25" t="n"/>
      <c r="AH4337" s="25" t="n"/>
      <c r="AI4337" s="394" t="n"/>
      <c r="AM4337" s="48" t="n"/>
      <c r="AN4337" s="48" t="n"/>
      <c r="AO4337" s="48" t="n"/>
    </row>
    <row r="4338">
      <c r="M4338" s="25" t="n"/>
      <c r="Q4338" s="25" t="n"/>
      <c r="U4338" s="194" t="n"/>
      <c r="AA4338" s="25" t="n"/>
      <c r="AB4338" s="25" t="n"/>
      <c r="AC4338" s="195" t="n"/>
      <c r="AD4338" s="25" t="n"/>
      <c r="AE4338" s="25" t="n"/>
      <c r="AG4338" s="25" t="n"/>
      <c r="AH4338" s="25" t="n"/>
      <c r="AI4338" s="394" t="n"/>
      <c r="AM4338" s="48" t="n"/>
      <c r="AN4338" s="48" t="n"/>
      <c r="AO4338" s="48" t="n"/>
    </row>
    <row r="4339">
      <c r="M4339" s="25" t="n"/>
      <c r="Q4339" s="25" t="n"/>
      <c r="U4339" s="194" t="n"/>
      <c r="AA4339" s="25" t="n"/>
      <c r="AB4339" s="25" t="n"/>
      <c r="AC4339" s="195" t="n"/>
      <c r="AD4339" s="25" t="n"/>
      <c r="AE4339" s="25" t="n"/>
      <c r="AG4339" s="25" t="n"/>
      <c r="AH4339" s="25" t="n"/>
      <c r="AI4339" s="394" t="n"/>
      <c r="AM4339" s="48" t="n"/>
      <c r="AN4339" s="48" t="n"/>
      <c r="AO4339" s="48" t="n"/>
    </row>
    <row r="4340">
      <c r="M4340" s="25" t="n"/>
      <c r="Q4340" s="25" t="n"/>
      <c r="U4340" s="194" t="n"/>
      <c r="AA4340" s="25" t="n"/>
      <c r="AB4340" s="25" t="n"/>
      <c r="AC4340" s="195" t="n"/>
      <c r="AD4340" s="25" t="n"/>
      <c r="AE4340" s="25" t="n"/>
      <c r="AG4340" s="25" t="n"/>
      <c r="AH4340" s="25" t="n"/>
      <c r="AI4340" s="394" t="n"/>
      <c r="AM4340" s="48" t="n"/>
      <c r="AN4340" s="48" t="n"/>
      <c r="AO4340" s="48" t="n"/>
    </row>
    <row r="4341">
      <c r="M4341" s="25" t="n"/>
      <c r="Q4341" s="25" t="n"/>
      <c r="U4341" s="194" t="n"/>
      <c r="AA4341" s="25" t="n"/>
      <c r="AB4341" s="25" t="n"/>
      <c r="AC4341" s="195" t="n"/>
      <c r="AD4341" s="25" t="n"/>
      <c r="AE4341" s="25" t="n"/>
      <c r="AG4341" s="25" t="n"/>
      <c r="AH4341" s="25" t="n"/>
      <c r="AI4341" s="394" t="n"/>
      <c r="AM4341" s="48" t="n"/>
      <c r="AN4341" s="48" t="n"/>
      <c r="AO4341" s="48" t="n"/>
    </row>
    <row r="4342">
      <c r="M4342" s="25" t="n"/>
      <c r="Q4342" s="25" t="n"/>
      <c r="U4342" s="194" t="n"/>
      <c r="AA4342" s="25" t="n"/>
      <c r="AB4342" s="25" t="n"/>
      <c r="AC4342" s="195" t="n"/>
      <c r="AD4342" s="25" t="n"/>
      <c r="AE4342" s="25" t="n"/>
      <c r="AG4342" s="25" t="n"/>
      <c r="AH4342" s="25" t="n"/>
      <c r="AI4342" s="394" t="n"/>
      <c r="AM4342" s="48" t="n"/>
      <c r="AN4342" s="48" t="n"/>
      <c r="AO4342" s="48" t="n"/>
    </row>
    <row r="4343">
      <c r="M4343" s="25" t="n"/>
      <c r="Q4343" s="25" t="n"/>
      <c r="U4343" s="194" t="n"/>
      <c r="AA4343" s="25" t="n"/>
      <c r="AB4343" s="25" t="n"/>
      <c r="AC4343" s="195" t="n"/>
      <c r="AD4343" s="25" t="n"/>
      <c r="AE4343" s="25" t="n"/>
      <c r="AG4343" s="25" t="n"/>
      <c r="AH4343" s="25" t="n"/>
      <c r="AI4343" s="394" t="n"/>
      <c r="AM4343" s="48" t="n"/>
      <c r="AN4343" s="48" t="n"/>
      <c r="AO4343" s="48" t="n"/>
    </row>
    <row r="4344">
      <c r="M4344" s="25" t="n"/>
      <c r="Q4344" s="25" t="n"/>
      <c r="U4344" s="194" t="n"/>
      <c r="AA4344" s="25" t="n"/>
      <c r="AB4344" s="25" t="n"/>
      <c r="AC4344" s="195" t="n"/>
      <c r="AD4344" s="25" t="n"/>
      <c r="AE4344" s="25" t="n"/>
      <c r="AG4344" s="25" t="n"/>
      <c r="AH4344" s="25" t="n"/>
      <c r="AI4344" s="394" t="n"/>
      <c r="AM4344" s="48" t="n"/>
      <c r="AN4344" s="48" t="n"/>
      <c r="AO4344" s="48" t="n"/>
    </row>
    <row r="4345">
      <c r="M4345" s="25" t="n"/>
      <c r="Q4345" s="25" t="n"/>
      <c r="U4345" s="194" t="n"/>
      <c r="AA4345" s="25" t="n"/>
      <c r="AB4345" s="25" t="n"/>
      <c r="AC4345" s="195" t="n"/>
      <c r="AD4345" s="25" t="n"/>
      <c r="AE4345" s="25" t="n"/>
      <c r="AG4345" s="25" t="n"/>
      <c r="AH4345" s="25" t="n"/>
      <c r="AI4345" s="394" t="n"/>
      <c r="AM4345" s="48" t="n"/>
      <c r="AN4345" s="48" t="n"/>
      <c r="AO4345" s="48" t="n"/>
    </row>
    <row r="4346">
      <c r="M4346" s="25" t="n"/>
      <c r="Q4346" s="25" t="n"/>
      <c r="U4346" s="194" t="n"/>
      <c r="AA4346" s="25" t="n"/>
      <c r="AB4346" s="25" t="n"/>
      <c r="AC4346" s="195" t="n"/>
      <c r="AD4346" s="25" t="n"/>
      <c r="AE4346" s="25" t="n"/>
      <c r="AG4346" s="25" t="n"/>
      <c r="AH4346" s="25" t="n"/>
      <c r="AI4346" s="394" t="n"/>
      <c r="AM4346" s="48" t="n"/>
      <c r="AN4346" s="48" t="n"/>
      <c r="AO4346" s="48" t="n"/>
    </row>
    <row r="4347">
      <c r="M4347" s="25" t="n"/>
      <c r="Q4347" s="25" t="n"/>
      <c r="U4347" s="194" t="n"/>
      <c r="AA4347" s="25" t="n"/>
      <c r="AB4347" s="25" t="n"/>
      <c r="AC4347" s="195" t="n"/>
      <c r="AD4347" s="25" t="n"/>
      <c r="AE4347" s="25" t="n"/>
      <c r="AG4347" s="25" t="n"/>
      <c r="AH4347" s="25" t="n"/>
      <c r="AI4347" s="394" t="n"/>
      <c r="AM4347" s="48" t="n"/>
      <c r="AN4347" s="48" t="n"/>
      <c r="AO4347" s="48" t="n"/>
    </row>
    <row r="4348">
      <c r="M4348" s="25" t="n"/>
      <c r="Q4348" s="25" t="n"/>
      <c r="U4348" s="194" t="n"/>
      <c r="AA4348" s="25" t="n"/>
      <c r="AB4348" s="25" t="n"/>
      <c r="AC4348" s="195" t="n"/>
      <c r="AD4348" s="25" t="n"/>
      <c r="AE4348" s="25" t="n"/>
      <c r="AG4348" s="25" t="n"/>
      <c r="AH4348" s="25" t="n"/>
      <c r="AI4348" s="394" t="n"/>
      <c r="AM4348" s="48" t="n"/>
      <c r="AN4348" s="48" t="n"/>
      <c r="AO4348" s="48" t="n"/>
    </row>
    <row r="4349">
      <c r="M4349" s="25" t="n"/>
      <c r="Q4349" s="25" t="n"/>
      <c r="U4349" s="194" t="n"/>
      <c r="AA4349" s="25" t="n"/>
      <c r="AB4349" s="25" t="n"/>
      <c r="AC4349" s="195" t="n"/>
      <c r="AD4349" s="25" t="n"/>
      <c r="AE4349" s="25" t="n"/>
      <c r="AG4349" s="25" t="n"/>
      <c r="AH4349" s="25" t="n"/>
      <c r="AI4349" s="394" t="n"/>
      <c r="AM4349" s="48" t="n"/>
      <c r="AN4349" s="48" t="n"/>
      <c r="AO4349" s="48" t="n"/>
    </row>
    <row r="4350">
      <c r="M4350" s="25" t="n"/>
      <c r="Q4350" s="25" t="n"/>
      <c r="U4350" s="194" t="n"/>
      <c r="AA4350" s="25" t="n"/>
      <c r="AB4350" s="25" t="n"/>
      <c r="AC4350" s="195" t="n"/>
      <c r="AD4350" s="25" t="n"/>
      <c r="AE4350" s="25" t="n"/>
      <c r="AG4350" s="25" t="n"/>
      <c r="AH4350" s="25" t="n"/>
      <c r="AI4350" s="394" t="n"/>
      <c r="AM4350" s="48" t="n"/>
      <c r="AN4350" s="48" t="n"/>
      <c r="AO4350" s="48" t="n"/>
    </row>
    <row r="4351">
      <c r="M4351" s="25" t="n"/>
      <c r="Q4351" s="25" t="n"/>
      <c r="U4351" s="194" t="n"/>
      <c r="AA4351" s="25" t="n"/>
      <c r="AB4351" s="25" t="n"/>
      <c r="AC4351" s="195" t="n"/>
      <c r="AD4351" s="25" t="n"/>
      <c r="AE4351" s="25" t="n"/>
      <c r="AG4351" s="25" t="n"/>
      <c r="AH4351" s="25" t="n"/>
      <c r="AI4351" s="394" t="n"/>
      <c r="AM4351" s="48" t="n"/>
      <c r="AN4351" s="48" t="n"/>
      <c r="AO4351" s="48" t="n"/>
    </row>
    <row r="4352">
      <c r="M4352" s="25" t="n"/>
      <c r="Q4352" s="25" t="n"/>
      <c r="U4352" s="194" t="n"/>
      <c r="AA4352" s="25" t="n"/>
      <c r="AB4352" s="25" t="n"/>
      <c r="AC4352" s="195" t="n"/>
      <c r="AD4352" s="25" t="n"/>
      <c r="AE4352" s="25" t="n"/>
      <c r="AG4352" s="25" t="n"/>
      <c r="AH4352" s="25" t="n"/>
      <c r="AI4352" s="394" t="n"/>
      <c r="AM4352" s="48" t="n"/>
      <c r="AN4352" s="48" t="n"/>
      <c r="AO4352" s="48" t="n"/>
    </row>
    <row r="4353">
      <c r="M4353" s="25" t="n"/>
      <c r="Q4353" s="25" t="n"/>
      <c r="U4353" s="194" t="n"/>
      <c r="AA4353" s="25" t="n"/>
      <c r="AB4353" s="25" t="n"/>
      <c r="AC4353" s="195" t="n"/>
      <c r="AD4353" s="25" t="n"/>
      <c r="AE4353" s="25" t="n"/>
      <c r="AG4353" s="25" t="n"/>
      <c r="AH4353" s="25" t="n"/>
      <c r="AI4353" s="394" t="n"/>
      <c r="AM4353" s="48" t="n"/>
      <c r="AN4353" s="48" t="n"/>
      <c r="AO4353" s="48" t="n"/>
    </row>
    <row r="4354">
      <c r="M4354" s="25" t="n"/>
      <c r="Q4354" s="25" t="n"/>
      <c r="U4354" s="194" t="n"/>
      <c r="AA4354" s="25" t="n"/>
      <c r="AB4354" s="25" t="n"/>
      <c r="AC4354" s="195" t="n"/>
      <c r="AD4354" s="25" t="n"/>
      <c r="AE4354" s="25" t="n"/>
      <c r="AG4354" s="25" t="n"/>
      <c r="AH4354" s="25" t="n"/>
      <c r="AI4354" s="394" t="n"/>
      <c r="AM4354" s="48" t="n"/>
      <c r="AN4354" s="48" t="n"/>
      <c r="AO4354" s="48" t="n"/>
    </row>
    <row r="4355">
      <c r="M4355" s="25" t="n"/>
      <c r="Q4355" s="25" t="n"/>
      <c r="U4355" s="194" t="n"/>
      <c r="AA4355" s="25" t="n"/>
      <c r="AB4355" s="25" t="n"/>
      <c r="AC4355" s="195" t="n"/>
      <c r="AD4355" s="25" t="n"/>
      <c r="AE4355" s="25" t="n"/>
      <c r="AG4355" s="25" t="n"/>
      <c r="AH4355" s="25" t="n"/>
      <c r="AI4355" s="394" t="n"/>
      <c r="AM4355" s="48" t="n"/>
      <c r="AN4355" s="48" t="n"/>
      <c r="AO4355" s="48" t="n"/>
    </row>
    <row r="4356">
      <c r="M4356" s="25" t="n"/>
      <c r="Q4356" s="25" t="n"/>
      <c r="U4356" s="194" t="n"/>
      <c r="AA4356" s="25" t="n"/>
      <c r="AB4356" s="25" t="n"/>
      <c r="AC4356" s="195" t="n"/>
      <c r="AD4356" s="25" t="n"/>
      <c r="AE4356" s="25" t="n"/>
      <c r="AG4356" s="25" t="n"/>
      <c r="AH4356" s="25" t="n"/>
      <c r="AI4356" s="394" t="n"/>
      <c r="AM4356" s="48" t="n"/>
      <c r="AN4356" s="48" t="n"/>
      <c r="AO4356" s="48" t="n"/>
    </row>
    <row r="4357">
      <c r="M4357" s="25" t="n"/>
      <c r="Q4357" s="25" t="n"/>
      <c r="U4357" s="194" t="n"/>
      <c r="AA4357" s="25" t="n"/>
      <c r="AB4357" s="25" t="n"/>
      <c r="AC4357" s="195" t="n"/>
      <c r="AD4357" s="25" t="n"/>
      <c r="AE4357" s="25" t="n"/>
      <c r="AG4357" s="25" t="n"/>
      <c r="AH4357" s="25" t="n"/>
      <c r="AI4357" s="394" t="n"/>
      <c r="AM4357" s="48" t="n"/>
      <c r="AN4357" s="48" t="n"/>
      <c r="AO4357" s="48" t="n"/>
    </row>
    <row r="4358">
      <c r="M4358" s="25" t="n"/>
      <c r="Q4358" s="25" t="n"/>
      <c r="U4358" s="194" t="n"/>
      <c r="AA4358" s="25" t="n"/>
      <c r="AB4358" s="25" t="n"/>
      <c r="AC4358" s="195" t="n"/>
      <c r="AD4358" s="25" t="n"/>
      <c r="AE4358" s="25" t="n"/>
      <c r="AG4358" s="25" t="n"/>
      <c r="AH4358" s="25" t="n"/>
      <c r="AI4358" s="394" t="n"/>
      <c r="AM4358" s="48" t="n"/>
      <c r="AN4358" s="48" t="n"/>
      <c r="AO4358" s="48" t="n"/>
    </row>
    <row r="4359">
      <c r="M4359" s="25" t="n"/>
      <c r="Q4359" s="25" t="n"/>
      <c r="U4359" s="194" t="n"/>
      <c r="AA4359" s="25" t="n"/>
      <c r="AB4359" s="25" t="n"/>
      <c r="AC4359" s="195" t="n"/>
      <c r="AD4359" s="25" t="n"/>
      <c r="AE4359" s="25" t="n"/>
      <c r="AG4359" s="25" t="n"/>
      <c r="AH4359" s="25" t="n"/>
      <c r="AI4359" s="394" t="n"/>
      <c r="AM4359" s="48" t="n"/>
      <c r="AN4359" s="48" t="n"/>
      <c r="AO4359" s="48" t="n"/>
    </row>
    <row r="4360">
      <c r="M4360" s="25" t="n"/>
      <c r="Q4360" s="25" t="n"/>
      <c r="U4360" s="194" t="n"/>
      <c r="AA4360" s="25" t="n"/>
      <c r="AB4360" s="25" t="n"/>
      <c r="AC4360" s="195" t="n"/>
      <c r="AD4360" s="25" t="n"/>
      <c r="AE4360" s="25" t="n"/>
      <c r="AG4360" s="25" t="n"/>
      <c r="AH4360" s="25" t="n"/>
      <c r="AI4360" s="394" t="n"/>
      <c r="AM4360" s="48" t="n"/>
      <c r="AN4360" s="48" t="n"/>
      <c r="AO4360" s="48" t="n"/>
    </row>
    <row r="4361">
      <c r="M4361" s="25" t="n"/>
      <c r="Q4361" s="25" t="n"/>
      <c r="U4361" s="194" t="n"/>
      <c r="AA4361" s="25" t="n"/>
      <c r="AB4361" s="25" t="n"/>
      <c r="AC4361" s="195" t="n"/>
      <c r="AD4361" s="25" t="n"/>
      <c r="AE4361" s="25" t="n"/>
      <c r="AG4361" s="25" t="n"/>
      <c r="AH4361" s="25" t="n"/>
      <c r="AI4361" s="394" t="n"/>
      <c r="AM4361" s="48" t="n"/>
      <c r="AN4361" s="48" t="n"/>
      <c r="AO4361" s="48" t="n"/>
    </row>
    <row r="4362">
      <c r="M4362" s="25" t="n"/>
      <c r="Q4362" s="25" t="n"/>
      <c r="U4362" s="194" t="n"/>
      <c r="AA4362" s="25" t="n"/>
      <c r="AB4362" s="25" t="n"/>
      <c r="AC4362" s="195" t="n"/>
      <c r="AD4362" s="25" t="n"/>
      <c r="AE4362" s="25" t="n"/>
      <c r="AG4362" s="25" t="n"/>
      <c r="AH4362" s="25" t="n"/>
      <c r="AI4362" s="394" t="n"/>
      <c r="AM4362" s="48" t="n"/>
      <c r="AN4362" s="48" t="n"/>
      <c r="AO4362" s="48" t="n"/>
    </row>
    <row r="4363">
      <c r="M4363" s="25" t="n"/>
      <c r="Q4363" s="25" t="n"/>
      <c r="U4363" s="194" t="n"/>
      <c r="AA4363" s="25" t="n"/>
      <c r="AB4363" s="25" t="n"/>
      <c r="AC4363" s="195" t="n"/>
      <c r="AD4363" s="25" t="n"/>
      <c r="AE4363" s="25" t="n"/>
      <c r="AG4363" s="25" t="n"/>
      <c r="AH4363" s="25" t="n"/>
      <c r="AI4363" s="394" t="n"/>
      <c r="AM4363" s="48" t="n"/>
      <c r="AN4363" s="48" t="n"/>
      <c r="AO4363" s="48" t="n"/>
    </row>
    <row r="4364">
      <c r="M4364" s="25" t="n"/>
      <c r="Q4364" s="25" t="n"/>
      <c r="U4364" s="194" t="n"/>
      <c r="AA4364" s="25" t="n"/>
      <c r="AB4364" s="25" t="n"/>
      <c r="AC4364" s="195" t="n"/>
      <c r="AD4364" s="25" t="n"/>
      <c r="AE4364" s="25" t="n"/>
      <c r="AG4364" s="25" t="n"/>
      <c r="AH4364" s="25" t="n"/>
      <c r="AI4364" s="394" t="n"/>
      <c r="AM4364" s="48" t="n"/>
      <c r="AN4364" s="48" t="n"/>
      <c r="AO4364" s="48" t="n"/>
    </row>
    <row r="4365">
      <c r="M4365" s="25" t="n"/>
      <c r="Q4365" s="25" t="n"/>
      <c r="U4365" s="194" t="n"/>
      <c r="AA4365" s="25" t="n"/>
      <c r="AB4365" s="25" t="n"/>
      <c r="AC4365" s="195" t="n"/>
      <c r="AD4365" s="25" t="n"/>
      <c r="AE4365" s="25" t="n"/>
      <c r="AG4365" s="25" t="n"/>
      <c r="AH4365" s="25" t="n"/>
      <c r="AI4365" s="394" t="n"/>
      <c r="AM4365" s="48" t="n"/>
      <c r="AN4365" s="48" t="n"/>
      <c r="AO4365" s="48" t="n"/>
    </row>
    <row r="4366">
      <c r="M4366" s="25" t="n"/>
      <c r="Q4366" s="25" t="n"/>
      <c r="U4366" s="194" t="n"/>
      <c r="AA4366" s="25" t="n"/>
      <c r="AB4366" s="25" t="n"/>
      <c r="AC4366" s="195" t="n"/>
      <c r="AD4366" s="25" t="n"/>
      <c r="AE4366" s="25" t="n"/>
      <c r="AG4366" s="25" t="n"/>
      <c r="AH4366" s="25" t="n"/>
      <c r="AI4366" s="394" t="n"/>
      <c r="AM4366" s="48" t="n"/>
      <c r="AN4366" s="48" t="n"/>
      <c r="AO4366" s="48" t="n"/>
    </row>
    <row r="4367">
      <c r="M4367" s="25" t="n"/>
      <c r="Q4367" s="25" t="n"/>
      <c r="U4367" s="194" t="n"/>
      <c r="AA4367" s="25" t="n"/>
      <c r="AB4367" s="25" t="n"/>
      <c r="AC4367" s="195" t="n"/>
      <c r="AD4367" s="25" t="n"/>
      <c r="AE4367" s="25" t="n"/>
      <c r="AG4367" s="25" t="n"/>
      <c r="AH4367" s="25" t="n"/>
      <c r="AI4367" s="394" t="n"/>
      <c r="AM4367" s="48" t="n"/>
      <c r="AN4367" s="48" t="n"/>
      <c r="AO4367" s="48" t="n"/>
    </row>
    <row r="4368">
      <c r="M4368" s="25" t="n"/>
      <c r="Q4368" s="25" t="n"/>
      <c r="U4368" s="194" t="n"/>
      <c r="AA4368" s="25" t="n"/>
      <c r="AB4368" s="25" t="n"/>
      <c r="AC4368" s="195" t="n"/>
      <c r="AD4368" s="25" t="n"/>
      <c r="AE4368" s="25" t="n"/>
      <c r="AG4368" s="25" t="n"/>
      <c r="AH4368" s="25" t="n"/>
      <c r="AI4368" s="394" t="n"/>
      <c r="AM4368" s="48" t="n"/>
      <c r="AN4368" s="48" t="n"/>
      <c r="AO4368" s="48" t="n"/>
    </row>
    <row r="4369">
      <c r="M4369" s="25" t="n"/>
      <c r="Q4369" s="25" t="n"/>
      <c r="U4369" s="194" t="n"/>
      <c r="AA4369" s="25" t="n"/>
      <c r="AB4369" s="25" t="n"/>
      <c r="AC4369" s="195" t="n"/>
      <c r="AD4369" s="25" t="n"/>
      <c r="AE4369" s="25" t="n"/>
      <c r="AG4369" s="25" t="n"/>
      <c r="AH4369" s="25" t="n"/>
      <c r="AI4369" s="394" t="n"/>
      <c r="AM4369" s="48" t="n"/>
      <c r="AN4369" s="48" t="n"/>
      <c r="AO4369" s="48" t="n"/>
    </row>
    <row r="4370">
      <c r="M4370" s="25" t="n"/>
      <c r="Q4370" s="25" t="n"/>
      <c r="U4370" s="194" t="n"/>
      <c r="AA4370" s="25" t="n"/>
      <c r="AB4370" s="25" t="n"/>
      <c r="AC4370" s="195" t="n"/>
      <c r="AD4370" s="25" t="n"/>
      <c r="AE4370" s="25" t="n"/>
      <c r="AG4370" s="25" t="n"/>
      <c r="AH4370" s="25" t="n"/>
      <c r="AI4370" s="394" t="n"/>
      <c r="AM4370" s="48" t="n"/>
      <c r="AN4370" s="48" t="n"/>
      <c r="AO4370" s="48" t="n"/>
    </row>
    <row r="4371">
      <c r="M4371" s="25" t="n"/>
      <c r="Q4371" s="25" t="n"/>
      <c r="U4371" s="194" t="n"/>
      <c r="AA4371" s="25" t="n"/>
      <c r="AB4371" s="25" t="n"/>
      <c r="AC4371" s="195" t="n"/>
      <c r="AD4371" s="25" t="n"/>
      <c r="AE4371" s="25" t="n"/>
      <c r="AG4371" s="25" t="n"/>
      <c r="AH4371" s="25" t="n"/>
      <c r="AI4371" s="394" t="n"/>
      <c r="AM4371" s="48" t="n"/>
      <c r="AN4371" s="48" t="n"/>
      <c r="AO4371" s="48" t="n"/>
    </row>
    <row r="4372">
      <c r="M4372" s="25" t="n"/>
      <c r="Q4372" s="25" t="n"/>
      <c r="U4372" s="194" t="n"/>
      <c r="AA4372" s="25" t="n"/>
      <c r="AB4372" s="25" t="n"/>
      <c r="AC4372" s="195" t="n"/>
      <c r="AD4372" s="25" t="n"/>
      <c r="AE4372" s="25" t="n"/>
      <c r="AG4372" s="25" t="n"/>
      <c r="AH4372" s="25" t="n"/>
      <c r="AI4372" s="394" t="n"/>
      <c r="AM4372" s="48" t="n"/>
      <c r="AN4372" s="48" t="n"/>
      <c r="AO4372" s="48" t="n"/>
    </row>
    <row r="4373">
      <c r="M4373" s="25" t="n"/>
      <c r="Q4373" s="25" t="n"/>
      <c r="U4373" s="194" t="n"/>
      <c r="AA4373" s="25" t="n"/>
      <c r="AB4373" s="25" t="n"/>
      <c r="AC4373" s="195" t="n"/>
      <c r="AD4373" s="25" t="n"/>
      <c r="AE4373" s="25" t="n"/>
      <c r="AG4373" s="25" t="n"/>
      <c r="AH4373" s="25" t="n"/>
      <c r="AI4373" s="394" t="n"/>
      <c r="AM4373" s="48" t="n"/>
      <c r="AN4373" s="48" t="n"/>
      <c r="AO4373" s="48" t="n"/>
    </row>
    <row r="4374">
      <c r="M4374" s="25" t="n"/>
      <c r="Q4374" s="25" t="n"/>
      <c r="U4374" s="194" t="n"/>
      <c r="AA4374" s="25" t="n"/>
      <c r="AB4374" s="25" t="n"/>
      <c r="AC4374" s="195" t="n"/>
      <c r="AD4374" s="25" t="n"/>
      <c r="AE4374" s="25" t="n"/>
      <c r="AG4374" s="25" t="n"/>
      <c r="AH4374" s="25" t="n"/>
      <c r="AI4374" s="394" t="n"/>
      <c r="AM4374" s="48" t="n"/>
      <c r="AN4374" s="48" t="n"/>
      <c r="AO4374" s="48" t="n"/>
    </row>
    <row r="4375">
      <c r="M4375" s="25" t="n"/>
      <c r="Q4375" s="25" t="n"/>
      <c r="U4375" s="194" t="n"/>
      <c r="AA4375" s="25" t="n"/>
      <c r="AB4375" s="25" t="n"/>
      <c r="AC4375" s="195" t="n"/>
      <c r="AD4375" s="25" t="n"/>
      <c r="AE4375" s="25" t="n"/>
      <c r="AG4375" s="25" t="n"/>
      <c r="AH4375" s="25" t="n"/>
      <c r="AI4375" s="394" t="n"/>
      <c r="AM4375" s="48" t="n"/>
      <c r="AN4375" s="48" t="n"/>
      <c r="AO4375" s="48" t="n"/>
    </row>
    <row r="4376">
      <c r="M4376" s="25" t="n"/>
      <c r="Q4376" s="25" t="n"/>
      <c r="U4376" s="194" t="n"/>
      <c r="AA4376" s="25" t="n"/>
      <c r="AB4376" s="25" t="n"/>
      <c r="AC4376" s="195" t="n"/>
      <c r="AD4376" s="25" t="n"/>
      <c r="AE4376" s="25" t="n"/>
      <c r="AG4376" s="25" t="n"/>
      <c r="AH4376" s="25" t="n"/>
      <c r="AI4376" s="394" t="n"/>
      <c r="AM4376" s="48" t="n"/>
      <c r="AN4376" s="48" t="n"/>
      <c r="AO4376" s="48" t="n"/>
    </row>
    <row r="4377">
      <c r="M4377" s="25" t="n"/>
      <c r="Q4377" s="25" t="n"/>
      <c r="U4377" s="194" t="n"/>
      <c r="AA4377" s="25" t="n"/>
      <c r="AB4377" s="25" t="n"/>
      <c r="AC4377" s="195" t="n"/>
      <c r="AD4377" s="25" t="n"/>
      <c r="AE4377" s="25" t="n"/>
      <c r="AG4377" s="25" t="n"/>
      <c r="AH4377" s="25" t="n"/>
      <c r="AI4377" s="394" t="n"/>
      <c r="AM4377" s="48" t="n"/>
      <c r="AN4377" s="48" t="n"/>
      <c r="AO4377" s="48" t="n"/>
    </row>
    <row r="4378">
      <c r="M4378" s="25" t="n"/>
      <c r="Q4378" s="25" t="n"/>
      <c r="U4378" s="194" t="n"/>
      <c r="AA4378" s="25" t="n"/>
      <c r="AB4378" s="25" t="n"/>
      <c r="AC4378" s="195" t="n"/>
      <c r="AD4378" s="25" t="n"/>
      <c r="AE4378" s="25" t="n"/>
      <c r="AG4378" s="25" t="n"/>
      <c r="AH4378" s="25" t="n"/>
      <c r="AI4378" s="394" t="n"/>
      <c r="AM4378" s="48" t="n"/>
      <c r="AN4378" s="48" t="n"/>
      <c r="AO4378" s="48" t="n"/>
    </row>
    <row r="4379">
      <c r="M4379" s="25" t="n"/>
      <c r="Q4379" s="25" t="n"/>
      <c r="U4379" s="194" t="n"/>
      <c r="AA4379" s="25" t="n"/>
      <c r="AB4379" s="25" t="n"/>
      <c r="AC4379" s="195" t="n"/>
      <c r="AD4379" s="25" t="n"/>
      <c r="AE4379" s="25" t="n"/>
      <c r="AG4379" s="25" t="n"/>
      <c r="AH4379" s="25" t="n"/>
      <c r="AI4379" s="394" t="n"/>
      <c r="AM4379" s="48" t="n"/>
      <c r="AN4379" s="48" t="n"/>
      <c r="AO4379" s="48" t="n"/>
    </row>
    <row r="4380">
      <c r="M4380" s="25" t="n"/>
      <c r="Q4380" s="25" t="n"/>
      <c r="U4380" s="194" t="n"/>
      <c r="AA4380" s="25" t="n"/>
      <c r="AB4380" s="25" t="n"/>
      <c r="AC4380" s="195" t="n"/>
      <c r="AD4380" s="25" t="n"/>
      <c r="AE4380" s="25" t="n"/>
      <c r="AG4380" s="25" t="n"/>
      <c r="AH4380" s="25" t="n"/>
      <c r="AI4380" s="394" t="n"/>
      <c r="AM4380" s="48" t="n"/>
      <c r="AN4380" s="48" t="n"/>
      <c r="AO4380" s="48" t="n"/>
    </row>
    <row r="4381">
      <c r="M4381" s="25" t="n"/>
      <c r="Q4381" s="25" t="n"/>
      <c r="U4381" s="194" t="n"/>
      <c r="AA4381" s="25" t="n"/>
      <c r="AB4381" s="25" t="n"/>
      <c r="AC4381" s="195" t="n"/>
      <c r="AD4381" s="25" t="n"/>
      <c r="AE4381" s="25" t="n"/>
      <c r="AG4381" s="25" t="n"/>
      <c r="AH4381" s="25" t="n"/>
      <c r="AI4381" s="394" t="n"/>
      <c r="AM4381" s="48" t="n"/>
      <c r="AN4381" s="48" t="n"/>
      <c r="AO4381" s="48" t="n"/>
    </row>
    <row r="4382">
      <c r="M4382" s="25" t="n"/>
      <c r="Q4382" s="25" t="n"/>
      <c r="U4382" s="194" t="n"/>
      <c r="AA4382" s="25" t="n"/>
      <c r="AB4382" s="25" t="n"/>
      <c r="AC4382" s="195" t="n"/>
      <c r="AD4382" s="25" t="n"/>
      <c r="AE4382" s="25" t="n"/>
      <c r="AG4382" s="25" t="n"/>
      <c r="AH4382" s="25" t="n"/>
      <c r="AI4382" s="394" t="n"/>
      <c r="AM4382" s="48" t="n"/>
      <c r="AN4382" s="48" t="n"/>
      <c r="AO4382" s="48" t="n"/>
    </row>
    <row r="4383">
      <c r="M4383" s="25" t="n"/>
      <c r="Q4383" s="25" t="n"/>
      <c r="U4383" s="194" t="n"/>
      <c r="AA4383" s="25" t="n"/>
      <c r="AB4383" s="25" t="n"/>
      <c r="AC4383" s="195" t="n"/>
      <c r="AD4383" s="25" t="n"/>
      <c r="AE4383" s="25" t="n"/>
      <c r="AG4383" s="25" t="n"/>
      <c r="AH4383" s="25" t="n"/>
      <c r="AI4383" s="394" t="n"/>
      <c r="AM4383" s="48" t="n"/>
      <c r="AN4383" s="48" t="n"/>
      <c r="AO4383" s="48" t="n"/>
    </row>
    <row r="4384">
      <c r="M4384" s="25" t="n"/>
      <c r="Q4384" s="25" t="n"/>
      <c r="U4384" s="194" t="n"/>
      <c r="AA4384" s="25" t="n"/>
      <c r="AB4384" s="25" t="n"/>
      <c r="AC4384" s="195" t="n"/>
      <c r="AD4384" s="25" t="n"/>
      <c r="AE4384" s="25" t="n"/>
      <c r="AG4384" s="25" t="n"/>
      <c r="AH4384" s="25" t="n"/>
      <c r="AI4384" s="394" t="n"/>
      <c r="AM4384" s="48" t="n"/>
      <c r="AN4384" s="48" t="n"/>
      <c r="AO4384" s="48" t="n"/>
    </row>
    <row r="4385">
      <c r="M4385" s="25" t="n"/>
      <c r="Q4385" s="25" t="n"/>
      <c r="U4385" s="194" t="n"/>
      <c r="AA4385" s="25" t="n"/>
      <c r="AB4385" s="25" t="n"/>
      <c r="AC4385" s="195" t="n"/>
      <c r="AD4385" s="25" t="n"/>
      <c r="AE4385" s="25" t="n"/>
      <c r="AG4385" s="25" t="n"/>
      <c r="AH4385" s="25" t="n"/>
      <c r="AI4385" s="394" t="n"/>
      <c r="AM4385" s="48" t="n"/>
      <c r="AN4385" s="48" t="n"/>
      <c r="AO4385" s="48" t="n"/>
    </row>
    <row r="4386">
      <c r="M4386" s="25" t="n"/>
      <c r="Q4386" s="25" t="n"/>
      <c r="U4386" s="194" t="n"/>
      <c r="AA4386" s="25" t="n"/>
      <c r="AB4386" s="25" t="n"/>
      <c r="AC4386" s="195" t="n"/>
      <c r="AD4386" s="25" t="n"/>
      <c r="AE4386" s="25" t="n"/>
      <c r="AG4386" s="25" t="n"/>
      <c r="AH4386" s="25" t="n"/>
      <c r="AI4386" s="394" t="n"/>
      <c r="AM4386" s="48" t="n"/>
      <c r="AN4386" s="48" t="n"/>
      <c r="AO4386" s="48" t="n"/>
    </row>
    <row r="4387">
      <c r="M4387" s="25" t="n"/>
      <c r="Q4387" s="25" t="n"/>
      <c r="U4387" s="194" t="n"/>
      <c r="AA4387" s="25" t="n"/>
      <c r="AB4387" s="25" t="n"/>
      <c r="AC4387" s="195" t="n"/>
      <c r="AD4387" s="25" t="n"/>
      <c r="AE4387" s="25" t="n"/>
      <c r="AG4387" s="25" t="n"/>
      <c r="AH4387" s="25" t="n"/>
      <c r="AI4387" s="394" t="n"/>
      <c r="AM4387" s="48" t="n"/>
      <c r="AN4387" s="48" t="n"/>
      <c r="AO4387" s="48" t="n"/>
    </row>
    <row r="4388">
      <c r="M4388" s="25" t="n"/>
      <c r="Q4388" s="25" t="n"/>
      <c r="U4388" s="194" t="n"/>
      <c r="AA4388" s="25" t="n"/>
      <c r="AB4388" s="25" t="n"/>
      <c r="AC4388" s="195" t="n"/>
      <c r="AD4388" s="25" t="n"/>
      <c r="AE4388" s="25" t="n"/>
      <c r="AG4388" s="25" t="n"/>
      <c r="AH4388" s="25" t="n"/>
      <c r="AI4388" s="394" t="n"/>
      <c r="AM4388" s="48" t="n"/>
      <c r="AN4388" s="48" t="n"/>
      <c r="AO4388" s="48" t="n"/>
    </row>
    <row r="4389">
      <c r="M4389" s="25" t="n"/>
      <c r="Q4389" s="25" t="n"/>
      <c r="U4389" s="194" t="n"/>
      <c r="AA4389" s="25" t="n"/>
      <c r="AB4389" s="25" t="n"/>
      <c r="AC4389" s="195" t="n"/>
      <c r="AD4389" s="25" t="n"/>
      <c r="AE4389" s="25" t="n"/>
      <c r="AG4389" s="25" t="n"/>
      <c r="AH4389" s="25" t="n"/>
      <c r="AI4389" s="394" t="n"/>
      <c r="AM4389" s="48" t="n"/>
      <c r="AN4389" s="48" t="n"/>
      <c r="AO4389" s="48" t="n"/>
    </row>
    <row r="4390">
      <c r="M4390" s="25" t="n"/>
      <c r="Q4390" s="25" t="n"/>
      <c r="U4390" s="194" t="n"/>
      <c r="AA4390" s="25" t="n"/>
      <c r="AB4390" s="25" t="n"/>
      <c r="AC4390" s="195" t="n"/>
      <c r="AD4390" s="25" t="n"/>
      <c r="AE4390" s="25" t="n"/>
      <c r="AG4390" s="25" t="n"/>
      <c r="AH4390" s="25" t="n"/>
      <c r="AI4390" s="394" t="n"/>
      <c r="AM4390" s="48" t="n"/>
      <c r="AN4390" s="48" t="n"/>
      <c r="AO4390" s="48" t="n"/>
    </row>
    <row r="4391">
      <c r="M4391" s="25" t="n"/>
      <c r="Q4391" s="25" t="n"/>
      <c r="U4391" s="194" t="n"/>
      <c r="AA4391" s="25" t="n"/>
      <c r="AB4391" s="25" t="n"/>
      <c r="AC4391" s="195" t="n"/>
      <c r="AD4391" s="25" t="n"/>
      <c r="AE4391" s="25" t="n"/>
      <c r="AG4391" s="25" t="n"/>
      <c r="AH4391" s="25" t="n"/>
      <c r="AI4391" s="394" t="n"/>
      <c r="AM4391" s="48" t="n"/>
      <c r="AN4391" s="48" t="n"/>
      <c r="AO4391" s="48" t="n"/>
    </row>
    <row r="4392">
      <c r="M4392" s="25" t="n"/>
      <c r="Q4392" s="25" t="n"/>
      <c r="U4392" s="194" t="n"/>
      <c r="AA4392" s="25" t="n"/>
      <c r="AB4392" s="25" t="n"/>
      <c r="AC4392" s="195" t="n"/>
      <c r="AD4392" s="25" t="n"/>
      <c r="AE4392" s="25" t="n"/>
      <c r="AG4392" s="25" t="n"/>
      <c r="AH4392" s="25" t="n"/>
      <c r="AI4392" s="394" t="n"/>
      <c r="AM4392" s="48" t="n"/>
      <c r="AN4392" s="48" t="n"/>
      <c r="AO4392" s="48" t="n"/>
    </row>
    <row r="4393">
      <c r="M4393" s="25" t="n"/>
      <c r="Q4393" s="25" t="n"/>
      <c r="U4393" s="194" t="n"/>
      <c r="AA4393" s="25" t="n"/>
      <c r="AB4393" s="25" t="n"/>
      <c r="AC4393" s="195" t="n"/>
      <c r="AD4393" s="25" t="n"/>
      <c r="AE4393" s="25" t="n"/>
      <c r="AG4393" s="25" t="n"/>
      <c r="AH4393" s="25" t="n"/>
      <c r="AI4393" s="394" t="n"/>
      <c r="AM4393" s="48" t="n"/>
      <c r="AN4393" s="48" t="n"/>
      <c r="AO4393" s="48" t="n"/>
    </row>
    <row r="4394">
      <c r="M4394" s="25" t="n"/>
      <c r="Q4394" s="25" t="n"/>
      <c r="U4394" s="194" t="n"/>
      <c r="AA4394" s="25" t="n"/>
      <c r="AB4394" s="25" t="n"/>
      <c r="AC4394" s="195" t="n"/>
      <c r="AD4394" s="25" t="n"/>
      <c r="AE4394" s="25" t="n"/>
      <c r="AG4394" s="25" t="n"/>
      <c r="AH4394" s="25" t="n"/>
      <c r="AI4394" s="394" t="n"/>
      <c r="AM4394" s="48" t="n"/>
      <c r="AN4394" s="48" t="n"/>
      <c r="AO4394" s="48" t="n"/>
    </row>
    <row r="4395">
      <c r="M4395" s="25" t="n"/>
      <c r="Q4395" s="25" t="n"/>
      <c r="U4395" s="194" t="n"/>
      <c r="AA4395" s="25" t="n"/>
      <c r="AB4395" s="25" t="n"/>
      <c r="AC4395" s="195" t="n"/>
      <c r="AD4395" s="25" t="n"/>
      <c r="AE4395" s="25" t="n"/>
      <c r="AG4395" s="25" t="n"/>
      <c r="AH4395" s="25" t="n"/>
      <c r="AI4395" s="394" t="n"/>
      <c r="AM4395" s="48" t="n"/>
      <c r="AN4395" s="48" t="n"/>
      <c r="AO4395" s="48" t="n"/>
    </row>
    <row r="4396">
      <c r="M4396" s="25" t="n"/>
      <c r="Q4396" s="25" t="n"/>
      <c r="U4396" s="194" t="n"/>
      <c r="AA4396" s="25" t="n"/>
      <c r="AB4396" s="25" t="n"/>
      <c r="AC4396" s="195" t="n"/>
      <c r="AD4396" s="25" t="n"/>
      <c r="AE4396" s="25" t="n"/>
      <c r="AG4396" s="25" t="n"/>
      <c r="AH4396" s="25" t="n"/>
      <c r="AI4396" s="394" t="n"/>
      <c r="AM4396" s="48" t="n"/>
      <c r="AN4396" s="48" t="n"/>
      <c r="AO4396" s="48" t="n"/>
    </row>
    <row r="4397">
      <c r="M4397" s="25" t="n"/>
      <c r="Q4397" s="25" t="n"/>
      <c r="U4397" s="194" t="n"/>
      <c r="AA4397" s="25" t="n"/>
      <c r="AB4397" s="25" t="n"/>
      <c r="AC4397" s="195" t="n"/>
      <c r="AD4397" s="25" t="n"/>
      <c r="AE4397" s="25" t="n"/>
      <c r="AG4397" s="25" t="n"/>
      <c r="AH4397" s="25" t="n"/>
      <c r="AI4397" s="394" t="n"/>
      <c r="AM4397" s="48" t="n"/>
      <c r="AN4397" s="48" t="n"/>
      <c r="AO4397" s="48" t="n"/>
    </row>
    <row r="4398">
      <c r="M4398" s="25" t="n"/>
      <c r="Q4398" s="25" t="n"/>
      <c r="U4398" s="194" t="n"/>
      <c r="AA4398" s="25" t="n"/>
      <c r="AB4398" s="25" t="n"/>
      <c r="AC4398" s="195" t="n"/>
      <c r="AD4398" s="25" t="n"/>
      <c r="AE4398" s="25" t="n"/>
      <c r="AG4398" s="25" t="n"/>
      <c r="AH4398" s="25" t="n"/>
      <c r="AI4398" s="394" t="n"/>
      <c r="AM4398" s="48" t="n"/>
      <c r="AN4398" s="48" t="n"/>
      <c r="AO4398" s="48" t="n"/>
    </row>
    <row r="4399">
      <c r="M4399" s="25" t="n"/>
      <c r="Q4399" s="25" t="n"/>
      <c r="U4399" s="194" t="n"/>
      <c r="AA4399" s="25" t="n"/>
      <c r="AB4399" s="25" t="n"/>
      <c r="AC4399" s="195" t="n"/>
      <c r="AD4399" s="25" t="n"/>
      <c r="AE4399" s="25" t="n"/>
      <c r="AG4399" s="25" t="n"/>
      <c r="AH4399" s="25" t="n"/>
      <c r="AI4399" s="394" t="n"/>
      <c r="AM4399" s="48" t="n"/>
      <c r="AN4399" s="48" t="n"/>
      <c r="AO4399" s="48" t="n"/>
    </row>
    <row r="4400">
      <c r="M4400" s="25" t="n"/>
      <c r="Q4400" s="25" t="n"/>
      <c r="U4400" s="194" t="n"/>
      <c r="AA4400" s="25" t="n"/>
      <c r="AB4400" s="25" t="n"/>
      <c r="AC4400" s="195" t="n"/>
      <c r="AD4400" s="25" t="n"/>
      <c r="AE4400" s="25" t="n"/>
      <c r="AG4400" s="25" t="n"/>
      <c r="AH4400" s="25" t="n"/>
      <c r="AI4400" s="394" t="n"/>
      <c r="AM4400" s="48" t="n"/>
      <c r="AN4400" s="48" t="n"/>
      <c r="AO4400" s="48" t="n"/>
    </row>
    <row r="4401">
      <c r="M4401" s="25" t="n"/>
      <c r="Q4401" s="25" t="n"/>
      <c r="U4401" s="194" t="n"/>
      <c r="AA4401" s="25" t="n"/>
      <c r="AB4401" s="25" t="n"/>
      <c r="AC4401" s="195" t="n"/>
      <c r="AD4401" s="25" t="n"/>
      <c r="AE4401" s="25" t="n"/>
      <c r="AG4401" s="25" t="n"/>
      <c r="AH4401" s="25" t="n"/>
      <c r="AI4401" s="394" t="n"/>
      <c r="AM4401" s="48" t="n"/>
      <c r="AN4401" s="48" t="n"/>
      <c r="AO4401" s="48" t="n"/>
    </row>
    <row r="4402">
      <c r="M4402" s="25" t="n"/>
      <c r="Q4402" s="25" t="n"/>
      <c r="U4402" s="194" t="n"/>
      <c r="AA4402" s="25" t="n"/>
      <c r="AB4402" s="25" t="n"/>
      <c r="AC4402" s="195" t="n"/>
      <c r="AD4402" s="25" t="n"/>
      <c r="AE4402" s="25" t="n"/>
      <c r="AG4402" s="25" t="n"/>
      <c r="AH4402" s="25" t="n"/>
      <c r="AI4402" s="394" t="n"/>
      <c r="AM4402" s="48" t="n"/>
      <c r="AN4402" s="48" t="n"/>
      <c r="AO4402" s="48" t="n"/>
    </row>
    <row r="4403">
      <c r="M4403" s="25" t="n"/>
      <c r="Q4403" s="25" t="n"/>
      <c r="U4403" s="194" t="n"/>
      <c r="AA4403" s="25" t="n"/>
      <c r="AB4403" s="25" t="n"/>
      <c r="AC4403" s="195" t="n"/>
      <c r="AD4403" s="25" t="n"/>
      <c r="AE4403" s="25" t="n"/>
      <c r="AG4403" s="25" t="n"/>
      <c r="AH4403" s="25" t="n"/>
      <c r="AI4403" s="394" t="n"/>
      <c r="AM4403" s="48" t="n"/>
      <c r="AN4403" s="48" t="n"/>
      <c r="AO4403" s="48" t="n"/>
    </row>
    <row r="4404">
      <c r="M4404" s="25" t="n"/>
      <c r="Q4404" s="25" t="n"/>
      <c r="U4404" s="194" t="n"/>
      <c r="AA4404" s="25" t="n"/>
      <c r="AB4404" s="25" t="n"/>
      <c r="AC4404" s="195" t="n"/>
      <c r="AD4404" s="25" t="n"/>
      <c r="AE4404" s="25" t="n"/>
      <c r="AG4404" s="25" t="n"/>
      <c r="AH4404" s="25" t="n"/>
      <c r="AI4404" s="394" t="n"/>
      <c r="AM4404" s="48" t="n"/>
      <c r="AN4404" s="48" t="n"/>
      <c r="AO4404" s="48" t="n"/>
    </row>
    <row r="4405">
      <c r="M4405" s="25" t="n"/>
      <c r="Q4405" s="25" t="n"/>
      <c r="U4405" s="194" t="n"/>
      <c r="AA4405" s="25" t="n"/>
      <c r="AB4405" s="25" t="n"/>
      <c r="AC4405" s="195" t="n"/>
      <c r="AD4405" s="25" t="n"/>
      <c r="AE4405" s="25" t="n"/>
      <c r="AG4405" s="25" t="n"/>
      <c r="AH4405" s="25" t="n"/>
      <c r="AI4405" s="394" t="n"/>
      <c r="AM4405" s="48" t="n"/>
      <c r="AN4405" s="48" t="n"/>
      <c r="AO4405" s="48" t="n"/>
    </row>
    <row r="4406">
      <c r="M4406" s="25" t="n"/>
      <c r="Q4406" s="25" t="n"/>
      <c r="U4406" s="194" t="n"/>
      <c r="AA4406" s="25" t="n"/>
      <c r="AB4406" s="25" t="n"/>
      <c r="AC4406" s="195" t="n"/>
      <c r="AD4406" s="25" t="n"/>
      <c r="AE4406" s="25" t="n"/>
      <c r="AG4406" s="25" t="n"/>
      <c r="AH4406" s="25" t="n"/>
      <c r="AI4406" s="394" t="n"/>
      <c r="AM4406" s="48" t="n"/>
      <c r="AN4406" s="48" t="n"/>
      <c r="AO4406" s="48" t="n"/>
    </row>
    <row r="4407">
      <c r="M4407" s="25" t="n"/>
      <c r="Q4407" s="25" t="n"/>
      <c r="U4407" s="194" t="n"/>
      <c r="AA4407" s="25" t="n"/>
      <c r="AB4407" s="25" t="n"/>
      <c r="AC4407" s="195" t="n"/>
      <c r="AD4407" s="25" t="n"/>
      <c r="AE4407" s="25" t="n"/>
      <c r="AG4407" s="25" t="n"/>
      <c r="AH4407" s="25" t="n"/>
      <c r="AI4407" s="394" t="n"/>
      <c r="AM4407" s="48" t="n"/>
      <c r="AN4407" s="48" t="n"/>
      <c r="AO4407" s="48" t="n"/>
    </row>
    <row r="4408">
      <c r="M4408" s="25" t="n"/>
      <c r="Q4408" s="25" t="n"/>
      <c r="U4408" s="194" t="n"/>
      <c r="AA4408" s="25" t="n"/>
      <c r="AB4408" s="25" t="n"/>
      <c r="AC4408" s="195" t="n"/>
      <c r="AD4408" s="25" t="n"/>
      <c r="AE4408" s="25" t="n"/>
      <c r="AG4408" s="25" t="n"/>
      <c r="AH4408" s="25" t="n"/>
      <c r="AI4408" s="394" t="n"/>
      <c r="AM4408" s="48" t="n"/>
      <c r="AN4408" s="48" t="n"/>
      <c r="AO4408" s="48" t="n"/>
    </row>
    <row r="4409">
      <c r="M4409" s="25" t="n"/>
      <c r="Q4409" s="25" t="n"/>
      <c r="U4409" s="194" t="n"/>
      <c r="AA4409" s="25" t="n"/>
      <c r="AB4409" s="25" t="n"/>
      <c r="AC4409" s="195" t="n"/>
      <c r="AD4409" s="25" t="n"/>
      <c r="AE4409" s="25" t="n"/>
      <c r="AG4409" s="25" t="n"/>
      <c r="AH4409" s="25" t="n"/>
      <c r="AI4409" s="394" t="n"/>
      <c r="AM4409" s="48" t="n"/>
      <c r="AN4409" s="48" t="n"/>
      <c r="AO4409" s="48" t="n"/>
    </row>
    <row r="4410">
      <c r="M4410" s="25" t="n"/>
      <c r="Q4410" s="25" t="n"/>
      <c r="U4410" s="194" t="n"/>
      <c r="AA4410" s="25" t="n"/>
      <c r="AB4410" s="25" t="n"/>
      <c r="AC4410" s="195" t="n"/>
      <c r="AD4410" s="25" t="n"/>
      <c r="AE4410" s="25" t="n"/>
      <c r="AG4410" s="25" t="n"/>
      <c r="AH4410" s="25" t="n"/>
      <c r="AI4410" s="394" t="n"/>
      <c r="AM4410" s="48" t="n"/>
      <c r="AN4410" s="48" t="n"/>
      <c r="AO4410" s="48" t="n"/>
    </row>
    <row r="4411">
      <c r="M4411" s="25" t="n"/>
      <c r="Q4411" s="25" t="n"/>
      <c r="U4411" s="194" t="n"/>
      <c r="AA4411" s="25" t="n"/>
      <c r="AB4411" s="25" t="n"/>
      <c r="AC4411" s="195" t="n"/>
      <c r="AD4411" s="25" t="n"/>
      <c r="AE4411" s="25" t="n"/>
      <c r="AG4411" s="25" t="n"/>
      <c r="AH4411" s="25" t="n"/>
      <c r="AI4411" s="394" t="n"/>
      <c r="AM4411" s="48" t="n"/>
      <c r="AN4411" s="48" t="n"/>
      <c r="AO4411" s="48" t="n"/>
    </row>
    <row r="4412">
      <c r="M4412" s="25" t="n"/>
      <c r="Q4412" s="25" t="n"/>
      <c r="U4412" s="194" t="n"/>
      <c r="AA4412" s="25" t="n"/>
      <c r="AB4412" s="25" t="n"/>
      <c r="AC4412" s="195" t="n"/>
      <c r="AD4412" s="25" t="n"/>
      <c r="AE4412" s="25" t="n"/>
      <c r="AG4412" s="25" t="n"/>
      <c r="AH4412" s="25" t="n"/>
      <c r="AI4412" s="394" t="n"/>
      <c r="AM4412" s="48" t="n"/>
      <c r="AN4412" s="48" t="n"/>
      <c r="AO4412" s="48" t="n"/>
    </row>
    <row r="4413">
      <c r="M4413" s="25" t="n"/>
      <c r="Q4413" s="25" t="n"/>
      <c r="U4413" s="194" t="n"/>
      <c r="AA4413" s="25" t="n"/>
      <c r="AB4413" s="25" t="n"/>
      <c r="AC4413" s="195" t="n"/>
      <c r="AD4413" s="25" t="n"/>
      <c r="AE4413" s="25" t="n"/>
      <c r="AG4413" s="25" t="n"/>
      <c r="AH4413" s="25" t="n"/>
      <c r="AI4413" s="394" t="n"/>
      <c r="AM4413" s="48" t="n"/>
      <c r="AN4413" s="48" t="n"/>
      <c r="AO4413" s="48" t="n"/>
    </row>
    <row r="4414">
      <c r="M4414" s="25" t="n"/>
      <c r="Q4414" s="25" t="n"/>
      <c r="U4414" s="194" t="n"/>
      <c r="AA4414" s="25" t="n"/>
      <c r="AB4414" s="25" t="n"/>
      <c r="AC4414" s="195" t="n"/>
      <c r="AD4414" s="25" t="n"/>
      <c r="AE4414" s="25" t="n"/>
      <c r="AG4414" s="25" t="n"/>
      <c r="AH4414" s="25" t="n"/>
      <c r="AI4414" s="394" t="n"/>
      <c r="AM4414" s="48" t="n"/>
      <c r="AN4414" s="48" t="n"/>
      <c r="AO4414" s="48" t="n"/>
    </row>
    <row r="4415">
      <c r="M4415" s="25" t="n"/>
      <c r="Q4415" s="25" t="n"/>
      <c r="U4415" s="194" t="n"/>
      <c r="AA4415" s="25" t="n"/>
      <c r="AB4415" s="25" t="n"/>
      <c r="AC4415" s="195" t="n"/>
      <c r="AD4415" s="25" t="n"/>
      <c r="AE4415" s="25" t="n"/>
      <c r="AG4415" s="25" t="n"/>
      <c r="AH4415" s="25" t="n"/>
      <c r="AI4415" s="394" t="n"/>
      <c r="AM4415" s="48" t="n"/>
      <c r="AN4415" s="48" t="n"/>
      <c r="AO4415" s="48" t="n"/>
    </row>
    <row r="4416">
      <c r="M4416" s="25" t="n"/>
      <c r="Q4416" s="25" t="n"/>
      <c r="U4416" s="194" t="n"/>
      <c r="AA4416" s="25" t="n"/>
      <c r="AB4416" s="25" t="n"/>
      <c r="AC4416" s="195" t="n"/>
      <c r="AD4416" s="25" t="n"/>
      <c r="AE4416" s="25" t="n"/>
      <c r="AG4416" s="25" t="n"/>
      <c r="AH4416" s="25" t="n"/>
      <c r="AI4416" s="394" t="n"/>
      <c r="AM4416" s="48" t="n"/>
      <c r="AN4416" s="48" t="n"/>
      <c r="AO4416" s="48" t="n"/>
    </row>
    <row r="4417">
      <c r="M4417" s="25" t="n"/>
      <c r="Q4417" s="25" t="n"/>
      <c r="U4417" s="194" t="n"/>
      <c r="AA4417" s="25" t="n"/>
      <c r="AB4417" s="25" t="n"/>
      <c r="AC4417" s="195" t="n"/>
      <c r="AD4417" s="25" t="n"/>
      <c r="AE4417" s="25" t="n"/>
      <c r="AG4417" s="25" t="n"/>
      <c r="AH4417" s="25" t="n"/>
      <c r="AI4417" s="394" t="n"/>
      <c r="AM4417" s="48" t="n"/>
      <c r="AN4417" s="48" t="n"/>
      <c r="AO4417" s="48" t="n"/>
    </row>
    <row r="4418">
      <c r="M4418" s="25" t="n"/>
      <c r="Q4418" s="25" t="n"/>
      <c r="U4418" s="194" t="n"/>
      <c r="AA4418" s="25" t="n"/>
      <c r="AB4418" s="25" t="n"/>
      <c r="AC4418" s="195" t="n"/>
      <c r="AD4418" s="25" t="n"/>
      <c r="AE4418" s="25" t="n"/>
      <c r="AG4418" s="25" t="n"/>
      <c r="AH4418" s="25" t="n"/>
      <c r="AI4418" s="394" t="n"/>
      <c r="AM4418" s="48" t="n"/>
      <c r="AN4418" s="48" t="n"/>
      <c r="AO4418" s="48" t="n"/>
    </row>
    <row r="4419">
      <c r="M4419" s="25" t="n"/>
      <c r="Q4419" s="25" t="n"/>
      <c r="U4419" s="194" t="n"/>
      <c r="AA4419" s="25" t="n"/>
      <c r="AB4419" s="25" t="n"/>
      <c r="AC4419" s="195" t="n"/>
      <c r="AD4419" s="25" t="n"/>
      <c r="AE4419" s="25" t="n"/>
      <c r="AG4419" s="25" t="n"/>
      <c r="AH4419" s="25" t="n"/>
      <c r="AI4419" s="394" t="n"/>
      <c r="AM4419" s="48" t="n"/>
      <c r="AN4419" s="48" t="n"/>
      <c r="AO4419" s="48" t="n"/>
    </row>
    <row r="4420">
      <c r="M4420" s="25" t="n"/>
      <c r="Q4420" s="25" t="n"/>
      <c r="U4420" s="194" t="n"/>
      <c r="AA4420" s="25" t="n"/>
      <c r="AB4420" s="25" t="n"/>
      <c r="AC4420" s="195" t="n"/>
      <c r="AD4420" s="25" t="n"/>
      <c r="AE4420" s="25" t="n"/>
      <c r="AG4420" s="25" t="n"/>
      <c r="AH4420" s="25" t="n"/>
      <c r="AI4420" s="394" t="n"/>
      <c r="AM4420" s="48" t="n"/>
      <c r="AN4420" s="48" t="n"/>
      <c r="AO4420" s="48" t="n"/>
    </row>
    <row r="4421">
      <c r="M4421" s="25" t="n"/>
      <c r="Q4421" s="25" t="n"/>
      <c r="U4421" s="194" t="n"/>
      <c r="AA4421" s="25" t="n"/>
      <c r="AB4421" s="25" t="n"/>
      <c r="AC4421" s="195" t="n"/>
      <c r="AD4421" s="25" t="n"/>
      <c r="AE4421" s="25" t="n"/>
      <c r="AG4421" s="25" t="n"/>
      <c r="AH4421" s="25" t="n"/>
      <c r="AI4421" s="394" t="n"/>
      <c r="AM4421" s="48" t="n"/>
      <c r="AN4421" s="48" t="n"/>
      <c r="AO4421" s="48" t="n"/>
    </row>
    <row r="4422">
      <c r="M4422" s="25" t="n"/>
      <c r="Q4422" s="25" t="n"/>
      <c r="U4422" s="194" t="n"/>
      <c r="AA4422" s="25" t="n"/>
      <c r="AB4422" s="25" t="n"/>
      <c r="AC4422" s="195" t="n"/>
      <c r="AD4422" s="25" t="n"/>
      <c r="AE4422" s="25" t="n"/>
      <c r="AG4422" s="25" t="n"/>
      <c r="AH4422" s="25" t="n"/>
      <c r="AI4422" s="394" t="n"/>
      <c r="AM4422" s="48" t="n"/>
      <c r="AN4422" s="48" t="n"/>
      <c r="AO4422" s="48" t="n"/>
    </row>
    <row r="4423">
      <c r="M4423" s="25" t="n"/>
      <c r="Q4423" s="25" t="n"/>
      <c r="U4423" s="194" t="n"/>
      <c r="AA4423" s="25" t="n"/>
      <c r="AB4423" s="25" t="n"/>
      <c r="AC4423" s="195" t="n"/>
      <c r="AD4423" s="25" t="n"/>
      <c r="AE4423" s="25" t="n"/>
      <c r="AG4423" s="25" t="n"/>
      <c r="AH4423" s="25" t="n"/>
      <c r="AI4423" s="394" t="n"/>
      <c r="AM4423" s="48" t="n"/>
      <c r="AN4423" s="48" t="n"/>
      <c r="AO4423" s="48" t="n"/>
    </row>
    <row r="4424">
      <c r="M4424" s="25" t="n"/>
      <c r="Q4424" s="25" t="n"/>
      <c r="U4424" s="194" t="n"/>
      <c r="AA4424" s="25" t="n"/>
      <c r="AB4424" s="25" t="n"/>
      <c r="AC4424" s="195" t="n"/>
      <c r="AD4424" s="25" t="n"/>
      <c r="AE4424" s="25" t="n"/>
      <c r="AG4424" s="25" t="n"/>
      <c r="AH4424" s="25" t="n"/>
      <c r="AI4424" s="394" t="n"/>
      <c r="AM4424" s="48" t="n"/>
      <c r="AN4424" s="48" t="n"/>
      <c r="AO4424" s="48" t="n"/>
    </row>
    <row r="4425">
      <c r="M4425" s="25" t="n"/>
      <c r="Q4425" s="25" t="n"/>
      <c r="U4425" s="194" t="n"/>
      <c r="AA4425" s="25" t="n"/>
      <c r="AB4425" s="25" t="n"/>
      <c r="AC4425" s="195" t="n"/>
      <c r="AD4425" s="25" t="n"/>
      <c r="AE4425" s="25" t="n"/>
      <c r="AG4425" s="25" t="n"/>
      <c r="AH4425" s="25" t="n"/>
      <c r="AI4425" s="394" t="n"/>
      <c r="AM4425" s="48" t="n"/>
      <c r="AN4425" s="48" t="n"/>
      <c r="AO4425" s="48" t="n"/>
    </row>
    <row r="4426">
      <c r="M4426" s="25" t="n"/>
      <c r="Q4426" s="25" t="n"/>
      <c r="U4426" s="194" t="n"/>
      <c r="AA4426" s="25" t="n"/>
      <c r="AB4426" s="25" t="n"/>
      <c r="AC4426" s="195" t="n"/>
      <c r="AD4426" s="25" t="n"/>
      <c r="AE4426" s="25" t="n"/>
      <c r="AG4426" s="25" t="n"/>
      <c r="AH4426" s="25" t="n"/>
      <c r="AI4426" s="394" t="n"/>
      <c r="AM4426" s="48" t="n"/>
      <c r="AN4426" s="48" t="n"/>
      <c r="AO4426" s="48" t="n"/>
    </row>
    <row r="4427">
      <c r="M4427" s="25" t="n"/>
      <c r="Q4427" s="25" t="n"/>
      <c r="U4427" s="194" t="n"/>
      <c r="AA4427" s="25" t="n"/>
      <c r="AB4427" s="25" t="n"/>
      <c r="AC4427" s="195" t="n"/>
      <c r="AD4427" s="25" t="n"/>
      <c r="AE4427" s="25" t="n"/>
      <c r="AG4427" s="25" t="n"/>
      <c r="AH4427" s="25" t="n"/>
      <c r="AI4427" s="394" t="n"/>
      <c r="AM4427" s="48" t="n"/>
      <c r="AN4427" s="48" t="n"/>
      <c r="AO4427" s="48" t="n"/>
    </row>
    <row r="4428">
      <c r="M4428" s="25" t="n"/>
      <c r="Q4428" s="25" t="n"/>
      <c r="U4428" s="194" t="n"/>
      <c r="AA4428" s="25" t="n"/>
      <c r="AB4428" s="25" t="n"/>
      <c r="AC4428" s="195" t="n"/>
      <c r="AD4428" s="25" t="n"/>
      <c r="AE4428" s="25" t="n"/>
      <c r="AG4428" s="25" t="n"/>
      <c r="AH4428" s="25" t="n"/>
      <c r="AI4428" s="394" t="n"/>
      <c r="AM4428" s="48" t="n"/>
      <c r="AN4428" s="48" t="n"/>
      <c r="AO4428" s="48" t="n"/>
    </row>
    <row r="4429">
      <c r="M4429" s="25" t="n"/>
      <c r="Q4429" s="25" t="n"/>
      <c r="U4429" s="194" t="n"/>
      <c r="AA4429" s="25" t="n"/>
      <c r="AB4429" s="25" t="n"/>
      <c r="AC4429" s="195" t="n"/>
      <c r="AD4429" s="25" t="n"/>
      <c r="AE4429" s="25" t="n"/>
      <c r="AG4429" s="25" t="n"/>
      <c r="AH4429" s="25" t="n"/>
      <c r="AI4429" s="394" t="n"/>
      <c r="AM4429" s="48" t="n"/>
      <c r="AN4429" s="48" t="n"/>
      <c r="AO4429" s="48" t="n"/>
    </row>
    <row r="4430">
      <c r="M4430" s="25" t="n"/>
      <c r="Q4430" s="25" t="n"/>
      <c r="U4430" s="194" t="n"/>
      <c r="AA4430" s="25" t="n"/>
      <c r="AB4430" s="25" t="n"/>
      <c r="AC4430" s="195" t="n"/>
      <c r="AD4430" s="25" t="n"/>
      <c r="AE4430" s="25" t="n"/>
      <c r="AG4430" s="25" t="n"/>
      <c r="AH4430" s="25" t="n"/>
      <c r="AI4430" s="394" t="n"/>
      <c r="AM4430" s="48" t="n"/>
      <c r="AN4430" s="48" t="n"/>
      <c r="AO4430" s="48" t="n"/>
    </row>
    <row r="4431">
      <c r="M4431" s="25" t="n"/>
      <c r="Q4431" s="25" t="n"/>
      <c r="U4431" s="194" t="n"/>
      <c r="AA4431" s="25" t="n"/>
      <c r="AB4431" s="25" t="n"/>
      <c r="AC4431" s="195" t="n"/>
      <c r="AD4431" s="25" t="n"/>
      <c r="AE4431" s="25" t="n"/>
      <c r="AG4431" s="25" t="n"/>
      <c r="AH4431" s="25" t="n"/>
      <c r="AI4431" s="394" t="n"/>
      <c r="AM4431" s="48" t="n"/>
      <c r="AN4431" s="48" t="n"/>
      <c r="AO4431" s="48" t="n"/>
    </row>
    <row r="4432">
      <c r="M4432" s="25" t="n"/>
      <c r="Q4432" s="25" t="n"/>
      <c r="U4432" s="194" t="n"/>
      <c r="AA4432" s="25" t="n"/>
      <c r="AB4432" s="25" t="n"/>
      <c r="AC4432" s="195" t="n"/>
      <c r="AD4432" s="25" t="n"/>
      <c r="AE4432" s="25" t="n"/>
      <c r="AG4432" s="25" t="n"/>
      <c r="AH4432" s="25" t="n"/>
      <c r="AI4432" s="394" t="n"/>
      <c r="AM4432" s="48" t="n"/>
      <c r="AN4432" s="48" t="n"/>
      <c r="AO4432" s="48" t="n"/>
    </row>
    <row r="4433">
      <c r="M4433" s="25" t="n"/>
      <c r="Q4433" s="25" t="n"/>
      <c r="U4433" s="194" t="n"/>
      <c r="AA4433" s="25" t="n"/>
      <c r="AB4433" s="25" t="n"/>
      <c r="AC4433" s="195" t="n"/>
      <c r="AD4433" s="25" t="n"/>
      <c r="AE4433" s="25" t="n"/>
      <c r="AG4433" s="25" t="n"/>
      <c r="AH4433" s="25" t="n"/>
      <c r="AI4433" s="394" t="n"/>
      <c r="AM4433" s="48" t="n"/>
      <c r="AN4433" s="48" t="n"/>
      <c r="AO4433" s="48" t="n"/>
    </row>
    <row r="4434">
      <c r="M4434" s="25" t="n"/>
      <c r="Q4434" s="25" t="n"/>
      <c r="U4434" s="194" t="n"/>
      <c r="AA4434" s="25" t="n"/>
      <c r="AB4434" s="25" t="n"/>
      <c r="AC4434" s="195" t="n"/>
      <c r="AD4434" s="25" t="n"/>
      <c r="AE4434" s="25" t="n"/>
      <c r="AG4434" s="25" t="n"/>
      <c r="AH4434" s="25" t="n"/>
      <c r="AI4434" s="394" t="n"/>
      <c r="AM4434" s="48" t="n"/>
      <c r="AN4434" s="48" t="n"/>
      <c r="AO4434" s="48" t="n"/>
    </row>
    <row r="4435">
      <c r="M4435" s="25" t="n"/>
      <c r="Q4435" s="25" t="n"/>
      <c r="U4435" s="194" t="n"/>
      <c r="AA4435" s="25" t="n"/>
      <c r="AB4435" s="25" t="n"/>
      <c r="AC4435" s="195" t="n"/>
      <c r="AD4435" s="25" t="n"/>
      <c r="AE4435" s="25" t="n"/>
      <c r="AG4435" s="25" t="n"/>
      <c r="AH4435" s="25" t="n"/>
      <c r="AI4435" s="394" t="n"/>
      <c r="AM4435" s="48" t="n"/>
      <c r="AN4435" s="48" t="n"/>
      <c r="AO4435" s="48" t="n"/>
    </row>
    <row r="4436">
      <c r="M4436" s="25" t="n"/>
      <c r="Q4436" s="25" t="n"/>
      <c r="U4436" s="194" t="n"/>
      <c r="AA4436" s="25" t="n"/>
      <c r="AB4436" s="25" t="n"/>
      <c r="AC4436" s="195" t="n"/>
      <c r="AD4436" s="25" t="n"/>
      <c r="AE4436" s="25" t="n"/>
      <c r="AG4436" s="25" t="n"/>
      <c r="AH4436" s="25" t="n"/>
      <c r="AI4436" s="394" t="n"/>
      <c r="AM4436" s="48" t="n"/>
      <c r="AN4436" s="48" t="n"/>
      <c r="AO4436" s="48" t="n"/>
    </row>
    <row r="4437">
      <c r="M4437" s="25" t="n"/>
      <c r="Q4437" s="25" t="n"/>
      <c r="U4437" s="194" t="n"/>
      <c r="AA4437" s="25" t="n"/>
      <c r="AB4437" s="25" t="n"/>
      <c r="AC4437" s="195" t="n"/>
      <c r="AD4437" s="25" t="n"/>
      <c r="AE4437" s="25" t="n"/>
      <c r="AG4437" s="25" t="n"/>
      <c r="AH4437" s="25" t="n"/>
      <c r="AI4437" s="394" t="n"/>
      <c r="AM4437" s="48" t="n"/>
      <c r="AN4437" s="48" t="n"/>
      <c r="AO4437" s="48" t="n"/>
    </row>
    <row r="4438">
      <c r="M4438" s="25" t="n"/>
      <c r="Q4438" s="25" t="n"/>
      <c r="U4438" s="194" t="n"/>
      <c r="AA4438" s="25" t="n"/>
      <c r="AB4438" s="25" t="n"/>
      <c r="AC4438" s="195" t="n"/>
      <c r="AD4438" s="25" t="n"/>
      <c r="AE4438" s="25" t="n"/>
      <c r="AG4438" s="25" t="n"/>
      <c r="AH4438" s="25" t="n"/>
      <c r="AI4438" s="394" t="n"/>
      <c r="AM4438" s="48" t="n"/>
      <c r="AN4438" s="48" t="n"/>
      <c r="AO4438" s="48" t="n"/>
    </row>
    <row r="4439">
      <c r="M4439" s="25" t="n"/>
      <c r="Q4439" s="25" t="n"/>
      <c r="U4439" s="194" t="n"/>
      <c r="AA4439" s="25" t="n"/>
      <c r="AB4439" s="25" t="n"/>
      <c r="AC4439" s="195" t="n"/>
      <c r="AD4439" s="25" t="n"/>
      <c r="AE4439" s="25" t="n"/>
      <c r="AG4439" s="25" t="n"/>
      <c r="AH4439" s="25" t="n"/>
      <c r="AI4439" s="394" t="n"/>
      <c r="AM4439" s="48" t="n"/>
      <c r="AN4439" s="48" t="n"/>
      <c r="AO4439" s="48" t="n"/>
    </row>
    <row r="4440">
      <c r="M4440" s="25" t="n"/>
      <c r="Q4440" s="25" t="n"/>
      <c r="U4440" s="194" t="n"/>
      <c r="AA4440" s="25" t="n"/>
      <c r="AB4440" s="25" t="n"/>
      <c r="AC4440" s="195" t="n"/>
      <c r="AD4440" s="25" t="n"/>
      <c r="AE4440" s="25" t="n"/>
      <c r="AG4440" s="25" t="n"/>
      <c r="AH4440" s="25" t="n"/>
      <c r="AI4440" s="394" t="n"/>
      <c r="AM4440" s="48" t="n"/>
      <c r="AN4440" s="48" t="n"/>
      <c r="AO4440" s="48" t="n"/>
    </row>
    <row r="4441">
      <c r="M4441" s="25" t="n"/>
      <c r="Q4441" s="25" t="n"/>
      <c r="U4441" s="194" t="n"/>
      <c r="AA4441" s="25" t="n"/>
      <c r="AB4441" s="25" t="n"/>
      <c r="AC4441" s="195" t="n"/>
      <c r="AD4441" s="25" t="n"/>
      <c r="AE4441" s="25" t="n"/>
      <c r="AG4441" s="25" t="n"/>
      <c r="AH4441" s="25" t="n"/>
      <c r="AI4441" s="394" t="n"/>
      <c r="AM4441" s="48" t="n"/>
      <c r="AN4441" s="48" t="n"/>
      <c r="AO4441" s="48" t="n"/>
    </row>
    <row r="4442">
      <c r="M4442" s="25" t="n"/>
      <c r="Q4442" s="25" t="n"/>
      <c r="U4442" s="194" t="n"/>
      <c r="AA4442" s="25" t="n"/>
      <c r="AB4442" s="25" t="n"/>
      <c r="AC4442" s="195" t="n"/>
      <c r="AD4442" s="25" t="n"/>
      <c r="AE4442" s="25" t="n"/>
      <c r="AG4442" s="25" t="n"/>
      <c r="AH4442" s="25" t="n"/>
      <c r="AI4442" s="394" t="n"/>
      <c r="AM4442" s="48" t="n"/>
      <c r="AN4442" s="48" t="n"/>
      <c r="AO4442" s="48" t="n"/>
    </row>
    <row r="4443">
      <c r="M4443" s="25" t="n"/>
      <c r="Q4443" s="25" t="n"/>
      <c r="U4443" s="194" t="n"/>
      <c r="AA4443" s="25" t="n"/>
      <c r="AB4443" s="25" t="n"/>
      <c r="AC4443" s="195" t="n"/>
      <c r="AD4443" s="25" t="n"/>
      <c r="AE4443" s="25" t="n"/>
      <c r="AG4443" s="25" t="n"/>
      <c r="AH4443" s="25" t="n"/>
      <c r="AI4443" s="394" t="n"/>
      <c r="AM4443" s="48" t="n"/>
      <c r="AN4443" s="48" t="n"/>
      <c r="AO4443" s="48" t="n"/>
    </row>
    <row r="4444">
      <c r="M4444" s="25" t="n"/>
      <c r="Q4444" s="25" t="n"/>
      <c r="U4444" s="194" t="n"/>
      <c r="AA4444" s="25" t="n"/>
      <c r="AB4444" s="25" t="n"/>
      <c r="AC4444" s="195" t="n"/>
      <c r="AD4444" s="25" t="n"/>
      <c r="AE4444" s="25" t="n"/>
      <c r="AG4444" s="25" t="n"/>
      <c r="AH4444" s="25" t="n"/>
      <c r="AI4444" s="394" t="n"/>
      <c r="AM4444" s="48" t="n"/>
      <c r="AN4444" s="48" t="n"/>
      <c r="AO4444" s="48" t="n"/>
    </row>
    <row r="4445">
      <c r="M4445" s="25" t="n"/>
      <c r="Q4445" s="25" t="n"/>
      <c r="U4445" s="194" t="n"/>
      <c r="AA4445" s="25" t="n"/>
      <c r="AB4445" s="25" t="n"/>
      <c r="AC4445" s="195" t="n"/>
      <c r="AD4445" s="25" t="n"/>
      <c r="AE4445" s="25" t="n"/>
      <c r="AG4445" s="25" t="n"/>
      <c r="AH4445" s="25" t="n"/>
      <c r="AI4445" s="394" t="n"/>
      <c r="AM4445" s="48" t="n"/>
      <c r="AN4445" s="48" t="n"/>
      <c r="AO4445" s="48" t="n"/>
    </row>
    <row r="4446">
      <c r="M4446" s="25" t="n"/>
      <c r="Q4446" s="25" t="n"/>
      <c r="U4446" s="194" t="n"/>
      <c r="AA4446" s="25" t="n"/>
      <c r="AB4446" s="25" t="n"/>
      <c r="AC4446" s="195" t="n"/>
      <c r="AD4446" s="25" t="n"/>
      <c r="AE4446" s="25" t="n"/>
      <c r="AG4446" s="25" t="n"/>
      <c r="AH4446" s="25" t="n"/>
      <c r="AI4446" s="394" t="n"/>
      <c r="AM4446" s="48" t="n"/>
      <c r="AN4446" s="48" t="n"/>
      <c r="AO4446" s="48" t="n"/>
    </row>
    <row r="4447">
      <c r="M4447" s="25" t="n"/>
      <c r="Q4447" s="25" t="n"/>
      <c r="U4447" s="194" t="n"/>
      <c r="AA4447" s="25" t="n"/>
      <c r="AB4447" s="25" t="n"/>
      <c r="AC4447" s="195" t="n"/>
      <c r="AD4447" s="25" t="n"/>
      <c r="AE4447" s="25" t="n"/>
      <c r="AG4447" s="25" t="n"/>
      <c r="AH4447" s="25" t="n"/>
      <c r="AI4447" s="394" t="n"/>
      <c r="AM4447" s="48" t="n"/>
      <c r="AN4447" s="48" t="n"/>
      <c r="AO4447" s="48" t="n"/>
    </row>
    <row r="4448">
      <c r="M4448" s="25" t="n"/>
      <c r="Q4448" s="25" t="n"/>
      <c r="U4448" s="194" t="n"/>
      <c r="AA4448" s="25" t="n"/>
      <c r="AB4448" s="25" t="n"/>
      <c r="AC4448" s="195" t="n"/>
      <c r="AD4448" s="25" t="n"/>
      <c r="AE4448" s="25" t="n"/>
      <c r="AG4448" s="25" t="n"/>
      <c r="AH4448" s="25" t="n"/>
      <c r="AI4448" s="394" t="n"/>
      <c r="AM4448" s="48" t="n"/>
      <c r="AN4448" s="48" t="n"/>
      <c r="AO4448" s="48" t="n"/>
    </row>
    <row r="4449">
      <c r="M4449" s="25" t="n"/>
      <c r="Q4449" s="25" t="n"/>
      <c r="U4449" s="194" t="n"/>
      <c r="AA4449" s="25" t="n"/>
      <c r="AB4449" s="25" t="n"/>
      <c r="AC4449" s="195" t="n"/>
      <c r="AD4449" s="25" t="n"/>
      <c r="AE4449" s="25" t="n"/>
      <c r="AG4449" s="25" t="n"/>
      <c r="AH4449" s="25" t="n"/>
      <c r="AI4449" s="394" t="n"/>
      <c r="AM4449" s="48" t="n"/>
      <c r="AN4449" s="48" t="n"/>
      <c r="AO4449" s="48" t="n"/>
    </row>
    <row r="4450">
      <c r="M4450" s="25" t="n"/>
      <c r="Q4450" s="25" t="n"/>
      <c r="U4450" s="194" t="n"/>
      <c r="AA4450" s="25" t="n"/>
      <c r="AB4450" s="25" t="n"/>
      <c r="AC4450" s="195" t="n"/>
      <c r="AD4450" s="25" t="n"/>
      <c r="AE4450" s="25" t="n"/>
      <c r="AG4450" s="25" t="n"/>
      <c r="AH4450" s="25" t="n"/>
      <c r="AI4450" s="394" t="n"/>
      <c r="AM4450" s="48" t="n"/>
      <c r="AN4450" s="48" t="n"/>
      <c r="AO4450" s="48" t="n"/>
    </row>
    <row r="4451">
      <c r="M4451" s="25" t="n"/>
      <c r="Q4451" s="25" t="n"/>
      <c r="U4451" s="194" t="n"/>
      <c r="AA4451" s="25" t="n"/>
      <c r="AB4451" s="25" t="n"/>
      <c r="AC4451" s="195" t="n"/>
      <c r="AD4451" s="25" t="n"/>
      <c r="AE4451" s="25" t="n"/>
      <c r="AG4451" s="25" t="n"/>
      <c r="AH4451" s="25" t="n"/>
      <c r="AI4451" s="394" t="n"/>
      <c r="AM4451" s="48" t="n"/>
      <c r="AN4451" s="48" t="n"/>
      <c r="AO4451" s="48" t="n"/>
    </row>
    <row r="4452">
      <c r="M4452" s="25" t="n"/>
      <c r="Q4452" s="25" t="n"/>
      <c r="U4452" s="194" t="n"/>
      <c r="AA4452" s="25" t="n"/>
      <c r="AB4452" s="25" t="n"/>
      <c r="AC4452" s="195" t="n"/>
      <c r="AD4452" s="25" t="n"/>
      <c r="AE4452" s="25" t="n"/>
      <c r="AG4452" s="25" t="n"/>
      <c r="AH4452" s="25" t="n"/>
      <c r="AI4452" s="394" t="n"/>
      <c r="AM4452" s="48" t="n"/>
      <c r="AN4452" s="48" t="n"/>
      <c r="AO4452" s="48" t="n"/>
    </row>
    <row r="4453">
      <c r="M4453" s="25" t="n"/>
      <c r="Q4453" s="25" t="n"/>
      <c r="U4453" s="194" t="n"/>
      <c r="AA4453" s="25" t="n"/>
      <c r="AB4453" s="25" t="n"/>
      <c r="AC4453" s="195" t="n"/>
      <c r="AD4453" s="25" t="n"/>
      <c r="AE4453" s="25" t="n"/>
      <c r="AG4453" s="25" t="n"/>
      <c r="AH4453" s="25" t="n"/>
      <c r="AI4453" s="394" t="n"/>
      <c r="AM4453" s="48" t="n"/>
      <c r="AN4453" s="48" t="n"/>
      <c r="AO4453" s="48" t="n"/>
    </row>
    <row r="4454">
      <c r="M4454" s="25" t="n"/>
      <c r="Q4454" s="25" t="n"/>
      <c r="U4454" s="194" t="n"/>
      <c r="AA4454" s="25" t="n"/>
      <c r="AB4454" s="25" t="n"/>
      <c r="AC4454" s="195" t="n"/>
      <c r="AD4454" s="25" t="n"/>
      <c r="AE4454" s="25" t="n"/>
      <c r="AG4454" s="25" t="n"/>
      <c r="AH4454" s="25" t="n"/>
      <c r="AI4454" s="394" t="n"/>
      <c r="AM4454" s="48" t="n"/>
      <c r="AN4454" s="48" t="n"/>
      <c r="AO4454" s="48" t="n"/>
    </row>
    <row r="4455">
      <c r="M4455" s="25" t="n"/>
      <c r="Q4455" s="25" t="n"/>
      <c r="U4455" s="194" t="n"/>
      <c r="AA4455" s="25" t="n"/>
      <c r="AB4455" s="25" t="n"/>
      <c r="AC4455" s="195" t="n"/>
      <c r="AD4455" s="25" t="n"/>
      <c r="AE4455" s="25" t="n"/>
      <c r="AG4455" s="25" t="n"/>
      <c r="AH4455" s="25" t="n"/>
      <c r="AI4455" s="394" t="n"/>
      <c r="AM4455" s="48" t="n"/>
      <c r="AN4455" s="48" t="n"/>
      <c r="AO4455" s="48" t="n"/>
    </row>
    <row r="4456">
      <c r="M4456" s="25" t="n"/>
      <c r="Q4456" s="25" t="n"/>
      <c r="U4456" s="194" t="n"/>
      <c r="AA4456" s="25" t="n"/>
      <c r="AB4456" s="25" t="n"/>
      <c r="AC4456" s="195" t="n"/>
      <c r="AD4456" s="25" t="n"/>
      <c r="AE4456" s="25" t="n"/>
      <c r="AG4456" s="25" t="n"/>
      <c r="AH4456" s="25" t="n"/>
      <c r="AI4456" s="394" t="n"/>
      <c r="AM4456" s="48" t="n"/>
      <c r="AN4456" s="48" t="n"/>
      <c r="AO4456" s="48" t="n"/>
    </row>
    <row r="4457">
      <c r="M4457" s="25" t="n"/>
      <c r="Q4457" s="25" t="n"/>
      <c r="U4457" s="194" t="n"/>
      <c r="AA4457" s="25" t="n"/>
      <c r="AB4457" s="25" t="n"/>
      <c r="AC4457" s="195" t="n"/>
      <c r="AD4457" s="25" t="n"/>
      <c r="AE4457" s="25" t="n"/>
      <c r="AG4457" s="25" t="n"/>
      <c r="AH4457" s="25" t="n"/>
      <c r="AI4457" s="394" t="n"/>
      <c r="AM4457" s="48" t="n"/>
      <c r="AN4457" s="48" t="n"/>
      <c r="AO4457" s="48" t="n"/>
    </row>
    <row r="4458">
      <c r="M4458" s="25" t="n"/>
      <c r="Q4458" s="25" t="n"/>
      <c r="U4458" s="194" t="n"/>
      <c r="AA4458" s="25" t="n"/>
      <c r="AB4458" s="25" t="n"/>
      <c r="AC4458" s="195" t="n"/>
      <c r="AD4458" s="25" t="n"/>
      <c r="AE4458" s="25" t="n"/>
      <c r="AG4458" s="25" t="n"/>
      <c r="AH4458" s="25" t="n"/>
      <c r="AI4458" s="394" t="n"/>
      <c r="AM4458" s="48" t="n"/>
      <c r="AN4458" s="48" t="n"/>
      <c r="AO4458" s="48" t="n"/>
    </row>
    <row r="4459">
      <c r="M4459" s="25" t="n"/>
      <c r="Q4459" s="25" t="n"/>
      <c r="U4459" s="194" t="n"/>
      <c r="AA4459" s="25" t="n"/>
      <c r="AB4459" s="25" t="n"/>
      <c r="AC4459" s="195" t="n"/>
      <c r="AD4459" s="25" t="n"/>
      <c r="AE4459" s="25" t="n"/>
      <c r="AG4459" s="25" t="n"/>
      <c r="AH4459" s="25" t="n"/>
      <c r="AI4459" s="394" t="n"/>
      <c r="AM4459" s="48" t="n"/>
      <c r="AN4459" s="48" t="n"/>
      <c r="AO4459" s="48" t="n"/>
    </row>
    <row r="4460">
      <c r="M4460" s="25" t="n"/>
      <c r="Q4460" s="25" t="n"/>
      <c r="U4460" s="194" t="n"/>
      <c r="AA4460" s="25" t="n"/>
      <c r="AB4460" s="25" t="n"/>
      <c r="AC4460" s="195" t="n"/>
      <c r="AD4460" s="25" t="n"/>
      <c r="AE4460" s="25" t="n"/>
      <c r="AG4460" s="25" t="n"/>
      <c r="AH4460" s="25" t="n"/>
      <c r="AI4460" s="394" t="n"/>
      <c r="AM4460" s="48" t="n"/>
      <c r="AN4460" s="48" t="n"/>
      <c r="AO4460" s="48" t="n"/>
    </row>
    <row r="4461">
      <c r="M4461" s="25" t="n"/>
      <c r="Q4461" s="25" t="n"/>
      <c r="U4461" s="194" t="n"/>
      <c r="AA4461" s="25" t="n"/>
      <c r="AB4461" s="25" t="n"/>
      <c r="AC4461" s="195" t="n"/>
      <c r="AD4461" s="25" t="n"/>
      <c r="AE4461" s="25" t="n"/>
      <c r="AG4461" s="25" t="n"/>
      <c r="AH4461" s="25" t="n"/>
      <c r="AI4461" s="394" t="n"/>
      <c r="AM4461" s="48" t="n"/>
      <c r="AN4461" s="48" t="n"/>
      <c r="AO4461" s="48" t="n"/>
    </row>
    <row r="4462">
      <c r="M4462" s="25" t="n"/>
      <c r="Q4462" s="25" t="n"/>
      <c r="U4462" s="194" t="n"/>
      <c r="AA4462" s="25" t="n"/>
      <c r="AB4462" s="25" t="n"/>
      <c r="AC4462" s="195" t="n"/>
      <c r="AD4462" s="25" t="n"/>
      <c r="AE4462" s="25" t="n"/>
      <c r="AG4462" s="25" t="n"/>
      <c r="AH4462" s="25" t="n"/>
      <c r="AI4462" s="394" t="n"/>
      <c r="AM4462" s="48" t="n"/>
      <c r="AN4462" s="48" t="n"/>
      <c r="AO4462" s="48" t="n"/>
    </row>
    <row r="4463">
      <c r="M4463" s="25" t="n"/>
      <c r="Q4463" s="25" t="n"/>
      <c r="U4463" s="194" t="n"/>
      <c r="AA4463" s="25" t="n"/>
      <c r="AB4463" s="25" t="n"/>
      <c r="AC4463" s="195" t="n"/>
      <c r="AD4463" s="25" t="n"/>
      <c r="AE4463" s="25" t="n"/>
      <c r="AG4463" s="25" t="n"/>
      <c r="AH4463" s="25" t="n"/>
      <c r="AI4463" s="394" t="n"/>
      <c r="AM4463" s="48" t="n"/>
      <c r="AN4463" s="48" t="n"/>
      <c r="AO4463" s="48" t="n"/>
    </row>
    <row r="4464">
      <c r="M4464" s="25" t="n"/>
      <c r="Q4464" s="25" t="n"/>
      <c r="U4464" s="194" t="n"/>
      <c r="AA4464" s="25" t="n"/>
      <c r="AB4464" s="25" t="n"/>
      <c r="AC4464" s="195" t="n"/>
      <c r="AD4464" s="25" t="n"/>
      <c r="AE4464" s="25" t="n"/>
      <c r="AG4464" s="25" t="n"/>
      <c r="AH4464" s="25" t="n"/>
      <c r="AI4464" s="394" t="n"/>
      <c r="AM4464" s="48" t="n"/>
      <c r="AN4464" s="48" t="n"/>
      <c r="AO4464" s="48" t="n"/>
    </row>
    <row r="4465">
      <c r="M4465" s="25" t="n"/>
      <c r="Q4465" s="25" t="n"/>
      <c r="U4465" s="194" t="n"/>
      <c r="AA4465" s="25" t="n"/>
      <c r="AB4465" s="25" t="n"/>
      <c r="AC4465" s="195" t="n"/>
      <c r="AD4465" s="25" t="n"/>
      <c r="AE4465" s="25" t="n"/>
      <c r="AG4465" s="25" t="n"/>
      <c r="AH4465" s="25" t="n"/>
      <c r="AI4465" s="394" t="n"/>
      <c r="AM4465" s="48" t="n"/>
      <c r="AN4465" s="48" t="n"/>
      <c r="AO4465" s="48" t="n"/>
    </row>
    <row r="4466">
      <c r="M4466" s="25" t="n"/>
      <c r="Q4466" s="25" t="n"/>
      <c r="U4466" s="194" t="n"/>
      <c r="AA4466" s="25" t="n"/>
      <c r="AB4466" s="25" t="n"/>
      <c r="AC4466" s="195" t="n"/>
      <c r="AD4466" s="25" t="n"/>
      <c r="AE4466" s="25" t="n"/>
      <c r="AG4466" s="25" t="n"/>
      <c r="AH4466" s="25" t="n"/>
      <c r="AI4466" s="394" t="n"/>
      <c r="AM4466" s="48" t="n"/>
      <c r="AN4466" s="48" t="n"/>
      <c r="AO4466" s="48" t="n"/>
    </row>
    <row r="4467">
      <c r="M4467" s="25" t="n"/>
      <c r="Q4467" s="25" t="n"/>
      <c r="U4467" s="194" t="n"/>
      <c r="AA4467" s="25" t="n"/>
      <c r="AB4467" s="25" t="n"/>
      <c r="AC4467" s="195" t="n"/>
      <c r="AD4467" s="25" t="n"/>
      <c r="AE4467" s="25" t="n"/>
      <c r="AG4467" s="25" t="n"/>
      <c r="AH4467" s="25" t="n"/>
      <c r="AI4467" s="394" t="n"/>
      <c r="AM4467" s="48" t="n"/>
      <c r="AN4467" s="48" t="n"/>
      <c r="AO4467" s="48" t="n"/>
    </row>
    <row r="4468">
      <c r="M4468" s="25" t="n"/>
      <c r="Q4468" s="25" t="n"/>
      <c r="U4468" s="194" t="n"/>
      <c r="AA4468" s="25" t="n"/>
      <c r="AB4468" s="25" t="n"/>
      <c r="AC4468" s="195" t="n"/>
      <c r="AD4468" s="25" t="n"/>
      <c r="AE4468" s="25" t="n"/>
      <c r="AG4468" s="25" t="n"/>
      <c r="AH4468" s="25" t="n"/>
      <c r="AI4468" s="394" t="n"/>
      <c r="AM4468" s="48" t="n"/>
      <c r="AN4468" s="48" t="n"/>
      <c r="AO4468" s="48" t="n"/>
    </row>
    <row r="4469">
      <c r="M4469" s="25" t="n"/>
      <c r="Q4469" s="25" t="n"/>
      <c r="U4469" s="194" t="n"/>
      <c r="AA4469" s="25" t="n"/>
      <c r="AB4469" s="25" t="n"/>
      <c r="AC4469" s="195" t="n"/>
      <c r="AD4469" s="25" t="n"/>
      <c r="AE4469" s="25" t="n"/>
      <c r="AG4469" s="25" t="n"/>
      <c r="AH4469" s="25" t="n"/>
      <c r="AI4469" s="394" t="n"/>
      <c r="AM4469" s="48" t="n"/>
      <c r="AN4469" s="48" t="n"/>
      <c r="AO4469" s="48" t="n"/>
    </row>
    <row r="4470">
      <c r="M4470" s="25" t="n"/>
      <c r="Q4470" s="25" t="n"/>
      <c r="U4470" s="194" t="n"/>
      <c r="AA4470" s="25" t="n"/>
      <c r="AB4470" s="25" t="n"/>
      <c r="AC4470" s="195" t="n"/>
      <c r="AD4470" s="25" t="n"/>
      <c r="AE4470" s="25" t="n"/>
      <c r="AG4470" s="25" t="n"/>
      <c r="AH4470" s="25" t="n"/>
      <c r="AI4470" s="394" t="n"/>
      <c r="AM4470" s="48" t="n"/>
      <c r="AN4470" s="48" t="n"/>
      <c r="AO4470" s="48" t="n"/>
    </row>
    <row r="4471">
      <c r="M4471" s="25" t="n"/>
      <c r="Q4471" s="25" t="n"/>
      <c r="U4471" s="194" t="n"/>
      <c r="AA4471" s="25" t="n"/>
      <c r="AB4471" s="25" t="n"/>
      <c r="AC4471" s="195" t="n"/>
      <c r="AD4471" s="25" t="n"/>
      <c r="AE4471" s="25" t="n"/>
      <c r="AG4471" s="25" t="n"/>
      <c r="AH4471" s="25" t="n"/>
      <c r="AI4471" s="394" t="n"/>
      <c r="AM4471" s="48" t="n"/>
      <c r="AN4471" s="48" t="n"/>
      <c r="AO4471" s="48" t="n"/>
    </row>
    <row r="4472">
      <c r="M4472" s="25" t="n"/>
      <c r="Q4472" s="25" t="n"/>
      <c r="U4472" s="194" t="n"/>
      <c r="AA4472" s="25" t="n"/>
      <c r="AB4472" s="25" t="n"/>
      <c r="AC4472" s="195" t="n"/>
      <c r="AD4472" s="25" t="n"/>
      <c r="AE4472" s="25" t="n"/>
      <c r="AG4472" s="25" t="n"/>
      <c r="AH4472" s="25" t="n"/>
      <c r="AI4472" s="394" t="n"/>
      <c r="AM4472" s="48" t="n"/>
      <c r="AN4472" s="48" t="n"/>
      <c r="AO4472" s="48" t="n"/>
    </row>
    <row r="4473">
      <c r="M4473" s="25" t="n"/>
      <c r="Q4473" s="25" t="n"/>
      <c r="U4473" s="194" t="n"/>
      <c r="AA4473" s="25" t="n"/>
      <c r="AB4473" s="25" t="n"/>
      <c r="AC4473" s="195" t="n"/>
      <c r="AD4473" s="25" t="n"/>
      <c r="AE4473" s="25" t="n"/>
      <c r="AG4473" s="25" t="n"/>
      <c r="AH4473" s="25" t="n"/>
      <c r="AI4473" s="394" t="n"/>
      <c r="AM4473" s="48" t="n"/>
      <c r="AN4473" s="48" t="n"/>
      <c r="AO4473" s="48" t="n"/>
    </row>
    <row r="4474">
      <c r="M4474" s="25" t="n"/>
      <c r="Q4474" s="25" t="n"/>
      <c r="U4474" s="194" t="n"/>
      <c r="AA4474" s="25" t="n"/>
      <c r="AB4474" s="25" t="n"/>
      <c r="AC4474" s="195" t="n"/>
      <c r="AD4474" s="25" t="n"/>
      <c r="AE4474" s="25" t="n"/>
      <c r="AG4474" s="25" t="n"/>
      <c r="AH4474" s="25" t="n"/>
      <c r="AI4474" s="394" t="n"/>
      <c r="AM4474" s="48" t="n"/>
      <c r="AN4474" s="48" t="n"/>
      <c r="AO4474" s="48" t="n"/>
    </row>
    <row r="4475">
      <c r="M4475" s="25" t="n"/>
      <c r="Q4475" s="25" t="n"/>
      <c r="U4475" s="194" t="n"/>
      <c r="AA4475" s="25" t="n"/>
      <c r="AB4475" s="25" t="n"/>
      <c r="AC4475" s="195" t="n"/>
      <c r="AD4475" s="25" t="n"/>
      <c r="AE4475" s="25" t="n"/>
      <c r="AG4475" s="25" t="n"/>
      <c r="AH4475" s="25" t="n"/>
      <c r="AI4475" s="394" t="n"/>
      <c r="AM4475" s="48" t="n"/>
      <c r="AN4475" s="48" t="n"/>
      <c r="AO4475" s="48" t="n"/>
    </row>
    <row r="4476">
      <c r="M4476" s="25" t="n"/>
      <c r="Q4476" s="25" t="n"/>
      <c r="U4476" s="194" t="n"/>
      <c r="AA4476" s="25" t="n"/>
      <c r="AB4476" s="25" t="n"/>
      <c r="AC4476" s="195" t="n"/>
      <c r="AD4476" s="25" t="n"/>
      <c r="AE4476" s="25" t="n"/>
      <c r="AG4476" s="25" t="n"/>
      <c r="AH4476" s="25" t="n"/>
      <c r="AI4476" s="394" t="n"/>
      <c r="AM4476" s="48" t="n"/>
      <c r="AN4476" s="48" t="n"/>
      <c r="AO4476" s="48" t="n"/>
    </row>
    <row r="4477">
      <c r="M4477" s="25" t="n"/>
      <c r="Q4477" s="25" t="n"/>
      <c r="U4477" s="194" t="n"/>
      <c r="AA4477" s="25" t="n"/>
      <c r="AB4477" s="25" t="n"/>
      <c r="AC4477" s="195" t="n"/>
      <c r="AD4477" s="25" t="n"/>
      <c r="AE4477" s="25" t="n"/>
      <c r="AG4477" s="25" t="n"/>
      <c r="AH4477" s="25" t="n"/>
      <c r="AI4477" s="394" t="n"/>
      <c r="AM4477" s="48" t="n"/>
      <c r="AN4477" s="48" t="n"/>
      <c r="AO4477" s="48" t="n"/>
    </row>
    <row r="4478">
      <c r="M4478" s="25" t="n"/>
      <c r="Q4478" s="25" t="n"/>
      <c r="U4478" s="194" t="n"/>
      <c r="AA4478" s="25" t="n"/>
      <c r="AB4478" s="25" t="n"/>
      <c r="AC4478" s="195" t="n"/>
      <c r="AD4478" s="25" t="n"/>
      <c r="AE4478" s="25" t="n"/>
      <c r="AG4478" s="25" t="n"/>
      <c r="AH4478" s="25" t="n"/>
      <c r="AI4478" s="394" t="n"/>
      <c r="AM4478" s="48" t="n"/>
      <c r="AN4478" s="48" t="n"/>
      <c r="AO4478" s="48" t="n"/>
    </row>
    <row r="4479">
      <c r="M4479" s="25" t="n"/>
      <c r="Q4479" s="25" t="n"/>
      <c r="U4479" s="194" t="n"/>
      <c r="AA4479" s="25" t="n"/>
      <c r="AB4479" s="25" t="n"/>
      <c r="AC4479" s="195" t="n"/>
      <c r="AD4479" s="25" t="n"/>
      <c r="AE4479" s="25" t="n"/>
      <c r="AG4479" s="25" t="n"/>
      <c r="AH4479" s="25" t="n"/>
      <c r="AI4479" s="394" t="n"/>
      <c r="AM4479" s="48" t="n"/>
      <c r="AN4479" s="48" t="n"/>
      <c r="AO4479" s="48" t="n"/>
    </row>
    <row r="4480">
      <c r="M4480" s="25" t="n"/>
      <c r="Q4480" s="25" t="n"/>
      <c r="U4480" s="194" t="n"/>
      <c r="AA4480" s="25" t="n"/>
      <c r="AB4480" s="25" t="n"/>
      <c r="AC4480" s="195" t="n"/>
      <c r="AD4480" s="25" t="n"/>
      <c r="AE4480" s="25" t="n"/>
      <c r="AG4480" s="25" t="n"/>
      <c r="AH4480" s="25" t="n"/>
      <c r="AI4480" s="394" t="n"/>
      <c r="AM4480" s="48" t="n"/>
      <c r="AN4480" s="48" t="n"/>
      <c r="AO4480" s="48" t="n"/>
    </row>
    <row r="4481">
      <c r="M4481" s="25" t="n"/>
      <c r="Q4481" s="25" t="n"/>
      <c r="U4481" s="194" t="n"/>
      <c r="AA4481" s="25" t="n"/>
      <c r="AB4481" s="25" t="n"/>
      <c r="AC4481" s="195" t="n"/>
      <c r="AD4481" s="25" t="n"/>
      <c r="AE4481" s="25" t="n"/>
      <c r="AG4481" s="25" t="n"/>
      <c r="AH4481" s="25" t="n"/>
      <c r="AI4481" s="394" t="n"/>
      <c r="AM4481" s="48" t="n"/>
      <c r="AN4481" s="48" t="n"/>
      <c r="AO4481" s="48" t="n"/>
    </row>
    <row r="4482">
      <c r="M4482" s="25" t="n"/>
      <c r="Q4482" s="25" t="n"/>
      <c r="U4482" s="194" t="n"/>
      <c r="AA4482" s="25" t="n"/>
      <c r="AB4482" s="25" t="n"/>
      <c r="AC4482" s="195" t="n"/>
      <c r="AD4482" s="25" t="n"/>
      <c r="AE4482" s="25" t="n"/>
      <c r="AG4482" s="25" t="n"/>
      <c r="AH4482" s="25" t="n"/>
      <c r="AI4482" s="394" t="n"/>
      <c r="AM4482" s="48" t="n"/>
      <c r="AN4482" s="48" t="n"/>
      <c r="AO4482" s="48" t="n"/>
    </row>
    <row r="4483">
      <c r="M4483" s="25" t="n"/>
      <c r="Q4483" s="25" t="n"/>
      <c r="U4483" s="194" t="n"/>
      <c r="AA4483" s="25" t="n"/>
      <c r="AB4483" s="25" t="n"/>
      <c r="AC4483" s="195" t="n"/>
      <c r="AD4483" s="25" t="n"/>
      <c r="AE4483" s="25" t="n"/>
      <c r="AG4483" s="25" t="n"/>
      <c r="AH4483" s="25" t="n"/>
      <c r="AI4483" s="394" t="n"/>
      <c r="AM4483" s="48" t="n"/>
      <c r="AN4483" s="48" t="n"/>
      <c r="AO4483" s="48" t="n"/>
    </row>
    <row r="4484">
      <c r="M4484" s="25" t="n"/>
      <c r="Q4484" s="25" t="n"/>
      <c r="U4484" s="194" t="n"/>
      <c r="AA4484" s="25" t="n"/>
      <c r="AB4484" s="25" t="n"/>
      <c r="AC4484" s="195" t="n"/>
      <c r="AD4484" s="25" t="n"/>
      <c r="AE4484" s="25" t="n"/>
      <c r="AG4484" s="25" t="n"/>
      <c r="AH4484" s="25" t="n"/>
      <c r="AI4484" s="394" t="n"/>
      <c r="AM4484" s="48" t="n"/>
      <c r="AN4484" s="48" t="n"/>
      <c r="AO4484" s="48" t="n"/>
    </row>
    <row r="4485">
      <c r="M4485" s="25" t="n"/>
      <c r="Q4485" s="25" t="n"/>
      <c r="U4485" s="194" t="n"/>
      <c r="AA4485" s="25" t="n"/>
      <c r="AB4485" s="25" t="n"/>
      <c r="AC4485" s="195" t="n"/>
      <c r="AD4485" s="25" t="n"/>
      <c r="AE4485" s="25" t="n"/>
      <c r="AG4485" s="25" t="n"/>
      <c r="AH4485" s="25" t="n"/>
      <c r="AI4485" s="394" t="n"/>
      <c r="AM4485" s="48" t="n"/>
      <c r="AN4485" s="48" t="n"/>
      <c r="AO4485" s="48" t="n"/>
    </row>
    <row r="4486">
      <c r="M4486" s="25" t="n"/>
      <c r="Q4486" s="25" t="n"/>
      <c r="U4486" s="194" t="n"/>
      <c r="AA4486" s="25" t="n"/>
      <c r="AB4486" s="25" t="n"/>
      <c r="AC4486" s="195" t="n"/>
      <c r="AD4486" s="25" t="n"/>
      <c r="AE4486" s="25" t="n"/>
      <c r="AG4486" s="25" t="n"/>
      <c r="AH4486" s="25" t="n"/>
      <c r="AI4486" s="394" t="n"/>
      <c r="AM4486" s="48" t="n"/>
      <c r="AN4486" s="48" t="n"/>
      <c r="AO4486" s="48" t="n"/>
    </row>
    <row r="4487">
      <c r="M4487" s="25" t="n"/>
      <c r="Q4487" s="25" t="n"/>
      <c r="U4487" s="194" t="n"/>
      <c r="AA4487" s="25" t="n"/>
      <c r="AB4487" s="25" t="n"/>
      <c r="AC4487" s="195" t="n"/>
      <c r="AD4487" s="25" t="n"/>
      <c r="AE4487" s="25" t="n"/>
      <c r="AG4487" s="25" t="n"/>
      <c r="AH4487" s="25" t="n"/>
      <c r="AI4487" s="394" t="n"/>
      <c r="AM4487" s="48" t="n"/>
      <c r="AN4487" s="48" t="n"/>
      <c r="AO4487" s="48" t="n"/>
    </row>
    <row r="4488">
      <c r="M4488" s="25" t="n"/>
      <c r="Q4488" s="25" t="n"/>
      <c r="U4488" s="194" t="n"/>
      <c r="AA4488" s="25" t="n"/>
      <c r="AB4488" s="25" t="n"/>
      <c r="AC4488" s="195" t="n"/>
      <c r="AD4488" s="25" t="n"/>
      <c r="AE4488" s="25" t="n"/>
      <c r="AG4488" s="25" t="n"/>
      <c r="AH4488" s="25" t="n"/>
      <c r="AI4488" s="394" t="n"/>
      <c r="AM4488" s="48" t="n"/>
      <c r="AN4488" s="48" t="n"/>
      <c r="AO4488" s="48" t="n"/>
    </row>
    <row r="4489">
      <c r="M4489" s="25" t="n"/>
      <c r="Q4489" s="25" t="n"/>
      <c r="U4489" s="194" t="n"/>
      <c r="AA4489" s="25" t="n"/>
      <c r="AB4489" s="25" t="n"/>
      <c r="AC4489" s="195" t="n"/>
      <c r="AD4489" s="25" t="n"/>
      <c r="AE4489" s="25" t="n"/>
      <c r="AG4489" s="25" t="n"/>
      <c r="AH4489" s="25" t="n"/>
      <c r="AI4489" s="394" t="n"/>
      <c r="AM4489" s="48" t="n"/>
      <c r="AN4489" s="48" t="n"/>
      <c r="AO4489" s="48" t="n"/>
    </row>
    <row r="4490">
      <c r="M4490" s="25" t="n"/>
      <c r="Q4490" s="25" t="n"/>
      <c r="U4490" s="194" t="n"/>
      <c r="AA4490" s="25" t="n"/>
      <c r="AB4490" s="25" t="n"/>
      <c r="AC4490" s="195" t="n"/>
      <c r="AD4490" s="25" t="n"/>
      <c r="AE4490" s="25" t="n"/>
      <c r="AG4490" s="25" t="n"/>
      <c r="AH4490" s="25" t="n"/>
      <c r="AI4490" s="394" t="n"/>
      <c r="AM4490" s="48" t="n"/>
      <c r="AN4490" s="48" t="n"/>
      <c r="AO4490" s="48" t="n"/>
    </row>
    <row r="4491">
      <c r="M4491" s="25" t="n"/>
      <c r="Q4491" s="25" t="n"/>
      <c r="U4491" s="194" t="n"/>
      <c r="AA4491" s="25" t="n"/>
      <c r="AB4491" s="25" t="n"/>
      <c r="AC4491" s="195" t="n"/>
      <c r="AD4491" s="25" t="n"/>
      <c r="AE4491" s="25" t="n"/>
      <c r="AG4491" s="25" t="n"/>
      <c r="AH4491" s="25" t="n"/>
      <c r="AI4491" s="394" t="n"/>
      <c r="AM4491" s="48" t="n"/>
      <c r="AN4491" s="48" t="n"/>
      <c r="AO4491" s="48" t="n"/>
    </row>
    <row r="4492">
      <c r="M4492" s="25" t="n"/>
      <c r="Q4492" s="25" t="n"/>
      <c r="U4492" s="194" t="n"/>
      <c r="AA4492" s="25" t="n"/>
      <c r="AB4492" s="25" t="n"/>
      <c r="AC4492" s="195" t="n"/>
      <c r="AD4492" s="25" t="n"/>
      <c r="AE4492" s="25" t="n"/>
      <c r="AG4492" s="25" t="n"/>
      <c r="AH4492" s="25" t="n"/>
      <c r="AI4492" s="394" t="n"/>
      <c r="AM4492" s="48" t="n"/>
      <c r="AN4492" s="48" t="n"/>
      <c r="AO4492" s="48" t="n"/>
    </row>
    <row r="4493">
      <c r="M4493" s="25" t="n"/>
      <c r="Q4493" s="25" t="n"/>
      <c r="U4493" s="194" t="n"/>
      <c r="AA4493" s="25" t="n"/>
      <c r="AB4493" s="25" t="n"/>
      <c r="AC4493" s="195" t="n"/>
      <c r="AD4493" s="25" t="n"/>
      <c r="AE4493" s="25" t="n"/>
      <c r="AG4493" s="25" t="n"/>
      <c r="AH4493" s="25" t="n"/>
      <c r="AI4493" s="394" t="n"/>
      <c r="AM4493" s="48" t="n"/>
      <c r="AN4493" s="48" t="n"/>
      <c r="AO4493" s="48" t="n"/>
    </row>
    <row r="4494">
      <c r="M4494" s="25" t="n"/>
      <c r="Q4494" s="25" t="n"/>
      <c r="U4494" s="194" t="n"/>
      <c r="AA4494" s="25" t="n"/>
      <c r="AB4494" s="25" t="n"/>
      <c r="AC4494" s="195" t="n"/>
      <c r="AD4494" s="25" t="n"/>
      <c r="AE4494" s="25" t="n"/>
      <c r="AG4494" s="25" t="n"/>
      <c r="AH4494" s="25" t="n"/>
      <c r="AI4494" s="394" t="n"/>
      <c r="AM4494" s="48" t="n"/>
      <c r="AN4494" s="48" t="n"/>
      <c r="AO4494" s="48" t="n"/>
    </row>
    <row r="4495">
      <c r="M4495" s="25" t="n"/>
      <c r="Q4495" s="25" t="n"/>
      <c r="U4495" s="194" t="n"/>
      <c r="AA4495" s="25" t="n"/>
      <c r="AB4495" s="25" t="n"/>
      <c r="AC4495" s="195" t="n"/>
      <c r="AD4495" s="25" t="n"/>
      <c r="AE4495" s="25" t="n"/>
      <c r="AG4495" s="25" t="n"/>
      <c r="AH4495" s="25" t="n"/>
      <c r="AI4495" s="394" t="n"/>
      <c r="AM4495" s="48" t="n"/>
      <c r="AN4495" s="48" t="n"/>
      <c r="AO4495" s="48" t="n"/>
    </row>
    <row r="4496">
      <c r="M4496" s="25" t="n"/>
      <c r="Q4496" s="25" t="n"/>
      <c r="U4496" s="194" t="n"/>
      <c r="AA4496" s="25" t="n"/>
      <c r="AB4496" s="25" t="n"/>
      <c r="AC4496" s="195" t="n"/>
      <c r="AD4496" s="25" t="n"/>
      <c r="AE4496" s="25" t="n"/>
      <c r="AG4496" s="25" t="n"/>
      <c r="AH4496" s="25" t="n"/>
      <c r="AI4496" s="394" t="n"/>
      <c r="AM4496" s="48" t="n"/>
      <c r="AN4496" s="48" t="n"/>
      <c r="AO4496" s="48" t="n"/>
    </row>
    <row r="4497">
      <c r="M4497" s="25" t="n"/>
      <c r="Q4497" s="25" t="n"/>
      <c r="U4497" s="194" t="n"/>
      <c r="AA4497" s="25" t="n"/>
      <c r="AB4497" s="25" t="n"/>
      <c r="AC4497" s="195" t="n"/>
      <c r="AD4497" s="25" t="n"/>
      <c r="AE4497" s="25" t="n"/>
      <c r="AG4497" s="25" t="n"/>
      <c r="AH4497" s="25" t="n"/>
      <c r="AI4497" s="394" t="n"/>
      <c r="AM4497" s="48" t="n"/>
      <c r="AN4497" s="48" t="n"/>
      <c r="AO4497" s="48" t="n"/>
    </row>
    <row r="4498">
      <c r="M4498" s="25" t="n"/>
      <c r="Q4498" s="25" t="n"/>
      <c r="U4498" s="194" t="n"/>
      <c r="AA4498" s="25" t="n"/>
      <c r="AB4498" s="25" t="n"/>
      <c r="AC4498" s="195" t="n"/>
      <c r="AD4498" s="25" t="n"/>
      <c r="AE4498" s="25" t="n"/>
      <c r="AG4498" s="25" t="n"/>
      <c r="AH4498" s="25" t="n"/>
      <c r="AI4498" s="394" t="n"/>
      <c r="AM4498" s="48" t="n"/>
      <c r="AN4498" s="48" t="n"/>
      <c r="AO4498" s="48" t="n"/>
    </row>
    <row r="4499">
      <c r="M4499" s="25" t="n"/>
      <c r="Q4499" s="25" t="n"/>
      <c r="U4499" s="194" t="n"/>
      <c r="AA4499" s="25" t="n"/>
      <c r="AB4499" s="25" t="n"/>
      <c r="AC4499" s="195" t="n"/>
      <c r="AD4499" s="25" t="n"/>
      <c r="AE4499" s="25" t="n"/>
      <c r="AG4499" s="25" t="n"/>
      <c r="AH4499" s="25" t="n"/>
      <c r="AI4499" s="394" t="n"/>
      <c r="AM4499" s="48" t="n"/>
      <c r="AN4499" s="48" t="n"/>
      <c r="AO4499" s="48" t="n"/>
    </row>
    <row r="4500">
      <c r="M4500" s="25" t="n"/>
      <c r="Q4500" s="25" t="n"/>
      <c r="U4500" s="194" t="n"/>
      <c r="AA4500" s="25" t="n"/>
      <c r="AB4500" s="25" t="n"/>
      <c r="AC4500" s="195" t="n"/>
      <c r="AD4500" s="25" t="n"/>
      <c r="AE4500" s="25" t="n"/>
      <c r="AG4500" s="25" t="n"/>
      <c r="AH4500" s="25" t="n"/>
      <c r="AI4500" s="394" t="n"/>
      <c r="AM4500" s="48" t="n"/>
      <c r="AN4500" s="48" t="n"/>
      <c r="AO4500" s="48" t="n"/>
    </row>
    <row r="4501">
      <c r="M4501" s="25" t="n"/>
      <c r="Q4501" s="25" t="n"/>
      <c r="U4501" s="194" t="n"/>
      <c r="AA4501" s="25" t="n"/>
      <c r="AB4501" s="25" t="n"/>
      <c r="AC4501" s="195" t="n"/>
      <c r="AD4501" s="25" t="n"/>
      <c r="AE4501" s="25" t="n"/>
      <c r="AG4501" s="25" t="n"/>
      <c r="AH4501" s="25" t="n"/>
      <c r="AI4501" s="394" t="n"/>
      <c r="AM4501" s="48" t="n"/>
      <c r="AN4501" s="48" t="n"/>
      <c r="AO4501" s="48" t="n"/>
    </row>
    <row r="4502">
      <c r="M4502" s="25" t="n"/>
      <c r="Q4502" s="25" t="n"/>
      <c r="U4502" s="194" t="n"/>
      <c r="AA4502" s="25" t="n"/>
      <c r="AB4502" s="25" t="n"/>
      <c r="AC4502" s="195" t="n"/>
      <c r="AD4502" s="25" t="n"/>
      <c r="AE4502" s="25" t="n"/>
      <c r="AG4502" s="25" t="n"/>
      <c r="AH4502" s="25" t="n"/>
      <c r="AI4502" s="394" t="n"/>
      <c r="AM4502" s="48" t="n"/>
      <c r="AN4502" s="48" t="n"/>
      <c r="AO4502" s="48" t="n"/>
    </row>
    <row r="4503">
      <c r="M4503" s="25" t="n"/>
      <c r="Q4503" s="25" t="n"/>
      <c r="U4503" s="194" t="n"/>
      <c r="AA4503" s="25" t="n"/>
      <c r="AB4503" s="25" t="n"/>
      <c r="AC4503" s="195" t="n"/>
      <c r="AD4503" s="25" t="n"/>
      <c r="AE4503" s="25" t="n"/>
      <c r="AG4503" s="25" t="n"/>
      <c r="AH4503" s="25" t="n"/>
      <c r="AI4503" s="394" t="n"/>
      <c r="AM4503" s="48" t="n"/>
      <c r="AN4503" s="48" t="n"/>
      <c r="AO4503" s="48" t="n"/>
    </row>
    <row r="4504">
      <c r="M4504" s="25" t="n"/>
      <c r="Q4504" s="25" t="n"/>
      <c r="U4504" s="194" t="n"/>
      <c r="AA4504" s="25" t="n"/>
      <c r="AB4504" s="25" t="n"/>
      <c r="AC4504" s="195" t="n"/>
      <c r="AD4504" s="25" t="n"/>
      <c r="AE4504" s="25" t="n"/>
      <c r="AG4504" s="25" t="n"/>
      <c r="AH4504" s="25" t="n"/>
      <c r="AI4504" s="394" t="n"/>
      <c r="AM4504" s="48" t="n"/>
      <c r="AN4504" s="48" t="n"/>
      <c r="AO4504" s="48" t="n"/>
    </row>
    <row r="4505">
      <c r="M4505" s="25" t="n"/>
      <c r="Q4505" s="25" t="n"/>
      <c r="U4505" s="194" t="n"/>
      <c r="AA4505" s="25" t="n"/>
      <c r="AB4505" s="25" t="n"/>
      <c r="AC4505" s="195" t="n"/>
      <c r="AD4505" s="25" t="n"/>
      <c r="AE4505" s="25" t="n"/>
      <c r="AG4505" s="25" t="n"/>
      <c r="AH4505" s="25" t="n"/>
      <c r="AI4505" s="394" t="n"/>
      <c r="AM4505" s="48" t="n"/>
      <c r="AN4505" s="48" t="n"/>
      <c r="AO4505" s="48" t="n"/>
    </row>
    <row r="4506">
      <c r="M4506" s="25" t="n"/>
      <c r="Q4506" s="25" t="n"/>
      <c r="U4506" s="194" t="n"/>
      <c r="AA4506" s="25" t="n"/>
      <c r="AB4506" s="25" t="n"/>
      <c r="AC4506" s="195" t="n"/>
      <c r="AD4506" s="25" t="n"/>
      <c r="AE4506" s="25" t="n"/>
      <c r="AG4506" s="25" t="n"/>
      <c r="AH4506" s="25" t="n"/>
      <c r="AI4506" s="394" t="n"/>
      <c r="AM4506" s="48" t="n"/>
      <c r="AN4506" s="48" t="n"/>
      <c r="AO4506" s="48" t="n"/>
    </row>
    <row r="4507">
      <c r="M4507" s="25" t="n"/>
      <c r="Q4507" s="25" t="n"/>
      <c r="U4507" s="194" t="n"/>
      <c r="AA4507" s="25" t="n"/>
      <c r="AB4507" s="25" t="n"/>
      <c r="AC4507" s="195" t="n"/>
      <c r="AD4507" s="25" t="n"/>
      <c r="AE4507" s="25" t="n"/>
      <c r="AG4507" s="25" t="n"/>
      <c r="AH4507" s="25" t="n"/>
      <c r="AI4507" s="394" t="n"/>
      <c r="AM4507" s="48" t="n"/>
      <c r="AN4507" s="48" t="n"/>
      <c r="AO4507" s="48" t="n"/>
    </row>
    <row r="4508">
      <c r="M4508" s="25" t="n"/>
      <c r="Q4508" s="25" t="n"/>
      <c r="U4508" s="194" t="n"/>
      <c r="AA4508" s="25" t="n"/>
      <c r="AB4508" s="25" t="n"/>
      <c r="AC4508" s="195" t="n"/>
      <c r="AD4508" s="25" t="n"/>
      <c r="AE4508" s="25" t="n"/>
      <c r="AG4508" s="25" t="n"/>
      <c r="AH4508" s="25" t="n"/>
      <c r="AI4508" s="394" t="n"/>
      <c r="AM4508" s="48" t="n"/>
      <c r="AN4508" s="48" t="n"/>
      <c r="AO4508" s="48" t="n"/>
    </row>
    <row r="4509">
      <c r="M4509" s="25" t="n"/>
      <c r="Q4509" s="25" t="n"/>
      <c r="U4509" s="194" t="n"/>
      <c r="AA4509" s="25" t="n"/>
      <c r="AB4509" s="25" t="n"/>
      <c r="AC4509" s="195" t="n"/>
      <c r="AD4509" s="25" t="n"/>
      <c r="AE4509" s="25" t="n"/>
      <c r="AG4509" s="25" t="n"/>
      <c r="AH4509" s="25" t="n"/>
      <c r="AI4509" s="394" t="n"/>
      <c r="AM4509" s="48" t="n"/>
      <c r="AN4509" s="48" t="n"/>
      <c r="AO4509" s="48" t="n"/>
    </row>
    <row r="4510">
      <c r="M4510" s="25" t="n"/>
      <c r="Q4510" s="25" t="n"/>
      <c r="U4510" s="194" t="n"/>
      <c r="AA4510" s="25" t="n"/>
      <c r="AB4510" s="25" t="n"/>
      <c r="AC4510" s="195" t="n"/>
      <c r="AD4510" s="25" t="n"/>
      <c r="AE4510" s="25" t="n"/>
      <c r="AG4510" s="25" t="n"/>
      <c r="AH4510" s="25" t="n"/>
      <c r="AI4510" s="394" t="n"/>
      <c r="AM4510" s="48" t="n"/>
      <c r="AN4510" s="48" t="n"/>
      <c r="AO4510" s="48" t="n"/>
    </row>
    <row r="4511">
      <c r="M4511" s="25" t="n"/>
      <c r="Q4511" s="25" t="n"/>
      <c r="U4511" s="194" t="n"/>
      <c r="AA4511" s="25" t="n"/>
      <c r="AB4511" s="25" t="n"/>
      <c r="AC4511" s="195" t="n"/>
      <c r="AD4511" s="25" t="n"/>
      <c r="AE4511" s="25" t="n"/>
      <c r="AG4511" s="25" t="n"/>
      <c r="AH4511" s="25" t="n"/>
      <c r="AI4511" s="394" t="n"/>
      <c r="AM4511" s="48" t="n"/>
      <c r="AN4511" s="48" t="n"/>
      <c r="AO4511" s="48" t="n"/>
    </row>
    <row r="4512">
      <c r="M4512" s="25" t="n"/>
      <c r="Q4512" s="25" t="n"/>
      <c r="U4512" s="194" t="n"/>
      <c r="AA4512" s="25" t="n"/>
      <c r="AB4512" s="25" t="n"/>
      <c r="AC4512" s="195" t="n"/>
      <c r="AD4512" s="25" t="n"/>
      <c r="AE4512" s="25" t="n"/>
      <c r="AG4512" s="25" t="n"/>
      <c r="AH4512" s="25" t="n"/>
      <c r="AI4512" s="394" t="n"/>
      <c r="AM4512" s="48" t="n"/>
      <c r="AN4512" s="48" t="n"/>
      <c r="AO4512" s="48" t="n"/>
    </row>
    <row r="4513">
      <c r="M4513" s="25" t="n"/>
      <c r="Q4513" s="25" t="n"/>
      <c r="U4513" s="194" t="n"/>
      <c r="AA4513" s="25" t="n"/>
      <c r="AB4513" s="25" t="n"/>
      <c r="AC4513" s="195" t="n"/>
      <c r="AD4513" s="25" t="n"/>
      <c r="AE4513" s="25" t="n"/>
      <c r="AG4513" s="25" t="n"/>
      <c r="AH4513" s="25" t="n"/>
      <c r="AI4513" s="394" t="n"/>
      <c r="AM4513" s="48" t="n"/>
      <c r="AN4513" s="48" t="n"/>
      <c r="AO4513" s="48" t="n"/>
    </row>
    <row r="4514">
      <c r="M4514" s="25" t="n"/>
      <c r="Q4514" s="25" t="n"/>
      <c r="U4514" s="194" t="n"/>
      <c r="AA4514" s="25" t="n"/>
      <c r="AB4514" s="25" t="n"/>
      <c r="AC4514" s="195" t="n"/>
      <c r="AD4514" s="25" t="n"/>
      <c r="AE4514" s="25" t="n"/>
      <c r="AG4514" s="25" t="n"/>
      <c r="AH4514" s="25" t="n"/>
      <c r="AI4514" s="394" t="n"/>
      <c r="AM4514" s="48" t="n"/>
      <c r="AN4514" s="48" t="n"/>
      <c r="AO4514" s="48" t="n"/>
    </row>
    <row r="4515">
      <c r="M4515" s="25" t="n"/>
      <c r="Q4515" s="25" t="n"/>
      <c r="U4515" s="194" t="n"/>
      <c r="AA4515" s="25" t="n"/>
      <c r="AB4515" s="25" t="n"/>
      <c r="AC4515" s="195" t="n"/>
      <c r="AD4515" s="25" t="n"/>
      <c r="AE4515" s="25" t="n"/>
      <c r="AG4515" s="25" t="n"/>
      <c r="AH4515" s="25" t="n"/>
      <c r="AI4515" s="394" t="n"/>
      <c r="AM4515" s="48" t="n"/>
      <c r="AN4515" s="48" t="n"/>
      <c r="AO4515" s="48" t="n"/>
    </row>
    <row r="4516">
      <c r="M4516" s="25" t="n"/>
      <c r="Q4516" s="25" t="n"/>
      <c r="U4516" s="194" t="n"/>
      <c r="AA4516" s="25" t="n"/>
      <c r="AB4516" s="25" t="n"/>
      <c r="AC4516" s="195" t="n"/>
      <c r="AD4516" s="25" t="n"/>
      <c r="AE4516" s="25" t="n"/>
      <c r="AG4516" s="25" t="n"/>
      <c r="AH4516" s="25" t="n"/>
      <c r="AI4516" s="394" t="n"/>
      <c r="AM4516" s="48" t="n"/>
      <c r="AN4516" s="48" t="n"/>
      <c r="AO4516" s="48" t="n"/>
    </row>
    <row r="4517">
      <c r="M4517" s="25" t="n"/>
      <c r="Q4517" s="25" t="n"/>
      <c r="U4517" s="194" t="n"/>
      <c r="AA4517" s="25" t="n"/>
      <c r="AB4517" s="25" t="n"/>
      <c r="AC4517" s="195" t="n"/>
      <c r="AD4517" s="25" t="n"/>
      <c r="AE4517" s="25" t="n"/>
      <c r="AG4517" s="25" t="n"/>
      <c r="AH4517" s="25" t="n"/>
      <c r="AI4517" s="394" t="n"/>
      <c r="AM4517" s="48" t="n"/>
      <c r="AN4517" s="48" t="n"/>
      <c r="AO4517" s="48" t="n"/>
    </row>
    <row r="4518">
      <c r="M4518" s="25" t="n"/>
      <c r="Q4518" s="25" t="n"/>
      <c r="U4518" s="194" t="n"/>
      <c r="AA4518" s="25" t="n"/>
      <c r="AB4518" s="25" t="n"/>
      <c r="AC4518" s="195" t="n"/>
      <c r="AD4518" s="25" t="n"/>
      <c r="AE4518" s="25" t="n"/>
      <c r="AG4518" s="25" t="n"/>
      <c r="AH4518" s="25" t="n"/>
      <c r="AI4518" s="394" t="n"/>
      <c r="AM4518" s="48" t="n"/>
      <c r="AN4518" s="48" t="n"/>
      <c r="AO4518" s="48" t="n"/>
    </row>
    <row r="4519">
      <c r="M4519" s="25" t="n"/>
      <c r="Q4519" s="25" t="n"/>
      <c r="U4519" s="194" t="n"/>
      <c r="AA4519" s="25" t="n"/>
      <c r="AB4519" s="25" t="n"/>
      <c r="AC4519" s="195" t="n"/>
      <c r="AD4519" s="25" t="n"/>
      <c r="AE4519" s="25" t="n"/>
      <c r="AG4519" s="25" t="n"/>
      <c r="AH4519" s="25" t="n"/>
      <c r="AI4519" s="394" t="n"/>
      <c r="AM4519" s="48" t="n"/>
      <c r="AN4519" s="48" t="n"/>
      <c r="AO4519" s="48" t="n"/>
    </row>
    <row r="4520">
      <c r="M4520" s="25" t="n"/>
      <c r="Q4520" s="25" t="n"/>
      <c r="U4520" s="194" t="n"/>
      <c r="AA4520" s="25" t="n"/>
      <c r="AB4520" s="25" t="n"/>
      <c r="AC4520" s="195" t="n"/>
      <c r="AD4520" s="25" t="n"/>
      <c r="AE4520" s="25" t="n"/>
      <c r="AG4520" s="25" t="n"/>
      <c r="AH4520" s="25" t="n"/>
      <c r="AI4520" s="394" t="n"/>
      <c r="AM4520" s="48" t="n"/>
      <c r="AN4520" s="48" t="n"/>
      <c r="AO4520" s="48" t="n"/>
    </row>
    <row r="4521">
      <c r="M4521" s="25" t="n"/>
      <c r="Q4521" s="25" t="n"/>
      <c r="U4521" s="194" t="n"/>
      <c r="AA4521" s="25" t="n"/>
      <c r="AB4521" s="25" t="n"/>
      <c r="AC4521" s="195" t="n"/>
      <c r="AD4521" s="25" t="n"/>
      <c r="AE4521" s="25" t="n"/>
      <c r="AG4521" s="25" t="n"/>
      <c r="AH4521" s="25" t="n"/>
      <c r="AI4521" s="394" t="n"/>
      <c r="AM4521" s="48" t="n"/>
      <c r="AN4521" s="48" t="n"/>
      <c r="AO4521" s="48" t="n"/>
    </row>
    <row r="4522">
      <c r="M4522" s="25" t="n"/>
      <c r="Q4522" s="25" t="n"/>
      <c r="U4522" s="194" t="n"/>
      <c r="AA4522" s="25" t="n"/>
      <c r="AB4522" s="25" t="n"/>
      <c r="AC4522" s="195" t="n"/>
      <c r="AD4522" s="25" t="n"/>
      <c r="AE4522" s="25" t="n"/>
      <c r="AG4522" s="25" t="n"/>
      <c r="AH4522" s="25" t="n"/>
      <c r="AI4522" s="394" t="n"/>
      <c r="AM4522" s="48" t="n"/>
      <c r="AN4522" s="48" t="n"/>
      <c r="AO4522" s="48" t="n"/>
    </row>
    <row r="4523">
      <c r="M4523" s="25" t="n"/>
      <c r="Q4523" s="25" t="n"/>
      <c r="U4523" s="194" t="n"/>
      <c r="AA4523" s="25" t="n"/>
      <c r="AB4523" s="25" t="n"/>
      <c r="AC4523" s="195" t="n"/>
      <c r="AD4523" s="25" t="n"/>
      <c r="AE4523" s="25" t="n"/>
      <c r="AG4523" s="25" t="n"/>
      <c r="AH4523" s="25" t="n"/>
      <c r="AI4523" s="394" t="n"/>
      <c r="AM4523" s="48" t="n"/>
      <c r="AN4523" s="48" t="n"/>
      <c r="AO4523" s="48" t="n"/>
    </row>
    <row r="4524">
      <c r="M4524" s="25" t="n"/>
      <c r="Q4524" s="25" t="n"/>
      <c r="U4524" s="194" t="n"/>
      <c r="AA4524" s="25" t="n"/>
      <c r="AB4524" s="25" t="n"/>
      <c r="AC4524" s="195" t="n"/>
      <c r="AD4524" s="25" t="n"/>
      <c r="AE4524" s="25" t="n"/>
      <c r="AG4524" s="25" t="n"/>
      <c r="AH4524" s="25" t="n"/>
      <c r="AI4524" s="394" t="n"/>
      <c r="AM4524" s="48" t="n"/>
      <c r="AN4524" s="48" t="n"/>
      <c r="AO4524" s="48" t="n"/>
    </row>
    <row r="4525">
      <c r="M4525" s="25" t="n"/>
      <c r="Q4525" s="25" t="n"/>
      <c r="U4525" s="194" t="n"/>
      <c r="AA4525" s="25" t="n"/>
      <c r="AB4525" s="25" t="n"/>
      <c r="AC4525" s="195" t="n"/>
      <c r="AD4525" s="25" t="n"/>
      <c r="AE4525" s="25" t="n"/>
      <c r="AG4525" s="25" t="n"/>
      <c r="AH4525" s="25" t="n"/>
      <c r="AI4525" s="394" t="n"/>
      <c r="AM4525" s="48" t="n"/>
      <c r="AN4525" s="48" t="n"/>
      <c r="AO4525" s="48" t="n"/>
    </row>
    <row r="4526">
      <c r="M4526" s="25" t="n"/>
      <c r="Q4526" s="25" t="n"/>
      <c r="U4526" s="194" t="n"/>
      <c r="AA4526" s="25" t="n"/>
      <c r="AB4526" s="25" t="n"/>
      <c r="AC4526" s="195" t="n"/>
      <c r="AD4526" s="25" t="n"/>
      <c r="AE4526" s="25" t="n"/>
      <c r="AG4526" s="25" t="n"/>
      <c r="AH4526" s="25" t="n"/>
      <c r="AI4526" s="394" t="n"/>
      <c r="AM4526" s="48" t="n"/>
      <c r="AN4526" s="48" t="n"/>
      <c r="AO4526" s="48" t="n"/>
    </row>
    <row r="4527">
      <c r="M4527" s="25" t="n"/>
      <c r="Q4527" s="25" t="n"/>
      <c r="U4527" s="194" t="n"/>
      <c r="AA4527" s="25" t="n"/>
      <c r="AB4527" s="25" t="n"/>
      <c r="AC4527" s="195" t="n"/>
      <c r="AD4527" s="25" t="n"/>
      <c r="AE4527" s="25" t="n"/>
      <c r="AG4527" s="25" t="n"/>
      <c r="AH4527" s="25" t="n"/>
      <c r="AI4527" s="394" t="n"/>
      <c r="AM4527" s="48" t="n"/>
      <c r="AN4527" s="48" t="n"/>
      <c r="AO4527" s="48" t="n"/>
    </row>
    <row r="4528">
      <c r="M4528" s="25" t="n"/>
      <c r="Q4528" s="25" t="n"/>
      <c r="U4528" s="194" t="n"/>
      <c r="AA4528" s="25" t="n"/>
      <c r="AB4528" s="25" t="n"/>
      <c r="AC4528" s="195" t="n"/>
      <c r="AD4528" s="25" t="n"/>
      <c r="AE4528" s="25" t="n"/>
      <c r="AG4528" s="25" t="n"/>
      <c r="AH4528" s="25" t="n"/>
      <c r="AI4528" s="394" t="n"/>
      <c r="AM4528" s="48" t="n"/>
      <c r="AN4528" s="48" t="n"/>
      <c r="AO4528" s="48" t="n"/>
    </row>
    <row r="4529">
      <c r="M4529" s="25" t="n"/>
      <c r="Q4529" s="25" t="n"/>
      <c r="U4529" s="194" t="n"/>
      <c r="AA4529" s="25" t="n"/>
      <c r="AB4529" s="25" t="n"/>
      <c r="AC4529" s="195" t="n"/>
      <c r="AD4529" s="25" t="n"/>
      <c r="AE4529" s="25" t="n"/>
      <c r="AG4529" s="25" t="n"/>
      <c r="AH4529" s="25" t="n"/>
      <c r="AI4529" s="394" t="n"/>
      <c r="AM4529" s="48" t="n"/>
      <c r="AN4529" s="48" t="n"/>
      <c r="AO4529" s="48" t="n"/>
    </row>
    <row r="4530">
      <c r="M4530" s="25" t="n"/>
      <c r="Q4530" s="25" t="n"/>
      <c r="U4530" s="194" t="n"/>
      <c r="AA4530" s="25" t="n"/>
      <c r="AB4530" s="25" t="n"/>
      <c r="AC4530" s="195" t="n"/>
      <c r="AD4530" s="25" t="n"/>
      <c r="AE4530" s="25" t="n"/>
      <c r="AG4530" s="25" t="n"/>
      <c r="AH4530" s="25" t="n"/>
      <c r="AI4530" s="394" t="n"/>
      <c r="AM4530" s="48" t="n"/>
      <c r="AN4530" s="48" t="n"/>
      <c r="AO4530" s="48" t="n"/>
    </row>
    <row r="4531">
      <c r="M4531" s="25" t="n"/>
      <c r="Q4531" s="25" t="n"/>
      <c r="U4531" s="194" t="n"/>
      <c r="AA4531" s="25" t="n"/>
      <c r="AB4531" s="25" t="n"/>
      <c r="AC4531" s="195" t="n"/>
      <c r="AD4531" s="25" t="n"/>
      <c r="AE4531" s="25" t="n"/>
      <c r="AG4531" s="25" t="n"/>
      <c r="AH4531" s="25" t="n"/>
      <c r="AI4531" s="394" t="n"/>
      <c r="AM4531" s="48" t="n"/>
      <c r="AN4531" s="48" t="n"/>
      <c r="AO4531" s="48" t="n"/>
    </row>
    <row r="4532">
      <c r="M4532" s="25" t="n"/>
      <c r="Q4532" s="25" t="n"/>
      <c r="U4532" s="194" t="n"/>
      <c r="AA4532" s="25" t="n"/>
      <c r="AB4532" s="25" t="n"/>
      <c r="AC4532" s="195" t="n"/>
      <c r="AD4532" s="25" t="n"/>
      <c r="AE4532" s="25" t="n"/>
      <c r="AG4532" s="25" t="n"/>
      <c r="AH4532" s="25" t="n"/>
      <c r="AI4532" s="394" t="n"/>
      <c r="AM4532" s="48" t="n"/>
      <c r="AN4532" s="48" t="n"/>
      <c r="AO4532" s="48" t="n"/>
    </row>
    <row r="4533">
      <c r="M4533" s="25" t="n"/>
      <c r="Q4533" s="25" t="n"/>
      <c r="U4533" s="194" t="n"/>
      <c r="AA4533" s="25" t="n"/>
      <c r="AB4533" s="25" t="n"/>
      <c r="AC4533" s="195" t="n"/>
      <c r="AD4533" s="25" t="n"/>
      <c r="AE4533" s="25" t="n"/>
      <c r="AG4533" s="25" t="n"/>
      <c r="AH4533" s="25" t="n"/>
      <c r="AI4533" s="394" t="n"/>
      <c r="AM4533" s="48" t="n"/>
      <c r="AN4533" s="48" t="n"/>
      <c r="AO4533" s="48" t="n"/>
    </row>
    <row r="4534">
      <c r="M4534" s="25" t="n"/>
      <c r="Q4534" s="25" t="n"/>
      <c r="U4534" s="194" t="n"/>
      <c r="AA4534" s="25" t="n"/>
      <c r="AB4534" s="25" t="n"/>
      <c r="AC4534" s="195" t="n"/>
      <c r="AD4534" s="25" t="n"/>
      <c r="AE4534" s="25" t="n"/>
      <c r="AG4534" s="25" t="n"/>
      <c r="AH4534" s="25" t="n"/>
      <c r="AI4534" s="394" t="n"/>
      <c r="AM4534" s="48" t="n"/>
      <c r="AN4534" s="48" t="n"/>
      <c r="AO4534" s="48" t="n"/>
    </row>
    <row r="4535">
      <c r="M4535" s="25" t="n"/>
      <c r="Q4535" s="25" t="n"/>
      <c r="U4535" s="194" t="n"/>
      <c r="AA4535" s="25" t="n"/>
      <c r="AB4535" s="25" t="n"/>
      <c r="AC4535" s="195" t="n"/>
      <c r="AD4535" s="25" t="n"/>
      <c r="AE4535" s="25" t="n"/>
      <c r="AG4535" s="25" t="n"/>
      <c r="AH4535" s="25" t="n"/>
      <c r="AI4535" s="394" t="n"/>
      <c r="AM4535" s="48" t="n"/>
      <c r="AN4535" s="48" t="n"/>
      <c r="AO4535" s="48" t="n"/>
    </row>
    <row r="4536">
      <c r="M4536" s="25" t="n"/>
      <c r="Q4536" s="25" t="n"/>
      <c r="U4536" s="194" t="n"/>
      <c r="AA4536" s="25" t="n"/>
      <c r="AB4536" s="25" t="n"/>
      <c r="AC4536" s="195" t="n"/>
      <c r="AD4536" s="25" t="n"/>
      <c r="AE4536" s="25" t="n"/>
      <c r="AG4536" s="25" t="n"/>
      <c r="AH4536" s="25" t="n"/>
      <c r="AI4536" s="394" t="n"/>
      <c r="AM4536" s="48" t="n"/>
      <c r="AN4536" s="48" t="n"/>
      <c r="AO4536" s="48" t="n"/>
    </row>
    <row r="4537">
      <c r="M4537" s="25" t="n"/>
      <c r="Q4537" s="25" t="n"/>
      <c r="U4537" s="194" t="n"/>
      <c r="AA4537" s="25" t="n"/>
      <c r="AB4537" s="25" t="n"/>
      <c r="AC4537" s="195" t="n"/>
      <c r="AD4537" s="25" t="n"/>
      <c r="AE4537" s="25" t="n"/>
      <c r="AG4537" s="25" t="n"/>
      <c r="AH4537" s="25" t="n"/>
      <c r="AI4537" s="394" t="n"/>
      <c r="AM4537" s="48" t="n"/>
      <c r="AN4537" s="48" t="n"/>
      <c r="AO4537" s="48" t="n"/>
    </row>
    <row r="4538">
      <c r="M4538" s="25" t="n"/>
      <c r="Q4538" s="25" t="n"/>
      <c r="U4538" s="194" t="n"/>
      <c r="AA4538" s="25" t="n"/>
      <c r="AB4538" s="25" t="n"/>
      <c r="AC4538" s="195" t="n"/>
      <c r="AD4538" s="25" t="n"/>
      <c r="AE4538" s="25" t="n"/>
      <c r="AG4538" s="25" t="n"/>
      <c r="AH4538" s="25" t="n"/>
      <c r="AI4538" s="394" t="n"/>
      <c r="AM4538" s="48" t="n"/>
      <c r="AN4538" s="48" t="n"/>
      <c r="AO4538" s="48" t="n"/>
    </row>
    <row r="4539">
      <c r="M4539" s="25" t="n"/>
      <c r="Q4539" s="25" t="n"/>
      <c r="U4539" s="194" t="n"/>
      <c r="AA4539" s="25" t="n"/>
      <c r="AB4539" s="25" t="n"/>
      <c r="AC4539" s="195" t="n"/>
      <c r="AD4539" s="25" t="n"/>
      <c r="AE4539" s="25" t="n"/>
      <c r="AG4539" s="25" t="n"/>
      <c r="AH4539" s="25" t="n"/>
      <c r="AI4539" s="394" t="n"/>
      <c r="AM4539" s="48" t="n"/>
      <c r="AN4539" s="48" t="n"/>
      <c r="AO4539" s="48" t="n"/>
    </row>
    <row r="4540">
      <c r="M4540" s="25" t="n"/>
      <c r="Q4540" s="25" t="n"/>
      <c r="U4540" s="194" t="n"/>
      <c r="AA4540" s="25" t="n"/>
      <c r="AB4540" s="25" t="n"/>
      <c r="AC4540" s="195" t="n"/>
      <c r="AD4540" s="25" t="n"/>
      <c r="AE4540" s="25" t="n"/>
      <c r="AG4540" s="25" t="n"/>
      <c r="AH4540" s="25" t="n"/>
      <c r="AI4540" s="394" t="n"/>
      <c r="AM4540" s="48" t="n"/>
      <c r="AN4540" s="48" t="n"/>
      <c r="AO4540" s="48" t="n"/>
    </row>
    <row r="4541">
      <c r="M4541" s="25" t="n"/>
      <c r="Q4541" s="25" t="n"/>
      <c r="U4541" s="194" t="n"/>
      <c r="AA4541" s="25" t="n"/>
      <c r="AB4541" s="25" t="n"/>
      <c r="AC4541" s="195" t="n"/>
      <c r="AD4541" s="25" t="n"/>
      <c r="AE4541" s="25" t="n"/>
      <c r="AG4541" s="25" t="n"/>
      <c r="AH4541" s="25" t="n"/>
      <c r="AI4541" s="394" t="n"/>
      <c r="AM4541" s="48" t="n"/>
      <c r="AN4541" s="48" t="n"/>
      <c r="AO4541" s="48" t="n"/>
    </row>
    <row r="4542">
      <c r="M4542" s="25" t="n"/>
      <c r="Q4542" s="25" t="n"/>
      <c r="U4542" s="194" t="n"/>
      <c r="AA4542" s="25" t="n"/>
      <c r="AB4542" s="25" t="n"/>
      <c r="AC4542" s="195" t="n"/>
      <c r="AD4542" s="25" t="n"/>
      <c r="AE4542" s="25" t="n"/>
      <c r="AG4542" s="25" t="n"/>
      <c r="AH4542" s="25" t="n"/>
      <c r="AI4542" s="394" t="n"/>
      <c r="AM4542" s="48" t="n"/>
      <c r="AN4542" s="48" t="n"/>
      <c r="AO4542" s="48" t="n"/>
    </row>
    <row r="4543">
      <c r="M4543" s="25" t="n"/>
      <c r="Q4543" s="25" t="n"/>
      <c r="U4543" s="194" t="n"/>
      <c r="AA4543" s="25" t="n"/>
      <c r="AB4543" s="25" t="n"/>
      <c r="AC4543" s="195" t="n"/>
      <c r="AD4543" s="25" t="n"/>
      <c r="AE4543" s="25" t="n"/>
      <c r="AG4543" s="25" t="n"/>
      <c r="AH4543" s="25" t="n"/>
      <c r="AI4543" s="394" t="n"/>
      <c r="AM4543" s="48" t="n"/>
      <c r="AN4543" s="48" t="n"/>
      <c r="AO4543" s="48" t="n"/>
    </row>
    <row r="4544">
      <c r="M4544" s="25" t="n"/>
      <c r="Q4544" s="25" t="n"/>
      <c r="U4544" s="194" t="n"/>
      <c r="AA4544" s="25" t="n"/>
      <c r="AB4544" s="25" t="n"/>
      <c r="AC4544" s="195" t="n"/>
      <c r="AD4544" s="25" t="n"/>
      <c r="AE4544" s="25" t="n"/>
      <c r="AG4544" s="25" t="n"/>
      <c r="AH4544" s="25" t="n"/>
      <c r="AI4544" s="394" t="n"/>
      <c r="AM4544" s="48" t="n"/>
      <c r="AN4544" s="48" t="n"/>
      <c r="AO4544" s="48" t="n"/>
    </row>
    <row r="4545">
      <c r="M4545" s="25" t="n"/>
      <c r="Q4545" s="25" t="n"/>
      <c r="U4545" s="194" t="n"/>
      <c r="AA4545" s="25" t="n"/>
      <c r="AB4545" s="25" t="n"/>
      <c r="AC4545" s="195" t="n"/>
      <c r="AD4545" s="25" t="n"/>
      <c r="AE4545" s="25" t="n"/>
      <c r="AG4545" s="25" t="n"/>
      <c r="AH4545" s="25" t="n"/>
      <c r="AI4545" s="394" t="n"/>
      <c r="AM4545" s="48" t="n"/>
      <c r="AN4545" s="48" t="n"/>
      <c r="AO4545" s="48" t="n"/>
    </row>
    <row r="4546">
      <c r="M4546" s="25" t="n"/>
      <c r="Q4546" s="25" t="n"/>
      <c r="U4546" s="194" t="n"/>
      <c r="AA4546" s="25" t="n"/>
      <c r="AB4546" s="25" t="n"/>
      <c r="AC4546" s="195" t="n"/>
      <c r="AD4546" s="25" t="n"/>
      <c r="AE4546" s="25" t="n"/>
      <c r="AG4546" s="25" t="n"/>
      <c r="AH4546" s="25" t="n"/>
      <c r="AI4546" s="394" t="n"/>
      <c r="AM4546" s="48" t="n"/>
      <c r="AN4546" s="48" t="n"/>
      <c r="AO4546" s="48" t="n"/>
    </row>
    <row r="4547">
      <c r="M4547" s="25" t="n"/>
      <c r="Q4547" s="25" t="n"/>
      <c r="U4547" s="194" t="n"/>
      <c r="AA4547" s="25" t="n"/>
      <c r="AB4547" s="25" t="n"/>
      <c r="AC4547" s="195" t="n"/>
      <c r="AD4547" s="25" t="n"/>
      <c r="AE4547" s="25" t="n"/>
      <c r="AG4547" s="25" t="n"/>
      <c r="AH4547" s="25" t="n"/>
      <c r="AI4547" s="394" t="n"/>
      <c r="AM4547" s="48" t="n"/>
      <c r="AN4547" s="48" t="n"/>
      <c r="AO4547" s="48" t="n"/>
    </row>
    <row r="4548">
      <c r="M4548" s="25" t="n"/>
      <c r="Q4548" s="25" t="n"/>
      <c r="U4548" s="194" t="n"/>
      <c r="AA4548" s="25" t="n"/>
      <c r="AB4548" s="25" t="n"/>
      <c r="AC4548" s="195" t="n"/>
      <c r="AD4548" s="25" t="n"/>
      <c r="AE4548" s="25" t="n"/>
      <c r="AG4548" s="25" t="n"/>
      <c r="AH4548" s="25" t="n"/>
      <c r="AI4548" s="394" t="n"/>
      <c r="AM4548" s="48" t="n"/>
      <c r="AN4548" s="48" t="n"/>
      <c r="AO4548" s="48" t="n"/>
    </row>
    <row r="4549">
      <c r="M4549" s="25" t="n"/>
      <c r="Q4549" s="25" t="n"/>
      <c r="U4549" s="194" t="n"/>
      <c r="AA4549" s="25" t="n"/>
      <c r="AB4549" s="25" t="n"/>
      <c r="AC4549" s="195" t="n"/>
      <c r="AD4549" s="25" t="n"/>
      <c r="AE4549" s="25" t="n"/>
      <c r="AG4549" s="25" t="n"/>
      <c r="AH4549" s="25" t="n"/>
      <c r="AI4549" s="394" t="n"/>
      <c r="AM4549" s="48" t="n"/>
      <c r="AN4549" s="48" t="n"/>
      <c r="AO4549" s="48" t="n"/>
    </row>
    <row r="4550">
      <c r="M4550" s="25" t="n"/>
      <c r="Q4550" s="25" t="n"/>
      <c r="U4550" s="194" t="n"/>
      <c r="AA4550" s="25" t="n"/>
      <c r="AB4550" s="25" t="n"/>
      <c r="AC4550" s="195" t="n"/>
      <c r="AD4550" s="25" t="n"/>
      <c r="AE4550" s="25" t="n"/>
      <c r="AG4550" s="25" t="n"/>
      <c r="AH4550" s="25" t="n"/>
      <c r="AI4550" s="394" t="n"/>
      <c r="AM4550" s="48" t="n"/>
      <c r="AN4550" s="48" t="n"/>
      <c r="AO4550" s="48" t="n"/>
    </row>
    <row r="4551">
      <c r="M4551" s="25" t="n"/>
      <c r="Q4551" s="25" t="n"/>
      <c r="U4551" s="194" t="n"/>
      <c r="AA4551" s="25" t="n"/>
      <c r="AB4551" s="25" t="n"/>
      <c r="AC4551" s="195" t="n"/>
      <c r="AD4551" s="25" t="n"/>
      <c r="AE4551" s="25" t="n"/>
      <c r="AG4551" s="25" t="n"/>
      <c r="AH4551" s="25" t="n"/>
      <c r="AI4551" s="394" t="n"/>
      <c r="AM4551" s="48" t="n"/>
      <c r="AN4551" s="48" t="n"/>
      <c r="AO4551" s="48" t="n"/>
    </row>
    <row r="4552">
      <c r="M4552" s="25" t="n"/>
      <c r="Q4552" s="25" t="n"/>
      <c r="U4552" s="194" t="n"/>
      <c r="AA4552" s="25" t="n"/>
      <c r="AB4552" s="25" t="n"/>
      <c r="AC4552" s="195" t="n"/>
      <c r="AD4552" s="25" t="n"/>
      <c r="AE4552" s="25" t="n"/>
      <c r="AG4552" s="25" t="n"/>
      <c r="AH4552" s="25" t="n"/>
      <c r="AI4552" s="394" t="n"/>
      <c r="AM4552" s="48" t="n"/>
      <c r="AN4552" s="48" t="n"/>
      <c r="AO4552" s="48" t="n"/>
    </row>
    <row r="4553">
      <c r="M4553" s="25" t="n"/>
      <c r="Q4553" s="25" t="n"/>
      <c r="U4553" s="194" t="n"/>
      <c r="AA4553" s="25" t="n"/>
      <c r="AB4553" s="25" t="n"/>
      <c r="AC4553" s="195" t="n"/>
      <c r="AD4553" s="25" t="n"/>
      <c r="AE4553" s="25" t="n"/>
      <c r="AG4553" s="25" t="n"/>
      <c r="AH4553" s="25" t="n"/>
      <c r="AI4553" s="394" t="n"/>
      <c r="AM4553" s="48" t="n"/>
      <c r="AN4553" s="48" t="n"/>
      <c r="AO4553" s="48" t="n"/>
    </row>
    <row r="4554">
      <c r="M4554" s="25" t="n"/>
      <c r="Q4554" s="25" t="n"/>
      <c r="U4554" s="194" t="n"/>
      <c r="AA4554" s="25" t="n"/>
      <c r="AB4554" s="25" t="n"/>
      <c r="AC4554" s="195" t="n"/>
      <c r="AD4554" s="25" t="n"/>
      <c r="AE4554" s="25" t="n"/>
      <c r="AG4554" s="25" t="n"/>
      <c r="AH4554" s="25" t="n"/>
      <c r="AI4554" s="394" t="n"/>
      <c r="AM4554" s="48" t="n"/>
      <c r="AN4554" s="48" t="n"/>
      <c r="AO4554" s="48" t="n"/>
    </row>
    <row r="4555">
      <c r="M4555" s="25" t="n"/>
      <c r="Q4555" s="25" t="n"/>
      <c r="U4555" s="194" t="n"/>
      <c r="AA4555" s="25" t="n"/>
      <c r="AB4555" s="25" t="n"/>
      <c r="AC4555" s="195" t="n"/>
      <c r="AD4555" s="25" t="n"/>
      <c r="AE4555" s="25" t="n"/>
      <c r="AG4555" s="25" t="n"/>
      <c r="AH4555" s="25" t="n"/>
      <c r="AI4555" s="394" t="n"/>
      <c r="AM4555" s="48" t="n"/>
      <c r="AN4555" s="48" t="n"/>
      <c r="AO4555" s="48" t="n"/>
    </row>
    <row r="4556">
      <c r="M4556" s="25" t="n"/>
      <c r="Q4556" s="25" t="n"/>
      <c r="U4556" s="194" t="n"/>
      <c r="AA4556" s="25" t="n"/>
      <c r="AB4556" s="25" t="n"/>
      <c r="AC4556" s="195" t="n"/>
      <c r="AD4556" s="25" t="n"/>
      <c r="AE4556" s="25" t="n"/>
      <c r="AG4556" s="25" t="n"/>
      <c r="AH4556" s="25" t="n"/>
      <c r="AI4556" s="394" t="n"/>
      <c r="AM4556" s="48" t="n"/>
      <c r="AN4556" s="48" t="n"/>
      <c r="AO4556" s="48" t="n"/>
    </row>
    <row r="4557">
      <c r="M4557" s="25" t="n"/>
      <c r="Q4557" s="25" t="n"/>
      <c r="U4557" s="194" t="n"/>
      <c r="AA4557" s="25" t="n"/>
      <c r="AB4557" s="25" t="n"/>
      <c r="AC4557" s="195" t="n"/>
      <c r="AD4557" s="25" t="n"/>
      <c r="AE4557" s="25" t="n"/>
      <c r="AG4557" s="25" t="n"/>
      <c r="AH4557" s="25" t="n"/>
      <c r="AI4557" s="394" t="n"/>
      <c r="AM4557" s="48" t="n"/>
      <c r="AN4557" s="48" t="n"/>
      <c r="AO4557" s="48" t="n"/>
    </row>
    <row r="4558">
      <c r="M4558" s="25" t="n"/>
      <c r="Q4558" s="25" t="n"/>
      <c r="U4558" s="194" t="n"/>
      <c r="AA4558" s="25" t="n"/>
      <c r="AB4558" s="25" t="n"/>
      <c r="AC4558" s="195" t="n"/>
      <c r="AD4558" s="25" t="n"/>
      <c r="AE4558" s="25" t="n"/>
      <c r="AG4558" s="25" t="n"/>
      <c r="AH4558" s="25" t="n"/>
      <c r="AI4558" s="394" t="n"/>
      <c r="AM4558" s="48" t="n"/>
      <c r="AN4558" s="48" t="n"/>
      <c r="AO4558" s="48" t="n"/>
    </row>
    <row r="4559">
      <c r="M4559" s="25" t="n"/>
      <c r="Q4559" s="25" t="n"/>
      <c r="U4559" s="194" t="n"/>
      <c r="AA4559" s="25" t="n"/>
      <c r="AB4559" s="25" t="n"/>
      <c r="AC4559" s="195" t="n"/>
      <c r="AD4559" s="25" t="n"/>
      <c r="AE4559" s="25" t="n"/>
      <c r="AG4559" s="25" t="n"/>
      <c r="AH4559" s="25" t="n"/>
      <c r="AI4559" s="394" t="n"/>
      <c r="AM4559" s="48" t="n"/>
      <c r="AN4559" s="48" t="n"/>
      <c r="AO4559" s="48" t="n"/>
    </row>
    <row r="4560">
      <c r="M4560" s="25" t="n"/>
      <c r="Q4560" s="25" t="n"/>
      <c r="U4560" s="194" t="n"/>
      <c r="AA4560" s="25" t="n"/>
      <c r="AB4560" s="25" t="n"/>
      <c r="AC4560" s="195" t="n"/>
      <c r="AD4560" s="25" t="n"/>
      <c r="AE4560" s="25" t="n"/>
      <c r="AG4560" s="25" t="n"/>
      <c r="AH4560" s="25" t="n"/>
      <c r="AI4560" s="394" t="n"/>
      <c r="AM4560" s="48" t="n"/>
      <c r="AN4560" s="48" t="n"/>
      <c r="AO4560" s="48" t="n"/>
    </row>
    <row r="4561">
      <c r="M4561" s="25" t="n"/>
      <c r="Q4561" s="25" t="n"/>
      <c r="U4561" s="194" t="n"/>
      <c r="AA4561" s="25" t="n"/>
      <c r="AB4561" s="25" t="n"/>
      <c r="AC4561" s="195" t="n"/>
      <c r="AD4561" s="25" t="n"/>
      <c r="AE4561" s="25" t="n"/>
      <c r="AG4561" s="25" t="n"/>
      <c r="AH4561" s="25" t="n"/>
      <c r="AI4561" s="394" t="n"/>
      <c r="AM4561" s="48" t="n"/>
      <c r="AN4561" s="48" t="n"/>
      <c r="AO4561" s="48" t="n"/>
    </row>
    <row r="4562">
      <c r="M4562" s="25" t="n"/>
      <c r="Q4562" s="25" t="n"/>
      <c r="U4562" s="194" t="n"/>
      <c r="AA4562" s="25" t="n"/>
      <c r="AB4562" s="25" t="n"/>
      <c r="AC4562" s="195" t="n"/>
      <c r="AD4562" s="25" t="n"/>
      <c r="AE4562" s="25" t="n"/>
      <c r="AG4562" s="25" t="n"/>
      <c r="AH4562" s="25" t="n"/>
      <c r="AI4562" s="394" t="n"/>
      <c r="AM4562" s="48" t="n"/>
      <c r="AN4562" s="48" t="n"/>
      <c r="AO4562" s="48" t="n"/>
    </row>
    <row r="4563">
      <c r="M4563" s="25" t="n"/>
      <c r="Q4563" s="25" t="n"/>
      <c r="U4563" s="194" t="n"/>
      <c r="AA4563" s="25" t="n"/>
      <c r="AB4563" s="25" t="n"/>
      <c r="AC4563" s="195" t="n"/>
      <c r="AD4563" s="25" t="n"/>
      <c r="AE4563" s="25" t="n"/>
      <c r="AG4563" s="25" t="n"/>
      <c r="AH4563" s="25" t="n"/>
      <c r="AI4563" s="394" t="n"/>
      <c r="AM4563" s="48" t="n"/>
      <c r="AN4563" s="48" t="n"/>
      <c r="AO4563" s="48" t="n"/>
    </row>
    <row r="4564">
      <c r="M4564" s="25" t="n"/>
      <c r="Q4564" s="25" t="n"/>
      <c r="U4564" s="194" t="n"/>
      <c r="AA4564" s="25" t="n"/>
      <c r="AB4564" s="25" t="n"/>
      <c r="AC4564" s="195" t="n"/>
      <c r="AD4564" s="25" t="n"/>
      <c r="AE4564" s="25" t="n"/>
      <c r="AG4564" s="25" t="n"/>
      <c r="AH4564" s="25" t="n"/>
      <c r="AI4564" s="394" t="n"/>
      <c r="AM4564" s="48" t="n"/>
      <c r="AN4564" s="48" t="n"/>
      <c r="AO4564" s="48" t="n"/>
    </row>
    <row r="4565">
      <c r="M4565" s="25" t="n"/>
      <c r="Q4565" s="25" t="n"/>
      <c r="U4565" s="194" t="n"/>
      <c r="AA4565" s="25" t="n"/>
      <c r="AB4565" s="25" t="n"/>
      <c r="AC4565" s="195" t="n"/>
      <c r="AD4565" s="25" t="n"/>
      <c r="AE4565" s="25" t="n"/>
      <c r="AG4565" s="25" t="n"/>
      <c r="AH4565" s="25" t="n"/>
      <c r="AI4565" s="394" t="n"/>
      <c r="AM4565" s="48" t="n"/>
      <c r="AN4565" s="48" t="n"/>
      <c r="AO4565" s="48" t="n"/>
    </row>
    <row r="4566">
      <c r="M4566" s="25" t="n"/>
      <c r="Q4566" s="25" t="n"/>
      <c r="U4566" s="194" t="n"/>
      <c r="AA4566" s="25" t="n"/>
      <c r="AB4566" s="25" t="n"/>
      <c r="AC4566" s="195" t="n"/>
      <c r="AD4566" s="25" t="n"/>
      <c r="AE4566" s="25" t="n"/>
      <c r="AG4566" s="25" t="n"/>
      <c r="AH4566" s="25" t="n"/>
      <c r="AI4566" s="394" t="n"/>
      <c r="AM4566" s="48" t="n"/>
      <c r="AN4566" s="48" t="n"/>
      <c r="AO4566" s="48" t="n"/>
    </row>
    <row r="4567">
      <c r="M4567" s="25" t="n"/>
      <c r="Q4567" s="25" t="n"/>
      <c r="U4567" s="194" t="n"/>
      <c r="AA4567" s="25" t="n"/>
      <c r="AB4567" s="25" t="n"/>
      <c r="AC4567" s="195" t="n"/>
      <c r="AD4567" s="25" t="n"/>
      <c r="AE4567" s="25" t="n"/>
      <c r="AG4567" s="25" t="n"/>
      <c r="AH4567" s="25" t="n"/>
      <c r="AI4567" s="394" t="n"/>
      <c r="AM4567" s="48" t="n"/>
      <c r="AN4567" s="48" t="n"/>
      <c r="AO4567" s="48" t="n"/>
    </row>
    <row r="4568">
      <c r="M4568" s="25" t="n"/>
      <c r="Q4568" s="25" t="n"/>
      <c r="U4568" s="194" t="n"/>
      <c r="AA4568" s="25" t="n"/>
      <c r="AB4568" s="25" t="n"/>
      <c r="AC4568" s="195" t="n"/>
      <c r="AD4568" s="25" t="n"/>
      <c r="AE4568" s="25" t="n"/>
      <c r="AG4568" s="25" t="n"/>
      <c r="AH4568" s="25" t="n"/>
      <c r="AI4568" s="394" t="n"/>
      <c r="AM4568" s="48" t="n"/>
      <c r="AN4568" s="48" t="n"/>
      <c r="AO4568" s="48" t="n"/>
    </row>
    <row r="4569">
      <c r="M4569" s="25" t="n"/>
      <c r="Q4569" s="25" t="n"/>
      <c r="U4569" s="194" t="n"/>
      <c r="AA4569" s="25" t="n"/>
      <c r="AB4569" s="25" t="n"/>
      <c r="AC4569" s="195" t="n"/>
      <c r="AD4569" s="25" t="n"/>
      <c r="AE4569" s="25" t="n"/>
      <c r="AG4569" s="25" t="n"/>
      <c r="AH4569" s="25" t="n"/>
      <c r="AI4569" s="394" t="n"/>
      <c r="AM4569" s="48" t="n"/>
      <c r="AN4569" s="48" t="n"/>
      <c r="AO4569" s="48" t="n"/>
    </row>
    <row r="4570">
      <c r="M4570" s="25" t="n"/>
      <c r="Q4570" s="25" t="n"/>
      <c r="U4570" s="194" t="n"/>
      <c r="AA4570" s="25" t="n"/>
      <c r="AB4570" s="25" t="n"/>
      <c r="AC4570" s="195" t="n"/>
      <c r="AD4570" s="25" t="n"/>
      <c r="AE4570" s="25" t="n"/>
      <c r="AG4570" s="25" t="n"/>
      <c r="AH4570" s="25" t="n"/>
      <c r="AI4570" s="394" t="n"/>
      <c r="AM4570" s="48" t="n"/>
      <c r="AN4570" s="48" t="n"/>
      <c r="AO4570" s="48" t="n"/>
    </row>
    <row r="4571">
      <c r="M4571" s="25" t="n"/>
      <c r="Q4571" s="25" t="n"/>
      <c r="U4571" s="194" t="n"/>
      <c r="AA4571" s="25" t="n"/>
      <c r="AB4571" s="25" t="n"/>
      <c r="AC4571" s="195" t="n"/>
      <c r="AD4571" s="25" t="n"/>
      <c r="AE4571" s="25" t="n"/>
      <c r="AG4571" s="25" t="n"/>
      <c r="AH4571" s="25" t="n"/>
      <c r="AI4571" s="394" t="n"/>
      <c r="AM4571" s="48" t="n"/>
      <c r="AN4571" s="48" t="n"/>
      <c r="AO4571" s="48" t="n"/>
    </row>
    <row r="4572">
      <c r="M4572" s="25" t="n"/>
      <c r="Q4572" s="25" t="n"/>
      <c r="U4572" s="194" t="n"/>
      <c r="AA4572" s="25" t="n"/>
      <c r="AB4572" s="25" t="n"/>
      <c r="AC4572" s="195" t="n"/>
      <c r="AD4572" s="25" t="n"/>
      <c r="AE4572" s="25" t="n"/>
      <c r="AG4572" s="25" t="n"/>
      <c r="AH4572" s="25" t="n"/>
      <c r="AI4572" s="394" t="n"/>
      <c r="AM4572" s="48" t="n"/>
      <c r="AN4572" s="48" t="n"/>
      <c r="AO4572" s="48" t="n"/>
    </row>
    <row r="4573">
      <c r="M4573" s="25" t="n"/>
      <c r="Q4573" s="25" t="n"/>
      <c r="U4573" s="194" t="n"/>
      <c r="AA4573" s="25" t="n"/>
      <c r="AB4573" s="25" t="n"/>
      <c r="AC4573" s="195" t="n"/>
      <c r="AD4573" s="25" t="n"/>
      <c r="AE4573" s="25" t="n"/>
      <c r="AG4573" s="25" t="n"/>
      <c r="AH4573" s="25" t="n"/>
      <c r="AI4573" s="394" t="n"/>
      <c r="AM4573" s="48" t="n"/>
      <c r="AN4573" s="48" t="n"/>
      <c r="AO4573" s="48" t="n"/>
    </row>
    <row r="4574">
      <c r="M4574" s="25" t="n"/>
      <c r="Q4574" s="25" t="n"/>
      <c r="U4574" s="194" t="n"/>
      <c r="AA4574" s="25" t="n"/>
      <c r="AB4574" s="25" t="n"/>
      <c r="AC4574" s="195" t="n"/>
      <c r="AD4574" s="25" t="n"/>
      <c r="AE4574" s="25" t="n"/>
      <c r="AG4574" s="25" t="n"/>
      <c r="AH4574" s="25" t="n"/>
      <c r="AI4574" s="394" t="n"/>
      <c r="AM4574" s="48" t="n"/>
      <c r="AN4574" s="48" t="n"/>
      <c r="AO4574" s="48" t="n"/>
    </row>
    <row r="4575">
      <c r="M4575" s="25" t="n"/>
      <c r="Q4575" s="25" t="n"/>
      <c r="U4575" s="194" t="n"/>
      <c r="AA4575" s="25" t="n"/>
      <c r="AB4575" s="25" t="n"/>
      <c r="AC4575" s="195" t="n"/>
      <c r="AD4575" s="25" t="n"/>
      <c r="AE4575" s="25" t="n"/>
      <c r="AG4575" s="25" t="n"/>
      <c r="AH4575" s="25" t="n"/>
      <c r="AI4575" s="394" t="n"/>
      <c r="AM4575" s="48" t="n"/>
      <c r="AN4575" s="48" t="n"/>
      <c r="AO4575" s="48" t="n"/>
    </row>
    <row r="4576">
      <c r="M4576" s="25" t="n"/>
      <c r="Q4576" s="25" t="n"/>
      <c r="U4576" s="194" t="n"/>
      <c r="AA4576" s="25" t="n"/>
      <c r="AB4576" s="25" t="n"/>
      <c r="AC4576" s="195" t="n"/>
      <c r="AD4576" s="25" t="n"/>
      <c r="AE4576" s="25" t="n"/>
      <c r="AG4576" s="25" t="n"/>
      <c r="AH4576" s="25" t="n"/>
      <c r="AI4576" s="394" t="n"/>
      <c r="AM4576" s="48" t="n"/>
      <c r="AN4576" s="48" t="n"/>
      <c r="AO4576" s="48" t="n"/>
    </row>
    <row r="4577">
      <c r="M4577" s="25" t="n"/>
      <c r="Q4577" s="25" t="n"/>
      <c r="U4577" s="194" t="n"/>
      <c r="AA4577" s="25" t="n"/>
      <c r="AB4577" s="25" t="n"/>
      <c r="AC4577" s="195" t="n"/>
      <c r="AD4577" s="25" t="n"/>
      <c r="AE4577" s="25" t="n"/>
      <c r="AG4577" s="25" t="n"/>
      <c r="AH4577" s="25" t="n"/>
      <c r="AI4577" s="394" t="n"/>
      <c r="AM4577" s="48" t="n"/>
      <c r="AN4577" s="48" t="n"/>
      <c r="AO4577" s="48" t="n"/>
    </row>
    <row r="4578">
      <c r="M4578" s="25" t="n"/>
      <c r="Q4578" s="25" t="n"/>
      <c r="U4578" s="194" t="n"/>
      <c r="AA4578" s="25" t="n"/>
      <c r="AB4578" s="25" t="n"/>
      <c r="AC4578" s="195" t="n"/>
      <c r="AD4578" s="25" t="n"/>
      <c r="AE4578" s="25" t="n"/>
      <c r="AG4578" s="25" t="n"/>
      <c r="AH4578" s="25" t="n"/>
      <c r="AI4578" s="394" t="n"/>
      <c r="AM4578" s="48" t="n"/>
      <c r="AN4578" s="48" t="n"/>
      <c r="AO4578" s="48" t="n"/>
    </row>
    <row r="4579">
      <c r="M4579" s="25" t="n"/>
      <c r="Q4579" s="25" t="n"/>
      <c r="U4579" s="194" t="n"/>
      <c r="AA4579" s="25" t="n"/>
      <c r="AB4579" s="25" t="n"/>
      <c r="AC4579" s="195" t="n"/>
      <c r="AD4579" s="25" t="n"/>
      <c r="AE4579" s="25" t="n"/>
      <c r="AG4579" s="25" t="n"/>
      <c r="AH4579" s="25" t="n"/>
      <c r="AI4579" s="394" t="n"/>
      <c r="AM4579" s="48" t="n"/>
      <c r="AN4579" s="48" t="n"/>
      <c r="AO4579" s="48" t="n"/>
    </row>
    <row r="4580">
      <c r="M4580" s="25" t="n"/>
      <c r="Q4580" s="25" t="n"/>
      <c r="U4580" s="194" t="n"/>
      <c r="AA4580" s="25" t="n"/>
      <c r="AB4580" s="25" t="n"/>
      <c r="AC4580" s="195" t="n"/>
      <c r="AD4580" s="25" t="n"/>
      <c r="AE4580" s="25" t="n"/>
      <c r="AG4580" s="25" t="n"/>
      <c r="AH4580" s="25" t="n"/>
      <c r="AI4580" s="394" t="n"/>
      <c r="AM4580" s="48" t="n"/>
      <c r="AN4580" s="48" t="n"/>
      <c r="AO4580" s="48" t="n"/>
    </row>
    <row r="4581">
      <c r="M4581" s="25" t="n"/>
      <c r="Q4581" s="25" t="n"/>
      <c r="U4581" s="194" t="n"/>
      <c r="AA4581" s="25" t="n"/>
      <c r="AB4581" s="25" t="n"/>
      <c r="AC4581" s="195" t="n"/>
      <c r="AD4581" s="25" t="n"/>
      <c r="AE4581" s="25" t="n"/>
      <c r="AG4581" s="25" t="n"/>
      <c r="AH4581" s="25" t="n"/>
      <c r="AI4581" s="394" t="n"/>
      <c r="AM4581" s="48" t="n"/>
      <c r="AN4581" s="48" t="n"/>
      <c r="AO4581" s="48" t="n"/>
    </row>
    <row r="4582">
      <c r="M4582" s="25" t="n"/>
      <c r="Q4582" s="25" t="n"/>
      <c r="U4582" s="194" t="n"/>
      <c r="AA4582" s="25" t="n"/>
      <c r="AB4582" s="25" t="n"/>
      <c r="AC4582" s="195" t="n"/>
      <c r="AD4582" s="25" t="n"/>
      <c r="AE4582" s="25" t="n"/>
      <c r="AG4582" s="25" t="n"/>
      <c r="AH4582" s="25" t="n"/>
      <c r="AI4582" s="394" t="n"/>
      <c r="AM4582" s="48" t="n"/>
      <c r="AN4582" s="48" t="n"/>
      <c r="AO4582" s="48" t="n"/>
    </row>
    <row r="4583">
      <c r="M4583" s="25" t="n"/>
      <c r="Q4583" s="25" t="n"/>
      <c r="U4583" s="194" t="n"/>
      <c r="AA4583" s="25" t="n"/>
      <c r="AB4583" s="25" t="n"/>
      <c r="AC4583" s="195" t="n"/>
      <c r="AD4583" s="25" t="n"/>
      <c r="AE4583" s="25" t="n"/>
      <c r="AG4583" s="25" t="n"/>
      <c r="AH4583" s="25" t="n"/>
      <c r="AI4583" s="394" t="n"/>
      <c r="AM4583" s="48" t="n"/>
      <c r="AN4583" s="48" t="n"/>
      <c r="AO4583" s="48" t="n"/>
    </row>
    <row r="4584">
      <c r="M4584" s="25" t="n"/>
      <c r="Q4584" s="25" t="n"/>
      <c r="U4584" s="194" t="n"/>
      <c r="AA4584" s="25" t="n"/>
      <c r="AB4584" s="25" t="n"/>
      <c r="AC4584" s="195" t="n"/>
      <c r="AD4584" s="25" t="n"/>
      <c r="AE4584" s="25" t="n"/>
      <c r="AG4584" s="25" t="n"/>
      <c r="AH4584" s="25" t="n"/>
      <c r="AI4584" s="394" t="n"/>
      <c r="AM4584" s="48" t="n"/>
      <c r="AN4584" s="48" t="n"/>
      <c r="AO4584" s="48" t="n"/>
    </row>
    <row r="4585">
      <c r="M4585" s="25" t="n"/>
      <c r="Q4585" s="25" t="n"/>
      <c r="U4585" s="194" t="n"/>
      <c r="AA4585" s="25" t="n"/>
      <c r="AB4585" s="25" t="n"/>
      <c r="AC4585" s="195" t="n"/>
      <c r="AD4585" s="25" t="n"/>
      <c r="AE4585" s="25" t="n"/>
      <c r="AG4585" s="25" t="n"/>
      <c r="AH4585" s="25" t="n"/>
      <c r="AI4585" s="394" t="n"/>
      <c r="AM4585" s="48" t="n"/>
      <c r="AN4585" s="48" t="n"/>
      <c r="AO4585" s="48" t="n"/>
    </row>
    <row r="4586">
      <c r="M4586" s="25" t="n"/>
      <c r="Q4586" s="25" t="n"/>
      <c r="U4586" s="194" t="n"/>
      <c r="AA4586" s="25" t="n"/>
      <c r="AB4586" s="25" t="n"/>
      <c r="AC4586" s="195" t="n"/>
      <c r="AD4586" s="25" t="n"/>
      <c r="AE4586" s="25" t="n"/>
      <c r="AG4586" s="25" t="n"/>
      <c r="AH4586" s="25" t="n"/>
      <c r="AI4586" s="394" t="n"/>
      <c r="AM4586" s="48" t="n"/>
      <c r="AN4586" s="48" t="n"/>
      <c r="AO4586" s="48" t="n"/>
    </row>
    <row r="4587">
      <c r="M4587" s="25" t="n"/>
      <c r="Q4587" s="25" t="n"/>
      <c r="U4587" s="194" t="n"/>
      <c r="AA4587" s="25" t="n"/>
      <c r="AB4587" s="25" t="n"/>
      <c r="AC4587" s="195" t="n"/>
      <c r="AD4587" s="25" t="n"/>
      <c r="AE4587" s="25" t="n"/>
      <c r="AG4587" s="25" t="n"/>
      <c r="AH4587" s="25" t="n"/>
      <c r="AI4587" s="394" t="n"/>
      <c r="AM4587" s="48" t="n"/>
      <c r="AN4587" s="48" t="n"/>
      <c r="AO4587" s="48" t="n"/>
    </row>
    <row r="4588">
      <c r="M4588" s="25" t="n"/>
      <c r="Q4588" s="25" t="n"/>
      <c r="U4588" s="194" t="n"/>
      <c r="AA4588" s="25" t="n"/>
      <c r="AB4588" s="25" t="n"/>
      <c r="AC4588" s="195" t="n"/>
      <c r="AD4588" s="25" t="n"/>
      <c r="AE4588" s="25" t="n"/>
      <c r="AG4588" s="25" t="n"/>
      <c r="AH4588" s="25" t="n"/>
      <c r="AI4588" s="394" t="n"/>
      <c r="AM4588" s="48" t="n"/>
      <c r="AN4588" s="48" t="n"/>
      <c r="AO4588" s="48" t="n"/>
    </row>
    <row r="4589">
      <c r="M4589" s="25" t="n"/>
      <c r="Q4589" s="25" t="n"/>
      <c r="U4589" s="194" t="n"/>
      <c r="AA4589" s="25" t="n"/>
      <c r="AB4589" s="25" t="n"/>
      <c r="AC4589" s="195" t="n"/>
      <c r="AD4589" s="25" t="n"/>
      <c r="AE4589" s="25" t="n"/>
      <c r="AG4589" s="25" t="n"/>
      <c r="AH4589" s="25" t="n"/>
      <c r="AI4589" s="394" t="n"/>
      <c r="AM4589" s="48" t="n"/>
      <c r="AN4589" s="48" t="n"/>
      <c r="AO4589" s="48" t="n"/>
    </row>
    <row r="4590">
      <c r="M4590" s="25" t="n"/>
      <c r="Q4590" s="25" t="n"/>
      <c r="U4590" s="194" t="n"/>
      <c r="AA4590" s="25" t="n"/>
      <c r="AB4590" s="25" t="n"/>
      <c r="AC4590" s="195" t="n"/>
      <c r="AD4590" s="25" t="n"/>
      <c r="AE4590" s="25" t="n"/>
      <c r="AG4590" s="25" t="n"/>
      <c r="AH4590" s="25" t="n"/>
      <c r="AI4590" s="394" t="n"/>
      <c r="AM4590" s="48" t="n"/>
      <c r="AN4590" s="48" t="n"/>
      <c r="AO4590" s="48" t="n"/>
    </row>
    <row r="4591">
      <c r="M4591" s="25" t="n"/>
      <c r="Q4591" s="25" t="n"/>
      <c r="U4591" s="194" t="n"/>
      <c r="AA4591" s="25" t="n"/>
      <c r="AB4591" s="25" t="n"/>
      <c r="AC4591" s="195" t="n"/>
      <c r="AD4591" s="25" t="n"/>
      <c r="AE4591" s="25" t="n"/>
      <c r="AG4591" s="25" t="n"/>
      <c r="AH4591" s="25" t="n"/>
      <c r="AI4591" s="394" t="n"/>
      <c r="AM4591" s="48" t="n"/>
      <c r="AN4591" s="48" t="n"/>
      <c r="AO4591" s="48" t="n"/>
    </row>
    <row r="4592">
      <c r="M4592" s="25" t="n"/>
      <c r="Q4592" s="25" t="n"/>
      <c r="U4592" s="194" t="n"/>
      <c r="AA4592" s="25" t="n"/>
      <c r="AB4592" s="25" t="n"/>
      <c r="AC4592" s="195" t="n"/>
      <c r="AD4592" s="25" t="n"/>
      <c r="AE4592" s="25" t="n"/>
      <c r="AG4592" s="25" t="n"/>
      <c r="AH4592" s="25" t="n"/>
      <c r="AI4592" s="394" t="n"/>
      <c r="AM4592" s="48" t="n"/>
      <c r="AN4592" s="48" t="n"/>
      <c r="AO4592" s="48" t="n"/>
    </row>
    <row r="4593">
      <c r="M4593" s="25" t="n"/>
      <c r="Q4593" s="25" t="n"/>
      <c r="U4593" s="194" t="n"/>
      <c r="AA4593" s="25" t="n"/>
      <c r="AB4593" s="25" t="n"/>
      <c r="AC4593" s="195" t="n"/>
      <c r="AD4593" s="25" t="n"/>
      <c r="AE4593" s="25" t="n"/>
      <c r="AG4593" s="25" t="n"/>
      <c r="AH4593" s="25" t="n"/>
      <c r="AI4593" s="394" t="n"/>
      <c r="AM4593" s="48" t="n"/>
      <c r="AN4593" s="48" t="n"/>
      <c r="AO4593" s="48" t="n"/>
    </row>
    <row r="4594">
      <c r="M4594" s="25" t="n"/>
      <c r="Q4594" s="25" t="n"/>
      <c r="U4594" s="194" t="n"/>
      <c r="AA4594" s="25" t="n"/>
      <c r="AB4594" s="25" t="n"/>
      <c r="AC4594" s="195" t="n"/>
      <c r="AD4594" s="25" t="n"/>
      <c r="AE4594" s="25" t="n"/>
      <c r="AG4594" s="25" t="n"/>
      <c r="AH4594" s="25" t="n"/>
      <c r="AI4594" s="394" t="n"/>
      <c r="AM4594" s="48" t="n"/>
      <c r="AN4594" s="48" t="n"/>
      <c r="AO4594" s="48" t="n"/>
    </row>
    <row r="4595">
      <c r="M4595" s="25" t="n"/>
      <c r="Q4595" s="25" t="n"/>
      <c r="U4595" s="194" t="n"/>
      <c r="AA4595" s="25" t="n"/>
      <c r="AB4595" s="25" t="n"/>
      <c r="AC4595" s="195" t="n"/>
      <c r="AD4595" s="25" t="n"/>
      <c r="AE4595" s="25" t="n"/>
      <c r="AG4595" s="25" t="n"/>
      <c r="AH4595" s="25" t="n"/>
      <c r="AI4595" s="394" t="n"/>
      <c r="AM4595" s="48" t="n"/>
      <c r="AN4595" s="48" t="n"/>
      <c r="AO4595" s="48" t="n"/>
    </row>
    <row r="4596">
      <c r="M4596" s="25" t="n"/>
      <c r="Q4596" s="25" t="n"/>
      <c r="U4596" s="194" t="n"/>
      <c r="AA4596" s="25" t="n"/>
      <c r="AB4596" s="25" t="n"/>
      <c r="AC4596" s="195" t="n"/>
      <c r="AD4596" s="25" t="n"/>
      <c r="AE4596" s="25" t="n"/>
      <c r="AG4596" s="25" t="n"/>
      <c r="AH4596" s="25" t="n"/>
      <c r="AI4596" s="394" t="n"/>
      <c r="AM4596" s="48" t="n"/>
      <c r="AN4596" s="48" t="n"/>
      <c r="AO4596" s="48" t="n"/>
    </row>
    <row r="4597">
      <c r="M4597" s="25" t="n"/>
      <c r="Q4597" s="25" t="n"/>
      <c r="U4597" s="194" t="n"/>
      <c r="AA4597" s="25" t="n"/>
      <c r="AB4597" s="25" t="n"/>
      <c r="AC4597" s="195" t="n"/>
      <c r="AD4597" s="25" t="n"/>
      <c r="AE4597" s="25" t="n"/>
      <c r="AG4597" s="25" t="n"/>
      <c r="AH4597" s="25" t="n"/>
      <c r="AI4597" s="394" t="n"/>
      <c r="AM4597" s="48" t="n"/>
      <c r="AN4597" s="48" t="n"/>
      <c r="AO4597" s="48" t="n"/>
    </row>
    <row r="4598">
      <c r="M4598" s="25" t="n"/>
      <c r="Q4598" s="25" t="n"/>
      <c r="U4598" s="194" t="n"/>
      <c r="AA4598" s="25" t="n"/>
      <c r="AB4598" s="25" t="n"/>
      <c r="AC4598" s="195" t="n"/>
      <c r="AD4598" s="25" t="n"/>
      <c r="AE4598" s="25" t="n"/>
      <c r="AG4598" s="25" t="n"/>
      <c r="AH4598" s="25" t="n"/>
      <c r="AI4598" s="394" t="n"/>
      <c r="AM4598" s="48" t="n"/>
      <c r="AN4598" s="48" t="n"/>
      <c r="AO4598" s="48" t="n"/>
    </row>
    <row r="4599">
      <c r="M4599" s="25" t="n"/>
      <c r="Q4599" s="25" t="n"/>
      <c r="U4599" s="194" t="n"/>
      <c r="AA4599" s="25" t="n"/>
      <c r="AB4599" s="25" t="n"/>
      <c r="AC4599" s="195" t="n"/>
      <c r="AD4599" s="25" t="n"/>
      <c r="AE4599" s="25" t="n"/>
      <c r="AG4599" s="25" t="n"/>
      <c r="AH4599" s="25" t="n"/>
      <c r="AI4599" s="394" t="n"/>
      <c r="AM4599" s="48" t="n"/>
      <c r="AN4599" s="48" t="n"/>
      <c r="AO4599" s="48" t="n"/>
    </row>
    <row r="4600">
      <c r="M4600" s="25" t="n"/>
      <c r="Q4600" s="25" t="n"/>
      <c r="U4600" s="194" t="n"/>
      <c r="AA4600" s="25" t="n"/>
      <c r="AB4600" s="25" t="n"/>
      <c r="AC4600" s="195" t="n"/>
      <c r="AD4600" s="25" t="n"/>
      <c r="AE4600" s="25" t="n"/>
      <c r="AG4600" s="25" t="n"/>
      <c r="AH4600" s="25" t="n"/>
      <c r="AI4600" s="394" t="n"/>
      <c r="AM4600" s="48" t="n"/>
      <c r="AN4600" s="48" t="n"/>
      <c r="AO4600" s="48" t="n"/>
    </row>
    <row r="4601">
      <c r="M4601" s="25" t="n"/>
      <c r="Q4601" s="25" t="n"/>
      <c r="U4601" s="194" t="n"/>
      <c r="AA4601" s="25" t="n"/>
      <c r="AB4601" s="25" t="n"/>
      <c r="AC4601" s="195" t="n"/>
      <c r="AD4601" s="25" t="n"/>
      <c r="AE4601" s="25" t="n"/>
      <c r="AG4601" s="25" t="n"/>
      <c r="AH4601" s="25" t="n"/>
      <c r="AI4601" s="394" t="n"/>
      <c r="AM4601" s="48" t="n"/>
      <c r="AN4601" s="48" t="n"/>
      <c r="AO4601" s="48" t="n"/>
    </row>
    <row r="4602">
      <c r="M4602" s="25" t="n"/>
      <c r="Q4602" s="25" t="n"/>
      <c r="U4602" s="194" t="n"/>
      <c r="AA4602" s="25" t="n"/>
      <c r="AB4602" s="25" t="n"/>
      <c r="AC4602" s="195" t="n"/>
      <c r="AD4602" s="25" t="n"/>
      <c r="AE4602" s="25" t="n"/>
      <c r="AG4602" s="25" t="n"/>
      <c r="AH4602" s="25" t="n"/>
      <c r="AI4602" s="394" t="n"/>
      <c r="AM4602" s="48" t="n"/>
      <c r="AN4602" s="48" t="n"/>
      <c r="AO4602" s="48" t="n"/>
    </row>
    <row r="4603">
      <c r="M4603" s="25" t="n"/>
      <c r="Q4603" s="25" t="n"/>
      <c r="U4603" s="194" t="n"/>
      <c r="AA4603" s="25" t="n"/>
      <c r="AB4603" s="25" t="n"/>
      <c r="AC4603" s="195" t="n"/>
      <c r="AD4603" s="25" t="n"/>
      <c r="AE4603" s="25" t="n"/>
      <c r="AG4603" s="25" t="n"/>
      <c r="AH4603" s="25" t="n"/>
      <c r="AI4603" s="394" t="n"/>
      <c r="AM4603" s="48" t="n"/>
      <c r="AN4603" s="48" t="n"/>
      <c r="AO4603" s="48" t="n"/>
    </row>
    <row r="4604">
      <c r="M4604" s="25" t="n"/>
      <c r="Q4604" s="25" t="n"/>
      <c r="U4604" s="194" t="n"/>
      <c r="AA4604" s="25" t="n"/>
      <c r="AB4604" s="25" t="n"/>
      <c r="AC4604" s="195" t="n"/>
      <c r="AD4604" s="25" t="n"/>
      <c r="AE4604" s="25" t="n"/>
      <c r="AG4604" s="25" t="n"/>
      <c r="AH4604" s="25" t="n"/>
      <c r="AI4604" s="394" t="n"/>
      <c r="AM4604" s="48" t="n"/>
      <c r="AN4604" s="48" t="n"/>
      <c r="AO4604" s="48" t="n"/>
    </row>
    <row r="4605">
      <c r="M4605" s="25" t="n"/>
      <c r="Q4605" s="25" t="n"/>
      <c r="U4605" s="194" t="n"/>
      <c r="AA4605" s="25" t="n"/>
      <c r="AB4605" s="25" t="n"/>
      <c r="AC4605" s="195" t="n"/>
      <c r="AD4605" s="25" t="n"/>
      <c r="AE4605" s="25" t="n"/>
      <c r="AG4605" s="25" t="n"/>
      <c r="AH4605" s="25" t="n"/>
      <c r="AI4605" s="394" t="n"/>
      <c r="AM4605" s="48" t="n"/>
      <c r="AN4605" s="48" t="n"/>
      <c r="AO4605" s="48" t="n"/>
    </row>
    <row r="4606">
      <c r="M4606" s="25" t="n"/>
      <c r="Q4606" s="25" t="n"/>
      <c r="U4606" s="194" t="n"/>
      <c r="AA4606" s="25" t="n"/>
      <c r="AB4606" s="25" t="n"/>
      <c r="AC4606" s="195" t="n"/>
      <c r="AD4606" s="25" t="n"/>
      <c r="AE4606" s="25" t="n"/>
      <c r="AG4606" s="25" t="n"/>
      <c r="AH4606" s="25" t="n"/>
      <c r="AI4606" s="394" t="n"/>
      <c r="AM4606" s="48" t="n"/>
      <c r="AN4606" s="48" t="n"/>
      <c r="AO4606" s="48" t="n"/>
    </row>
    <row r="4607">
      <c r="M4607" s="25" t="n"/>
      <c r="Q4607" s="25" t="n"/>
      <c r="U4607" s="194" t="n"/>
      <c r="AA4607" s="25" t="n"/>
      <c r="AB4607" s="25" t="n"/>
      <c r="AC4607" s="195" t="n"/>
      <c r="AD4607" s="25" t="n"/>
      <c r="AE4607" s="25" t="n"/>
      <c r="AG4607" s="25" t="n"/>
      <c r="AH4607" s="25" t="n"/>
      <c r="AI4607" s="394" t="n"/>
      <c r="AM4607" s="48" t="n"/>
      <c r="AN4607" s="48" t="n"/>
      <c r="AO4607" s="48" t="n"/>
    </row>
    <row r="4608">
      <c r="M4608" s="25" t="n"/>
      <c r="Q4608" s="25" t="n"/>
      <c r="U4608" s="194" t="n"/>
      <c r="AA4608" s="25" t="n"/>
      <c r="AB4608" s="25" t="n"/>
      <c r="AC4608" s="195" t="n"/>
      <c r="AD4608" s="25" t="n"/>
      <c r="AE4608" s="25" t="n"/>
      <c r="AG4608" s="25" t="n"/>
      <c r="AH4608" s="25" t="n"/>
      <c r="AI4608" s="394" t="n"/>
      <c r="AM4608" s="48" t="n"/>
      <c r="AN4608" s="48" t="n"/>
      <c r="AO4608" s="48" t="n"/>
    </row>
    <row r="4609">
      <c r="M4609" s="25" t="n"/>
      <c r="Q4609" s="25" t="n"/>
      <c r="U4609" s="194" t="n"/>
      <c r="AA4609" s="25" t="n"/>
      <c r="AB4609" s="25" t="n"/>
      <c r="AC4609" s="195" t="n"/>
      <c r="AD4609" s="25" t="n"/>
      <c r="AE4609" s="25" t="n"/>
      <c r="AG4609" s="25" t="n"/>
      <c r="AH4609" s="25" t="n"/>
      <c r="AI4609" s="394" t="n"/>
      <c r="AM4609" s="48" t="n"/>
      <c r="AN4609" s="48" t="n"/>
      <c r="AO4609" s="48" t="n"/>
    </row>
    <row r="4610">
      <c r="M4610" s="25" t="n"/>
      <c r="Q4610" s="25" t="n"/>
      <c r="U4610" s="194" t="n"/>
      <c r="AA4610" s="25" t="n"/>
      <c r="AB4610" s="25" t="n"/>
      <c r="AC4610" s="195" t="n"/>
      <c r="AD4610" s="25" t="n"/>
      <c r="AE4610" s="25" t="n"/>
      <c r="AG4610" s="25" t="n"/>
      <c r="AH4610" s="25" t="n"/>
      <c r="AI4610" s="394" t="n"/>
      <c r="AM4610" s="48" t="n"/>
      <c r="AN4610" s="48" t="n"/>
      <c r="AO4610" s="48" t="n"/>
    </row>
    <row r="4611">
      <c r="M4611" s="25" t="n"/>
      <c r="Q4611" s="25" t="n"/>
      <c r="U4611" s="194" t="n"/>
      <c r="AA4611" s="25" t="n"/>
      <c r="AB4611" s="25" t="n"/>
      <c r="AC4611" s="195" t="n"/>
      <c r="AD4611" s="25" t="n"/>
      <c r="AE4611" s="25" t="n"/>
      <c r="AG4611" s="25" t="n"/>
      <c r="AH4611" s="25" t="n"/>
      <c r="AI4611" s="394" t="n"/>
      <c r="AM4611" s="48" t="n"/>
      <c r="AN4611" s="48" t="n"/>
      <c r="AO4611" s="48" t="n"/>
    </row>
    <row r="4612">
      <c r="M4612" s="25" t="n"/>
      <c r="Q4612" s="25" t="n"/>
      <c r="U4612" s="194" t="n"/>
      <c r="AA4612" s="25" t="n"/>
      <c r="AB4612" s="25" t="n"/>
      <c r="AC4612" s="195" t="n"/>
      <c r="AD4612" s="25" t="n"/>
      <c r="AE4612" s="25" t="n"/>
      <c r="AG4612" s="25" t="n"/>
      <c r="AH4612" s="25" t="n"/>
      <c r="AI4612" s="394" t="n"/>
      <c r="AM4612" s="48" t="n"/>
      <c r="AN4612" s="48" t="n"/>
      <c r="AO4612" s="48" t="n"/>
    </row>
    <row r="4613">
      <c r="M4613" s="25" t="n"/>
      <c r="Q4613" s="25" t="n"/>
      <c r="U4613" s="194" t="n"/>
      <c r="AA4613" s="25" t="n"/>
      <c r="AB4613" s="25" t="n"/>
      <c r="AC4613" s="195" t="n"/>
      <c r="AD4613" s="25" t="n"/>
      <c r="AE4613" s="25" t="n"/>
      <c r="AG4613" s="25" t="n"/>
      <c r="AH4613" s="25" t="n"/>
      <c r="AI4613" s="394" t="n"/>
      <c r="AM4613" s="48" t="n"/>
      <c r="AN4613" s="48" t="n"/>
      <c r="AO4613" s="48" t="n"/>
    </row>
    <row r="4614">
      <c r="M4614" s="25" t="n"/>
      <c r="Q4614" s="25" t="n"/>
      <c r="U4614" s="194" t="n"/>
      <c r="AA4614" s="25" t="n"/>
      <c r="AB4614" s="25" t="n"/>
      <c r="AC4614" s="195" t="n"/>
      <c r="AD4614" s="25" t="n"/>
      <c r="AE4614" s="25" t="n"/>
      <c r="AG4614" s="25" t="n"/>
      <c r="AH4614" s="25" t="n"/>
      <c r="AI4614" s="394" t="n"/>
      <c r="AM4614" s="48" t="n"/>
      <c r="AN4614" s="48" t="n"/>
      <c r="AO4614" s="48" t="n"/>
    </row>
    <row r="4615">
      <c r="M4615" s="25" t="n"/>
      <c r="Q4615" s="25" t="n"/>
      <c r="U4615" s="194" t="n"/>
      <c r="AA4615" s="25" t="n"/>
      <c r="AB4615" s="25" t="n"/>
      <c r="AC4615" s="195" t="n"/>
      <c r="AD4615" s="25" t="n"/>
      <c r="AE4615" s="25" t="n"/>
      <c r="AG4615" s="25" t="n"/>
      <c r="AH4615" s="25" t="n"/>
      <c r="AI4615" s="394" t="n"/>
      <c r="AM4615" s="48" t="n"/>
      <c r="AN4615" s="48" t="n"/>
      <c r="AO4615" s="48" t="n"/>
    </row>
    <row r="4616">
      <c r="M4616" s="25" t="n"/>
      <c r="Q4616" s="25" t="n"/>
      <c r="U4616" s="194" t="n"/>
      <c r="AA4616" s="25" t="n"/>
      <c r="AB4616" s="25" t="n"/>
      <c r="AC4616" s="195" t="n"/>
      <c r="AD4616" s="25" t="n"/>
      <c r="AE4616" s="25" t="n"/>
      <c r="AG4616" s="25" t="n"/>
      <c r="AH4616" s="25" t="n"/>
      <c r="AI4616" s="394" t="n"/>
      <c r="AM4616" s="48" t="n"/>
      <c r="AN4616" s="48" t="n"/>
      <c r="AO4616" s="48" t="n"/>
    </row>
    <row r="4617">
      <c r="M4617" s="25" t="n"/>
      <c r="Q4617" s="25" t="n"/>
      <c r="U4617" s="194" t="n"/>
      <c r="AA4617" s="25" t="n"/>
      <c r="AB4617" s="25" t="n"/>
      <c r="AC4617" s="195" t="n"/>
      <c r="AD4617" s="25" t="n"/>
      <c r="AE4617" s="25" t="n"/>
      <c r="AG4617" s="25" t="n"/>
      <c r="AH4617" s="25" t="n"/>
      <c r="AI4617" s="394" t="n"/>
      <c r="AM4617" s="48" t="n"/>
      <c r="AN4617" s="48" t="n"/>
      <c r="AO4617" s="48" t="n"/>
    </row>
    <row r="4618">
      <c r="M4618" s="25" t="n"/>
      <c r="Q4618" s="25" t="n"/>
      <c r="U4618" s="194" t="n"/>
      <c r="AA4618" s="25" t="n"/>
      <c r="AB4618" s="25" t="n"/>
      <c r="AC4618" s="195" t="n"/>
      <c r="AD4618" s="25" t="n"/>
      <c r="AE4618" s="25" t="n"/>
      <c r="AG4618" s="25" t="n"/>
      <c r="AH4618" s="25" t="n"/>
      <c r="AI4618" s="394" t="n"/>
      <c r="AM4618" s="48" t="n"/>
      <c r="AN4618" s="48" t="n"/>
      <c r="AO4618" s="48" t="n"/>
    </row>
    <row r="4619">
      <c r="M4619" s="25" t="n"/>
      <c r="Q4619" s="25" t="n"/>
      <c r="U4619" s="194" t="n"/>
      <c r="AA4619" s="25" t="n"/>
      <c r="AB4619" s="25" t="n"/>
      <c r="AC4619" s="195" t="n"/>
      <c r="AD4619" s="25" t="n"/>
      <c r="AE4619" s="25" t="n"/>
      <c r="AG4619" s="25" t="n"/>
      <c r="AH4619" s="25" t="n"/>
      <c r="AI4619" s="394" t="n"/>
      <c r="AM4619" s="48" t="n"/>
      <c r="AN4619" s="48" t="n"/>
      <c r="AO4619" s="48" t="n"/>
    </row>
    <row r="4620">
      <c r="M4620" s="25" t="n"/>
      <c r="Q4620" s="25" t="n"/>
      <c r="U4620" s="194" t="n"/>
      <c r="AA4620" s="25" t="n"/>
      <c r="AB4620" s="25" t="n"/>
      <c r="AC4620" s="195" t="n"/>
      <c r="AD4620" s="25" t="n"/>
      <c r="AE4620" s="25" t="n"/>
      <c r="AG4620" s="25" t="n"/>
      <c r="AH4620" s="25" t="n"/>
      <c r="AI4620" s="394" t="n"/>
      <c r="AM4620" s="48" t="n"/>
      <c r="AN4620" s="48" t="n"/>
      <c r="AO4620" s="48" t="n"/>
    </row>
    <row r="4621">
      <c r="M4621" s="25" t="n"/>
      <c r="Q4621" s="25" t="n"/>
      <c r="U4621" s="194" t="n"/>
      <c r="AA4621" s="25" t="n"/>
      <c r="AB4621" s="25" t="n"/>
      <c r="AC4621" s="195" t="n"/>
      <c r="AD4621" s="25" t="n"/>
      <c r="AE4621" s="25" t="n"/>
      <c r="AG4621" s="25" t="n"/>
      <c r="AH4621" s="25" t="n"/>
      <c r="AI4621" s="394" t="n"/>
      <c r="AM4621" s="48" t="n"/>
      <c r="AN4621" s="48" t="n"/>
      <c r="AO4621" s="48" t="n"/>
    </row>
    <row r="4622">
      <c r="M4622" s="25" t="n"/>
      <c r="Q4622" s="25" t="n"/>
      <c r="U4622" s="194" t="n"/>
      <c r="AA4622" s="25" t="n"/>
      <c r="AB4622" s="25" t="n"/>
      <c r="AC4622" s="195" t="n"/>
      <c r="AD4622" s="25" t="n"/>
      <c r="AE4622" s="25" t="n"/>
      <c r="AG4622" s="25" t="n"/>
      <c r="AH4622" s="25" t="n"/>
      <c r="AI4622" s="394" t="n"/>
      <c r="AM4622" s="48" t="n"/>
      <c r="AN4622" s="48" t="n"/>
      <c r="AO4622" s="48" t="n"/>
    </row>
    <row r="4623">
      <c r="M4623" s="25" t="n"/>
      <c r="Q4623" s="25" t="n"/>
      <c r="U4623" s="194" t="n"/>
      <c r="AA4623" s="25" t="n"/>
      <c r="AB4623" s="25" t="n"/>
      <c r="AC4623" s="195" t="n"/>
      <c r="AD4623" s="25" t="n"/>
      <c r="AE4623" s="25" t="n"/>
      <c r="AG4623" s="25" t="n"/>
      <c r="AH4623" s="25" t="n"/>
      <c r="AI4623" s="394" t="n"/>
      <c r="AM4623" s="48" t="n"/>
      <c r="AN4623" s="48" t="n"/>
      <c r="AO4623" s="48" t="n"/>
    </row>
    <row r="4624">
      <c r="M4624" s="25" t="n"/>
      <c r="Q4624" s="25" t="n"/>
      <c r="U4624" s="194" t="n"/>
      <c r="AA4624" s="25" t="n"/>
      <c r="AB4624" s="25" t="n"/>
      <c r="AC4624" s="195" t="n"/>
      <c r="AD4624" s="25" t="n"/>
      <c r="AE4624" s="25" t="n"/>
      <c r="AG4624" s="25" t="n"/>
      <c r="AH4624" s="25" t="n"/>
      <c r="AI4624" s="394" t="n"/>
      <c r="AM4624" s="48" t="n"/>
      <c r="AN4624" s="48" t="n"/>
      <c r="AO4624" s="48" t="n"/>
    </row>
    <row r="4625">
      <c r="M4625" s="25" t="n"/>
      <c r="Q4625" s="25" t="n"/>
      <c r="U4625" s="194" t="n"/>
      <c r="AA4625" s="25" t="n"/>
      <c r="AB4625" s="25" t="n"/>
      <c r="AC4625" s="195" t="n"/>
      <c r="AD4625" s="25" t="n"/>
      <c r="AE4625" s="25" t="n"/>
      <c r="AG4625" s="25" t="n"/>
      <c r="AH4625" s="25" t="n"/>
      <c r="AI4625" s="394" t="n"/>
      <c r="AM4625" s="48" t="n"/>
      <c r="AN4625" s="48" t="n"/>
      <c r="AO4625" s="48" t="n"/>
    </row>
    <row r="4626">
      <c r="M4626" s="25" t="n"/>
      <c r="Q4626" s="25" t="n"/>
      <c r="U4626" s="194" t="n"/>
      <c r="AA4626" s="25" t="n"/>
      <c r="AB4626" s="25" t="n"/>
      <c r="AC4626" s="195" t="n"/>
      <c r="AD4626" s="25" t="n"/>
      <c r="AE4626" s="25" t="n"/>
      <c r="AG4626" s="25" t="n"/>
      <c r="AH4626" s="25" t="n"/>
      <c r="AI4626" s="394" t="n"/>
      <c r="AM4626" s="48" t="n"/>
      <c r="AN4626" s="48" t="n"/>
      <c r="AO4626" s="48" t="n"/>
    </row>
    <row r="4627">
      <c r="M4627" s="25" t="n"/>
      <c r="Q4627" s="25" t="n"/>
      <c r="U4627" s="194" t="n"/>
      <c r="AA4627" s="25" t="n"/>
      <c r="AB4627" s="25" t="n"/>
      <c r="AC4627" s="195" t="n"/>
      <c r="AD4627" s="25" t="n"/>
      <c r="AE4627" s="25" t="n"/>
      <c r="AG4627" s="25" t="n"/>
      <c r="AH4627" s="25" t="n"/>
      <c r="AI4627" s="394" t="n"/>
      <c r="AM4627" s="48" t="n"/>
      <c r="AN4627" s="48" t="n"/>
      <c r="AO4627" s="48" t="n"/>
    </row>
    <row r="4628">
      <c r="M4628" s="25" t="n"/>
      <c r="Q4628" s="25" t="n"/>
      <c r="U4628" s="194" t="n"/>
      <c r="AA4628" s="25" t="n"/>
      <c r="AB4628" s="25" t="n"/>
      <c r="AC4628" s="195" t="n"/>
      <c r="AD4628" s="25" t="n"/>
      <c r="AE4628" s="25" t="n"/>
      <c r="AG4628" s="25" t="n"/>
      <c r="AH4628" s="25" t="n"/>
      <c r="AI4628" s="394" t="n"/>
      <c r="AM4628" s="48" t="n"/>
      <c r="AN4628" s="48" t="n"/>
      <c r="AO4628" s="48" t="n"/>
    </row>
    <row r="4629">
      <c r="M4629" s="25" t="n"/>
      <c r="Q4629" s="25" t="n"/>
      <c r="U4629" s="194" t="n"/>
      <c r="AA4629" s="25" t="n"/>
      <c r="AB4629" s="25" t="n"/>
      <c r="AC4629" s="195" t="n"/>
      <c r="AD4629" s="25" t="n"/>
      <c r="AE4629" s="25" t="n"/>
      <c r="AG4629" s="25" t="n"/>
      <c r="AH4629" s="25" t="n"/>
      <c r="AI4629" s="394" t="n"/>
      <c r="AM4629" s="48" t="n"/>
      <c r="AN4629" s="48" t="n"/>
      <c r="AO4629" s="48" t="n"/>
    </row>
    <row r="4630">
      <c r="M4630" s="25" t="n"/>
      <c r="Q4630" s="25" t="n"/>
      <c r="U4630" s="194" t="n"/>
      <c r="AA4630" s="25" t="n"/>
      <c r="AB4630" s="25" t="n"/>
      <c r="AC4630" s="195" t="n"/>
      <c r="AD4630" s="25" t="n"/>
      <c r="AE4630" s="25" t="n"/>
      <c r="AG4630" s="25" t="n"/>
      <c r="AH4630" s="25" t="n"/>
      <c r="AI4630" s="394" t="n"/>
      <c r="AM4630" s="48" t="n"/>
      <c r="AN4630" s="48" t="n"/>
      <c r="AO4630" s="48" t="n"/>
    </row>
    <row r="4631">
      <c r="M4631" s="25" t="n"/>
      <c r="Q4631" s="25" t="n"/>
      <c r="U4631" s="194" t="n"/>
      <c r="AA4631" s="25" t="n"/>
      <c r="AB4631" s="25" t="n"/>
      <c r="AC4631" s="195" t="n"/>
      <c r="AD4631" s="25" t="n"/>
      <c r="AE4631" s="25" t="n"/>
      <c r="AG4631" s="25" t="n"/>
      <c r="AH4631" s="25" t="n"/>
      <c r="AI4631" s="394" t="n"/>
      <c r="AM4631" s="48" t="n"/>
      <c r="AN4631" s="48" t="n"/>
      <c r="AO4631" s="48" t="n"/>
    </row>
    <row r="4632">
      <c r="M4632" s="25" t="n"/>
      <c r="Q4632" s="25" t="n"/>
      <c r="U4632" s="194" t="n"/>
      <c r="AA4632" s="25" t="n"/>
      <c r="AB4632" s="25" t="n"/>
      <c r="AC4632" s="195" t="n"/>
      <c r="AD4632" s="25" t="n"/>
      <c r="AE4632" s="25" t="n"/>
      <c r="AG4632" s="25" t="n"/>
      <c r="AH4632" s="25" t="n"/>
      <c r="AI4632" s="394" t="n"/>
      <c r="AM4632" s="48" t="n"/>
      <c r="AN4632" s="48" t="n"/>
      <c r="AO4632" s="48" t="n"/>
    </row>
    <row r="4633">
      <c r="M4633" s="25" t="n"/>
      <c r="Q4633" s="25" t="n"/>
      <c r="U4633" s="194" t="n"/>
      <c r="AA4633" s="25" t="n"/>
      <c r="AB4633" s="25" t="n"/>
      <c r="AC4633" s="195" t="n"/>
      <c r="AD4633" s="25" t="n"/>
      <c r="AE4633" s="25" t="n"/>
      <c r="AG4633" s="25" t="n"/>
      <c r="AH4633" s="25" t="n"/>
      <c r="AI4633" s="394" t="n"/>
      <c r="AM4633" s="48" t="n"/>
      <c r="AN4633" s="48" t="n"/>
      <c r="AO4633" s="48" t="n"/>
    </row>
    <row r="4634">
      <c r="M4634" s="25" t="n"/>
      <c r="Q4634" s="25" t="n"/>
      <c r="U4634" s="194" t="n"/>
      <c r="AA4634" s="25" t="n"/>
      <c r="AB4634" s="25" t="n"/>
      <c r="AC4634" s="195" t="n"/>
      <c r="AD4634" s="25" t="n"/>
      <c r="AE4634" s="25" t="n"/>
      <c r="AG4634" s="25" t="n"/>
      <c r="AH4634" s="25" t="n"/>
      <c r="AI4634" s="394" t="n"/>
      <c r="AM4634" s="48" t="n"/>
      <c r="AN4634" s="48" t="n"/>
      <c r="AO4634" s="48" t="n"/>
    </row>
    <row r="4635">
      <c r="M4635" s="25" t="n"/>
      <c r="Q4635" s="25" t="n"/>
      <c r="U4635" s="194" t="n"/>
      <c r="AA4635" s="25" t="n"/>
      <c r="AB4635" s="25" t="n"/>
      <c r="AC4635" s="195" t="n"/>
      <c r="AD4635" s="25" t="n"/>
      <c r="AE4635" s="25" t="n"/>
      <c r="AG4635" s="25" t="n"/>
      <c r="AH4635" s="25" t="n"/>
      <c r="AI4635" s="394" t="n"/>
      <c r="AM4635" s="48" t="n"/>
      <c r="AN4635" s="48" t="n"/>
      <c r="AO4635" s="48" t="n"/>
    </row>
    <row r="4636">
      <c r="M4636" s="25" t="n"/>
      <c r="Q4636" s="25" t="n"/>
      <c r="U4636" s="194" t="n"/>
      <c r="AA4636" s="25" t="n"/>
      <c r="AB4636" s="25" t="n"/>
      <c r="AC4636" s="195" t="n"/>
      <c r="AD4636" s="25" t="n"/>
      <c r="AE4636" s="25" t="n"/>
      <c r="AG4636" s="25" t="n"/>
      <c r="AH4636" s="25" t="n"/>
      <c r="AI4636" s="394" t="n"/>
      <c r="AM4636" s="48" t="n"/>
      <c r="AN4636" s="48" t="n"/>
      <c r="AO4636" s="48" t="n"/>
    </row>
    <row r="4637">
      <c r="M4637" s="25" t="n"/>
      <c r="Q4637" s="25" t="n"/>
      <c r="U4637" s="194" t="n"/>
      <c r="AA4637" s="25" t="n"/>
      <c r="AB4637" s="25" t="n"/>
      <c r="AC4637" s="195" t="n"/>
      <c r="AD4637" s="25" t="n"/>
      <c r="AE4637" s="25" t="n"/>
      <c r="AG4637" s="25" t="n"/>
      <c r="AH4637" s="25" t="n"/>
      <c r="AI4637" s="394" t="n"/>
      <c r="AM4637" s="48" t="n"/>
      <c r="AN4637" s="48" t="n"/>
      <c r="AO4637" s="48" t="n"/>
    </row>
    <row r="4638">
      <c r="M4638" s="25" t="n"/>
      <c r="Q4638" s="25" t="n"/>
      <c r="U4638" s="194" t="n"/>
      <c r="AA4638" s="25" t="n"/>
      <c r="AB4638" s="25" t="n"/>
      <c r="AC4638" s="195" t="n"/>
      <c r="AD4638" s="25" t="n"/>
      <c r="AE4638" s="25" t="n"/>
      <c r="AG4638" s="25" t="n"/>
      <c r="AH4638" s="25" t="n"/>
      <c r="AI4638" s="394" t="n"/>
      <c r="AM4638" s="48" t="n"/>
      <c r="AN4638" s="48" t="n"/>
      <c r="AO4638" s="48" t="n"/>
    </row>
    <row r="4639">
      <c r="M4639" s="25" t="n"/>
      <c r="Q4639" s="25" t="n"/>
      <c r="U4639" s="194" t="n"/>
      <c r="AA4639" s="25" t="n"/>
      <c r="AB4639" s="25" t="n"/>
      <c r="AC4639" s="195" t="n"/>
      <c r="AD4639" s="25" t="n"/>
      <c r="AE4639" s="25" t="n"/>
      <c r="AG4639" s="25" t="n"/>
      <c r="AH4639" s="25" t="n"/>
      <c r="AI4639" s="394" t="n"/>
      <c r="AM4639" s="48" t="n"/>
      <c r="AN4639" s="48" t="n"/>
      <c r="AO4639" s="48" t="n"/>
    </row>
    <row r="4640">
      <c r="M4640" s="25" t="n"/>
      <c r="Q4640" s="25" t="n"/>
      <c r="U4640" s="194" t="n"/>
      <c r="AA4640" s="25" t="n"/>
      <c r="AB4640" s="25" t="n"/>
      <c r="AC4640" s="195" t="n"/>
      <c r="AD4640" s="25" t="n"/>
      <c r="AE4640" s="25" t="n"/>
      <c r="AG4640" s="25" t="n"/>
      <c r="AH4640" s="25" t="n"/>
      <c r="AI4640" s="394" t="n"/>
      <c r="AM4640" s="48" t="n"/>
      <c r="AN4640" s="48" t="n"/>
      <c r="AO4640" s="48" t="n"/>
    </row>
    <row r="4641">
      <c r="M4641" s="25" t="n"/>
      <c r="Q4641" s="25" t="n"/>
      <c r="U4641" s="194" t="n"/>
      <c r="AA4641" s="25" t="n"/>
      <c r="AB4641" s="25" t="n"/>
      <c r="AC4641" s="195" t="n"/>
      <c r="AD4641" s="25" t="n"/>
      <c r="AE4641" s="25" t="n"/>
      <c r="AG4641" s="25" t="n"/>
      <c r="AH4641" s="25" t="n"/>
      <c r="AI4641" s="394" t="n"/>
      <c r="AM4641" s="48" t="n"/>
      <c r="AN4641" s="48" t="n"/>
      <c r="AO4641" s="48" t="n"/>
    </row>
    <row r="4642">
      <c r="M4642" s="25" t="n"/>
      <c r="Q4642" s="25" t="n"/>
      <c r="U4642" s="194" t="n"/>
      <c r="AA4642" s="25" t="n"/>
      <c r="AB4642" s="25" t="n"/>
      <c r="AC4642" s="195" t="n"/>
      <c r="AD4642" s="25" t="n"/>
      <c r="AE4642" s="25" t="n"/>
      <c r="AG4642" s="25" t="n"/>
      <c r="AH4642" s="25" t="n"/>
      <c r="AI4642" s="394" t="n"/>
      <c r="AM4642" s="48" t="n"/>
      <c r="AN4642" s="48" t="n"/>
      <c r="AO4642" s="48" t="n"/>
    </row>
    <row r="4643">
      <c r="M4643" s="25" t="n"/>
      <c r="Q4643" s="25" t="n"/>
      <c r="U4643" s="194" t="n"/>
      <c r="AA4643" s="25" t="n"/>
      <c r="AB4643" s="25" t="n"/>
      <c r="AC4643" s="195" t="n"/>
      <c r="AD4643" s="25" t="n"/>
      <c r="AE4643" s="25" t="n"/>
      <c r="AG4643" s="25" t="n"/>
      <c r="AH4643" s="25" t="n"/>
      <c r="AI4643" s="394" t="n"/>
      <c r="AM4643" s="48" t="n"/>
      <c r="AN4643" s="48" t="n"/>
      <c r="AO4643" s="48" t="n"/>
    </row>
    <row r="4644">
      <c r="M4644" s="25" t="n"/>
      <c r="Q4644" s="25" t="n"/>
      <c r="U4644" s="194" t="n"/>
      <c r="AA4644" s="25" t="n"/>
      <c r="AB4644" s="25" t="n"/>
      <c r="AC4644" s="195" t="n"/>
      <c r="AD4644" s="25" t="n"/>
      <c r="AE4644" s="25" t="n"/>
      <c r="AG4644" s="25" t="n"/>
      <c r="AH4644" s="25" t="n"/>
      <c r="AI4644" s="394" t="n"/>
      <c r="AM4644" s="48" t="n"/>
      <c r="AN4644" s="48" t="n"/>
      <c r="AO4644" s="48" t="n"/>
    </row>
    <row r="4645">
      <c r="M4645" s="25" t="n"/>
      <c r="Q4645" s="25" t="n"/>
      <c r="U4645" s="194" t="n"/>
      <c r="AA4645" s="25" t="n"/>
      <c r="AB4645" s="25" t="n"/>
      <c r="AC4645" s="195" t="n"/>
      <c r="AD4645" s="25" t="n"/>
      <c r="AE4645" s="25" t="n"/>
      <c r="AG4645" s="25" t="n"/>
      <c r="AH4645" s="25" t="n"/>
      <c r="AI4645" s="394" t="n"/>
      <c r="AM4645" s="48" t="n"/>
      <c r="AN4645" s="48" t="n"/>
      <c r="AO4645" s="48" t="n"/>
    </row>
    <row r="4646">
      <c r="M4646" s="25" t="n"/>
      <c r="Q4646" s="25" t="n"/>
      <c r="U4646" s="194" t="n"/>
      <c r="AA4646" s="25" t="n"/>
      <c r="AB4646" s="25" t="n"/>
      <c r="AC4646" s="195" t="n"/>
      <c r="AD4646" s="25" t="n"/>
      <c r="AE4646" s="25" t="n"/>
      <c r="AG4646" s="25" t="n"/>
      <c r="AH4646" s="25" t="n"/>
      <c r="AI4646" s="394" t="n"/>
      <c r="AM4646" s="48" t="n"/>
      <c r="AN4646" s="48" t="n"/>
      <c r="AO4646" s="48" t="n"/>
    </row>
    <row r="4647">
      <c r="M4647" s="25" t="n"/>
      <c r="Q4647" s="25" t="n"/>
      <c r="U4647" s="194" t="n"/>
      <c r="AA4647" s="25" t="n"/>
      <c r="AB4647" s="25" t="n"/>
      <c r="AC4647" s="195" t="n"/>
      <c r="AD4647" s="25" t="n"/>
      <c r="AE4647" s="25" t="n"/>
      <c r="AG4647" s="25" t="n"/>
      <c r="AH4647" s="25" t="n"/>
      <c r="AI4647" s="394" t="n"/>
      <c r="AM4647" s="48" t="n"/>
      <c r="AN4647" s="48" t="n"/>
      <c r="AO4647" s="48" t="n"/>
    </row>
    <row r="4648">
      <c r="M4648" s="25" t="n"/>
      <c r="Q4648" s="25" t="n"/>
      <c r="U4648" s="194" t="n"/>
      <c r="AA4648" s="25" t="n"/>
      <c r="AB4648" s="25" t="n"/>
      <c r="AC4648" s="195" t="n"/>
      <c r="AD4648" s="25" t="n"/>
      <c r="AE4648" s="25" t="n"/>
      <c r="AG4648" s="25" t="n"/>
      <c r="AH4648" s="25" t="n"/>
      <c r="AI4648" s="394" t="n"/>
      <c r="AM4648" s="48" t="n"/>
      <c r="AN4648" s="48" t="n"/>
      <c r="AO4648" s="48" t="n"/>
    </row>
    <row r="4649">
      <c r="M4649" s="25" t="n"/>
      <c r="Q4649" s="25" t="n"/>
      <c r="U4649" s="194" t="n"/>
      <c r="AA4649" s="25" t="n"/>
      <c r="AB4649" s="25" t="n"/>
      <c r="AC4649" s="195" t="n"/>
      <c r="AD4649" s="25" t="n"/>
      <c r="AE4649" s="25" t="n"/>
      <c r="AG4649" s="25" t="n"/>
      <c r="AH4649" s="25" t="n"/>
      <c r="AI4649" s="394" t="n"/>
      <c r="AM4649" s="48" t="n"/>
      <c r="AN4649" s="48" t="n"/>
      <c r="AO4649" s="48" t="n"/>
    </row>
    <row r="4650">
      <c r="M4650" s="25" t="n"/>
      <c r="Q4650" s="25" t="n"/>
      <c r="U4650" s="194" t="n"/>
      <c r="AA4650" s="25" t="n"/>
      <c r="AB4650" s="25" t="n"/>
      <c r="AC4650" s="195" t="n"/>
      <c r="AD4650" s="25" t="n"/>
      <c r="AE4650" s="25" t="n"/>
      <c r="AG4650" s="25" t="n"/>
      <c r="AH4650" s="25" t="n"/>
      <c r="AI4650" s="394" t="n"/>
      <c r="AM4650" s="48" t="n"/>
      <c r="AN4650" s="48" t="n"/>
      <c r="AO4650" s="48" t="n"/>
    </row>
    <row r="4651">
      <c r="M4651" s="25" t="n"/>
      <c r="Q4651" s="25" t="n"/>
      <c r="U4651" s="194" t="n"/>
      <c r="AA4651" s="25" t="n"/>
      <c r="AB4651" s="25" t="n"/>
      <c r="AC4651" s="195" t="n"/>
      <c r="AD4651" s="25" t="n"/>
      <c r="AE4651" s="25" t="n"/>
      <c r="AG4651" s="25" t="n"/>
      <c r="AH4651" s="25" t="n"/>
      <c r="AI4651" s="394" t="n"/>
      <c r="AM4651" s="48" t="n"/>
      <c r="AN4651" s="48" t="n"/>
      <c r="AO4651" s="48" t="n"/>
    </row>
    <row r="4652">
      <c r="M4652" s="25" t="n"/>
      <c r="Q4652" s="25" t="n"/>
      <c r="U4652" s="194" t="n"/>
      <c r="AA4652" s="25" t="n"/>
      <c r="AB4652" s="25" t="n"/>
      <c r="AC4652" s="195" t="n"/>
      <c r="AD4652" s="25" t="n"/>
      <c r="AE4652" s="25" t="n"/>
      <c r="AG4652" s="25" t="n"/>
      <c r="AH4652" s="25" t="n"/>
      <c r="AI4652" s="394" t="n"/>
      <c r="AM4652" s="48" t="n"/>
      <c r="AN4652" s="48" t="n"/>
      <c r="AO4652" s="48" t="n"/>
    </row>
    <row r="4653">
      <c r="M4653" s="25" t="n"/>
      <c r="Q4653" s="25" t="n"/>
      <c r="U4653" s="194" t="n"/>
      <c r="AA4653" s="25" t="n"/>
      <c r="AB4653" s="25" t="n"/>
      <c r="AC4653" s="195" t="n"/>
      <c r="AD4653" s="25" t="n"/>
      <c r="AE4653" s="25" t="n"/>
      <c r="AG4653" s="25" t="n"/>
      <c r="AH4653" s="25" t="n"/>
      <c r="AI4653" s="394" t="n"/>
      <c r="AM4653" s="48" t="n"/>
      <c r="AN4653" s="48" t="n"/>
      <c r="AO4653" s="48" t="n"/>
    </row>
    <row r="4654">
      <c r="M4654" s="25" t="n"/>
      <c r="Q4654" s="25" t="n"/>
      <c r="U4654" s="194" t="n"/>
      <c r="AA4654" s="25" t="n"/>
      <c r="AB4654" s="25" t="n"/>
      <c r="AC4654" s="195" t="n"/>
      <c r="AD4654" s="25" t="n"/>
      <c r="AE4654" s="25" t="n"/>
      <c r="AG4654" s="25" t="n"/>
      <c r="AH4654" s="25" t="n"/>
      <c r="AI4654" s="394" t="n"/>
      <c r="AM4654" s="48" t="n"/>
      <c r="AN4654" s="48" t="n"/>
      <c r="AO4654" s="48" t="n"/>
    </row>
    <row r="4655">
      <c r="M4655" s="25" t="n"/>
      <c r="Q4655" s="25" t="n"/>
      <c r="U4655" s="194" t="n"/>
      <c r="AA4655" s="25" t="n"/>
      <c r="AB4655" s="25" t="n"/>
      <c r="AC4655" s="195" t="n"/>
      <c r="AD4655" s="25" t="n"/>
      <c r="AE4655" s="25" t="n"/>
      <c r="AG4655" s="25" t="n"/>
      <c r="AH4655" s="25" t="n"/>
      <c r="AI4655" s="394" t="n"/>
      <c r="AM4655" s="48" t="n"/>
      <c r="AN4655" s="48" t="n"/>
      <c r="AO4655" s="48" t="n"/>
    </row>
    <row r="4656">
      <c r="M4656" s="25" t="n"/>
      <c r="Q4656" s="25" t="n"/>
      <c r="U4656" s="194" t="n"/>
      <c r="AA4656" s="25" t="n"/>
      <c r="AB4656" s="25" t="n"/>
      <c r="AC4656" s="195" t="n"/>
      <c r="AD4656" s="25" t="n"/>
      <c r="AE4656" s="25" t="n"/>
      <c r="AG4656" s="25" t="n"/>
      <c r="AH4656" s="25" t="n"/>
      <c r="AI4656" s="394" t="n"/>
      <c r="AM4656" s="48" t="n"/>
      <c r="AN4656" s="48" t="n"/>
      <c r="AO4656" s="48" t="n"/>
    </row>
    <row r="4657">
      <c r="M4657" s="25" t="n"/>
      <c r="Q4657" s="25" t="n"/>
      <c r="U4657" s="194" t="n"/>
      <c r="AA4657" s="25" t="n"/>
      <c r="AB4657" s="25" t="n"/>
      <c r="AC4657" s="195" t="n"/>
      <c r="AD4657" s="25" t="n"/>
      <c r="AE4657" s="25" t="n"/>
      <c r="AG4657" s="25" t="n"/>
      <c r="AH4657" s="25" t="n"/>
      <c r="AI4657" s="394" t="n"/>
      <c r="AM4657" s="48" t="n"/>
      <c r="AN4657" s="48" t="n"/>
      <c r="AO4657" s="48" t="n"/>
    </row>
    <row r="4658">
      <c r="M4658" s="25" t="n"/>
      <c r="Q4658" s="25" t="n"/>
      <c r="U4658" s="194" t="n"/>
      <c r="AA4658" s="25" t="n"/>
      <c r="AB4658" s="25" t="n"/>
      <c r="AC4658" s="195" t="n"/>
      <c r="AD4658" s="25" t="n"/>
      <c r="AE4658" s="25" t="n"/>
      <c r="AG4658" s="25" t="n"/>
      <c r="AH4658" s="25" t="n"/>
      <c r="AI4658" s="394" t="n"/>
      <c r="AM4658" s="48" t="n"/>
      <c r="AN4658" s="48" t="n"/>
      <c r="AO4658" s="48" t="n"/>
    </row>
    <row r="4659">
      <c r="M4659" s="25" t="n"/>
      <c r="Q4659" s="25" t="n"/>
      <c r="U4659" s="194" t="n"/>
      <c r="AA4659" s="25" t="n"/>
      <c r="AB4659" s="25" t="n"/>
      <c r="AC4659" s="195" t="n"/>
      <c r="AD4659" s="25" t="n"/>
      <c r="AE4659" s="25" t="n"/>
      <c r="AG4659" s="25" t="n"/>
      <c r="AH4659" s="25" t="n"/>
      <c r="AI4659" s="394" t="n"/>
      <c r="AM4659" s="48" t="n"/>
      <c r="AN4659" s="48" t="n"/>
      <c r="AO4659" s="48" t="n"/>
    </row>
    <row r="4660">
      <c r="M4660" s="25" t="n"/>
      <c r="Q4660" s="25" t="n"/>
      <c r="U4660" s="194" t="n"/>
      <c r="AA4660" s="25" t="n"/>
      <c r="AB4660" s="25" t="n"/>
      <c r="AC4660" s="195" t="n"/>
      <c r="AD4660" s="25" t="n"/>
      <c r="AE4660" s="25" t="n"/>
      <c r="AG4660" s="25" t="n"/>
      <c r="AH4660" s="25" t="n"/>
      <c r="AI4660" s="394" t="n"/>
      <c r="AM4660" s="48" t="n"/>
      <c r="AN4660" s="48" t="n"/>
      <c r="AO4660" s="48" t="n"/>
    </row>
    <row r="4661">
      <c r="M4661" s="25" t="n"/>
      <c r="Q4661" s="25" t="n"/>
      <c r="U4661" s="194" t="n"/>
      <c r="AA4661" s="25" t="n"/>
      <c r="AB4661" s="25" t="n"/>
      <c r="AC4661" s="195" t="n"/>
      <c r="AD4661" s="25" t="n"/>
      <c r="AE4661" s="25" t="n"/>
      <c r="AG4661" s="25" t="n"/>
      <c r="AH4661" s="25" t="n"/>
      <c r="AI4661" s="394" t="n"/>
      <c r="AM4661" s="48" t="n"/>
      <c r="AN4661" s="48" t="n"/>
      <c r="AO4661" s="48" t="n"/>
    </row>
    <row r="4662">
      <c r="M4662" s="25" t="n"/>
      <c r="Q4662" s="25" t="n"/>
      <c r="U4662" s="194" t="n"/>
      <c r="AA4662" s="25" t="n"/>
      <c r="AB4662" s="25" t="n"/>
      <c r="AC4662" s="195" t="n"/>
      <c r="AD4662" s="25" t="n"/>
      <c r="AE4662" s="25" t="n"/>
      <c r="AG4662" s="25" t="n"/>
      <c r="AH4662" s="25" t="n"/>
      <c r="AI4662" s="394" t="n"/>
      <c r="AM4662" s="48" t="n"/>
      <c r="AN4662" s="48" t="n"/>
      <c r="AO4662" s="48" t="n"/>
    </row>
    <row r="4663">
      <c r="M4663" s="25" t="n"/>
      <c r="Q4663" s="25" t="n"/>
      <c r="U4663" s="194" t="n"/>
      <c r="AA4663" s="25" t="n"/>
      <c r="AB4663" s="25" t="n"/>
      <c r="AC4663" s="195" t="n"/>
      <c r="AD4663" s="25" t="n"/>
      <c r="AE4663" s="25" t="n"/>
      <c r="AG4663" s="25" t="n"/>
      <c r="AH4663" s="25" t="n"/>
      <c r="AI4663" s="394" t="n"/>
      <c r="AM4663" s="48" t="n"/>
      <c r="AN4663" s="48" t="n"/>
      <c r="AO4663" s="48" t="n"/>
    </row>
    <row r="4664">
      <c r="M4664" s="25" t="n"/>
      <c r="Q4664" s="25" t="n"/>
      <c r="U4664" s="194" t="n"/>
      <c r="AA4664" s="25" t="n"/>
      <c r="AB4664" s="25" t="n"/>
      <c r="AC4664" s="195" t="n"/>
      <c r="AD4664" s="25" t="n"/>
      <c r="AE4664" s="25" t="n"/>
      <c r="AG4664" s="25" t="n"/>
      <c r="AH4664" s="25" t="n"/>
      <c r="AI4664" s="394" t="n"/>
      <c r="AM4664" s="48" t="n"/>
      <c r="AN4664" s="48" t="n"/>
      <c r="AO4664" s="48" t="n"/>
    </row>
    <row r="4665">
      <c r="M4665" s="25" t="n"/>
      <c r="Q4665" s="25" t="n"/>
      <c r="U4665" s="194" t="n"/>
      <c r="AA4665" s="25" t="n"/>
      <c r="AB4665" s="25" t="n"/>
      <c r="AC4665" s="195" t="n"/>
      <c r="AD4665" s="25" t="n"/>
      <c r="AE4665" s="25" t="n"/>
      <c r="AG4665" s="25" t="n"/>
      <c r="AH4665" s="25" t="n"/>
      <c r="AI4665" s="394" t="n"/>
      <c r="AM4665" s="48" t="n"/>
      <c r="AN4665" s="48" t="n"/>
      <c r="AO4665" s="48" t="n"/>
    </row>
    <row r="4666">
      <c r="M4666" s="25" t="n"/>
      <c r="Q4666" s="25" t="n"/>
      <c r="U4666" s="194" t="n"/>
      <c r="AA4666" s="25" t="n"/>
      <c r="AB4666" s="25" t="n"/>
      <c r="AC4666" s="195" t="n"/>
      <c r="AD4666" s="25" t="n"/>
      <c r="AE4666" s="25" t="n"/>
      <c r="AG4666" s="25" t="n"/>
      <c r="AH4666" s="25" t="n"/>
      <c r="AI4666" s="394" t="n"/>
      <c r="AM4666" s="48" t="n"/>
      <c r="AN4666" s="48" t="n"/>
      <c r="AO4666" s="48" t="n"/>
    </row>
    <row r="4667">
      <c r="M4667" s="25" t="n"/>
      <c r="Q4667" s="25" t="n"/>
      <c r="U4667" s="194" t="n"/>
      <c r="AA4667" s="25" t="n"/>
      <c r="AB4667" s="25" t="n"/>
      <c r="AC4667" s="195" t="n"/>
      <c r="AD4667" s="25" t="n"/>
      <c r="AE4667" s="25" t="n"/>
      <c r="AG4667" s="25" t="n"/>
      <c r="AH4667" s="25" t="n"/>
      <c r="AI4667" s="394" t="n"/>
      <c r="AM4667" s="48" t="n"/>
      <c r="AN4667" s="48" t="n"/>
      <c r="AO4667" s="48" t="n"/>
    </row>
    <row r="4668">
      <c r="M4668" s="25" t="n"/>
      <c r="Q4668" s="25" t="n"/>
      <c r="U4668" s="194" t="n"/>
      <c r="AA4668" s="25" t="n"/>
      <c r="AB4668" s="25" t="n"/>
      <c r="AC4668" s="195" t="n"/>
      <c r="AD4668" s="25" t="n"/>
      <c r="AE4668" s="25" t="n"/>
      <c r="AG4668" s="25" t="n"/>
      <c r="AH4668" s="25" t="n"/>
      <c r="AI4668" s="394" t="n"/>
      <c r="AM4668" s="48" t="n"/>
      <c r="AN4668" s="48" t="n"/>
      <c r="AO4668" s="48" t="n"/>
    </row>
    <row r="4669">
      <c r="M4669" s="25" t="n"/>
      <c r="Q4669" s="25" t="n"/>
      <c r="U4669" s="194" t="n"/>
      <c r="AA4669" s="25" t="n"/>
      <c r="AB4669" s="25" t="n"/>
      <c r="AC4669" s="195" t="n"/>
      <c r="AD4669" s="25" t="n"/>
      <c r="AE4669" s="25" t="n"/>
      <c r="AG4669" s="25" t="n"/>
      <c r="AH4669" s="25" t="n"/>
      <c r="AI4669" s="394" t="n"/>
      <c r="AM4669" s="48" t="n"/>
      <c r="AN4669" s="48" t="n"/>
      <c r="AO4669" s="48" t="n"/>
    </row>
    <row r="4670">
      <c r="M4670" s="25" t="n"/>
      <c r="Q4670" s="25" t="n"/>
      <c r="U4670" s="194" t="n"/>
      <c r="AA4670" s="25" t="n"/>
      <c r="AB4670" s="25" t="n"/>
      <c r="AC4670" s="195" t="n"/>
      <c r="AD4670" s="25" t="n"/>
      <c r="AE4670" s="25" t="n"/>
      <c r="AG4670" s="25" t="n"/>
      <c r="AH4670" s="25" t="n"/>
      <c r="AI4670" s="394" t="n"/>
      <c r="AM4670" s="48" t="n"/>
      <c r="AN4670" s="48" t="n"/>
      <c r="AO4670" s="48" t="n"/>
    </row>
    <row r="4671">
      <c r="M4671" s="25" t="n"/>
      <c r="Q4671" s="25" t="n"/>
      <c r="U4671" s="194" t="n"/>
      <c r="AA4671" s="25" t="n"/>
      <c r="AB4671" s="25" t="n"/>
      <c r="AC4671" s="195" t="n"/>
      <c r="AD4671" s="25" t="n"/>
      <c r="AE4671" s="25" t="n"/>
      <c r="AG4671" s="25" t="n"/>
      <c r="AH4671" s="25" t="n"/>
      <c r="AI4671" s="394" t="n"/>
      <c r="AM4671" s="48" t="n"/>
      <c r="AN4671" s="48" t="n"/>
      <c r="AO4671" s="48" t="n"/>
    </row>
    <row r="4672">
      <c r="M4672" s="25" t="n"/>
      <c r="Q4672" s="25" t="n"/>
      <c r="U4672" s="194" t="n"/>
      <c r="AA4672" s="25" t="n"/>
      <c r="AB4672" s="25" t="n"/>
      <c r="AC4672" s="195" t="n"/>
      <c r="AD4672" s="25" t="n"/>
      <c r="AE4672" s="25" t="n"/>
      <c r="AG4672" s="25" t="n"/>
      <c r="AH4672" s="25" t="n"/>
      <c r="AI4672" s="394" t="n"/>
      <c r="AM4672" s="48" t="n"/>
      <c r="AN4672" s="48" t="n"/>
      <c r="AO4672" s="48" t="n"/>
    </row>
    <row r="4673">
      <c r="M4673" s="25" t="n"/>
      <c r="Q4673" s="25" t="n"/>
      <c r="U4673" s="194" t="n"/>
      <c r="AA4673" s="25" t="n"/>
      <c r="AB4673" s="25" t="n"/>
      <c r="AC4673" s="195" t="n"/>
      <c r="AD4673" s="25" t="n"/>
      <c r="AE4673" s="25" t="n"/>
      <c r="AG4673" s="25" t="n"/>
      <c r="AH4673" s="25" t="n"/>
      <c r="AI4673" s="394" t="n"/>
      <c r="AM4673" s="48" t="n"/>
      <c r="AN4673" s="48" t="n"/>
      <c r="AO4673" s="48" t="n"/>
    </row>
    <row r="4674">
      <c r="M4674" s="25" t="n"/>
      <c r="Q4674" s="25" t="n"/>
      <c r="U4674" s="194" t="n"/>
      <c r="AA4674" s="25" t="n"/>
      <c r="AB4674" s="25" t="n"/>
      <c r="AC4674" s="195" t="n"/>
      <c r="AD4674" s="25" t="n"/>
      <c r="AE4674" s="25" t="n"/>
      <c r="AG4674" s="25" t="n"/>
      <c r="AH4674" s="25" t="n"/>
      <c r="AI4674" s="394" t="n"/>
      <c r="AM4674" s="48" t="n"/>
      <c r="AN4674" s="48" t="n"/>
      <c r="AO4674" s="48" t="n"/>
    </row>
    <row r="4675">
      <c r="M4675" s="25" t="n"/>
      <c r="Q4675" s="25" t="n"/>
      <c r="U4675" s="194" t="n"/>
      <c r="AA4675" s="25" t="n"/>
      <c r="AB4675" s="25" t="n"/>
      <c r="AC4675" s="195" t="n"/>
      <c r="AD4675" s="25" t="n"/>
      <c r="AE4675" s="25" t="n"/>
      <c r="AG4675" s="25" t="n"/>
      <c r="AH4675" s="25" t="n"/>
      <c r="AI4675" s="394" t="n"/>
      <c r="AM4675" s="48" t="n"/>
      <c r="AN4675" s="48" t="n"/>
      <c r="AO4675" s="48" t="n"/>
    </row>
    <row r="4676">
      <c r="M4676" s="25" t="n"/>
      <c r="Q4676" s="25" t="n"/>
      <c r="U4676" s="194" t="n"/>
      <c r="AA4676" s="25" t="n"/>
      <c r="AB4676" s="25" t="n"/>
      <c r="AC4676" s="195" t="n"/>
      <c r="AD4676" s="25" t="n"/>
      <c r="AE4676" s="25" t="n"/>
      <c r="AG4676" s="25" t="n"/>
      <c r="AH4676" s="25" t="n"/>
      <c r="AI4676" s="394" t="n"/>
      <c r="AM4676" s="48" t="n"/>
      <c r="AN4676" s="48" t="n"/>
      <c r="AO4676" s="48" t="n"/>
    </row>
    <row r="4677">
      <c r="M4677" s="25" t="n"/>
      <c r="Q4677" s="25" t="n"/>
      <c r="U4677" s="194" t="n"/>
      <c r="AA4677" s="25" t="n"/>
      <c r="AB4677" s="25" t="n"/>
      <c r="AC4677" s="195" t="n"/>
      <c r="AD4677" s="25" t="n"/>
      <c r="AE4677" s="25" t="n"/>
      <c r="AG4677" s="25" t="n"/>
      <c r="AH4677" s="25" t="n"/>
      <c r="AI4677" s="394" t="n"/>
      <c r="AM4677" s="48" t="n"/>
      <c r="AN4677" s="48" t="n"/>
      <c r="AO4677" s="48" t="n"/>
    </row>
    <row r="4678">
      <c r="M4678" s="25" t="n"/>
      <c r="Q4678" s="25" t="n"/>
      <c r="U4678" s="194" t="n"/>
      <c r="AA4678" s="25" t="n"/>
      <c r="AB4678" s="25" t="n"/>
      <c r="AC4678" s="195" t="n"/>
      <c r="AD4678" s="25" t="n"/>
      <c r="AE4678" s="25" t="n"/>
      <c r="AG4678" s="25" t="n"/>
      <c r="AH4678" s="25" t="n"/>
      <c r="AI4678" s="394" t="n"/>
      <c r="AM4678" s="48" t="n"/>
      <c r="AN4678" s="48" t="n"/>
      <c r="AO4678" s="48" t="n"/>
    </row>
    <row r="4679">
      <c r="M4679" s="25" t="n"/>
      <c r="Q4679" s="25" t="n"/>
      <c r="U4679" s="194" t="n"/>
      <c r="AA4679" s="25" t="n"/>
      <c r="AB4679" s="25" t="n"/>
      <c r="AC4679" s="195" t="n"/>
      <c r="AD4679" s="25" t="n"/>
      <c r="AE4679" s="25" t="n"/>
      <c r="AG4679" s="25" t="n"/>
      <c r="AH4679" s="25" t="n"/>
      <c r="AI4679" s="394" t="n"/>
      <c r="AM4679" s="48" t="n"/>
      <c r="AN4679" s="48" t="n"/>
      <c r="AO4679" s="48" t="n"/>
    </row>
    <row r="4680">
      <c r="M4680" s="25" t="n"/>
      <c r="Q4680" s="25" t="n"/>
      <c r="U4680" s="194" t="n"/>
      <c r="AA4680" s="25" t="n"/>
      <c r="AB4680" s="25" t="n"/>
      <c r="AC4680" s="195" t="n"/>
      <c r="AD4680" s="25" t="n"/>
      <c r="AE4680" s="25" t="n"/>
      <c r="AG4680" s="25" t="n"/>
      <c r="AH4680" s="25" t="n"/>
      <c r="AI4680" s="394" t="n"/>
      <c r="AM4680" s="48" t="n"/>
      <c r="AN4680" s="48" t="n"/>
      <c r="AO4680" s="48" t="n"/>
    </row>
    <row r="4681">
      <c r="M4681" s="25" t="n"/>
      <c r="Q4681" s="25" t="n"/>
      <c r="U4681" s="194" t="n"/>
      <c r="AA4681" s="25" t="n"/>
      <c r="AB4681" s="25" t="n"/>
      <c r="AC4681" s="195" t="n"/>
      <c r="AD4681" s="25" t="n"/>
      <c r="AE4681" s="25" t="n"/>
      <c r="AG4681" s="25" t="n"/>
      <c r="AH4681" s="25" t="n"/>
      <c r="AI4681" s="394" t="n"/>
      <c r="AM4681" s="48" t="n"/>
      <c r="AN4681" s="48" t="n"/>
      <c r="AO4681" s="48" t="n"/>
    </row>
    <row r="4682">
      <c r="M4682" s="25" t="n"/>
      <c r="Q4682" s="25" t="n"/>
      <c r="U4682" s="194" t="n"/>
      <c r="AA4682" s="25" t="n"/>
      <c r="AB4682" s="25" t="n"/>
      <c r="AC4682" s="195" t="n"/>
      <c r="AD4682" s="25" t="n"/>
      <c r="AE4682" s="25" t="n"/>
      <c r="AG4682" s="25" t="n"/>
      <c r="AH4682" s="25" t="n"/>
      <c r="AI4682" s="394" t="n"/>
      <c r="AM4682" s="48" t="n"/>
      <c r="AN4682" s="48" t="n"/>
      <c r="AO4682" s="48" t="n"/>
    </row>
    <row r="4683">
      <c r="M4683" s="25" t="n"/>
      <c r="Q4683" s="25" t="n"/>
      <c r="U4683" s="194" t="n"/>
      <c r="AA4683" s="25" t="n"/>
      <c r="AB4683" s="25" t="n"/>
      <c r="AC4683" s="195" t="n"/>
      <c r="AD4683" s="25" t="n"/>
      <c r="AE4683" s="25" t="n"/>
      <c r="AG4683" s="25" t="n"/>
      <c r="AH4683" s="25" t="n"/>
      <c r="AI4683" s="394" t="n"/>
      <c r="AM4683" s="48" t="n"/>
      <c r="AN4683" s="48" t="n"/>
      <c r="AO4683" s="48" t="n"/>
    </row>
    <row r="4684">
      <c r="M4684" s="25" t="n"/>
      <c r="Q4684" s="25" t="n"/>
      <c r="U4684" s="194" t="n"/>
      <c r="AA4684" s="25" t="n"/>
      <c r="AB4684" s="25" t="n"/>
      <c r="AC4684" s="195" t="n"/>
      <c r="AD4684" s="25" t="n"/>
      <c r="AE4684" s="25" t="n"/>
      <c r="AG4684" s="25" t="n"/>
      <c r="AH4684" s="25" t="n"/>
      <c r="AI4684" s="394" t="n"/>
      <c r="AM4684" s="48" t="n"/>
      <c r="AN4684" s="48" t="n"/>
      <c r="AO4684" s="48" t="n"/>
    </row>
    <row r="4685">
      <c r="M4685" s="25" t="n"/>
      <c r="Q4685" s="25" t="n"/>
      <c r="U4685" s="194" t="n"/>
      <c r="AA4685" s="25" t="n"/>
      <c r="AB4685" s="25" t="n"/>
      <c r="AC4685" s="195" t="n"/>
      <c r="AD4685" s="25" t="n"/>
      <c r="AE4685" s="25" t="n"/>
      <c r="AG4685" s="25" t="n"/>
      <c r="AH4685" s="25" t="n"/>
      <c r="AI4685" s="394" t="n"/>
      <c r="AM4685" s="48" t="n"/>
      <c r="AN4685" s="48" t="n"/>
      <c r="AO4685" s="48" t="n"/>
    </row>
    <row r="4686">
      <c r="M4686" s="25" t="n"/>
      <c r="Q4686" s="25" t="n"/>
      <c r="U4686" s="194" t="n"/>
      <c r="AA4686" s="25" t="n"/>
      <c r="AB4686" s="25" t="n"/>
      <c r="AC4686" s="195" t="n"/>
      <c r="AD4686" s="25" t="n"/>
      <c r="AE4686" s="25" t="n"/>
      <c r="AG4686" s="25" t="n"/>
      <c r="AH4686" s="25" t="n"/>
      <c r="AI4686" s="394" t="n"/>
      <c r="AM4686" s="48" t="n"/>
      <c r="AN4686" s="48" t="n"/>
      <c r="AO4686" s="48" t="n"/>
    </row>
    <row r="4687">
      <c r="M4687" s="25" t="n"/>
      <c r="Q4687" s="25" t="n"/>
      <c r="U4687" s="194" t="n"/>
      <c r="AA4687" s="25" t="n"/>
      <c r="AB4687" s="25" t="n"/>
      <c r="AC4687" s="195" t="n"/>
      <c r="AD4687" s="25" t="n"/>
      <c r="AE4687" s="25" t="n"/>
      <c r="AG4687" s="25" t="n"/>
      <c r="AH4687" s="25" t="n"/>
      <c r="AI4687" s="394" t="n"/>
      <c r="AM4687" s="48" t="n"/>
      <c r="AN4687" s="48" t="n"/>
      <c r="AO4687" s="48" t="n"/>
    </row>
    <row r="4688">
      <c r="M4688" s="25" t="n"/>
      <c r="Q4688" s="25" t="n"/>
      <c r="U4688" s="194" t="n"/>
      <c r="AA4688" s="25" t="n"/>
      <c r="AB4688" s="25" t="n"/>
      <c r="AC4688" s="195" t="n"/>
      <c r="AD4688" s="25" t="n"/>
      <c r="AE4688" s="25" t="n"/>
      <c r="AG4688" s="25" t="n"/>
      <c r="AH4688" s="25" t="n"/>
      <c r="AI4688" s="394" t="n"/>
      <c r="AM4688" s="48" t="n"/>
      <c r="AN4688" s="48" t="n"/>
      <c r="AO4688" s="48" t="n"/>
    </row>
    <row r="4689">
      <c r="M4689" s="25" t="n"/>
      <c r="Q4689" s="25" t="n"/>
      <c r="U4689" s="194" t="n"/>
      <c r="AA4689" s="25" t="n"/>
      <c r="AB4689" s="25" t="n"/>
      <c r="AC4689" s="195" t="n"/>
      <c r="AD4689" s="25" t="n"/>
      <c r="AE4689" s="25" t="n"/>
      <c r="AG4689" s="25" t="n"/>
      <c r="AH4689" s="25" t="n"/>
      <c r="AI4689" s="394" t="n"/>
      <c r="AM4689" s="48" t="n"/>
      <c r="AN4689" s="48" t="n"/>
      <c r="AO4689" s="48" t="n"/>
    </row>
    <row r="4690">
      <c r="M4690" s="25" t="n"/>
      <c r="Q4690" s="25" t="n"/>
      <c r="U4690" s="194" t="n"/>
      <c r="AA4690" s="25" t="n"/>
      <c r="AB4690" s="25" t="n"/>
      <c r="AC4690" s="195" t="n"/>
      <c r="AD4690" s="25" t="n"/>
      <c r="AE4690" s="25" t="n"/>
      <c r="AG4690" s="25" t="n"/>
      <c r="AH4690" s="25" t="n"/>
      <c r="AI4690" s="394" t="n"/>
      <c r="AM4690" s="48" t="n"/>
      <c r="AN4690" s="48" t="n"/>
      <c r="AO4690" s="48" t="n"/>
    </row>
    <row r="4691">
      <c r="M4691" s="25" t="n"/>
      <c r="Q4691" s="25" t="n"/>
      <c r="U4691" s="194" t="n"/>
      <c r="AA4691" s="25" t="n"/>
      <c r="AB4691" s="25" t="n"/>
      <c r="AC4691" s="195" t="n"/>
      <c r="AD4691" s="25" t="n"/>
      <c r="AE4691" s="25" t="n"/>
      <c r="AG4691" s="25" t="n"/>
      <c r="AH4691" s="25" t="n"/>
      <c r="AI4691" s="394" t="n"/>
      <c r="AM4691" s="48" t="n"/>
      <c r="AN4691" s="48" t="n"/>
      <c r="AO4691" s="48" t="n"/>
    </row>
    <row r="4692">
      <c r="M4692" s="25" t="n"/>
      <c r="Q4692" s="25" t="n"/>
      <c r="U4692" s="194" t="n"/>
      <c r="AA4692" s="25" t="n"/>
      <c r="AB4692" s="25" t="n"/>
      <c r="AC4692" s="195" t="n"/>
      <c r="AD4692" s="25" t="n"/>
      <c r="AE4692" s="25" t="n"/>
      <c r="AG4692" s="25" t="n"/>
      <c r="AH4692" s="25" t="n"/>
      <c r="AI4692" s="394" t="n"/>
      <c r="AM4692" s="48" t="n"/>
      <c r="AN4692" s="48" t="n"/>
      <c r="AO4692" s="48" t="n"/>
    </row>
    <row r="4693">
      <c r="M4693" s="25" t="n"/>
      <c r="Q4693" s="25" t="n"/>
      <c r="U4693" s="194" t="n"/>
      <c r="AA4693" s="25" t="n"/>
      <c r="AB4693" s="25" t="n"/>
      <c r="AC4693" s="195" t="n"/>
      <c r="AD4693" s="25" t="n"/>
      <c r="AE4693" s="25" t="n"/>
      <c r="AG4693" s="25" t="n"/>
      <c r="AH4693" s="25" t="n"/>
      <c r="AI4693" s="394" t="n"/>
      <c r="AM4693" s="48" t="n"/>
      <c r="AN4693" s="48" t="n"/>
      <c r="AO4693" s="48" t="n"/>
    </row>
    <row r="4694">
      <c r="M4694" s="25" t="n"/>
      <c r="Q4694" s="25" t="n"/>
      <c r="U4694" s="194" t="n"/>
      <c r="AA4694" s="25" t="n"/>
      <c r="AB4694" s="25" t="n"/>
      <c r="AC4694" s="195" t="n"/>
      <c r="AD4694" s="25" t="n"/>
      <c r="AE4694" s="25" t="n"/>
      <c r="AG4694" s="25" t="n"/>
      <c r="AH4694" s="25" t="n"/>
      <c r="AI4694" s="394" t="n"/>
      <c r="AM4694" s="48" t="n"/>
      <c r="AN4694" s="48" t="n"/>
      <c r="AO4694" s="48" t="n"/>
    </row>
    <row r="4695">
      <c r="M4695" s="25" t="n"/>
      <c r="Q4695" s="25" t="n"/>
      <c r="U4695" s="194" t="n"/>
      <c r="AA4695" s="25" t="n"/>
      <c r="AB4695" s="25" t="n"/>
      <c r="AC4695" s="195" t="n"/>
      <c r="AD4695" s="25" t="n"/>
      <c r="AE4695" s="25" t="n"/>
      <c r="AG4695" s="25" t="n"/>
      <c r="AH4695" s="25" t="n"/>
      <c r="AI4695" s="394" t="n"/>
      <c r="AM4695" s="48" t="n"/>
      <c r="AN4695" s="48" t="n"/>
      <c r="AO4695" s="48" t="n"/>
    </row>
    <row r="4696">
      <c r="M4696" s="25" t="n"/>
      <c r="Q4696" s="25" t="n"/>
      <c r="U4696" s="194" t="n"/>
      <c r="AA4696" s="25" t="n"/>
      <c r="AB4696" s="25" t="n"/>
      <c r="AC4696" s="195" t="n"/>
      <c r="AD4696" s="25" t="n"/>
      <c r="AE4696" s="25" t="n"/>
      <c r="AG4696" s="25" t="n"/>
      <c r="AH4696" s="25" t="n"/>
      <c r="AI4696" s="394" t="n"/>
      <c r="AM4696" s="48" t="n"/>
      <c r="AN4696" s="48" t="n"/>
      <c r="AO4696" s="48" t="n"/>
    </row>
    <row r="4697">
      <c r="M4697" s="25" t="n"/>
      <c r="Q4697" s="25" t="n"/>
      <c r="U4697" s="194" t="n"/>
      <c r="AA4697" s="25" t="n"/>
      <c r="AB4697" s="25" t="n"/>
      <c r="AC4697" s="195" t="n"/>
      <c r="AD4697" s="25" t="n"/>
      <c r="AE4697" s="25" t="n"/>
      <c r="AG4697" s="25" t="n"/>
      <c r="AH4697" s="25" t="n"/>
      <c r="AI4697" s="394" t="n"/>
      <c r="AM4697" s="48" t="n"/>
      <c r="AN4697" s="48" t="n"/>
      <c r="AO4697" s="48" t="n"/>
    </row>
    <row r="4698">
      <c r="M4698" s="25" t="n"/>
      <c r="Q4698" s="25" t="n"/>
      <c r="U4698" s="194" t="n"/>
      <c r="AA4698" s="25" t="n"/>
      <c r="AB4698" s="25" t="n"/>
      <c r="AC4698" s="195" t="n"/>
      <c r="AD4698" s="25" t="n"/>
      <c r="AE4698" s="25" t="n"/>
      <c r="AG4698" s="25" t="n"/>
      <c r="AH4698" s="25" t="n"/>
      <c r="AI4698" s="394" t="n"/>
      <c r="AM4698" s="48" t="n"/>
      <c r="AN4698" s="48" t="n"/>
      <c r="AO4698" s="48" t="n"/>
    </row>
    <row r="4699">
      <c r="M4699" s="25" t="n"/>
      <c r="Q4699" s="25" t="n"/>
      <c r="U4699" s="194" t="n"/>
      <c r="AA4699" s="25" t="n"/>
      <c r="AB4699" s="25" t="n"/>
      <c r="AC4699" s="195" t="n"/>
      <c r="AD4699" s="25" t="n"/>
      <c r="AE4699" s="25" t="n"/>
      <c r="AG4699" s="25" t="n"/>
      <c r="AH4699" s="25" t="n"/>
      <c r="AI4699" s="394" t="n"/>
      <c r="AM4699" s="48" t="n"/>
      <c r="AN4699" s="48" t="n"/>
      <c r="AO4699" s="48" t="n"/>
    </row>
    <row r="4700">
      <c r="M4700" s="25" t="n"/>
      <c r="Q4700" s="25" t="n"/>
      <c r="U4700" s="194" t="n"/>
      <c r="AA4700" s="25" t="n"/>
      <c r="AB4700" s="25" t="n"/>
      <c r="AC4700" s="195" t="n"/>
      <c r="AD4700" s="25" t="n"/>
      <c r="AE4700" s="25" t="n"/>
      <c r="AG4700" s="25" t="n"/>
      <c r="AH4700" s="25" t="n"/>
      <c r="AI4700" s="394" t="n"/>
      <c r="AM4700" s="48" t="n"/>
      <c r="AN4700" s="48" t="n"/>
      <c r="AO4700" s="48" t="n"/>
    </row>
    <row r="4701">
      <c r="M4701" s="25" t="n"/>
      <c r="Q4701" s="25" t="n"/>
      <c r="U4701" s="194" t="n"/>
      <c r="AA4701" s="25" t="n"/>
      <c r="AB4701" s="25" t="n"/>
      <c r="AC4701" s="195" t="n"/>
      <c r="AD4701" s="25" t="n"/>
      <c r="AE4701" s="25" t="n"/>
      <c r="AG4701" s="25" t="n"/>
      <c r="AH4701" s="25" t="n"/>
      <c r="AI4701" s="394" t="n"/>
      <c r="AM4701" s="48" t="n"/>
      <c r="AN4701" s="48" t="n"/>
      <c r="AO4701" s="48" t="n"/>
    </row>
    <row r="4702">
      <c r="M4702" s="25" t="n"/>
      <c r="Q4702" s="25" t="n"/>
      <c r="U4702" s="194" t="n"/>
      <c r="AA4702" s="25" t="n"/>
      <c r="AB4702" s="25" t="n"/>
      <c r="AC4702" s="195" t="n"/>
      <c r="AD4702" s="25" t="n"/>
      <c r="AE4702" s="25" t="n"/>
      <c r="AG4702" s="25" t="n"/>
      <c r="AH4702" s="25" t="n"/>
      <c r="AI4702" s="394" t="n"/>
      <c r="AM4702" s="48" t="n"/>
      <c r="AN4702" s="48" t="n"/>
      <c r="AO4702" s="48" t="n"/>
    </row>
    <row r="4703">
      <c r="M4703" s="25" t="n"/>
      <c r="Q4703" s="25" t="n"/>
      <c r="U4703" s="194" t="n"/>
      <c r="AA4703" s="25" t="n"/>
      <c r="AB4703" s="25" t="n"/>
      <c r="AC4703" s="195" t="n"/>
      <c r="AD4703" s="25" t="n"/>
      <c r="AE4703" s="25" t="n"/>
      <c r="AG4703" s="25" t="n"/>
      <c r="AH4703" s="25" t="n"/>
      <c r="AI4703" s="394" t="n"/>
      <c r="AM4703" s="48" t="n"/>
      <c r="AN4703" s="48" t="n"/>
      <c r="AO4703" s="48" t="n"/>
    </row>
    <row r="4704">
      <c r="M4704" s="25" t="n"/>
      <c r="Q4704" s="25" t="n"/>
      <c r="U4704" s="194" t="n"/>
      <c r="AA4704" s="25" t="n"/>
      <c r="AB4704" s="25" t="n"/>
      <c r="AC4704" s="195" t="n"/>
      <c r="AD4704" s="25" t="n"/>
      <c r="AE4704" s="25" t="n"/>
      <c r="AG4704" s="25" t="n"/>
      <c r="AH4704" s="25" t="n"/>
      <c r="AI4704" s="394" t="n"/>
      <c r="AM4704" s="48" t="n"/>
      <c r="AN4704" s="48" t="n"/>
      <c r="AO4704" s="48" t="n"/>
    </row>
    <row r="4705">
      <c r="M4705" s="25" t="n"/>
      <c r="Q4705" s="25" t="n"/>
      <c r="U4705" s="194" t="n"/>
      <c r="AA4705" s="25" t="n"/>
      <c r="AB4705" s="25" t="n"/>
      <c r="AC4705" s="195" t="n"/>
      <c r="AD4705" s="25" t="n"/>
      <c r="AE4705" s="25" t="n"/>
      <c r="AG4705" s="25" t="n"/>
      <c r="AH4705" s="25" t="n"/>
      <c r="AI4705" s="394" t="n"/>
      <c r="AM4705" s="48" t="n"/>
      <c r="AN4705" s="48" t="n"/>
      <c r="AO4705" s="48" t="n"/>
    </row>
    <row r="4706">
      <c r="M4706" s="25" t="n"/>
      <c r="Q4706" s="25" t="n"/>
      <c r="U4706" s="194" t="n"/>
      <c r="AA4706" s="25" t="n"/>
      <c r="AB4706" s="25" t="n"/>
      <c r="AC4706" s="195" t="n"/>
      <c r="AD4706" s="25" t="n"/>
      <c r="AE4706" s="25" t="n"/>
      <c r="AG4706" s="25" t="n"/>
      <c r="AH4706" s="25" t="n"/>
      <c r="AI4706" s="394" t="n"/>
      <c r="AM4706" s="48" t="n"/>
      <c r="AN4706" s="48" t="n"/>
      <c r="AO4706" s="48" t="n"/>
    </row>
    <row r="4707">
      <c r="M4707" s="25" t="n"/>
      <c r="Q4707" s="25" t="n"/>
      <c r="U4707" s="194" t="n"/>
      <c r="AA4707" s="25" t="n"/>
      <c r="AB4707" s="25" t="n"/>
      <c r="AC4707" s="195" t="n"/>
      <c r="AD4707" s="25" t="n"/>
      <c r="AE4707" s="25" t="n"/>
      <c r="AG4707" s="25" t="n"/>
      <c r="AH4707" s="25" t="n"/>
      <c r="AI4707" s="394" t="n"/>
      <c r="AM4707" s="48" t="n"/>
      <c r="AN4707" s="48" t="n"/>
      <c r="AO4707" s="48" t="n"/>
    </row>
    <row r="4708">
      <c r="M4708" s="25" t="n"/>
      <c r="Q4708" s="25" t="n"/>
      <c r="U4708" s="194" t="n"/>
      <c r="AA4708" s="25" t="n"/>
      <c r="AB4708" s="25" t="n"/>
      <c r="AC4708" s="195" t="n"/>
      <c r="AD4708" s="25" t="n"/>
      <c r="AE4708" s="25" t="n"/>
      <c r="AG4708" s="25" t="n"/>
      <c r="AH4708" s="25" t="n"/>
      <c r="AI4708" s="394" t="n"/>
      <c r="AM4708" s="48" t="n"/>
      <c r="AN4708" s="48" t="n"/>
      <c r="AO4708" s="48" t="n"/>
    </row>
    <row r="4709">
      <c r="M4709" s="25" t="n"/>
      <c r="Q4709" s="25" t="n"/>
      <c r="U4709" s="194" t="n"/>
      <c r="AA4709" s="25" t="n"/>
      <c r="AB4709" s="25" t="n"/>
      <c r="AC4709" s="195" t="n"/>
      <c r="AD4709" s="25" t="n"/>
      <c r="AE4709" s="25" t="n"/>
      <c r="AG4709" s="25" t="n"/>
      <c r="AH4709" s="25" t="n"/>
      <c r="AI4709" s="394" t="n"/>
      <c r="AM4709" s="48" t="n"/>
      <c r="AN4709" s="48" t="n"/>
      <c r="AO4709" s="48" t="n"/>
    </row>
    <row r="4710">
      <c r="M4710" s="25" t="n"/>
      <c r="Q4710" s="25" t="n"/>
      <c r="U4710" s="194" t="n"/>
      <c r="AA4710" s="25" t="n"/>
      <c r="AB4710" s="25" t="n"/>
      <c r="AC4710" s="195" t="n"/>
      <c r="AD4710" s="25" t="n"/>
      <c r="AE4710" s="25" t="n"/>
      <c r="AG4710" s="25" t="n"/>
      <c r="AH4710" s="25" t="n"/>
      <c r="AI4710" s="394" t="n"/>
      <c r="AM4710" s="48" t="n"/>
      <c r="AN4710" s="48" t="n"/>
      <c r="AO4710" s="48" t="n"/>
    </row>
    <row r="4711">
      <c r="M4711" s="25" t="n"/>
      <c r="Q4711" s="25" t="n"/>
      <c r="U4711" s="194" t="n"/>
      <c r="AA4711" s="25" t="n"/>
      <c r="AB4711" s="25" t="n"/>
      <c r="AC4711" s="195" t="n"/>
      <c r="AD4711" s="25" t="n"/>
      <c r="AE4711" s="25" t="n"/>
      <c r="AG4711" s="25" t="n"/>
      <c r="AH4711" s="25" t="n"/>
      <c r="AI4711" s="394" t="n"/>
      <c r="AM4711" s="48" t="n"/>
      <c r="AN4711" s="48" t="n"/>
      <c r="AO4711" s="48" t="n"/>
    </row>
    <row r="4712">
      <c r="M4712" s="25" t="n"/>
      <c r="Q4712" s="25" t="n"/>
      <c r="U4712" s="194" t="n"/>
      <c r="AA4712" s="25" t="n"/>
      <c r="AB4712" s="25" t="n"/>
      <c r="AC4712" s="195" t="n"/>
      <c r="AD4712" s="25" t="n"/>
      <c r="AE4712" s="25" t="n"/>
      <c r="AG4712" s="25" t="n"/>
      <c r="AH4712" s="25" t="n"/>
      <c r="AI4712" s="394" t="n"/>
      <c r="AM4712" s="48" t="n"/>
      <c r="AN4712" s="48" t="n"/>
      <c r="AO4712" s="48" t="n"/>
    </row>
    <row r="4713">
      <c r="M4713" s="25" t="n"/>
      <c r="Q4713" s="25" t="n"/>
      <c r="U4713" s="194" t="n"/>
      <c r="AA4713" s="25" t="n"/>
      <c r="AB4713" s="25" t="n"/>
      <c r="AC4713" s="195" t="n"/>
      <c r="AD4713" s="25" t="n"/>
      <c r="AE4713" s="25" t="n"/>
      <c r="AG4713" s="25" t="n"/>
      <c r="AH4713" s="25" t="n"/>
      <c r="AI4713" s="394" t="n"/>
      <c r="AM4713" s="48" t="n"/>
      <c r="AN4713" s="48" t="n"/>
      <c r="AO4713" s="48" t="n"/>
    </row>
    <row r="4714">
      <c r="M4714" s="25" t="n"/>
      <c r="Q4714" s="25" t="n"/>
      <c r="U4714" s="194" t="n"/>
      <c r="AA4714" s="25" t="n"/>
      <c r="AB4714" s="25" t="n"/>
      <c r="AC4714" s="195" t="n"/>
      <c r="AD4714" s="25" t="n"/>
      <c r="AE4714" s="25" t="n"/>
      <c r="AG4714" s="25" t="n"/>
      <c r="AH4714" s="25" t="n"/>
      <c r="AI4714" s="394" t="n"/>
      <c r="AM4714" s="48" t="n"/>
      <c r="AN4714" s="48" t="n"/>
      <c r="AO4714" s="48" t="n"/>
    </row>
    <row r="4715">
      <c r="M4715" s="25" t="n"/>
      <c r="Q4715" s="25" t="n"/>
      <c r="U4715" s="194" t="n"/>
      <c r="AA4715" s="25" t="n"/>
      <c r="AB4715" s="25" t="n"/>
      <c r="AC4715" s="195" t="n"/>
      <c r="AD4715" s="25" t="n"/>
      <c r="AE4715" s="25" t="n"/>
      <c r="AG4715" s="25" t="n"/>
      <c r="AH4715" s="25" t="n"/>
      <c r="AI4715" s="394" t="n"/>
      <c r="AM4715" s="48" t="n"/>
      <c r="AN4715" s="48" t="n"/>
      <c r="AO4715" s="48" t="n"/>
    </row>
    <row r="4716">
      <c r="M4716" s="25" t="n"/>
      <c r="Q4716" s="25" t="n"/>
      <c r="U4716" s="194" t="n"/>
      <c r="AA4716" s="25" t="n"/>
      <c r="AB4716" s="25" t="n"/>
      <c r="AC4716" s="195" t="n"/>
      <c r="AD4716" s="25" t="n"/>
      <c r="AE4716" s="25" t="n"/>
      <c r="AG4716" s="25" t="n"/>
      <c r="AH4716" s="25" t="n"/>
      <c r="AI4716" s="394" t="n"/>
      <c r="AM4716" s="48" t="n"/>
      <c r="AN4716" s="48" t="n"/>
      <c r="AO4716" s="48" t="n"/>
    </row>
    <row r="4717">
      <c r="M4717" s="25" t="n"/>
      <c r="Q4717" s="25" t="n"/>
      <c r="U4717" s="194" t="n"/>
      <c r="AA4717" s="25" t="n"/>
      <c r="AB4717" s="25" t="n"/>
      <c r="AC4717" s="195" t="n"/>
      <c r="AD4717" s="25" t="n"/>
      <c r="AE4717" s="25" t="n"/>
      <c r="AG4717" s="25" t="n"/>
      <c r="AH4717" s="25" t="n"/>
      <c r="AI4717" s="394" t="n"/>
      <c r="AM4717" s="48" t="n"/>
      <c r="AN4717" s="48" t="n"/>
      <c r="AO4717" s="48" t="n"/>
    </row>
    <row r="4718">
      <c r="M4718" s="25" t="n"/>
      <c r="Q4718" s="25" t="n"/>
      <c r="U4718" s="194" t="n"/>
      <c r="AA4718" s="25" t="n"/>
      <c r="AB4718" s="25" t="n"/>
      <c r="AC4718" s="195" t="n"/>
      <c r="AD4718" s="25" t="n"/>
      <c r="AE4718" s="25" t="n"/>
      <c r="AG4718" s="25" t="n"/>
      <c r="AH4718" s="25" t="n"/>
      <c r="AI4718" s="394" t="n"/>
      <c r="AM4718" s="48" t="n"/>
      <c r="AN4718" s="48" t="n"/>
      <c r="AO4718" s="48" t="n"/>
    </row>
    <row r="4719">
      <c r="M4719" s="25" t="n"/>
      <c r="Q4719" s="25" t="n"/>
      <c r="U4719" s="194" t="n"/>
      <c r="AA4719" s="25" t="n"/>
      <c r="AB4719" s="25" t="n"/>
      <c r="AC4719" s="195" t="n"/>
      <c r="AD4719" s="25" t="n"/>
      <c r="AE4719" s="25" t="n"/>
      <c r="AG4719" s="25" t="n"/>
      <c r="AH4719" s="25" t="n"/>
      <c r="AI4719" s="394" t="n"/>
      <c r="AM4719" s="48" t="n"/>
      <c r="AN4719" s="48" t="n"/>
      <c r="AO4719" s="48" t="n"/>
    </row>
    <row r="4720">
      <c r="M4720" s="25" t="n"/>
      <c r="Q4720" s="25" t="n"/>
      <c r="U4720" s="194" t="n"/>
      <c r="AA4720" s="25" t="n"/>
      <c r="AB4720" s="25" t="n"/>
      <c r="AC4720" s="195" t="n"/>
      <c r="AD4720" s="25" t="n"/>
      <c r="AE4720" s="25" t="n"/>
      <c r="AG4720" s="25" t="n"/>
      <c r="AH4720" s="25" t="n"/>
      <c r="AI4720" s="394" t="n"/>
      <c r="AM4720" s="48" t="n"/>
      <c r="AN4720" s="48" t="n"/>
      <c r="AO4720" s="48" t="n"/>
    </row>
    <row r="4721">
      <c r="M4721" s="25" t="n"/>
      <c r="Q4721" s="25" t="n"/>
      <c r="U4721" s="194" t="n"/>
      <c r="AA4721" s="25" t="n"/>
      <c r="AB4721" s="25" t="n"/>
      <c r="AC4721" s="195" t="n"/>
      <c r="AD4721" s="25" t="n"/>
      <c r="AE4721" s="25" t="n"/>
      <c r="AG4721" s="25" t="n"/>
      <c r="AH4721" s="25" t="n"/>
      <c r="AI4721" s="394" t="n"/>
      <c r="AM4721" s="48" t="n"/>
      <c r="AN4721" s="48" t="n"/>
      <c r="AO4721" s="48" t="n"/>
    </row>
    <row r="4722">
      <c r="M4722" s="25" t="n"/>
      <c r="Q4722" s="25" t="n"/>
      <c r="U4722" s="194" t="n"/>
      <c r="AA4722" s="25" t="n"/>
      <c r="AB4722" s="25" t="n"/>
      <c r="AC4722" s="195" t="n"/>
      <c r="AD4722" s="25" t="n"/>
      <c r="AE4722" s="25" t="n"/>
      <c r="AG4722" s="25" t="n"/>
      <c r="AH4722" s="25" t="n"/>
      <c r="AI4722" s="394" t="n"/>
      <c r="AM4722" s="48" t="n"/>
      <c r="AN4722" s="48" t="n"/>
      <c r="AO4722" s="48" t="n"/>
    </row>
    <row r="4723">
      <c r="M4723" s="25" t="n"/>
      <c r="Q4723" s="25" t="n"/>
      <c r="U4723" s="194" t="n"/>
      <c r="AA4723" s="25" t="n"/>
      <c r="AB4723" s="25" t="n"/>
      <c r="AC4723" s="195" t="n"/>
      <c r="AD4723" s="25" t="n"/>
      <c r="AE4723" s="25" t="n"/>
      <c r="AG4723" s="25" t="n"/>
      <c r="AH4723" s="25" t="n"/>
      <c r="AI4723" s="394" t="n"/>
      <c r="AM4723" s="48" t="n"/>
      <c r="AN4723" s="48" t="n"/>
      <c r="AO4723" s="48" t="n"/>
    </row>
    <row r="4724">
      <c r="M4724" s="25" t="n"/>
      <c r="Q4724" s="25" t="n"/>
      <c r="U4724" s="194" t="n"/>
      <c r="AA4724" s="25" t="n"/>
      <c r="AB4724" s="25" t="n"/>
      <c r="AC4724" s="195" t="n"/>
      <c r="AD4724" s="25" t="n"/>
      <c r="AE4724" s="25" t="n"/>
      <c r="AG4724" s="25" t="n"/>
      <c r="AH4724" s="25" t="n"/>
      <c r="AI4724" s="394" t="n"/>
      <c r="AM4724" s="48" t="n"/>
      <c r="AN4724" s="48" t="n"/>
      <c r="AO4724" s="48" t="n"/>
    </row>
    <row r="4725">
      <c r="M4725" s="25" t="n"/>
      <c r="Q4725" s="25" t="n"/>
      <c r="U4725" s="194" t="n"/>
      <c r="AA4725" s="25" t="n"/>
      <c r="AB4725" s="25" t="n"/>
      <c r="AC4725" s="195" t="n"/>
      <c r="AD4725" s="25" t="n"/>
      <c r="AE4725" s="25" t="n"/>
      <c r="AG4725" s="25" t="n"/>
      <c r="AH4725" s="25" t="n"/>
      <c r="AI4725" s="394" t="n"/>
      <c r="AM4725" s="48" t="n"/>
      <c r="AN4725" s="48" t="n"/>
      <c r="AO4725" s="48" t="n"/>
    </row>
    <row r="4726">
      <c r="M4726" s="25" t="n"/>
      <c r="Q4726" s="25" t="n"/>
      <c r="U4726" s="194" t="n"/>
      <c r="AA4726" s="25" t="n"/>
      <c r="AB4726" s="25" t="n"/>
      <c r="AC4726" s="195" t="n"/>
      <c r="AD4726" s="25" t="n"/>
      <c r="AE4726" s="25" t="n"/>
      <c r="AG4726" s="25" t="n"/>
      <c r="AH4726" s="25" t="n"/>
      <c r="AI4726" s="394" t="n"/>
      <c r="AM4726" s="48" t="n"/>
      <c r="AN4726" s="48" t="n"/>
      <c r="AO4726" s="48" t="n"/>
    </row>
    <row r="4727">
      <c r="M4727" s="25" t="n"/>
      <c r="Q4727" s="25" t="n"/>
      <c r="U4727" s="194" t="n"/>
      <c r="AA4727" s="25" t="n"/>
      <c r="AB4727" s="25" t="n"/>
      <c r="AC4727" s="195" t="n"/>
      <c r="AD4727" s="25" t="n"/>
      <c r="AE4727" s="25" t="n"/>
      <c r="AG4727" s="25" t="n"/>
      <c r="AH4727" s="25" t="n"/>
      <c r="AI4727" s="394" t="n"/>
      <c r="AM4727" s="48" t="n"/>
      <c r="AN4727" s="48" t="n"/>
      <c r="AO4727" s="48" t="n"/>
    </row>
    <row r="4728">
      <c r="M4728" s="25" t="n"/>
      <c r="Q4728" s="25" t="n"/>
      <c r="U4728" s="194" t="n"/>
      <c r="AA4728" s="25" t="n"/>
      <c r="AB4728" s="25" t="n"/>
      <c r="AC4728" s="195" t="n"/>
      <c r="AD4728" s="25" t="n"/>
      <c r="AE4728" s="25" t="n"/>
      <c r="AG4728" s="25" t="n"/>
      <c r="AH4728" s="25" t="n"/>
      <c r="AI4728" s="394" t="n"/>
      <c r="AM4728" s="48" t="n"/>
      <c r="AN4728" s="48" t="n"/>
      <c r="AO4728" s="48" t="n"/>
    </row>
    <row r="4729">
      <c r="M4729" s="25" t="n"/>
      <c r="Q4729" s="25" t="n"/>
      <c r="U4729" s="194" t="n"/>
      <c r="AA4729" s="25" t="n"/>
      <c r="AB4729" s="25" t="n"/>
      <c r="AC4729" s="195" t="n"/>
      <c r="AD4729" s="25" t="n"/>
      <c r="AE4729" s="25" t="n"/>
      <c r="AG4729" s="25" t="n"/>
      <c r="AH4729" s="25" t="n"/>
      <c r="AI4729" s="394" t="n"/>
      <c r="AM4729" s="48" t="n"/>
      <c r="AN4729" s="48" t="n"/>
      <c r="AO4729" s="48" t="n"/>
    </row>
    <row r="4730">
      <c r="M4730" s="25" t="n"/>
      <c r="Q4730" s="25" t="n"/>
      <c r="U4730" s="194" t="n"/>
      <c r="AA4730" s="25" t="n"/>
      <c r="AB4730" s="25" t="n"/>
      <c r="AC4730" s="195" t="n"/>
      <c r="AD4730" s="25" t="n"/>
      <c r="AE4730" s="25" t="n"/>
      <c r="AG4730" s="25" t="n"/>
      <c r="AH4730" s="25" t="n"/>
      <c r="AI4730" s="394" t="n"/>
      <c r="AM4730" s="48" t="n"/>
      <c r="AN4730" s="48" t="n"/>
      <c r="AO4730" s="48" t="n"/>
    </row>
    <row r="4731">
      <c r="M4731" s="25" t="n"/>
      <c r="Q4731" s="25" t="n"/>
      <c r="U4731" s="194" t="n"/>
      <c r="AA4731" s="25" t="n"/>
      <c r="AB4731" s="25" t="n"/>
      <c r="AC4731" s="195" t="n"/>
      <c r="AD4731" s="25" t="n"/>
      <c r="AE4731" s="25" t="n"/>
      <c r="AG4731" s="25" t="n"/>
      <c r="AH4731" s="25" t="n"/>
      <c r="AI4731" s="394" t="n"/>
      <c r="AM4731" s="48" t="n"/>
      <c r="AN4731" s="48" t="n"/>
      <c r="AO4731" s="48" t="n"/>
    </row>
    <row r="4732">
      <c r="M4732" s="25" t="n"/>
      <c r="Q4732" s="25" t="n"/>
      <c r="U4732" s="194" t="n"/>
      <c r="AA4732" s="25" t="n"/>
      <c r="AB4732" s="25" t="n"/>
      <c r="AC4732" s="195" t="n"/>
      <c r="AD4732" s="25" t="n"/>
      <c r="AE4732" s="25" t="n"/>
      <c r="AG4732" s="25" t="n"/>
      <c r="AH4732" s="25" t="n"/>
      <c r="AI4732" s="394" t="n"/>
      <c r="AM4732" s="48" t="n"/>
      <c r="AN4732" s="48" t="n"/>
      <c r="AO4732" s="48" t="n"/>
    </row>
    <row r="4733">
      <c r="M4733" s="25" t="n"/>
      <c r="Q4733" s="25" t="n"/>
      <c r="U4733" s="194" t="n"/>
      <c r="AA4733" s="25" t="n"/>
      <c r="AB4733" s="25" t="n"/>
      <c r="AC4733" s="195" t="n"/>
      <c r="AD4733" s="25" t="n"/>
      <c r="AE4733" s="25" t="n"/>
      <c r="AG4733" s="25" t="n"/>
      <c r="AH4733" s="25" t="n"/>
      <c r="AI4733" s="394" t="n"/>
      <c r="AM4733" s="48" t="n"/>
      <c r="AN4733" s="48" t="n"/>
      <c r="AO4733" s="48" t="n"/>
    </row>
    <row r="4734">
      <c r="M4734" s="25" t="n"/>
      <c r="Q4734" s="25" t="n"/>
      <c r="U4734" s="194" t="n"/>
      <c r="AA4734" s="25" t="n"/>
      <c r="AB4734" s="25" t="n"/>
      <c r="AC4734" s="195" t="n"/>
      <c r="AD4734" s="25" t="n"/>
      <c r="AE4734" s="25" t="n"/>
      <c r="AG4734" s="25" t="n"/>
      <c r="AH4734" s="25" t="n"/>
      <c r="AI4734" s="394" t="n"/>
      <c r="AM4734" s="48" t="n"/>
      <c r="AN4734" s="48" t="n"/>
      <c r="AO4734" s="48" t="n"/>
    </row>
    <row r="4735">
      <c r="M4735" s="25" t="n"/>
      <c r="Q4735" s="25" t="n"/>
      <c r="U4735" s="194" t="n"/>
      <c r="AA4735" s="25" t="n"/>
      <c r="AB4735" s="25" t="n"/>
      <c r="AC4735" s="195" t="n"/>
      <c r="AD4735" s="25" t="n"/>
      <c r="AE4735" s="25" t="n"/>
      <c r="AG4735" s="25" t="n"/>
      <c r="AH4735" s="25" t="n"/>
      <c r="AI4735" s="394" t="n"/>
      <c r="AM4735" s="48" t="n"/>
      <c r="AN4735" s="48" t="n"/>
      <c r="AO4735" s="48" t="n"/>
    </row>
    <row r="4736">
      <c r="M4736" s="25" t="n"/>
      <c r="Q4736" s="25" t="n"/>
      <c r="U4736" s="194" t="n"/>
      <c r="AA4736" s="25" t="n"/>
      <c r="AB4736" s="25" t="n"/>
      <c r="AC4736" s="195" t="n"/>
      <c r="AD4736" s="25" t="n"/>
      <c r="AE4736" s="25" t="n"/>
      <c r="AG4736" s="25" t="n"/>
      <c r="AH4736" s="25" t="n"/>
      <c r="AI4736" s="394" t="n"/>
      <c r="AM4736" s="48" t="n"/>
      <c r="AN4736" s="48" t="n"/>
      <c r="AO4736" s="48" t="n"/>
    </row>
    <row r="4737">
      <c r="M4737" s="25" t="n"/>
      <c r="Q4737" s="25" t="n"/>
      <c r="U4737" s="194" t="n"/>
      <c r="AA4737" s="25" t="n"/>
      <c r="AB4737" s="25" t="n"/>
      <c r="AC4737" s="195" t="n"/>
      <c r="AD4737" s="25" t="n"/>
      <c r="AE4737" s="25" t="n"/>
      <c r="AG4737" s="25" t="n"/>
      <c r="AH4737" s="25" t="n"/>
      <c r="AI4737" s="394" t="n"/>
      <c r="AM4737" s="48" t="n"/>
      <c r="AN4737" s="48" t="n"/>
      <c r="AO4737" s="48" t="n"/>
    </row>
    <row r="4738">
      <c r="M4738" s="25" t="n"/>
      <c r="Q4738" s="25" t="n"/>
      <c r="U4738" s="194" t="n"/>
      <c r="AA4738" s="25" t="n"/>
      <c r="AB4738" s="25" t="n"/>
      <c r="AC4738" s="195" t="n"/>
      <c r="AD4738" s="25" t="n"/>
      <c r="AE4738" s="25" t="n"/>
      <c r="AG4738" s="25" t="n"/>
      <c r="AH4738" s="25" t="n"/>
      <c r="AI4738" s="394" t="n"/>
      <c r="AM4738" s="48" t="n"/>
      <c r="AN4738" s="48" t="n"/>
      <c r="AO4738" s="48" t="n"/>
    </row>
    <row r="4739">
      <c r="M4739" s="25" t="n"/>
      <c r="Q4739" s="25" t="n"/>
      <c r="U4739" s="194" t="n"/>
      <c r="AA4739" s="25" t="n"/>
      <c r="AB4739" s="25" t="n"/>
      <c r="AC4739" s="195" t="n"/>
      <c r="AD4739" s="25" t="n"/>
      <c r="AE4739" s="25" t="n"/>
      <c r="AG4739" s="25" t="n"/>
      <c r="AH4739" s="25" t="n"/>
      <c r="AI4739" s="394" t="n"/>
      <c r="AM4739" s="48" t="n"/>
      <c r="AN4739" s="48" t="n"/>
      <c r="AO4739" s="48" t="n"/>
    </row>
    <row r="4740">
      <c r="M4740" s="25" t="n"/>
      <c r="Q4740" s="25" t="n"/>
      <c r="U4740" s="194" t="n"/>
      <c r="AA4740" s="25" t="n"/>
      <c r="AB4740" s="25" t="n"/>
      <c r="AC4740" s="195" t="n"/>
      <c r="AD4740" s="25" t="n"/>
      <c r="AE4740" s="25" t="n"/>
      <c r="AG4740" s="25" t="n"/>
      <c r="AH4740" s="25" t="n"/>
      <c r="AI4740" s="394" t="n"/>
      <c r="AM4740" s="48" t="n"/>
      <c r="AN4740" s="48" t="n"/>
      <c r="AO4740" s="48" t="n"/>
    </row>
    <row r="4741">
      <c r="M4741" s="25" t="n"/>
      <c r="Q4741" s="25" t="n"/>
      <c r="U4741" s="194" t="n"/>
      <c r="AA4741" s="25" t="n"/>
      <c r="AB4741" s="25" t="n"/>
      <c r="AC4741" s="195" t="n"/>
      <c r="AD4741" s="25" t="n"/>
      <c r="AE4741" s="25" t="n"/>
      <c r="AG4741" s="25" t="n"/>
      <c r="AH4741" s="25" t="n"/>
      <c r="AI4741" s="394" t="n"/>
      <c r="AM4741" s="48" t="n"/>
      <c r="AN4741" s="48" t="n"/>
      <c r="AO4741" s="48" t="n"/>
    </row>
    <row r="4742">
      <c r="M4742" s="25" t="n"/>
      <c r="Q4742" s="25" t="n"/>
      <c r="U4742" s="194" t="n"/>
      <c r="AA4742" s="25" t="n"/>
      <c r="AB4742" s="25" t="n"/>
      <c r="AC4742" s="195" t="n"/>
      <c r="AD4742" s="25" t="n"/>
      <c r="AE4742" s="25" t="n"/>
      <c r="AG4742" s="25" t="n"/>
      <c r="AH4742" s="25" t="n"/>
      <c r="AI4742" s="394" t="n"/>
      <c r="AM4742" s="48" t="n"/>
      <c r="AN4742" s="48" t="n"/>
      <c r="AO4742" s="48" t="n"/>
    </row>
    <row r="4743">
      <c r="M4743" s="25" t="n"/>
      <c r="Q4743" s="25" t="n"/>
      <c r="U4743" s="194" t="n"/>
      <c r="AA4743" s="25" t="n"/>
      <c r="AB4743" s="25" t="n"/>
      <c r="AC4743" s="195" t="n"/>
      <c r="AD4743" s="25" t="n"/>
      <c r="AE4743" s="25" t="n"/>
      <c r="AG4743" s="25" t="n"/>
      <c r="AH4743" s="25" t="n"/>
      <c r="AI4743" s="394" t="n"/>
      <c r="AM4743" s="48" t="n"/>
      <c r="AN4743" s="48" t="n"/>
      <c r="AO4743" s="48" t="n"/>
    </row>
    <row r="4744">
      <c r="M4744" s="25" t="n"/>
      <c r="Q4744" s="25" t="n"/>
      <c r="U4744" s="194" t="n"/>
      <c r="AA4744" s="25" t="n"/>
      <c r="AB4744" s="25" t="n"/>
      <c r="AC4744" s="195" t="n"/>
      <c r="AD4744" s="25" t="n"/>
      <c r="AE4744" s="25" t="n"/>
      <c r="AG4744" s="25" t="n"/>
      <c r="AH4744" s="25" t="n"/>
      <c r="AI4744" s="394" t="n"/>
      <c r="AM4744" s="48" t="n"/>
      <c r="AN4744" s="48" t="n"/>
      <c r="AO4744" s="48" t="n"/>
    </row>
    <row r="4745">
      <c r="M4745" s="25" t="n"/>
      <c r="Q4745" s="25" t="n"/>
      <c r="U4745" s="194" t="n"/>
      <c r="AA4745" s="25" t="n"/>
      <c r="AB4745" s="25" t="n"/>
      <c r="AC4745" s="195" t="n"/>
      <c r="AD4745" s="25" t="n"/>
      <c r="AE4745" s="25" t="n"/>
      <c r="AG4745" s="25" t="n"/>
      <c r="AH4745" s="25" t="n"/>
      <c r="AI4745" s="394" t="n"/>
      <c r="AM4745" s="48" t="n"/>
      <c r="AN4745" s="48" t="n"/>
      <c r="AO4745" s="48" t="n"/>
    </row>
    <row r="4746">
      <c r="M4746" s="25" t="n"/>
      <c r="Q4746" s="25" t="n"/>
      <c r="U4746" s="194" t="n"/>
      <c r="AA4746" s="25" t="n"/>
      <c r="AB4746" s="25" t="n"/>
      <c r="AC4746" s="195" t="n"/>
      <c r="AD4746" s="25" t="n"/>
      <c r="AE4746" s="25" t="n"/>
      <c r="AG4746" s="25" t="n"/>
      <c r="AH4746" s="25" t="n"/>
      <c r="AI4746" s="394" t="n"/>
      <c r="AM4746" s="48" t="n"/>
      <c r="AN4746" s="48" t="n"/>
      <c r="AO4746" s="48" t="n"/>
    </row>
    <row r="4747">
      <c r="M4747" s="25" t="n"/>
      <c r="Q4747" s="25" t="n"/>
      <c r="U4747" s="194" t="n"/>
      <c r="AA4747" s="25" t="n"/>
      <c r="AB4747" s="25" t="n"/>
      <c r="AC4747" s="195" t="n"/>
      <c r="AD4747" s="25" t="n"/>
      <c r="AE4747" s="25" t="n"/>
      <c r="AG4747" s="25" t="n"/>
      <c r="AH4747" s="25" t="n"/>
      <c r="AI4747" s="394" t="n"/>
      <c r="AM4747" s="48" t="n"/>
      <c r="AN4747" s="48" t="n"/>
      <c r="AO4747" s="48" t="n"/>
    </row>
    <row r="4748">
      <c r="M4748" s="25" t="n"/>
      <c r="Q4748" s="25" t="n"/>
      <c r="U4748" s="194" t="n"/>
      <c r="AA4748" s="25" t="n"/>
      <c r="AB4748" s="25" t="n"/>
      <c r="AC4748" s="195" t="n"/>
      <c r="AD4748" s="25" t="n"/>
      <c r="AE4748" s="25" t="n"/>
      <c r="AG4748" s="25" t="n"/>
      <c r="AH4748" s="25" t="n"/>
      <c r="AI4748" s="394" t="n"/>
      <c r="AM4748" s="48" t="n"/>
      <c r="AN4748" s="48" t="n"/>
      <c r="AO4748" s="48" t="n"/>
    </row>
    <row r="4749">
      <c r="M4749" s="25" t="n"/>
      <c r="Q4749" s="25" t="n"/>
      <c r="U4749" s="194" t="n"/>
      <c r="AA4749" s="25" t="n"/>
      <c r="AB4749" s="25" t="n"/>
      <c r="AC4749" s="195" t="n"/>
      <c r="AD4749" s="25" t="n"/>
      <c r="AE4749" s="25" t="n"/>
      <c r="AG4749" s="25" t="n"/>
      <c r="AH4749" s="25" t="n"/>
      <c r="AI4749" s="394" t="n"/>
      <c r="AM4749" s="48" t="n"/>
      <c r="AN4749" s="48" t="n"/>
      <c r="AO4749" s="48" t="n"/>
    </row>
    <row r="4750">
      <c r="M4750" s="25" t="n"/>
      <c r="Q4750" s="25" t="n"/>
      <c r="U4750" s="194" t="n"/>
      <c r="AA4750" s="25" t="n"/>
      <c r="AB4750" s="25" t="n"/>
      <c r="AC4750" s="195" t="n"/>
      <c r="AD4750" s="25" t="n"/>
      <c r="AE4750" s="25" t="n"/>
      <c r="AG4750" s="25" t="n"/>
      <c r="AH4750" s="25" t="n"/>
      <c r="AI4750" s="394" t="n"/>
      <c r="AM4750" s="48" t="n"/>
      <c r="AN4750" s="48" t="n"/>
      <c r="AO4750" s="48" t="n"/>
    </row>
    <row r="4751">
      <c r="M4751" s="25" t="n"/>
      <c r="Q4751" s="25" t="n"/>
      <c r="U4751" s="194" t="n"/>
      <c r="AA4751" s="25" t="n"/>
      <c r="AB4751" s="25" t="n"/>
      <c r="AC4751" s="195" t="n"/>
      <c r="AD4751" s="25" t="n"/>
      <c r="AE4751" s="25" t="n"/>
      <c r="AG4751" s="25" t="n"/>
      <c r="AH4751" s="25" t="n"/>
      <c r="AI4751" s="394" t="n"/>
      <c r="AM4751" s="48" t="n"/>
      <c r="AN4751" s="48" t="n"/>
      <c r="AO4751" s="48" t="n"/>
    </row>
    <row r="4752">
      <c r="M4752" s="25" t="n"/>
      <c r="Q4752" s="25" t="n"/>
      <c r="U4752" s="194" t="n"/>
      <c r="AA4752" s="25" t="n"/>
      <c r="AB4752" s="25" t="n"/>
      <c r="AC4752" s="195" t="n"/>
      <c r="AD4752" s="25" t="n"/>
      <c r="AE4752" s="25" t="n"/>
      <c r="AG4752" s="25" t="n"/>
      <c r="AH4752" s="25" t="n"/>
      <c r="AI4752" s="394" t="n"/>
      <c r="AM4752" s="48" t="n"/>
      <c r="AN4752" s="48" t="n"/>
      <c r="AO4752" s="48" t="n"/>
    </row>
    <row r="4753">
      <c r="M4753" s="25" t="n"/>
      <c r="Q4753" s="25" t="n"/>
      <c r="U4753" s="194" t="n"/>
      <c r="AA4753" s="25" t="n"/>
      <c r="AB4753" s="25" t="n"/>
      <c r="AC4753" s="195" t="n"/>
      <c r="AD4753" s="25" t="n"/>
      <c r="AE4753" s="25" t="n"/>
      <c r="AG4753" s="25" t="n"/>
      <c r="AH4753" s="25" t="n"/>
      <c r="AI4753" s="394" t="n"/>
      <c r="AM4753" s="48" t="n"/>
      <c r="AN4753" s="48" t="n"/>
      <c r="AO4753" s="48" t="n"/>
    </row>
    <row r="4754">
      <c r="M4754" s="25" t="n"/>
      <c r="Q4754" s="25" t="n"/>
      <c r="U4754" s="194" t="n"/>
      <c r="AA4754" s="25" t="n"/>
      <c r="AB4754" s="25" t="n"/>
      <c r="AC4754" s="195" t="n"/>
      <c r="AD4754" s="25" t="n"/>
      <c r="AE4754" s="25" t="n"/>
      <c r="AG4754" s="25" t="n"/>
      <c r="AH4754" s="25" t="n"/>
      <c r="AI4754" s="394" t="n"/>
      <c r="AM4754" s="48" t="n"/>
      <c r="AN4754" s="48" t="n"/>
      <c r="AO4754" s="48" t="n"/>
    </row>
    <row r="4755">
      <c r="M4755" s="25" t="n"/>
      <c r="Q4755" s="25" t="n"/>
      <c r="U4755" s="194" t="n"/>
      <c r="AA4755" s="25" t="n"/>
      <c r="AB4755" s="25" t="n"/>
      <c r="AC4755" s="195" t="n"/>
      <c r="AD4755" s="25" t="n"/>
      <c r="AE4755" s="25" t="n"/>
      <c r="AG4755" s="25" t="n"/>
      <c r="AH4755" s="25" t="n"/>
      <c r="AI4755" s="394" t="n"/>
      <c r="AM4755" s="48" t="n"/>
      <c r="AN4755" s="48" t="n"/>
      <c r="AO4755" s="48" t="n"/>
    </row>
    <row r="4756">
      <c r="M4756" s="25" t="n"/>
      <c r="Q4756" s="25" t="n"/>
      <c r="U4756" s="194" t="n"/>
      <c r="AA4756" s="25" t="n"/>
      <c r="AB4756" s="25" t="n"/>
      <c r="AC4756" s="195" t="n"/>
      <c r="AD4756" s="25" t="n"/>
      <c r="AE4756" s="25" t="n"/>
      <c r="AG4756" s="25" t="n"/>
      <c r="AH4756" s="25" t="n"/>
      <c r="AI4756" s="394" t="n"/>
      <c r="AM4756" s="48" t="n"/>
      <c r="AN4756" s="48" t="n"/>
      <c r="AO4756" s="48" t="n"/>
    </row>
    <row r="4757">
      <c r="M4757" s="25" t="n"/>
      <c r="Q4757" s="25" t="n"/>
      <c r="U4757" s="194" t="n"/>
      <c r="AA4757" s="25" t="n"/>
      <c r="AB4757" s="25" t="n"/>
      <c r="AC4757" s="195" t="n"/>
      <c r="AD4757" s="25" t="n"/>
      <c r="AE4757" s="25" t="n"/>
      <c r="AG4757" s="25" t="n"/>
      <c r="AH4757" s="25" t="n"/>
      <c r="AI4757" s="394" t="n"/>
      <c r="AM4757" s="48" t="n"/>
      <c r="AN4757" s="48" t="n"/>
      <c r="AO4757" s="48" t="n"/>
    </row>
    <row r="4758">
      <c r="M4758" s="25" t="n"/>
      <c r="Q4758" s="25" t="n"/>
      <c r="U4758" s="194" t="n"/>
      <c r="AA4758" s="25" t="n"/>
      <c r="AB4758" s="25" t="n"/>
      <c r="AC4758" s="195" t="n"/>
      <c r="AD4758" s="25" t="n"/>
      <c r="AE4758" s="25" t="n"/>
      <c r="AG4758" s="25" t="n"/>
      <c r="AH4758" s="25" t="n"/>
      <c r="AI4758" s="394" t="n"/>
      <c r="AM4758" s="48" t="n"/>
      <c r="AN4758" s="48" t="n"/>
      <c r="AO4758" s="48" t="n"/>
    </row>
    <row r="4759">
      <c r="M4759" s="25" t="n"/>
      <c r="Q4759" s="25" t="n"/>
      <c r="U4759" s="194" t="n"/>
      <c r="AA4759" s="25" t="n"/>
      <c r="AB4759" s="25" t="n"/>
      <c r="AC4759" s="195" t="n"/>
      <c r="AD4759" s="25" t="n"/>
      <c r="AE4759" s="25" t="n"/>
      <c r="AG4759" s="25" t="n"/>
      <c r="AH4759" s="25" t="n"/>
      <c r="AI4759" s="394" t="n"/>
      <c r="AM4759" s="48" t="n"/>
      <c r="AN4759" s="48" t="n"/>
      <c r="AO4759" s="48" t="n"/>
    </row>
    <row r="4760">
      <c r="M4760" s="25" t="n"/>
      <c r="Q4760" s="25" t="n"/>
      <c r="U4760" s="194" t="n"/>
      <c r="AA4760" s="25" t="n"/>
      <c r="AB4760" s="25" t="n"/>
      <c r="AC4760" s="195" t="n"/>
      <c r="AD4760" s="25" t="n"/>
      <c r="AE4760" s="25" t="n"/>
      <c r="AG4760" s="25" t="n"/>
      <c r="AH4760" s="25" t="n"/>
      <c r="AI4760" s="394" t="n"/>
      <c r="AM4760" s="48" t="n"/>
      <c r="AN4760" s="48" t="n"/>
      <c r="AO4760" s="48" t="n"/>
    </row>
    <row r="4761">
      <c r="M4761" s="25" t="n"/>
      <c r="Q4761" s="25" t="n"/>
      <c r="U4761" s="194" t="n"/>
      <c r="AA4761" s="25" t="n"/>
      <c r="AB4761" s="25" t="n"/>
      <c r="AC4761" s="195" t="n"/>
      <c r="AD4761" s="25" t="n"/>
      <c r="AE4761" s="25" t="n"/>
      <c r="AG4761" s="25" t="n"/>
      <c r="AH4761" s="25" t="n"/>
      <c r="AI4761" s="394" t="n"/>
      <c r="AM4761" s="48" t="n"/>
      <c r="AN4761" s="48" t="n"/>
      <c r="AO4761" s="48" t="n"/>
    </row>
    <row r="4762">
      <c r="M4762" s="25" t="n"/>
      <c r="Q4762" s="25" t="n"/>
      <c r="U4762" s="194" t="n"/>
      <c r="AA4762" s="25" t="n"/>
      <c r="AB4762" s="25" t="n"/>
      <c r="AC4762" s="195" t="n"/>
      <c r="AD4762" s="25" t="n"/>
      <c r="AE4762" s="25" t="n"/>
      <c r="AG4762" s="25" t="n"/>
      <c r="AH4762" s="25" t="n"/>
      <c r="AI4762" s="394" t="n"/>
      <c r="AM4762" s="48" t="n"/>
      <c r="AN4762" s="48" t="n"/>
      <c r="AO4762" s="48" t="n"/>
    </row>
    <row r="4763">
      <c r="M4763" s="25" t="n"/>
      <c r="Q4763" s="25" t="n"/>
      <c r="U4763" s="194" t="n"/>
      <c r="AA4763" s="25" t="n"/>
      <c r="AB4763" s="25" t="n"/>
      <c r="AC4763" s="195" t="n"/>
      <c r="AD4763" s="25" t="n"/>
      <c r="AE4763" s="25" t="n"/>
      <c r="AG4763" s="25" t="n"/>
      <c r="AH4763" s="25" t="n"/>
      <c r="AI4763" s="394" t="n"/>
      <c r="AM4763" s="48" t="n"/>
      <c r="AN4763" s="48" t="n"/>
      <c r="AO4763" s="48" t="n"/>
    </row>
    <row r="4764">
      <c r="M4764" s="25" t="n"/>
      <c r="Q4764" s="25" t="n"/>
      <c r="U4764" s="194" t="n"/>
      <c r="AA4764" s="25" t="n"/>
      <c r="AB4764" s="25" t="n"/>
      <c r="AC4764" s="195" t="n"/>
      <c r="AD4764" s="25" t="n"/>
      <c r="AE4764" s="25" t="n"/>
      <c r="AG4764" s="25" t="n"/>
      <c r="AH4764" s="25" t="n"/>
      <c r="AI4764" s="394" t="n"/>
      <c r="AM4764" s="48" t="n"/>
      <c r="AN4764" s="48" t="n"/>
      <c r="AO4764" s="48" t="n"/>
    </row>
    <row r="4765">
      <c r="M4765" s="25" t="n"/>
      <c r="Q4765" s="25" t="n"/>
      <c r="U4765" s="194" t="n"/>
      <c r="AA4765" s="25" t="n"/>
      <c r="AB4765" s="25" t="n"/>
      <c r="AC4765" s="195" t="n"/>
      <c r="AD4765" s="25" t="n"/>
      <c r="AE4765" s="25" t="n"/>
      <c r="AG4765" s="25" t="n"/>
      <c r="AH4765" s="25" t="n"/>
      <c r="AI4765" s="394" t="n"/>
      <c r="AM4765" s="48" t="n"/>
      <c r="AN4765" s="48" t="n"/>
      <c r="AO4765" s="48" t="n"/>
    </row>
    <row r="4766">
      <c r="M4766" s="25" t="n"/>
      <c r="Q4766" s="25" t="n"/>
      <c r="U4766" s="194" t="n"/>
      <c r="AA4766" s="25" t="n"/>
      <c r="AB4766" s="25" t="n"/>
      <c r="AC4766" s="195" t="n"/>
      <c r="AD4766" s="25" t="n"/>
      <c r="AE4766" s="25" t="n"/>
      <c r="AG4766" s="25" t="n"/>
      <c r="AH4766" s="25" t="n"/>
      <c r="AI4766" s="394" t="n"/>
      <c r="AM4766" s="48" t="n"/>
      <c r="AN4766" s="48" t="n"/>
      <c r="AO4766" s="48" t="n"/>
    </row>
    <row r="4767">
      <c r="M4767" s="25" t="n"/>
      <c r="Q4767" s="25" t="n"/>
      <c r="U4767" s="194" t="n"/>
      <c r="AA4767" s="25" t="n"/>
      <c r="AB4767" s="25" t="n"/>
      <c r="AC4767" s="195" t="n"/>
      <c r="AD4767" s="25" t="n"/>
      <c r="AE4767" s="25" t="n"/>
      <c r="AG4767" s="25" t="n"/>
      <c r="AH4767" s="25" t="n"/>
      <c r="AI4767" s="394" t="n"/>
      <c r="AM4767" s="48" t="n"/>
      <c r="AN4767" s="48" t="n"/>
      <c r="AO4767" s="48" t="n"/>
    </row>
    <row r="4768">
      <c r="M4768" s="25" t="n"/>
      <c r="Q4768" s="25" t="n"/>
      <c r="U4768" s="194" t="n"/>
      <c r="AA4768" s="25" t="n"/>
      <c r="AB4768" s="25" t="n"/>
      <c r="AC4768" s="195" t="n"/>
      <c r="AD4768" s="25" t="n"/>
      <c r="AE4768" s="25" t="n"/>
      <c r="AG4768" s="25" t="n"/>
      <c r="AH4768" s="25" t="n"/>
      <c r="AI4768" s="394" t="n"/>
      <c r="AM4768" s="48" t="n"/>
      <c r="AN4768" s="48" t="n"/>
      <c r="AO4768" s="48" t="n"/>
    </row>
    <row r="4769">
      <c r="M4769" s="25" t="n"/>
      <c r="Q4769" s="25" t="n"/>
      <c r="U4769" s="194" t="n"/>
      <c r="AA4769" s="25" t="n"/>
      <c r="AB4769" s="25" t="n"/>
      <c r="AC4769" s="195" t="n"/>
      <c r="AD4769" s="25" t="n"/>
      <c r="AE4769" s="25" t="n"/>
      <c r="AG4769" s="25" t="n"/>
      <c r="AH4769" s="25" t="n"/>
      <c r="AI4769" s="394" t="n"/>
      <c r="AM4769" s="48" t="n"/>
      <c r="AN4769" s="48" t="n"/>
      <c r="AO4769" s="48" t="n"/>
    </row>
    <row r="4770">
      <c r="M4770" s="25" t="n"/>
      <c r="Q4770" s="25" t="n"/>
      <c r="U4770" s="194" t="n"/>
      <c r="AA4770" s="25" t="n"/>
      <c r="AB4770" s="25" t="n"/>
      <c r="AC4770" s="195" t="n"/>
      <c r="AD4770" s="25" t="n"/>
      <c r="AE4770" s="25" t="n"/>
      <c r="AG4770" s="25" t="n"/>
      <c r="AH4770" s="25" t="n"/>
      <c r="AI4770" s="394" t="n"/>
      <c r="AM4770" s="48" t="n"/>
      <c r="AN4770" s="48" t="n"/>
      <c r="AO4770" s="48" t="n"/>
    </row>
    <row r="4771">
      <c r="M4771" s="25" t="n"/>
      <c r="Q4771" s="25" t="n"/>
      <c r="U4771" s="194" t="n"/>
      <c r="AA4771" s="25" t="n"/>
      <c r="AB4771" s="25" t="n"/>
      <c r="AC4771" s="195" t="n"/>
      <c r="AD4771" s="25" t="n"/>
      <c r="AE4771" s="25" t="n"/>
      <c r="AG4771" s="25" t="n"/>
      <c r="AH4771" s="25" t="n"/>
      <c r="AI4771" s="394" t="n"/>
      <c r="AM4771" s="48" t="n"/>
      <c r="AN4771" s="48" t="n"/>
      <c r="AO4771" s="48" t="n"/>
    </row>
    <row r="4772">
      <c r="M4772" s="25" t="n"/>
      <c r="Q4772" s="25" t="n"/>
      <c r="U4772" s="194" t="n"/>
      <c r="AA4772" s="25" t="n"/>
      <c r="AB4772" s="25" t="n"/>
      <c r="AC4772" s="195" t="n"/>
      <c r="AD4772" s="25" t="n"/>
      <c r="AE4772" s="25" t="n"/>
      <c r="AG4772" s="25" t="n"/>
      <c r="AH4772" s="25" t="n"/>
      <c r="AI4772" s="394" t="n"/>
      <c r="AM4772" s="48" t="n"/>
      <c r="AN4772" s="48" t="n"/>
      <c r="AO4772" s="48" t="n"/>
    </row>
    <row r="4773">
      <c r="M4773" s="25" t="n"/>
      <c r="Q4773" s="25" t="n"/>
      <c r="U4773" s="194" t="n"/>
      <c r="AA4773" s="25" t="n"/>
      <c r="AB4773" s="25" t="n"/>
      <c r="AC4773" s="195" t="n"/>
      <c r="AD4773" s="25" t="n"/>
      <c r="AE4773" s="25" t="n"/>
      <c r="AG4773" s="25" t="n"/>
      <c r="AH4773" s="25" t="n"/>
      <c r="AI4773" s="394" t="n"/>
      <c r="AM4773" s="48" t="n"/>
      <c r="AN4773" s="48" t="n"/>
      <c r="AO4773" s="48" t="n"/>
    </row>
    <row r="4774">
      <c r="M4774" s="25" t="n"/>
      <c r="Q4774" s="25" t="n"/>
      <c r="U4774" s="194" t="n"/>
      <c r="AA4774" s="25" t="n"/>
      <c r="AB4774" s="25" t="n"/>
      <c r="AC4774" s="195" t="n"/>
      <c r="AD4774" s="25" t="n"/>
      <c r="AE4774" s="25" t="n"/>
      <c r="AG4774" s="25" t="n"/>
      <c r="AH4774" s="25" t="n"/>
      <c r="AI4774" s="394" t="n"/>
      <c r="AM4774" s="48" t="n"/>
      <c r="AN4774" s="48" t="n"/>
      <c r="AO4774" s="48" t="n"/>
    </row>
    <row r="4775">
      <c r="M4775" s="25" t="n"/>
      <c r="Q4775" s="25" t="n"/>
      <c r="U4775" s="194" t="n"/>
      <c r="AA4775" s="25" t="n"/>
      <c r="AB4775" s="25" t="n"/>
      <c r="AC4775" s="195" t="n"/>
      <c r="AD4775" s="25" t="n"/>
      <c r="AE4775" s="25" t="n"/>
      <c r="AG4775" s="25" t="n"/>
      <c r="AH4775" s="25" t="n"/>
      <c r="AI4775" s="394" t="n"/>
      <c r="AM4775" s="48" t="n"/>
      <c r="AN4775" s="48" t="n"/>
      <c r="AO4775" s="48" t="n"/>
    </row>
    <row r="4776">
      <c r="M4776" s="25" t="n"/>
      <c r="Q4776" s="25" t="n"/>
      <c r="U4776" s="194" t="n"/>
      <c r="AA4776" s="25" t="n"/>
      <c r="AB4776" s="25" t="n"/>
      <c r="AC4776" s="195" t="n"/>
      <c r="AD4776" s="25" t="n"/>
      <c r="AE4776" s="25" t="n"/>
      <c r="AG4776" s="25" t="n"/>
      <c r="AH4776" s="25" t="n"/>
      <c r="AI4776" s="394" t="n"/>
      <c r="AM4776" s="48" t="n"/>
      <c r="AN4776" s="48" t="n"/>
      <c r="AO4776" s="48" t="n"/>
    </row>
    <row r="4777">
      <c r="M4777" s="25" t="n"/>
      <c r="Q4777" s="25" t="n"/>
      <c r="U4777" s="194" t="n"/>
      <c r="AA4777" s="25" t="n"/>
      <c r="AB4777" s="25" t="n"/>
      <c r="AC4777" s="195" t="n"/>
      <c r="AD4777" s="25" t="n"/>
      <c r="AE4777" s="25" t="n"/>
      <c r="AG4777" s="25" t="n"/>
      <c r="AH4777" s="25" t="n"/>
      <c r="AI4777" s="394" t="n"/>
      <c r="AM4777" s="48" t="n"/>
      <c r="AN4777" s="48" t="n"/>
      <c r="AO4777" s="48" t="n"/>
    </row>
    <row r="4778">
      <c r="M4778" s="25" t="n"/>
      <c r="Q4778" s="25" t="n"/>
      <c r="U4778" s="194" t="n"/>
      <c r="AA4778" s="25" t="n"/>
      <c r="AB4778" s="25" t="n"/>
      <c r="AC4778" s="195" t="n"/>
      <c r="AD4778" s="25" t="n"/>
      <c r="AE4778" s="25" t="n"/>
      <c r="AG4778" s="25" t="n"/>
      <c r="AH4778" s="25" t="n"/>
      <c r="AI4778" s="394" t="n"/>
      <c r="AM4778" s="48" t="n"/>
      <c r="AN4778" s="48" t="n"/>
      <c r="AO4778" s="48" t="n"/>
    </row>
    <row r="4779">
      <c r="M4779" s="25" t="n"/>
      <c r="Q4779" s="25" t="n"/>
      <c r="U4779" s="194" t="n"/>
      <c r="AA4779" s="25" t="n"/>
      <c r="AB4779" s="25" t="n"/>
      <c r="AC4779" s="195" t="n"/>
      <c r="AD4779" s="25" t="n"/>
      <c r="AE4779" s="25" t="n"/>
      <c r="AG4779" s="25" t="n"/>
      <c r="AH4779" s="25" t="n"/>
      <c r="AI4779" s="394" t="n"/>
      <c r="AM4779" s="48" t="n"/>
      <c r="AN4779" s="48" t="n"/>
      <c r="AO4779" s="48" t="n"/>
    </row>
    <row r="4780">
      <c r="M4780" s="25" t="n"/>
      <c r="Q4780" s="25" t="n"/>
      <c r="U4780" s="194" t="n"/>
      <c r="AA4780" s="25" t="n"/>
      <c r="AB4780" s="25" t="n"/>
      <c r="AC4780" s="195" t="n"/>
      <c r="AD4780" s="25" t="n"/>
      <c r="AE4780" s="25" t="n"/>
      <c r="AG4780" s="25" t="n"/>
      <c r="AH4780" s="25" t="n"/>
      <c r="AI4780" s="394" t="n"/>
      <c r="AM4780" s="48" t="n"/>
      <c r="AN4780" s="48" t="n"/>
      <c r="AO4780" s="48" t="n"/>
    </row>
    <row r="4781">
      <c r="M4781" s="25" t="n"/>
      <c r="Q4781" s="25" t="n"/>
      <c r="U4781" s="194" t="n"/>
      <c r="AA4781" s="25" t="n"/>
      <c r="AB4781" s="25" t="n"/>
      <c r="AC4781" s="195" t="n"/>
      <c r="AD4781" s="25" t="n"/>
      <c r="AE4781" s="25" t="n"/>
      <c r="AG4781" s="25" t="n"/>
      <c r="AH4781" s="25" t="n"/>
      <c r="AI4781" s="394" t="n"/>
      <c r="AM4781" s="48" t="n"/>
      <c r="AN4781" s="48" t="n"/>
      <c r="AO4781" s="48" t="n"/>
    </row>
    <row r="4782">
      <c r="M4782" s="25" t="n"/>
      <c r="Q4782" s="25" t="n"/>
      <c r="U4782" s="194" t="n"/>
      <c r="AA4782" s="25" t="n"/>
      <c r="AB4782" s="25" t="n"/>
      <c r="AC4782" s="195" t="n"/>
      <c r="AD4782" s="25" t="n"/>
      <c r="AE4782" s="25" t="n"/>
      <c r="AG4782" s="25" t="n"/>
      <c r="AH4782" s="25" t="n"/>
      <c r="AI4782" s="394" t="n"/>
      <c r="AM4782" s="48" t="n"/>
      <c r="AN4782" s="48" t="n"/>
      <c r="AO4782" s="48" t="n"/>
    </row>
    <row r="4783">
      <c r="M4783" s="25" t="n"/>
      <c r="Q4783" s="25" t="n"/>
      <c r="U4783" s="194" t="n"/>
      <c r="AA4783" s="25" t="n"/>
      <c r="AB4783" s="25" t="n"/>
      <c r="AC4783" s="195" t="n"/>
      <c r="AD4783" s="25" t="n"/>
      <c r="AE4783" s="25" t="n"/>
      <c r="AG4783" s="25" t="n"/>
      <c r="AH4783" s="25" t="n"/>
      <c r="AI4783" s="394" t="n"/>
      <c r="AM4783" s="48" t="n"/>
      <c r="AN4783" s="48" t="n"/>
      <c r="AO4783" s="48" t="n"/>
    </row>
    <row r="4784">
      <c r="M4784" s="25" t="n"/>
      <c r="Q4784" s="25" t="n"/>
      <c r="U4784" s="194" t="n"/>
      <c r="AA4784" s="25" t="n"/>
      <c r="AB4784" s="25" t="n"/>
      <c r="AC4784" s="195" t="n"/>
      <c r="AD4784" s="25" t="n"/>
      <c r="AE4784" s="25" t="n"/>
      <c r="AG4784" s="25" t="n"/>
      <c r="AH4784" s="25" t="n"/>
      <c r="AI4784" s="394" t="n"/>
      <c r="AM4784" s="48" t="n"/>
      <c r="AN4784" s="48" t="n"/>
      <c r="AO4784" s="48" t="n"/>
    </row>
    <row r="4785">
      <c r="M4785" s="25" t="n"/>
      <c r="Q4785" s="25" t="n"/>
      <c r="U4785" s="194" t="n"/>
      <c r="AA4785" s="25" t="n"/>
      <c r="AB4785" s="25" t="n"/>
      <c r="AC4785" s="195" t="n"/>
      <c r="AD4785" s="25" t="n"/>
      <c r="AE4785" s="25" t="n"/>
      <c r="AG4785" s="25" t="n"/>
      <c r="AH4785" s="25" t="n"/>
      <c r="AI4785" s="394" t="n"/>
      <c r="AM4785" s="48" t="n"/>
      <c r="AN4785" s="48" t="n"/>
      <c r="AO4785" s="48" t="n"/>
    </row>
    <row r="4786">
      <c r="M4786" s="25" t="n"/>
      <c r="Q4786" s="25" t="n"/>
      <c r="U4786" s="194" t="n"/>
      <c r="AA4786" s="25" t="n"/>
      <c r="AB4786" s="25" t="n"/>
      <c r="AC4786" s="195" t="n"/>
      <c r="AD4786" s="25" t="n"/>
      <c r="AE4786" s="25" t="n"/>
      <c r="AG4786" s="25" t="n"/>
      <c r="AH4786" s="25" t="n"/>
      <c r="AI4786" s="394" t="n"/>
      <c r="AM4786" s="48" t="n"/>
      <c r="AN4786" s="48" t="n"/>
      <c r="AO4786" s="48" t="n"/>
    </row>
    <row r="4787">
      <c r="M4787" s="25" t="n"/>
      <c r="Q4787" s="25" t="n"/>
      <c r="U4787" s="194" t="n"/>
      <c r="AA4787" s="25" t="n"/>
      <c r="AB4787" s="25" t="n"/>
      <c r="AC4787" s="195" t="n"/>
      <c r="AD4787" s="25" t="n"/>
      <c r="AE4787" s="25" t="n"/>
      <c r="AG4787" s="25" t="n"/>
      <c r="AH4787" s="25" t="n"/>
      <c r="AI4787" s="394" t="n"/>
      <c r="AM4787" s="48" t="n"/>
      <c r="AN4787" s="48" t="n"/>
      <c r="AO4787" s="48" t="n"/>
    </row>
    <row r="4788">
      <c r="M4788" s="25" t="n"/>
      <c r="Q4788" s="25" t="n"/>
      <c r="U4788" s="194" t="n"/>
      <c r="AA4788" s="25" t="n"/>
      <c r="AB4788" s="25" t="n"/>
      <c r="AC4788" s="195" t="n"/>
      <c r="AD4788" s="25" t="n"/>
      <c r="AE4788" s="25" t="n"/>
      <c r="AG4788" s="25" t="n"/>
      <c r="AH4788" s="25" t="n"/>
      <c r="AI4788" s="394" t="n"/>
      <c r="AM4788" s="48" t="n"/>
      <c r="AN4788" s="48" t="n"/>
      <c r="AO4788" s="48" t="n"/>
    </row>
    <row r="4789">
      <c r="M4789" s="25" t="n"/>
      <c r="Q4789" s="25" t="n"/>
      <c r="U4789" s="194" t="n"/>
      <c r="AA4789" s="25" t="n"/>
      <c r="AB4789" s="25" t="n"/>
      <c r="AC4789" s="195" t="n"/>
      <c r="AD4789" s="25" t="n"/>
      <c r="AE4789" s="25" t="n"/>
      <c r="AG4789" s="25" t="n"/>
      <c r="AH4789" s="25" t="n"/>
      <c r="AI4789" s="394" t="n"/>
      <c r="AM4789" s="48" t="n"/>
      <c r="AN4789" s="48" t="n"/>
      <c r="AO4789" s="48" t="n"/>
    </row>
    <row r="4790">
      <c r="M4790" s="25" t="n"/>
      <c r="Q4790" s="25" t="n"/>
      <c r="U4790" s="194" t="n"/>
      <c r="AA4790" s="25" t="n"/>
      <c r="AB4790" s="25" t="n"/>
      <c r="AC4790" s="195" t="n"/>
      <c r="AD4790" s="25" t="n"/>
      <c r="AE4790" s="25" t="n"/>
      <c r="AG4790" s="25" t="n"/>
      <c r="AH4790" s="25" t="n"/>
      <c r="AI4790" s="394" t="n"/>
      <c r="AM4790" s="48" t="n"/>
      <c r="AN4790" s="48" t="n"/>
      <c r="AO4790" s="48" t="n"/>
    </row>
    <row r="4791">
      <c r="M4791" s="25" t="n"/>
      <c r="Q4791" s="25" t="n"/>
      <c r="U4791" s="194" t="n"/>
      <c r="AA4791" s="25" t="n"/>
      <c r="AB4791" s="25" t="n"/>
      <c r="AC4791" s="195" t="n"/>
      <c r="AD4791" s="25" t="n"/>
      <c r="AE4791" s="25" t="n"/>
      <c r="AG4791" s="25" t="n"/>
      <c r="AH4791" s="25" t="n"/>
      <c r="AI4791" s="394" t="n"/>
      <c r="AM4791" s="48" t="n"/>
      <c r="AN4791" s="48" t="n"/>
      <c r="AO4791" s="48" t="n"/>
    </row>
    <row r="4792">
      <c r="M4792" s="25" t="n"/>
      <c r="Q4792" s="25" t="n"/>
      <c r="U4792" s="194" t="n"/>
      <c r="AA4792" s="25" t="n"/>
      <c r="AB4792" s="25" t="n"/>
      <c r="AC4792" s="195" t="n"/>
      <c r="AD4792" s="25" t="n"/>
      <c r="AE4792" s="25" t="n"/>
      <c r="AG4792" s="25" t="n"/>
      <c r="AH4792" s="25" t="n"/>
      <c r="AI4792" s="394" t="n"/>
      <c r="AM4792" s="48" t="n"/>
      <c r="AN4792" s="48" t="n"/>
      <c r="AO4792" s="48" t="n"/>
    </row>
    <row r="4793">
      <c r="M4793" s="25" t="n"/>
      <c r="Q4793" s="25" t="n"/>
      <c r="U4793" s="194" t="n"/>
      <c r="AA4793" s="25" t="n"/>
      <c r="AB4793" s="25" t="n"/>
      <c r="AC4793" s="195" t="n"/>
      <c r="AD4793" s="25" t="n"/>
      <c r="AE4793" s="25" t="n"/>
      <c r="AG4793" s="25" t="n"/>
      <c r="AH4793" s="25" t="n"/>
      <c r="AI4793" s="394" t="n"/>
      <c r="AM4793" s="48" t="n"/>
      <c r="AN4793" s="48" t="n"/>
      <c r="AO4793" s="48" t="n"/>
    </row>
    <row r="4794">
      <c r="M4794" s="25" t="n"/>
      <c r="Q4794" s="25" t="n"/>
      <c r="U4794" s="194" t="n"/>
      <c r="AA4794" s="25" t="n"/>
      <c r="AB4794" s="25" t="n"/>
      <c r="AC4794" s="195" t="n"/>
      <c r="AD4794" s="25" t="n"/>
      <c r="AE4794" s="25" t="n"/>
      <c r="AG4794" s="25" t="n"/>
      <c r="AH4794" s="25" t="n"/>
      <c r="AI4794" s="394" t="n"/>
      <c r="AM4794" s="48" t="n"/>
      <c r="AN4794" s="48" t="n"/>
      <c r="AO4794" s="48" t="n"/>
    </row>
    <row r="4795">
      <c r="M4795" s="25" t="n"/>
      <c r="Q4795" s="25" t="n"/>
      <c r="U4795" s="194" t="n"/>
      <c r="AA4795" s="25" t="n"/>
      <c r="AB4795" s="25" t="n"/>
      <c r="AC4795" s="195" t="n"/>
      <c r="AD4795" s="25" t="n"/>
      <c r="AE4795" s="25" t="n"/>
      <c r="AG4795" s="25" t="n"/>
      <c r="AH4795" s="25" t="n"/>
      <c r="AI4795" s="394" t="n"/>
      <c r="AM4795" s="48" t="n"/>
      <c r="AN4795" s="48" t="n"/>
      <c r="AO4795" s="48" t="n"/>
    </row>
    <row r="4796">
      <c r="M4796" s="25" t="n"/>
      <c r="Q4796" s="25" t="n"/>
      <c r="U4796" s="194" t="n"/>
      <c r="AA4796" s="25" t="n"/>
      <c r="AB4796" s="25" t="n"/>
      <c r="AC4796" s="195" t="n"/>
      <c r="AD4796" s="25" t="n"/>
      <c r="AE4796" s="25" t="n"/>
      <c r="AG4796" s="25" t="n"/>
      <c r="AH4796" s="25" t="n"/>
      <c r="AI4796" s="394" t="n"/>
      <c r="AM4796" s="48" t="n"/>
      <c r="AN4796" s="48" t="n"/>
      <c r="AO4796" s="48" t="n"/>
    </row>
    <row r="4797">
      <c r="M4797" s="25" t="n"/>
      <c r="Q4797" s="25" t="n"/>
      <c r="U4797" s="194" t="n"/>
      <c r="AA4797" s="25" t="n"/>
      <c r="AB4797" s="25" t="n"/>
      <c r="AC4797" s="195" t="n"/>
      <c r="AD4797" s="25" t="n"/>
      <c r="AE4797" s="25" t="n"/>
      <c r="AG4797" s="25" t="n"/>
      <c r="AH4797" s="25" t="n"/>
      <c r="AI4797" s="394" t="n"/>
      <c r="AM4797" s="48" t="n"/>
      <c r="AN4797" s="48" t="n"/>
      <c r="AO4797" s="48" t="n"/>
    </row>
    <row r="4798">
      <c r="M4798" s="25" t="n"/>
      <c r="Q4798" s="25" t="n"/>
      <c r="U4798" s="194" t="n"/>
      <c r="AA4798" s="25" t="n"/>
      <c r="AB4798" s="25" t="n"/>
      <c r="AC4798" s="195" t="n"/>
      <c r="AD4798" s="25" t="n"/>
      <c r="AE4798" s="25" t="n"/>
      <c r="AG4798" s="25" t="n"/>
      <c r="AH4798" s="25" t="n"/>
      <c r="AI4798" s="394" t="n"/>
      <c r="AM4798" s="48" t="n"/>
      <c r="AN4798" s="48" t="n"/>
      <c r="AO4798" s="48" t="n"/>
    </row>
    <row r="4799">
      <c r="M4799" s="25" t="n"/>
      <c r="Q4799" s="25" t="n"/>
      <c r="U4799" s="194" t="n"/>
      <c r="AA4799" s="25" t="n"/>
      <c r="AB4799" s="25" t="n"/>
      <c r="AC4799" s="195" t="n"/>
      <c r="AD4799" s="25" t="n"/>
      <c r="AE4799" s="25" t="n"/>
      <c r="AG4799" s="25" t="n"/>
      <c r="AH4799" s="25" t="n"/>
      <c r="AI4799" s="394" t="n"/>
      <c r="AM4799" s="48" t="n"/>
      <c r="AN4799" s="48" t="n"/>
      <c r="AO4799" s="48" t="n"/>
    </row>
    <row r="4800">
      <c r="M4800" s="25" t="n"/>
      <c r="Q4800" s="25" t="n"/>
      <c r="U4800" s="194" t="n"/>
      <c r="AA4800" s="25" t="n"/>
      <c r="AB4800" s="25" t="n"/>
      <c r="AC4800" s="195" t="n"/>
      <c r="AD4800" s="25" t="n"/>
      <c r="AE4800" s="25" t="n"/>
      <c r="AG4800" s="25" t="n"/>
      <c r="AH4800" s="25" t="n"/>
      <c r="AI4800" s="394" t="n"/>
      <c r="AM4800" s="48" t="n"/>
      <c r="AN4800" s="48" t="n"/>
      <c r="AO4800" s="48" t="n"/>
    </row>
    <row r="4801">
      <c r="M4801" s="25" t="n"/>
      <c r="Q4801" s="25" t="n"/>
      <c r="U4801" s="194" t="n"/>
      <c r="AA4801" s="25" t="n"/>
      <c r="AB4801" s="25" t="n"/>
      <c r="AC4801" s="195" t="n"/>
      <c r="AD4801" s="25" t="n"/>
      <c r="AE4801" s="25" t="n"/>
      <c r="AG4801" s="25" t="n"/>
      <c r="AH4801" s="25" t="n"/>
      <c r="AI4801" s="394" t="n"/>
      <c r="AM4801" s="48" t="n"/>
      <c r="AN4801" s="48" t="n"/>
      <c r="AO4801" s="48" t="n"/>
    </row>
    <row r="4802">
      <c r="M4802" s="25" t="n"/>
      <c r="Q4802" s="25" t="n"/>
      <c r="U4802" s="194" t="n"/>
      <c r="AA4802" s="25" t="n"/>
      <c r="AB4802" s="25" t="n"/>
      <c r="AC4802" s="195" t="n"/>
      <c r="AD4802" s="25" t="n"/>
      <c r="AE4802" s="25" t="n"/>
      <c r="AG4802" s="25" t="n"/>
      <c r="AH4802" s="25" t="n"/>
      <c r="AI4802" s="394" t="n"/>
      <c r="AM4802" s="48" t="n"/>
      <c r="AN4802" s="48" t="n"/>
      <c r="AO4802" s="48" t="n"/>
    </row>
    <row r="4803">
      <c r="M4803" s="25" t="n"/>
      <c r="Q4803" s="25" t="n"/>
      <c r="U4803" s="194" t="n"/>
      <c r="AA4803" s="25" t="n"/>
      <c r="AB4803" s="25" t="n"/>
      <c r="AC4803" s="195" t="n"/>
      <c r="AD4803" s="25" t="n"/>
      <c r="AE4803" s="25" t="n"/>
      <c r="AG4803" s="25" t="n"/>
      <c r="AH4803" s="25" t="n"/>
      <c r="AI4803" s="394" t="n"/>
      <c r="AM4803" s="48" t="n"/>
      <c r="AN4803" s="48" t="n"/>
      <c r="AO4803" s="48" t="n"/>
    </row>
    <row r="4804">
      <c r="M4804" s="25" t="n"/>
      <c r="Q4804" s="25" t="n"/>
      <c r="U4804" s="194" t="n"/>
      <c r="AA4804" s="25" t="n"/>
      <c r="AB4804" s="25" t="n"/>
      <c r="AC4804" s="195" t="n"/>
      <c r="AD4804" s="25" t="n"/>
      <c r="AE4804" s="25" t="n"/>
      <c r="AG4804" s="25" t="n"/>
      <c r="AH4804" s="25" t="n"/>
      <c r="AI4804" s="394" t="n"/>
      <c r="AM4804" s="48" t="n"/>
      <c r="AN4804" s="48" t="n"/>
      <c r="AO4804" s="48" t="n"/>
    </row>
    <row r="4805">
      <c r="M4805" s="25" t="n"/>
      <c r="Q4805" s="25" t="n"/>
      <c r="U4805" s="194" t="n"/>
      <c r="AA4805" s="25" t="n"/>
      <c r="AB4805" s="25" t="n"/>
      <c r="AC4805" s="195" t="n"/>
      <c r="AD4805" s="25" t="n"/>
      <c r="AE4805" s="25" t="n"/>
      <c r="AG4805" s="25" t="n"/>
      <c r="AH4805" s="25" t="n"/>
      <c r="AI4805" s="394" t="n"/>
      <c r="AM4805" s="48" t="n"/>
      <c r="AN4805" s="48" t="n"/>
      <c r="AO4805" s="48" t="n"/>
    </row>
    <row r="4806">
      <c r="M4806" s="25" t="n"/>
      <c r="Q4806" s="25" t="n"/>
      <c r="U4806" s="194" t="n"/>
      <c r="AA4806" s="25" t="n"/>
      <c r="AB4806" s="25" t="n"/>
      <c r="AC4806" s="195" t="n"/>
      <c r="AD4806" s="25" t="n"/>
      <c r="AE4806" s="25" t="n"/>
      <c r="AG4806" s="25" t="n"/>
      <c r="AH4806" s="25" t="n"/>
      <c r="AI4806" s="394" t="n"/>
      <c r="AM4806" s="48" t="n"/>
      <c r="AN4806" s="48" t="n"/>
      <c r="AO4806" s="48" t="n"/>
    </row>
    <row r="4807">
      <c r="M4807" s="25" t="n"/>
      <c r="Q4807" s="25" t="n"/>
      <c r="U4807" s="194" t="n"/>
      <c r="AA4807" s="25" t="n"/>
      <c r="AB4807" s="25" t="n"/>
      <c r="AC4807" s="195" t="n"/>
      <c r="AD4807" s="25" t="n"/>
      <c r="AE4807" s="25" t="n"/>
      <c r="AG4807" s="25" t="n"/>
      <c r="AH4807" s="25" t="n"/>
      <c r="AI4807" s="394" t="n"/>
      <c r="AM4807" s="48" t="n"/>
      <c r="AN4807" s="48" t="n"/>
      <c r="AO4807" s="48" t="n"/>
    </row>
    <row r="4808">
      <c r="M4808" s="25" t="n"/>
      <c r="Q4808" s="25" t="n"/>
      <c r="U4808" s="194" t="n"/>
      <c r="AA4808" s="25" t="n"/>
      <c r="AB4808" s="25" t="n"/>
      <c r="AC4808" s="195" t="n"/>
      <c r="AD4808" s="25" t="n"/>
      <c r="AE4808" s="25" t="n"/>
      <c r="AG4808" s="25" t="n"/>
      <c r="AH4808" s="25" t="n"/>
      <c r="AI4808" s="394" t="n"/>
      <c r="AM4808" s="48" t="n"/>
      <c r="AN4808" s="48" t="n"/>
      <c r="AO4808" s="48" t="n"/>
    </row>
    <row r="4809">
      <c r="M4809" s="25" t="n"/>
      <c r="Q4809" s="25" t="n"/>
      <c r="U4809" s="194" t="n"/>
      <c r="AA4809" s="25" t="n"/>
      <c r="AB4809" s="25" t="n"/>
      <c r="AC4809" s="195" t="n"/>
      <c r="AD4809" s="25" t="n"/>
      <c r="AE4809" s="25" t="n"/>
      <c r="AG4809" s="25" t="n"/>
      <c r="AH4809" s="25" t="n"/>
      <c r="AI4809" s="394" t="n"/>
      <c r="AM4809" s="48" t="n"/>
      <c r="AN4809" s="48" t="n"/>
      <c r="AO4809" s="48" t="n"/>
    </row>
    <row r="4810">
      <c r="M4810" s="25" t="n"/>
      <c r="Q4810" s="25" t="n"/>
      <c r="U4810" s="194" t="n"/>
      <c r="AA4810" s="25" t="n"/>
      <c r="AB4810" s="25" t="n"/>
      <c r="AC4810" s="195" t="n"/>
      <c r="AD4810" s="25" t="n"/>
      <c r="AE4810" s="25" t="n"/>
      <c r="AG4810" s="25" t="n"/>
      <c r="AH4810" s="25" t="n"/>
      <c r="AI4810" s="394" t="n"/>
      <c r="AM4810" s="48" t="n"/>
      <c r="AN4810" s="48" t="n"/>
      <c r="AO4810" s="48" t="n"/>
    </row>
    <row r="4811">
      <c r="M4811" s="25" t="n"/>
      <c r="Q4811" s="25" t="n"/>
      <c r="U4811" s="194" t="n"/>
      <c r="AA4811" s="25" t="n"/>
      <c r="AB4811" s="25" t="n"/>
      <c r="AC4811" s="195" t="n"/>
      <c r="AD4811" s="25" t="n"/>
      <c r="AE4811" s="25" t="n"/>
      <c r="AG4811" s="25" t="n"/>
      <c r="AH4811" s="25" t="n"/>
      <c r="AI4811" s="394" t="n"/>
      <c r="AM4811" s="48" t="n"/>
      <c r="AN4811" s="48" t="n"/>
      <c r="AO4811" s="48" t="n"/>
    </row>
    <row r="4812">
      <c r="M4812" s="25" t="n"/>
      <c r="Q4812" s="25" t="n"/>
      <c r="U4812" s="194" t="n"/>
      <c r="AA4812" s="25" t="n"/>
      <c r="AB4812" s="25" t="n"/>
      <c r="AC4812" s="195" t="n"/>
      <c r="AD4812" s="25" t="n"/>
      <c r="AE4812" s="25" t="n"/>
      <c r="AG4812" s="25" t="n"/>
      <c r="AH4812" s="25" t="n"/>
      <c r="AI4812" s="394" t="n"/>
      <c r="AM4812" s="48" t="n"/>
      <c r="AN4812" s="48" t="n"/>
      <c r="AO4812" s="48" t="n"/>
    </row>
    <row r="4813">
      <c r="M4813" s="25" t="n"/>
      <c r="Q4813" s="25" t="n"/>
      <c r="U4813" s="194" t="n"/>
      <c r="AA4813" s="25" t="n"/>
      <c r="AB4813" s="25" t="n"/>
      <c r="AC4813" s="195" t="n"/>
      <c r="AD4813" s="25" t="n"/>
      <c r="AE4813" s="25" t="n"/>
      <c r="AG4813" s="25" t="n"/>
      <c r="AH4813" s="25" t="n"/>
      <c r="AI4813" s="394" t="n"/>
      <c r="AM4813" s="48" t="n"/>
      <c r="AN4813" s="48" t="n"/>
      <c r="AO4813" s="48" t="n"/>
    </row>
    <row r="4814">
      <c r="M4814" s="25" t="n"/>
      <c r="Q4814" s="25" t="n"/>
      <c r="U4814" s="194" t="n"/>
      <c r="AA4814" s="25" t="n"/>
      <c r="AB4814" s="25" t="n"/>
      <c r="AC4814" s="195" t="n"/>
      <c r="AD4814" s="25" t="n"/>
      <c r="AE4814" s="25" t="n"/>
      <c r="AG4814" s="25" t="n"/>
      <c r="AH4814" s="25" t="n"/>
      <c r="AI4814" s="394" t="n"/>
      <c r="AM4814" s="48" t="n"/>
      <c r="AN4814" s="48" t="n"/>
      <c r="AO4814" s="48" t="n"/>
    </row>
    <row r="4815">
      <c r="M4815" s="25" t="n"/>
      <c r="Q4815" s="25" t="n"/>
      <c r="U4815" s="194" t="n"/>
      <c r="AA4815" s="25" t="n"/>
      <c r="AB4815" s="25" t="n"/>
      <c r="AC4815" s="195" t="n"/>
      <c r="AD4815" s="25" t="n"/>
      <c r="AE4815" s="25" t="n"/>
      <c r="AG4815" s="25" t="n"/>
      <c r="AH4815" s="25" t="n"/>
      <c r="AI4815" s="394" t="n"/>
      <c r="AM4815" s="48" t="n"/>
      <c r="AN4815" s="48" t="n"/>
      <c r="AO4815" s="48" t="n"/>
    </row>
    <row r="4816">
      <c r="M4816" s="25" t="n"/>
      <c r="Q4816" s="25" t="n"/>
      <c r="U4816" s="194" t="n"/>
      <c r="AA4816" s="25" t="n"/>
      <c r="AB4816" s="25" t="n"/>
      <c r="AC4816" s="195" t="n"/>
      <c r="AD4816" s="25" t="n"/>
      <c r="AE4816" s="25" t="n"/>
      <c r="AG4816" s="25" t="n"/>
      <c r="AH4816" s="25" t="n"/>
      <c r="AI4816" s="394" t="n"/>
      <c r="AM4816" s="48" t="n"/>
      <c r="AN4816" s="48" t="n"/>
      <c r="AO4816" s="48" t="n"/>
    </row>
    <row r="4817">
      <c r="M4817" s="25" t="n"/>
      <c r="Q4817" s="25" t="n"/>
      <c r="U4817" s="194" t="n"/>
      <c r="AA4817" s="25" t="n"/>
      <c r="AB4817" s="25" t="n"/>
      <c r="AC4817" s="195" t="n"/>
      <c r="AD4817" s="25" t="n"/>
      <c r="AE4817" s="25" t="n"/>
      <c r="AG4817" s="25" t="n"/>
      <c r="AH4817" s="25" t="n"/>
      <c r="AI4817" s="394" t="n"/>
      <c r="AM4817" s="48" t="n"/>
      <c r="AN4817" s="48" t="n"/>
      <c r="AO4817" s="48" t="n"/>
    </row>
    <row r="4818">
      <c r="M4818" s="25" t="n"/>
      <c r="Q4818" s="25" t="n"/>
      <c r="U4818" s="194" t="n"/>
      <c r="AA4818" s="25" t="n"/>
      <c r="AB4818" s="25" t="n"/>
      <c r="AC4818" s="195" t="n"/>
      <c r="AD4818" s="25" t="n"/>
      <c r="AE4818" s="25" t="n"/>
      <c r="AG4818" s="25" t="n"/>
      <c r="AH4818" s="25" t="n"/>
      <c r="AI4818" s="394" t="n"/>
      <c r="AM4818" s="48" t="n"/>
      <c r="AN4818" s="48" t="n"/>
      <c r="AO4818" s="48" t="n"/>
    </row>
    <row r="4819">
      <c r="M4819" s="25" t="n"/>
      <c r="Q4819" s="25" t="n"/>
      <c r="U4819" s="194" t="n"/>
      <c r="AA4819" s="25" t="n"/>
      <c r="AB4819" s="25" t="n"/>
      <c r="AC4819" s="195" t="n"/>
      <c r="AD4819" s="25" t="n"/>
      <c r="AE4819" s="25" t="n"/>
      <c r="AG4819" s="25" t="n"/>
      <c r="AH4819" s="25" t="n"/>
      <c r="AI4819" s="394" t="n"/>
      <c r="AM4819" s="48" t="n"/>
      <c r="AN4819" s="48" t="n"/>
      <c r="AO4819" s="48" t="n"/>
    </row>
    <row r="4820">
      <c r="M4820" s="25" t="n"/>
      <c r="Q4820" s="25" t="n"/>
      <c r="U4820" s="194" t="n"/>
      <c r="AA4820" s="25" t="n"/>
      <c r="AB4820" s="25" t="n"/>
      <c r="AC4820" s="195" t="n"/>
      <c r="AD4820" s="25" t="n"/>
      <c r="AE4820" s="25" t="n"/>
      <c r="AG4820" s="25" t="n"/>
      <c r="AH4820" s="25" t="n"/>
      <c r="AI4820" s="394" t="n"/>
      <c r="AM4820" s="48" t="n"/>
      <c r="AN4820" s="48" t="n"/>
      <c r="AO4820" s="48" t="n"/>
    </row>
    <row r="4821">
      <c r="M4821" s="25" t="n"/>
      <c r="Q4821" s="25" t="n"/>
      <c r="U4821" s="194" t="n"/>
      <c r="AA4821" s="25" t="n"/>
      <c r="AB4821" s="25" t="n"/>
      <c r="AC4821" s="195" t="n"/>
      <c r="AD4821" s="25" t="n"/>
      <c r="AE4821" s="25" t="n"/>
      <c r="AG4821" s="25" t="n"/>
      <c r="AH4821" s="25" t="n"/>
      <c r="AI4821" s="394" t="n"/>
      <c r="AM4821" s="48" t="n"/>
      <c r="AN4821" s="48" t="n"/>
      <c r="AO4821" s="48" t="n"/>
    </row>
    <row r="4822">
      <c r="M4822" s="25" t="n"/>
      <c r="Q4822" s="25" t="n"/>
      <c r="U4822" s="194" t="n"/>
      <c r="AA4822" s="25" t="n"/>
      <c r="AB4822" s="25" t="n"/>
      <c r="AC4822" s="195" t="n"/>
      <c r="AD4822" s="25" t="n"/>
      <c r="AE4822" s="25" t="n"/>
      <c r="AG4822" s="25" t="n"/>
      <c r="AH4822" s="25" t="n"/>
      <c r="AI4822" s="394" t="n"/>
      <c r="AM4822" s="48" t="n"/>
      <c r="AN4822" s="48" t="n"/>
      <c r="AO4822" s="48" t="n"/>
    </row>
    <row r="4823">
      <c r="M4823" s="25" t="n"/>
      <c r="Q4823" s="25" t="n"/>
      <c r="U4823" s="194" t="n"/>
      <c r="AA4823" s="25" t="n"/>
      <c r="AB4823" s="25" t="n"/>
      <c r="AC4823" s="195" t="n"/>
      <c r="AD4823" s="25" t="n"/>
      <c r="AE4823" s="25" t="n"/>
      <c r="AG4823" s="25" t="n"/>
      <c r="AH4823" s="25" t="n"/>
      <c r="AI4823" s="394" t="n"/>
      <c r="AM4823" s="48" t="n"/>
      <c r="AN4823" s="48" t="n"/>
      <c r="AO4823" s="48" t="n"/>
    </row>
    <row r="4824">
      <c r="M4824" s="25" t="n"/>
      <c r="Q4824" s="25" t="n"/>
      <c r="U4824" s="194" t="n"/>
      <c r="AA4824" s="25" t="n"/>
      <c r="AB4824" s="25" t="n"/>
      <c r="AC4824" s="195" t="n"/>
      <c r="AD4824" s="25" t="n"/>
      <c r="AE4824" s="25" t="n"/>
      <c r="AG4824" s="25" t="n"/>
      <c r="AH4824" s="25" t="n"/>
      <c r="AI4824" s="394" t="n"/>
      <c r="AM4824" s="48" t="n"/>
      <c r="AN4824" s="48" t="n"/>
      <c r="AO4824" s="48" t="n"/>
    </row>
    <row r="4825">
      <c r="M4825" s="25" t="n"/>
      <c r="Q4825" s="25" t="n"/>
      <c r="U4825" s="194" t="n"/>
      <c r="AA4825" s="25" t="n"/>
      <c r="AB4825" s="25" t="n"/>
      <c r="AC4825" s="195" t="n"/>
      <c r="AD4825" s="25" t="n"/>
      <c r="AE4825" s="25" t="n"/>
      <c r="AG4825" s="25" t="n"/>
      <c r="AH4825" s="25" t="n"/>
      <c r="AI4825" s="394" t="n"/>
      <c r="AM4825" s="48" t="n"/>
      <c r="AN4825" s="48" t="n"/>
      <c r="AO4825" s="48" t="n"/>
    </row>
    <row r="4826">
      <c r="M4826" s="25" t="n"/>
      <c r="Q4826" s="25" t="n"/>
      <c r="U4826" s="194" t="n"/>
      <c r="AA4826" s="25" t="n"/>
      <c r="AB4826" s="25" t="n"/>
      <c r="AC4826" s="195" t="n"/>
      <c r="AD4826" s="25" t="n"/>
      <c r="AE4826" s="25" t="n"/>
      <c r="AG4826" s="25" t="n"/>
      <c r="AH4826" s="25" t="n"/>
      <c r="AI4826" s="394" t="n"/>
      <c r="AM4826" s="48" t="n"/>
      <c r="AN4826" s="48" t="n"/>
      <c r="AO4826" s="48" t="n"/>
    </row>
    <row r="4827">
      <c r="M4827" s="25" t="n"/>
      <c r="Q4827" s="25" t="n"/>
      <c r="U4827" s="194" t="n"/>
      <c r="AA4827" s="25" t="n"/>
      <c r="AB4827" s="25" t="n"/>
      <c r="AC4827" s="195" t="n"/>
      <c r="AD4827" s="25" t="n"/>
      <c r="AE4827" s="25" t="n"/>
      <c r="AG4827" s="25" t="n"/>
      <c r="AH4827" s="25" t="n"/>
      <c r="AI4827" s="394" t="n"/>
      <c r="AM4827" s="48" t="n"/>
      <c r="AN4827" s="48" t="n"/>
      <c r="AO4827" s="48" t="n"/>
    </row>
    <row r="4828">
      <c r="M4828" s="25" t="n"/>
      <c r="Q4828" s="25" t="n"/>
      <c r="U4828" s="194" t="n"/>
      <c r="AA4828" s="25" t="n"/>
      <c r="AB4828" s="25" t="n"/>
      <c r="AC4828" s="195" t="n"/>
      <c r="AD4828" s="25" t="n"/>
      <c r="AE4828" s="25" t="n"/>
      <c r="AG4828" s="25" t="n"/>
      <c r="AH4828" s="25" t="n"/>
      <c r="AI4828" s="394" t="n"/>
      <c r="AM4828" s="48" t="n"/>
      <c r="AN4828" s="48" t="n"/>
      <c r="AO4828" s="48" t="n"/>
    </row>
    <row r="4829">
      <c r="M4829" s="25" t="n"/>
      <c r="Q4829" s="25" t="n"/>
      <c r="U4829" s="194" t="n"/>
      <c r="AA4829" s="25" t="n"/>
      <c r="AB4829" s="25" t="n"/>
      <c r="AC4829" s="195" t="n"/>
      <c r="AD4829" s="25" t="n"/>
      <c r="AE4829" s="25" t="n"/>
      <c r="AG4829" s="25" t="n"/>
      <c r="AH4829" s="25" t="n"/>
      <c r="AI4829" s="394" t="n"/>
      <c r="AM4829" s="48" t="n"/>
      <c r="AN4829" s="48" t="n"/>
      <c r="AO4829" s="48" t="n"/>
    </row>
    <row r="4830">
      <c r="M4830" s="25" t="n"/>
      <c r="Q4830" s="25" t="n"/>
      <c r="U4830" s="194" t="n"/>
      <c r="AA4830" s="25" t="n"/>
      <c r="AB4830" s="25" t="n"/>
      <c r="AC4830" s="195" t="n"/>
      <c r="AD4830" s="25" t="n"/>
      <c r="AE4830" s="25" t="n"/>
      <c r="AG4830" s="25" t="n"/>
      <c r="AH4830" s="25" t="n"/>
      <c r="AI4830" s="394" t="n"/>
      <c r="AM4830" s="48" t="n"/>
      <c r="AN4830" s="48" t="n"/>
      <c r="AO4830" s="48" t="n"/>
    </row>
    <row r="4831">
      <c r="M4831" s="25" t="n"/>
      <c r="Q4831" s="25" t="n"/>
      <c r="U4831" s="194" t="n"/>
      <c r="AA4831" s="25" t="n"/>
      <c r="AB4831" s="25" t="n"/>
      <c r="AC4831" s="195" t="n"/>
      <c r="AD4831" s="25" t="n"/>
      <c r="AE4831" s="25" t="n"/>
      <c r="AG4831" s="25" t="n"/>
      <c r="AH4831" s="25" t="n"/>
      <c r="AI4831" s="394" t="n"/>
      <c r="AM4831" s="48" t="n"/>
      <c r="AN4831" s="48" t="n"/>
      <c r="AO4831" s="48" t="n"/>
    </row>
    <row r="4832">
      <c r="M4832" s="25" t="n"/>
      <c r="Q4832" s="25" t="n"/>
      <c r="U4832" s="194" t="n"/>
      <c r="AA4832" s="25" t="n"/>
      <c r="AB4832" s="25" t="n"/>
      <c r="AC4832" s="195" t="n"/>
      <c r="AD4832" s="25" t="n"/>
      <c r="AE4832" s="25" t="n"/>
      <c r="AG4832" s="25" t="n"/>
      <c r="AH4832" s="25" t="n"/>
      <c r="AI4832" s="394" t="n"/>
      <c r="AM4832" s="48" t="n"/>
      <c r="AN4832" s="48" t="n"/>
      <c r="AO4832" s="48" t="n"/>
    </row>
    <row r="4833">
      <c r="M4833" s="25" t="n"/>
      <c r="Q4833" s="25" t="n"/>
      <c r="U4833" s="194" t="n"/>
      <c r="AA4833" s="25" t="n"/>
      <c r="AB4833" s="25" t="n"/>
      <c r="AC4833" s="195" t="n"/>
      <c r="AD4833" s="25" t="n"/>
      <c r="AE4833" s="25" t="n"/>
      <c r="AG4833" s="25" t="n"/>
      <c r="AH4833" s="25" t="n"/>
      <c r="AI4833" s="394" t="n"/>
      <c r="AM4833" s="48" t="n"/>
      <c r="AN4833" s="48" t="n"/>
      <c r="AO4833" s="48" t="n"/>
    </row>
    <row r="4834">
      <c r="M4834" s="25" t="n"/>
      <c r="Q4834" s="25" t="n"/>
      <c r="U4834" s="194" t="n"/>
      <c r="AA4834" s="25" t="n"/>
      <c r="AB4834" s="25" t="n"/>
      <c r="AC4834" s="195" t="n"/>
      <c r="AD4834" s="25" t="n"/>
      <c r="AE4834" s="25" t="n"/>
      <c r="AG4834" s="25" t="n"/>
      <c r="AH4834" s="25" t="n"/>
      <c r="AI4834" s="394" t="n"/>
      <c r="AM4834" s="48" t="n"/>
      <c r="AN4834" s="48" t="n"/>
      <c r="AO4834" s="48" t="n"/>
    </row>
    <row r="4835">
      <c r="M4835" s="25" t="n"/>
      <c r="Q4835" s="25" t="n"/>
      <c r="U4835" s="194" t="n"/>
      <c r="AA4835" s="25" t="n"/>
      <c r="AB4835" s="25" t="n"/>
      <c r="AC4835" s="195" t="n"/>
      <c r="AD4835" s="25" t="n"/>
      <c r="AE4835" s="25" t="n"/>
      <c r="AG4835" s="25" t="n"/>
      <c r="AH4835" s="25" t="n"/>
      <c r="AI4835" s="394" t="n"/>
      <c r="AM4835" s="48" t="n"/>
      <c r="AN4835" s="48" t="n"/>
      <c r="AO4835" s="48" t="n"/>
    </row>
    <row r="4836">
      <c r="M4836" s="25" t="n"/>
      <c r="Q4836" s="25" t="n"/>
      <c r="U4836" s="194" t="n"/>
      <c r="AA4836" s="25" t="n"/>
      <c r="AB4836" s="25" t="n"/>
      <c r="AC4836" s="195" t="n"/>
      <c r="AD4836" s="25" t="n"/>
      <c r="AE4836" s="25" t="n"/>
      <c r="AG4836" s="25" t="n"/>
      <c r="AH4836" s="25" t="n"/>
      <c r="AI4836" s="394" t="n"/>
      <c r="AM4836" s="48" t="n"/>
      <c r="AN4836" s="48" t="n"/>
      <c r="AO4836" s="48" t="n"/>
    </row>
    <row r="4837">
      <c r="M4837" s="25" t="n"/>
      <c r="Q4837" s="25" t="n"/>
      <c r="U4837" s="194" t="n"/>
      <c r="AA4837" s="25" t="n"/>
      <c r="AB4837" s="25" t="n"/>
      <c r="AC4837" s="195" t="n"/>
      <c r="AD4837" s="25" t="n"/>
      <c r="AE4837" s="25" t="n"/>
      <c r="AG4837" s="25" t="n"/>
      <c r="AH4837" s="25" t="n"/>
      <c r="AI4837" s="394" t="n"/>
      <c r="AM4837" s="48" t="n"/>
      <c r="AN4837" s="48" t="n"/>
      <c r="AO4837" s="48" t="n"/>
    </row>
    <row r="4838">
      <c r="M4838" s="25" t="n"/>
      <c r="Q4838" s="25" t="n"/>
      <c r="U4838" s="194" t="n"/>
      <c r="AA4838" s="25" t="n"/>
      <c r="AB4838" s="25" t="n"/>
      <c r="AC4838" s="195" t="n"/>
      <c r="AD4838" s="25" t="n"/>
      <c r="AE4838" s="25" t="n"/>
      <c r="AG4838" s="25" t="n"/>
      <c r="AH4838" s="25" t="n"/>
      <c r="AI4838" s="394" t="n"/>
      <c r="AM4838" s="48" t="n"/>
      <c r="AN4838" s="48" t="n"/>
      <c r="AO4838" s="48" t="n"/>
    </row>
    <row r="4839">
      <c r="M4839" s="25" t="n"/>
      <c r="Q4839" s="25" t="n"/>
      <c r="U4839" s="194" t="n"/>
      <c r="AA4839" s="25" t="n"/>
      <c r="AB4839" s="25" t="n"/>
      <c r="AC4839" s="195" t="n"/>
      <c r="AD4839" s="25" t="n"/>
      <c r="AE4839" s="25" t="n"/>
      <c r="AG4839" s="25" t="n"/>
      <c r="AH4839" s="25" t="n"/>
      <c r="AI4839" s="394" t="n"/>
      <c r="AM4839" s="48" t="n"/>
      <c r="AN4839" s="48" t="n"/>
      <c r="AO4839" s="48" t="n"/>
    </row>
    <row r="4840">
      <c r="M4840" s="25" t="n"/>
      <c r="Q4840" s="25" t="n"/>
      <c r="U4840" s="194" t="n"/>
      <c r="AA4840" s="25" t="n"/>
      <c r="AB4840" s="25" t="n"/>
      <c r="AC4840" s="195" t="n"/>
      <c r="AD4840" s="25" t="n"/>
      <c r="AE4840" s="25" t="n"/>
      <c r="AG4840" s="25" t="n"/>
      <c r="AH4840" s="25" t="n"/>
      <c r="AI4840" s="394" t="n"/>
      <c r="AM4840" s="48" t="n"/>
      <c r="AN4840" s="48" t="n"/>
      <c r="AO4840" s="48" t="n"/>
    </row>
    <row r="4841">
      <c r="M4841" s="25" t="n"/>
      <c r="Q4841" s="25" t="n"/>
      <c r="U4841" s="194" t="n"/>
      <c r="AA4841" s="25" t="n"/>
      <c r="AB4841" s="25" t="n"/>
      <c r="AC4841" s="195" t="n"/>
      <c r="AD4841" s="25" t="n"/>
      <c r="AE4841" s="25" t="n"/>
      <c r="AG4841" s="25" t="n"/>
      <c r="AH4841" s="25" t="n"/>
      <c r="AI4841" s="394" t="n"/>
      <c r="AM4841" s="48" t="n"/>
      <c r="AN4841" s="48" t="n"/>
      <c r="AO4841" s="48" t="n"/>
    </row>
    <row r="4842">
      <c r="M4842" s="25" t="n"/>
      <c r="Q4842" s="25" t="n"/>
      <c r="U4842" s="194" t="n"/>
      <c r="AA4842" s="25" t="n"/>
      <c r="AB4842" s="25" t="n"/>
      <c r="AC4842" s="195" t="n"/>
      <c r="AD4842" s="25" t="n"/>
      <c r="AE4842" s="25" t="n"/>
      <c r="AG4842" s="25" t="n"/>
      <c r="AH4842" s="25" t="n"/>
      <c r="AI4842" s="394" t="n"/>
      <c r="AM4842" s="48" t="n"/>
      <c r="AN4842" s="48" t="n"/>
      <c r="AO4842" s="48" t="n"/>
    </row>
    <row r="4843">
      <c r="M4843" s="25" t="n"/>
      <c r="Q4843" s="25" t="n"/>
      <c r="U4843" s="194" t="n"/>
      <c r="AA4843" s="25" t="n"/>
      <c r="AB4843" s="25" t="n"/>
      <c r="AC4843" s="195" t="n"/>
      <c r="AD4843" s="25" t="n"/>
      <c r="AE4843" s="25" t="n"/>
      <c r="AG4843" s="25" t="n"/>
      <c r="AH4843" s="25" t="n"/>
      <c r="AI4843" s="394" t="n"/>
      <c r="AM4843" s="48" t="n"/>
      <c r="AN4843" s="48" t="n"/>
      <c r="AO4843" s="48" t="n"/>
    </row>
    <row r="4844">
      <c r="M4844" s="25" t="n"/>
      <c r="Q4844" s="25" t="n"/>
      <c r="U4844" s="194" t="n"/>
      <c r="AA4844" s="25" t="n"/>
      <c r="AB4844" s="25" t="n"/>
      <c r="AC4844" s="195" t="n"/>
      <c r="AD4844" s="25" t="n"/>
      <c r="AE4844" s="25" t="n"/>
      <c r="AG4844" s="25" t="n"/>
      <c r="AH4844" s="25" t="n"/>
      <c r="AI4844" s="394" t="n"/>
      <c r="AM4844" s="48" t="n"/>
      <c r="AN4844" s="48" t="n"/>
      <c r="AO4844" s="48" t="n"/>
    </row>
    <row r="4845">
      <c r="M4845" s="25" t="n"/>
      <c r="Q4845" s="25" t="n"/>
      <c r="U4845" s="194" t="n"/>
      <c r="AA4845" s="25" t="n"/>
      <c r="AB4845" s="25" t="n"/>
      <c r="AC4845" s="195" t="n"/>
      <c r="AD4845" s="25" t="n"/>
      <c r="AE4845" s="25" t="n"/>
      <c r="AG4845" s="25" t="n"/>
      <c r="AH4845" s="25" t="n"/>
      <c r="AI4845" s="394" t="n"/>
      <c r="AM4845" s="48" t="n"/>
      <c r="AN4845" s="48" t="n"/>
      <c r="AO4845" s="48" t="n"/>
    </row>
    <row r="4846">
      <c r="M4846" s="25" t="n"/>
      <c r="Q4846" s="25" t="n"/>
      <c r="U4846" s="194" t="n"/>
      <c r="AA4846" s="25" t="n"/>
      <c r="AB4846" s="25" t="n"/>
      <c r="AC4846" s="195" t="n"/>
      <c r="AD4846" s="25" t="n"/>
      <c r="AE4846" s="25" t="n"/>
      <c r="AG4846" s="25" t="n"/>
      <c r="AH4846" s="25" t="n"/>
      <c r="AI4846" s="394" t="n"/>
      <c r="AM4846" s="48" t="n"/>
      <c r="AN4846" s="48" t="n"/>
      <c r="AO4846" s="48" t="n"/>
    </row>
    <row r="4847">
      <c r="M4847" s="25" t="n"/>
      <c r="Q4847" s="25" t="n"/>
      <c r="U4847" s="194" t="n"/>
      <c r="AA4847" s="25" t="n"/>
      <c r="AB4847" s="25" t="n"/>
      <c r="AC4847" s="195" t="n"/>
      <c r="AD4847" s="25" t="n"/>
      <c r="AE4847" s="25" t="n"/>
      <c r="AG4847" s="25" t="n"/>
      <c r="AH4847" s="25" t="n"/>
      <c r="AI4847" s="394" t="n"/>
      <c r="AM4847" s="48" t="n"/>
      <c r="AN4847" s="48" t="n"/>
      <c r="AO4847" s="48" t="n"/>
    </row>
    <row r="4848">
      <c r="M4848" s="25" t="n"/>
      <c r="Q4848" s="25" t="n"/>
      <c r="U4848" s="194" t="n"/>
      <c r="AA4848" s="25" t="n"/>
      <c r="AB4848" s="25" t="n"/>
      <c r="AC4848" s="195" t="n"/>
      <c r="AD4848" s="25" t="n"/>
      <c r="AE4848" s="25" t="n"/>
      <c r="AG4848" s="25" t="n"/>
      <c r="AH4848" s="25" t="n"/>
      <c r="AI4848" s="394" t="n"/>
      <c r="AM4848" s="48" t="n"/>
      <c r="AN4848" s="48" t="n"/>
      <c r="AO4848" s="48" t="n"/>
    </row>
    <row r="4849">
      <c r="M4849" s="25" t="n"/>
      <c r="Q4849" s="25" t="n"/>
      <c r="U4849" s="194" t="n"/>
      <c r="AA4849" s="25" t="n"/>
      <c r="AB4849" s="25" t="n"/>
      <c r="AC4849" s="195" t="n"/>
      <c r="AD4849" s="25" t="n"/>
      <c r="AE4849" s="25" t="n"/>
      <c r="AG4849" s="25" t="n"/>
      <c r="AH4849" s="25" t="n"/>
      <c r="AI4849" s="394" t="n"/>
      <c r="AM4849" s="48" t="n"/>
      <c r="AN4849" s="48" t="n"/>
      <c r="AO4849" s="48" t="n"/>
    </row>
    <row r="4850">
      <c r="M4850" s="25" t="n"/>
      <c r="Q4850" s="25" t="n"/>
      <c r="U4850" s="194" t="n"/>
      <c r="AA4850" s="25" t="n"/>
      <c r="AB4850" s="25" t="n"/>
      <c r="AC4850" s="195" t="n"/>
      <c r="AD4850" s="25" t="n"/>
      <c r="AE4850" s="25" t="n"/>
      <c r="AG4850" s="25" t="n"/>
      <c r="AH4850" s="25" t="n"/>
      <c r="AI4850" s="394" t="n"/>
      <c r="AM4850" s="48" t="n"/>
      <c r="AN4850" s="48" t="n"/>
      <c r="AO4850" s="48" t="n"/>
    </row>
    <row r="4851">
      <c r="M4851" s="25" t="n"/>
      <c r="Q4851" s="25" t="n"/>
      <c r="U4851" s="194" t="n"/>
      <c r="AA4851" s="25" t="n"/>
      <c r="AB4851" s="25" t="n"/>
      <c r="AC4851" s="195" t="n"/>
      <c r="AD4851" s="25" t="n"/>
      <c r="AE4851" s="25" t="n"/>
      <c r="AG4851" s="25" t="n"/>
      <c r="AH4851" s="25" t="n"/>
      <c r="AI4851" s="394" t="n"/>
      <c r="AM4851" s="48" t="n"/>
      <c r="AN4851" s="48" t="n"/>
      <c r="AO4851" s="48" t="n"/>
    </row>
    <row r="4852">
      <c r="M4852" s="25" t="n"/>
      <c r="Q4852" s="25" t="n"/>
      <c r="U4852" s="194" t="n"/>
      <c r="AA4852" s="25" t="n"/>
      <c r="AB4852" s="25" t="n"/>
      <c r="AC4852" s="195" t="n"/>
      <c r="AD4852" s="25" t="n"/>
      <c r="AE4852" s="25" t="n"/>
      <c r="AG4852" s="25" t="n"/>
      <c r="AH4852" s="25" t="n"/>
      <c r="AI4852" s="394" t="n"/>
      <c r="AM4852" s="48" t="n"/>
      <c r="AN4852" s="48" t="n"/>
      <c r="AO4852" s="48" t="n"/>
    </row>
    <row r="4853">
      <c r="M4853" s="25" t="n"/>
      <c r="Q4853" s="25" t="n"/>
      <c r="U4853" s="194" t="n"/>
      <c r="AA4853" s="25" t="n"/>
      <c r="AB4853" s="25" t="n"/>
      <c r="AC4853" s="195" t="n"/>
      <c r="AD4853" s="25" t="n"/>
      <c r="AE4853" s="25" t="n"/>
      <c r="AG4853" s="25" t="n"/>
      <c r="AH4853" s="25" t="n"/>
      <c r="AI4853" s="394" t="n"/>
      <c r="AM4853" s="48" t="n"/>
      <c r="AN4853" s="48" t="n"/>
      <c r="AO4853" s="48" t="n"/>
    </row>
    <row r="4854">
      <c r="M4854" s="25" t="n"/>
      <c r="Q4854" s="25" t="n"/>
      <c r="U4854" s="194" t="n"/>
      <c r="AA4854" s="25" t="n"/>
      <c r="AB4854" s="25" t="n"/>
      <c r="AC4854" s="195" t="n"/>
      <c r="AD4854" s="25" t="n"/>
      <c r="AE4854" s="25" t="n"/>
      <c r="AG4854" s="25" t="n"/>
      <c r="AH4854" s="25" t="n"/>
      <c r="AI4854" s="394" t="n"/>
      <c r="AM4854" s="48" t="n"/>
      <c r="AN4854" s="48" t="n"/>
      <c r="AO4854" s="48" t="n"/>
    </row>
    <row r="4855">
      <c r="M4855" s="25" t="n"/>
      <c r="Q4855" s="25" t="n"/>
      <c r="U4855" s="194" t="n"/>
      <c r="AA4855" s="25" t="n"/>
      <c r="AB4855" s="25" t="n"/>
      <c r="AC4855" s="195" t="n"/>
      <c r="AD4855" s="25" t="n"/>
      <c r="AE4855" s="25" t="n"/>
      <c r="AG4855" s="25" t="n"/>
      <c r="AH4855" s="25" t="n"/>
      <c r="AI4855" s="394" t="n"/>
      <c r="AM4855" s="48" t="n"/>
      <c r="AN4855" s="48" t="n"/>
      <c r="AO4855" s="48" t="n"/>
    </row>
    <row r="4856">
      <c r="M4856" s="25" t="n"/>
      <c r="Q4856" s="25" t="n"/>
      <c r="U4856" s="194" t="n"/>
      <c r="AA4856" s="25" t="n"/>
      <c r="AB4856" s="25" t="n"/>
      <c r="AC4856" s="195" t="n"/>
      <c r="AD4856" s="25" t="n"/>
      <c r="AE4856" s="25" t="n"/>
      <c r="AG4856" s="25" t="n"/>
      <c r="AH4856" s="25" t="n"/>
      <c r="AI4856" s="394" t="n"/>
      <c r="AM4856" s="48" t="n"/>
      <c r="AN4856" s="48" t="n"/>
      <c r="AO4856" s="48" t="n"/>
    </row>
    <row r="4857">
      <c r="M4857" s="25" t="n"/>
      <c r="Q4857" s="25" t="n"/>
      <c r="U4857" s="194" t="n"/>
      <c r="AA4857" s="25" t="n"/>
      <c r="AB4857" s="25" t="n"/>
      <c r="AC4857" s="195" t="n"/>
      <c r="AD4857" s="25" t="n"/>
      <c r="AE4857" s="25" t="n"/>
      <c r="AG4857" s="25" t="n"/>
      <c r="AH4857" s="25" t="n"/>
      <c r="AI4857" s="394" t="n"/>
      <c r="AM4857" s="48" t="n"/>
      <c r="AN4857" s="48" t="n"/>
      <c r="AO4857" s="48" t="n"/>
    </row>
    <row r="4858">
      <c r="M4858" s="25" t="n"/>
      <c r="Q4858" s="25" t="n"/>
      <c r="U4858" s="194" t="n"/>
      <c r="AA4858" s="25" t="n"/>
      <c r="AB4858" s="25" t="n"/>
      <c r="AC4858" s="195" t="n"/>
      <c r="AD4858" s="25" t="n"/>
      <c r="AE4858" s="25" t="n"/>
      <c r="AG4858" s="25" t="n"/>
      <c r="AH4858" s="25" t="n"/>
      <c r="AI4858" s="394" t="n"/>
      <c r="AM4858" s="48" t="n"/>
      <c r="AN4858" s="48" t="n"/>
      <c r="AO4858" s="48" t="n"/>
    </row>
    <row r="4859">
      <c r="M4859" s="25" t="n"/>
      <c r="Q4859" s="25" t="n"/>
      <c r="U4859" s="194" t="n"/>
      <c r="AA4859" s="25" t="n"/>
      <c r="AB4859" s="25" t="n"/>
      <c r="AC4859" s="195" t="n"/>
      <c r="AD4859" s="25" t="n"/>
      <c r="AE4859" s="25" t="n"/>
      <c r="AG4859" s="25" t="n"/>
      <c r="AH4859" s="25" t="n"/>
      <c r="AI4859" s="394" t="n"/>
      <c r="AM4859" s="48" t="n"/>
      <c r="AN4859" s="48" t="n"/>
      <c r="AO4859" s="48" t="n"/>
    </row>
    <row r="4860">
      <c r="M4860" s="25" t="n"/>
      <c r="Q4860" s="25" t="n"/>
      <c r="U4860" s="194" t="n"/>
      <c r="AA4860" s="25" t="n"/>
      <c r="AB4860" s="25" t="n"/>
      <c r="AC4860" s="195" t="n"/>
      <c r="AD4860" s="25" t="n"/>
      <c r="AE4860" s="25" t="n"/>
      <c r="AG4860" s="25" t="n"/>
      <c r="AH4860" s="25" t="n"/>
      <c r="AI4860" s="394" t="n"/>
      <c r="AM4860" s="48" t="n"/>
      <c r="AN4860" s="48" t="n"/>
      <c r="AO4860" s="48" t="n"/>
    </row>
    <row r="4861">
      <c r="M4861" s="25" t="n"/>
      <c r="Q4861" s="25" t="n"/>
      <c r="U4861" s="194" t="n"/>
      <c r="AA4861" s="25" t="n"/>
      <c r="AB4861" s="25" t="n"/>
      <c r="AC4861" s="195" t="n"/>
      <c r="AD4861" s="25" t="n"/>
      <c r="AE4861" s="25" t="n"/>
      <c r="AG4861" s="25" t="n"/>
      <c r="AH4861" s="25" t="n"/>
      <c r="AI4861" s="394" t="n"/>
      <c r="AM4861" s="48" t="n"/>
      <c r="AN4861" s="48" t="n"/>
      <c r="AO4861" s="48" t="n"/>
    </row>
    <row r="4862">
      <c r="M4862" s="25" t="n"/>
      <c r="Q4862" s="25" t="n"/>
      <c r="U4862" s="194" t="n"/>
      <c r="AA4862" s="25" t="n"/>
      <c r="AB4862" s="25" t="n"/>
      <c r="AC4862" s="195" t="n"/>
      <c r="AD4862" s="25" t="n"/>
      <c r="AE4862" s="25" t="n"/>
      <c r="AG4862" s="25" t="n"/>
      <c r="AH4862" s="25" t="n"/>
      <c r="AI4862" s="394" t="n"/>
      <c r="AM4862" s="48" t="n"/>
      <c r="AN4862" s="48" t="n"/>
      <c r="AO4862" s="48" t="n"/>
    </row>
    <row r="4863">
      <c r="M4863" s="25" t="n"/>
      <c r="Q4863" s="25" t="n"/>
      <c r="U4863" s="194" t="n"/>
      <c r="AA4863" s="25" t="n"/>
      <c r="AB4863" s="25" t="n"/>
      <c r="AC4863" s="195" t="n"/>
      <c r="AD4863" s="25" t="n"/>
      <c r="AE4863" s="25" t="n"/>
      <c r="AG4863" s="25" t="n"/>
      <c r="AH4863" s="25" t="n"/>
      <c r="AI4863" s="394" t="n"/>
      <c r="AM4863" s="48" t="n"/>
      <c r="AN4863" s="48" t="n"/>
      <c r="AO4863" s="48" t="n"/>
    </row>
    <row r="4864">
      <c r="M4864" s="25" t="n"/>
      <c r="Q4864" s="25" t="n"/>
      <c r="U4864" s="194" t="n"/>
      <c r="AA4864" s="25" t="n"/>
      <c r="AB4864" s="25" t="n"/>
      <c r="AC4864" s="195" t="n"/>
      <c r="AD4864" s="25" t="n"/>
      <c r="AE4864" s="25" t="n"/>
      <c r="AG4864" s="25" t="n"/>
      <c r="AH4864" s="25" t="n"/>
      <c r="AI4864" s="394" t="n"/>
      <c r="AM4864" s="48" t="n"/>
      <c r="AN4864" s="48" t="n"/>
      <c r="AO4864" s="48" t="n"/>
    </row>
    <row r="4865">
      <c r="M4865" s="25" t="n"/>
      <c r="Q4865" s="25" t="n"/>
      <c r="U4865" s="194" t="n"/>
      <c r="AA4865" s="25" t="n"/>
      <c r="AB4865" s="25" t="n"/>
      <c r="AC4865" s="195" t="n"/>
      <c r="AD4865" s="25" t="n"/>
      <c r="AE4865" s="25" t="n"/>
      <c r="AG4865" s="25" t="n"/>
      <c r="AH4865" s="25" t="n"/>
      <c r="AI4865" s="394" t="n"/>
      <c r="AM4865" s="48" t="n"/>
      <c r="AN4865" s="48" t="n"/>
      <c r="AO4865" s="48" t="n"/>
    </row>
    <row r="4866">
      <c r="M4866" s="25" t="n"/>
      <c r="Q4866" s="25" t="n"/>
      <c r="U4866" s="194" t="n"/>
      <c r="AA4866" s="25" t="n"/>
      <c r="AB4866" s="25" t="n"/>
      <c r="AC4866" s="195" t="n"/>
      <c r="AD4866" s="25" t="n"/>
      <c r="AE4866" s="25" t="n"/>
      <c r="AG4866" s="25" t="n"/>
      <c r="AH4866" s="25" t="n"/>
      <c r="AI4866" s="394" t="n"/>
      <c r="AM4866" s="48" t="n"/>
      <c r="AN4866" s="48" t="n"/>
      <c r="AO4866" s="48" t="n"/>
    </row>
    <row r="4867">
      <c r="M4867" s="25" t="n"/>
      <c r="Q4867" s="25" t="n"/>
      <c r="U4867" s="194" t="n"/>
      <c r="AA4867" s="25" t="n"/>
      <c r="AB4867" s="25" t="n"/>
      <c r="AC4867" s="195" t="n"/>
      <c r="AD4867" s="25" t="n"/>
      <c r="AE4867" s="25" t="n"/>
      <c r="AG4867" s="25" t="n"/>
      <c r="AH4867" s="25" t="n"/>
      <c r="AI4867" s="394" t="n"/>
      <c r="AM4867" s="48" t="n"/>
      <c r="AN4867" s="48" t="n"/>
      <c r="AO4867" s="48" t="n"/>
    </row>
    <row r="4868">
      <c r="M4868" s="25" t="n"/>
      <c r="Q4868" s="25" t="n"/>
      <c r="U4868" s="194" t="n"/>
      <c r="AA4868" s="25" t="n"/>
      <c r="AB4868" s="25" t="n"/>
      <c r="AC4868" s="195" t="n"/>
      <c r="AD4868" s="25" t="n"/>
      <c r="AE4868" s="25" t="n"/>
      <c r="AG4868" s="25" t="n"/>
      <c r="AH4868" s="25" t="n"/>
      <c r="AI4868" s="394" t="n"/>
      <c r="AM4868" s="48" t="n"/>
      <c r="AN4868" s="48" t="n"/>
      <c r="AO4868" s="48" t="n"/>
    </row>
    <row r="4869">
      <c r="M4869" s="25" t="n"/>
      <c r="Q4869" s="25" t="n"/>
      <c r="U4869" s="194" t="n"/>
      <c r="AA4869" s="25" t="n"/>
      <c r="AB4869" s="25" t="n"/>
      <c r="AC4869" s="195" t="n"/>
      <c r="AD4869" s="25" t="n"/>
      <c r="AE4869" s="25" t="n"/>
      <c r="AG4869" s="25" t="n"/>
      <c r="AH4869" s="25" t="n"/>
      <c r="AI4869" s="394" t="n"/>
      <c r="AM4869" s="48" t="n"/>
      <c r="AN4869" s="48" t="n"/>
      <c r="AO4869" s="48" t="n"/>
    </row>
    <row r="4870">
      <c r="M4870" s="25" t="n"/>
      <c r="Q4870" s="25" t="n"/>
      <c r="U4870" s="194" t="n"/>
      <c r="AA4870" s="25" t="n"/>
      <c r="AB4870" s="25" t="n"/>
      <c r="AC4870" s="195" t="n"/>
      <c r="AD4870" s="25" t="n"/>
      <c r="AE4870" s="25" t="n"/>
      <c r="AG4870" s="25" t="n"/>
      <c r="AH4870" s="25" t="n"/>
      <c r="AI4870" s="394" t="n"/>
      <c r="AM4870" s="48" t="n"/>
      <c r="AN4870" s="48" t="n"/>
      <c r="AO4870" s="48" t="n"/>
    </row>
    <row r="4871">
      <c r="M4871" s="25" t="n"/>
      <c r="Q4871" s="25" t="n"/>
      <c r="U4871" s="194" t="n"/>
      <c r="AA4871" s="25" t="n"/>
      <c r="AB4871" s="25" t="n"/>
      <c r="AC4871" s="195" t="n"/>
      <c r="AD4871" s="25" t="n"/>
      <c r="AE4871" s="25" t="n"/>
      <c r="AG4871" s="25" t="n"/>
      <c r="AH4871" s="25" t="n"/>
      <c r="AI4871" s="394" t="n"/>
      <c r="AM4871" s="48" t="n"/>
      <c r="AN4871" s="48" t="n"/>
      <c r="AO4871" s="48" t="n"/>
    </row>
    <row r="4872">
      <c r="M4872" s="25" t="n"/>
      <c r="Q4872" s="25" t="n"/>
      <c r="U4872" s="194" t="n"/>
      <c r="AA4872" s="25" t="n"/>
      <c r="AB4872" s="25" t="n"/>
      <c r="AC4872" s="195" t="n"/>
      <c r="AD4872" s="25" t="n"/>
      <c r="AE4872" s="25" t="n"/>
      <c r="AG4872" s="25" t="n"/>
      <c r="AH4872" s="25" t="n"/>
      <c r="AI4872" s="394" t="n"/>
      <c r="AM4872" s="48" t="n"/>
      <c r="AN4872" s="48" t="n"/>
      <c r="AO4872" s="48" t="n"/>
    </row>
    <row r="4873">
      <c r="M4873" s="25" t="n"/>
      <c r="Q4873" s="25" t="n"/>
      <c r="U4873" s="194" t="n"/>
      <c r="AA4873" s="25" t="n"/>
      <c r="AB4873" s="25" t="n"/>
      <c r="AC4873" s="195" t="n"/>
      <c r="AD4873" s="25" t="n"/>
      <c r="AE4873" s="25" t="n"/>
      <c r="AG4873" s="25" t="n"/>
      <c r="AH4873" s="25" t="n"/>
      <c r="AI4873" s="394" t="n"/>
      <c r="AM4873" s="48" t="n"/>
      <c r="AN4873" s="48" t="n"/>
      <c r="AO4873" s="48" t="n"/>
    </row>
    <row r="4874">
      <c r="M4874" s="25" t="n"/>
      <c r="Q4874" s="25" t="n"/>
      <c r="U4874" s="194" t="n"/>
      <c r="AA4874" s="25" t="n"/>
      <c r="AB4874" s="25" t="n"/>
      <c r="AC4874" s="195" t="n"/>
      <c r="AD4874" s="25" t="n"/>
      <c r="AE4874" s="25" t="n"/>
      <c r="AG4874" s="25" t="n"/>
      <c r="AH4874" s="25" t="n"/>
      <c r="AI4874" s="394" t="n"/>
      <c r="AM4874" s="48" t="n"/>
      <c r="AN4874" s="48" t="n"/>
      <c r="AO4874" s="48" t="n"/>
    </row>
    <row r="4875">
      <c r="M4875" s="25" t="n"/>
      <c r="Q4875" s="25" t="n"/>
      <c r="U4875" s="194" t="n"/>
      <c r="AA4875" s="25" t="n"/>
      <c r="AB4875" s="25" t="n"/>
      <c r="AC4875" s="195" t="n"/>
      <c r="AD4875" s="25" t="n"/>
      <c r="AE4875" s="25" t="n"/>
      <c r="AG4875" s="25" t="n"/>
      <c r="AH4875" s="25" t="n"/>
      <c r="AI4875" s="394" t="n"/>
      <c r="AM4875" s="48" t="n"/>
      <c r="AN4875" s="48" t="n"/>
      <c r="AO4875" s="48" t="n"/>
    </row>
    <row r="4876">
      <c r="M4876" s="25" t="n"/>
      <c r="Q4876" s="25" t="n"/>
      <c r="U4876" s="194" t="n"/>
      <c r="AA4876" s="25" t="n"/>
      <c r="AB4876" s="25" t="n"/>
      <c r="AC4876" s="195" t="n"/>
      <c r="AD4876" s="25" t="n"/>
      <c r="AE4876" s="25" t="n"/>
      <c r="AG4876" s="25" t="n"/>
      <c r="AH4876" s="25" t="n"/>
      <c r="AI4876" s="394" t="n"/>
      <c r="AM4876" s="48" t="n"/>
      <c r="AN4876" s="48" t="n"/>
      <c r="AO4876" s="48" t="n"/>
    </row>
    <row r="4877">
      <c r="M4877" s="25" t="n"/>
      <c r="Q4877" s="25" t="n"/>
      <c r="U4877" s="194" t="n"/>
      <c r="AA4877" s="25" t="n"/>
      <c r="AB4877" s="25" t="n"/>
      <c r="AC4877" s="195" t="n"/>
      <c r="AD4877" s="25" t="n"/>
      <c r="AE4877" s="25" t="n"/>
      <c r="AG4877" s="25" t="n"/>
      <c r="AH4877" s="25" t="n"/>
      <c r="AI4877" s="394" t="n"/>
      <c r="AM4877" s="48" t="n"/>
      <c r="AN4877" s="48" t="n"/>
      <c r="AO4877" s="48" t="n"/>
    </row>
    <row r="4878">
      <c r="M4878" s="25" t="n"/>
      <c r="Q4878" s="25" t="n"/>
      <c r="U4878" s="194" t="n"/>
      <c r="AA4878" s="25" t="n"/>
      <c r="AB4878" s="25" t="n"/>
      <c r="AC4878" s="195" t="n"/>
      <c r="AD4878" s="25" t="n"/>
      <c r="AE4878" s="25" t="n"/>
      <c r="AG4878" s="25" t="n"/>
      <c r="AH4878" s="25" t="n"/>
      <c r="AI4878" s="394" t="n"/>
      <c r="AM4878" s="48" t="n"/>
      <c r="AN4878" s="48" t="n"/>
      <c r="AO4878" s="48" t="n"/>
    </row>
    <row r="4879">
      <c r="M4879" s="25" t="n"/>
      <c r="Q4879" s="25" t="n"/>
      <c r="U4879" s="194" t="n"/>
      <c r="AA4879" s="25" t="n"/>
      <c r="AB4879" s="25" t="n"/>
      <c r="AC4879" s="195" t="n"/>
      <c r="AD4879" s="25" t="n"/>
      <c r="AE4879" s="25" t="n"/>
      <c r="AG4879" s="25" t="n"/>
      <c r="AH4879" s="25" t="n"/>
      <c r="AI4879" s="394" t="n"/>
      <c r="AM4879" s="48" t="n"/>
      <c r="AN4879" s="48" t="n"/>
      <c r="AO4879" s="48" t="n"/>
    </row>
    <row r="4880">
      <c r="M4880" s="25" t="n"/>
      <c r="Q4880" s="25" t="n"/>
      <c r="U4880" s="194" t="n"/>
      <c r="AA4880" s="25" t="n"/>
      <c r="AB4880" s="25" t="n"/>
      <c r="AC4880" s="195" t="n"/>
      <c r="AD4880" s="25" t="n"/>
      <c r="AE4880" s="25" t="n"/>
      <c r="AG4880" s="25" t="n"/>
      <c r="AH4880" s="25" t="n"/>
      <c r="AI4880" s="394" t="n"/>
      <c r="AM4880" s="48" t="n"/>
      <c r="AN4880" s="48" t="n"/>
      <c r="AO4880" s="48" t="n"/>
    </row>
    <row r="4881">
      <c r="M4881" s="25" t="n"/>
      <c r="Q4881" s="25" t="n"/>
      <c r="U4881" s="194" t="n"/>
      <c r="AA4881" s="25" t="n"/>
      <c r="AB4881" s="25" t="n"/>
      <c r="AC4881" s="195" t="n"/>
      <c r="AD4881" s="25" t="n"/>
      <c r="AE4881" s="25" t="n"/>
      <c r="AG4881" s="25" t="n"/>
      <c r="AH4881" s="25" t="n"/>
      <c r="AI4881" s="394" t="n"/>
      <c r="AM4881" s="48" t="n"/>
      <c r="AN4881" s="48" t="n"/>
      <c r="AO4881" s="48" t="n"/>
    </row>
    <row r="4882">
      <c r="M4882" s="25" t="n"/>
      <c r="Q4882" s="25" t="n"/>
      <c r="U4882" s="194" t="n"/>
      <c r="AA4882" s="25" t="n"/>
      <c r="AB4882" s="25" t="n"/>
      <c r="AC4882" s="195" t="n"/>
      <c r="AD4882" s="25" t="n"/>
      <c r="AE4882" s="25" t="n"/>
      <c r="AG4882" s="25" t="n"/>
      <c r="AH4882" s="25" t="n"/>
      <c r="AI4882" s="394" t="n"/>
      <c r="AM4882" s="48" t="n"/>
      <c r="AN4882" s="48" t="n"/>
      <c r="AO4882" s="48" t="n"/>
    </row>
    <row r="4883">
      <c r="M4883" s="25" t="n"/>
      <c r="Q4883" s="25" t="n"/>
      <c r="U4883" s="194" t="n"/>
      <c r="AA4883" s="25" t="n"/>
      <c r="AB4883" s="25" t="n"/>
      <c r="AC4883" s="195" t="n"/>
      <c r="AD4883" s="25" t="n"/>
      <c r="AE4883" s="25" t="n"/>
      <c r="AG4883" s="25" t="n"/>
      <c r="AH4883" s="25" t="n"/>
      <c r="AI4883" s="394" t="n"/>
      <c r="AM4883" s="48" t="n"/>
      <c r="AN4883" s="48" t="n"/>
      <c r="AO4883" s="48" t="n"/>
    </row>
    <row r="4884">
      <c r="M4884" s="25" t="n"/>
      <c r="Q4884" s="25" t="n"/>
      <c r="U4884" s="194" t="n"/>
      <c r="AA4884" s="25" t="n"/>
      <c r="AB4884" s="25" t="n"/>
      <c r="AC4884" s="195" t="n"/>
      <c r="AD4884" s="25" t="n"/>
      <c r="AE4884" s="25" t="n"/>
      <c r="AG4884" s="25" t="n"/>
      <c r="AH4884" s="25" t="n"/>
      <c r="AI4884" s="394" t="n"/>
      <c r="AM4884" s="48" t="n"/>
      <c r="AN4884" s="48" t="n"/>
      <c r="AO4884" s="48" t="n"/>
    </row>
    <row r="4885">
      <c r="M4885" s="25" t="n"/>
      <c r="Q4885" s="25" t="n"/>
      <c r="U4885" s="194" t="n"/>
      <c r="AA4885" s="25" t="n"/>
      <c r="AB4885" s="25" t="n"/>
      <c r="AC4885" s="195" t="n"/>
      <c r="AD4885" s="25" t="n"/>
      <c r="AE4885" s="25" t="n"/>
      <c r="AG4885" s="25" t="n"/>
      <c r="AH4885" s="25" t="n"/>
      <c r="AI4885" s="394" t="n"/>
      <c r="AM4885" s="48" t="n"/>
      <c r="AN4885" s="48" t="n"/>
      <c r="AO4885" s="48" t="n"/>
    </row>
    <row r="4886">
      <c r="M4886" s="25" t="n"/>
      <c r="Q4886" s="25" t="n"/>
      <c r="U4886" s="194" t="n"/>
      <c r="AA4886" s="25" t="n"/>
      <c r="AB4886" s="25" t="n"/>
      <c r="AC4886" s="195" t="n"/>
      <c r="AD4886" s="25" t="n"/>
      <c r="AE4886" s="25" t="n"/>
      <c r="AG4886" s="25" t="n"/>
      <c r="AH4886" s="25" t="n"/>
      <c r="AI4886" s="394" t="n"/>
      <c r="AM4886" s="48" t="n"/>
      <c r="AN4886" s="48" t="n"/>
      <c r="AO4886" s="48" t="n"/>
    </row>
    <row r="4887">
      <c r="M4887" s="25" t="n"/>
      <c r="Q4887" s="25" t="n"/>
      <c r="U4887" s="194" t="n"/>
      <c r="AA4887" s="25" t="n"/>
      <c r="AB4887" s="25" t="n"/>
      <c r="AC4887" s="195" t="n"/>
      <c r="AD4887" s="25" t="n"/>
      <c r="AE4887" s="25" t="n"/>
      <c r="AG4887" s="25" t="n"/>
      <c r="AH4887" s="25" t="n"/>
      <c r="AI4887" s="394" t="n"/>
      <c r="AM4887" s="48" t="n"/>
      <c r="AN4887" s="48" t="n"/>
      <c r="AO4887" s="48" t="n"/>
    </row>
    <row r="4888">
      <c r="M4888" s="25" t="n"/>
      <c r="Q4888" s="25" t="n"/>
      <c r="U4888" s="194" t="n"/>
      <c r="AA4888" s="25" t="n"/>
      <c r="AB4888" s="25" t="n"/>
      <c r="AC4888" s="195" t="n"/>
      <c r="AD4888" s="25" t="n"/>
      <c r="AE4888" s="25" t="n"/>
      <c r="AG4888" s="25" t="n"/>
      <c r="AH4888" s="25" t="n"/>
      <c r="AI4888" s="394" t="n"/>
      <c r="AM4888" s="48" t="n"/>
      <c r="AN4888" s="48" t="n"/>
      <c r="AO4888" s="48" t="n"/>
    </row>
    <row r="4889">
      <c r="M4889" s="25" t="n"/>
      <c r="Q4889" s="25" t="n"/>
      <c r="U4889" s="194" t="n"/>
      <c r="AA4889" s="25" t="n"/>
      <c r="AB4889" s="25" t="n"/>
      <c r="AC4889" s="195" t="n"/>
      <c r="AD4889" s="25" t="n"/>
      <c r="AE4889" s="25" t="n"/>
      <c r="AG4889" s="25" t="n"/>
      <c r="AH4889" s="25" t="n"/>
      <c r="AI4889" s="394" t="n"/>
      <c r="AM4889" s="48" t="n"/>
      <c r="AN4889" s="48" t="n"/>
      <c r="AO4889" s="48" t="n"/>
    </row>
    <row r="4890">
      <c r="M4890" s="25" t="n"/>
      <c r="Q4890" s="25" t="n"/>
      <c r="U4890" s="194" t="n"/>
      <c r="AA4890" s="25" t="n"/>
      <c r="AB4890" s="25" t="n"/>
      <c r="AC4890" s="195" t="n"/>
      <c r="AD4890" s="25" t="n"/>
      <c r="AE4890" s="25" t="n"/>
      <c r="AG4890" s="25" t="n"/>
      <c r="AH4890" s="25" t="n"/>
      <c r="AI4890" s="394" t="n"/>
      <c r="AM4890" s="48" t="n"/>
      <c r="AN4890" s="48" t="n"/>
      <c r="AO4890" s="48" t="n"/>
    </row>
    <row r="4891">
      <c r="M4891" s="25" t="n"/>
      <c r="Q4891" s="25" t="n"/>
      <c r="U4891" s="194" t="n"/>
      <c r="AA4891" s="25" t="n"/>
      <c r="AB4891" s="25" t="n"/>
      <c r="AC4891" s="195" t="n"/>
      <c r="AD4891" s="25" t="n"/>
      <c r="AE4891" s="25" t="n"/>
      <c r="AG4891" s="25" t="n"/>
      <c r="AH4891" s="25" t="n"/>
      <c r="AI4891" s="394" t="n"/>
      <c r="AM4891" s="48" t="n"/>
      <c r="AN4891" s="48" t="n"/>
      <c r="AO4891" s="48" t="n"/>
    </row>
    <row r="4892">
      <c r="M4892" s="25" t="n"/>
      <c r="Q4892" s="25" t="n"/>
      <c r="U4892" s="194" t="n"/>
      <c r="AA4892" s="25" t="n"/>
      <c r="AB4892" s="25" t="n"/>
      <c r="AC4892" s="195" t="n"/>
      <c r="AD4892" s="25" t="n"/>
      <c r="AE4892" s="25" t="n"/>
      <c r="AG4892" s="25" t="n"/>
      <c r="AH4892" s="25" t="n"/>
      <c r="AI4892" s="394" t="n"/>
      <c r="AM4892" s="48" t="n"/>
      <c r="AN4892" s="48" t="n"/>
      <c r="AO4892" s="48" t="n"/>
    </row>
    <row r="4893">
      <c r="M4893" s="25" t="n"/>
      <c r="Q4893" s="25" t="n"/>
      <c r="U4893" s="194" t="n"/>
      <c r="AA4893" s="25" t="n"/>
      <c r="AB4893" s="25" t="n"/>
      <c r="AC4893" s="195" t="n"/>
      <c r="AD4893" s="25" t="n"/>
      <c r="AE4893" s="25" t="n"/>
      <c r="AG4893" s="25" t="n"/>
      <c r="AH4893" s="25" t="n"/>
      <c r="AI4893" s="394" t="n"/>
      <c r="AM4893" s="48" t="n"/>
      <c r="AN4893" s="48" t="n"/>
      <c r="AO4893" s="48" t="n"/>
    </row>
    <row r="4894">
      <c r="M4894" s="25" t="n"/>
      <c r="Q4894" s="25" t="n"/>
      <c r="U4894" s="194" t="n"/>
      <c r="AA4894" s="25" t="n"/>
      <c r="AB4894" s="25" t="n"/>
      <c r="AC4894" s="195" t="n"/>
      <c r="AD4894" s="25" t="n"/>
      <c r="AE4894" s="25" t="n"/>
      <c r="AG4894" s="25" t="n"/>
      <c r="AH4894" s="25" t="n"/>
      <c r="AI4894" s="394" t="n"/>
      <c r="AM4894" s="48" t="n"/>
      <c r="AN4894" s="48" t="n"/>
      <c r="AO4894" s="48" t="n"/>
    </row>
    <row r="4895">
      <c r="M4895" s="25" t="n"/>
      <c r="Q4895" s="25" t="n"/>
      <c r="U4895" s="194" t="n"/>
      <c r="AA4895" s="25" t="n"/>
      <c r="AB4895" s="25" t="n"/>
      <c r="AC4895" s="195" t="n"/>
      <c r="AD4895" s="25" t="n"/>
      <c r="AE4895" s="25" t="n"/>
      <c r="AG4895" s="25" t="n"/>
      <c r="AH4895" s="25" t="n"/>
      <c r="AI4895" s="394" t="n"/>
      <c r="AM4895" s="48" t="n"/>
      <c r="AN4895" s="48" t="n"/>
      <c r="AO4895" s="48" t="n"/>
    </row>
    <row r="4896">
      <c r="M4896" s="25" t="n"/>
      <c r="Q4896" s="25" t="n"/>
      <c r="U4896" s="194" t="n"/>
      <c r="AA4896" s="25" t="n"/>
      <c r="AB4896" s="25" t="n"/>
      <c r="AC4896" s="195" t="n"/>
      <c r="AD4896" s="25" t="n"/>
      <c r="AE4896" s="25" t="n"/>
      <c r="AG4896" s="25" t="n"/>
      <c r="AH4896" s="25" t="n"/>
      <c r="AI4896" s="394" t="n"/>
      <c r="AM4896" s="48" t="n"/>
      <c r="AN4896" s="48" t="n"/>
      <c r="AO4896" s="48" t="n"/>
    </row>
    <row r="4897">
      <c r="M4897" s="25" t="n"/>
      <c r="Q4897" s="25" t="n"/>
      <c r="U4897" s="194" t="n"/>
      <c r="AA4897" s="25" t="n"/>
      <c r="AB4897" s="25" t="n"/>
      <c r="AC4897" s="195" t="n"/>
      <c r="AD4897" s="25" t="n"/>
      <c r="AE4897" s="25" t="n"/>
      <c r="AG4897" s="25" t="n"/>
      <c r="AH4897" s="25" t="n"/>
      <c r="AI4897" s="394" t="n"/>
      <c r="AM4897" s="48" t="n"/>
      <c r="AN4897" s="48" t="n"/>
      <c r="AO4897" s="48" t="n"/>
    </row>
    <row r="4898">
      <c r="M4898" s="25" t="n"/>
      <c r="Q4898" s="25" t="n"/>
      <c r="U4898" s="194" t="n"/>
      <c r="AA4898" s="25" t="n"/>
      <c r="AB4898" s="25" t="n"/>
      <c r="AC4898" s="195" t="n"/>
      <c r="AD4898" s="25" t="n"/>
      <c r="AE4898" s="25" t="n"/>
      <c r="AG4898" s="25" t="n"/>
      <c r="AH4898" s="25" t="n"/>
      <c r="AI4898" s="394" t="n"/>
      <c r="AM4898" s="48" t="n"/>
      <c r="AN4898" s="48" t="n"/>
      <c r="AO4898" s="48" t="n"/>
    </row>
    <row r="4899">
      <c r="M4899" s="25" t="n"/>
      <c r="Q4899" s="25" t="n"/>
      <c r="U4899" s="194" t="n"/>
      <c r="AA4899" s="25" t="n"/>
      <c r="AB4899" s="25" t="n"/>
      <c r="AC4899" s="195" t="n"/>
      <c r="AD4899" s="25" t="n"/>
      <c r="AE4899" s="25" t="n"/>
      <c r="AG4899" s="25" t="n"/>
      <c r="AH4899" s="25" t="n"/>
      <c r="AI4899" s="394" t="n"/>
      <c r="AM4899" s="48" t="n"/>
      <c r="AN4899" s="48" t="n"/>
      <c r="AO4899" s="48" t="n"/>
    </row>
    <row r="4900">
      <c r="M4900" s="25" t="n"/>
      <c r="Q4900" s="25" t="n"/>
      <c r="U4900" s="194" t="n"/>
      <c r="AA4900" s="25" t="n"/>
      <c r="AB4900" s="25" t="n"/>
      <c r="AC4900" s="195" t="n"/>
      <c r="AD4900" s="25" t="n"/>
      <c r="AE4900" s="25" t="n"/>
      <c r="AG4900" s="25" t="n"/>
      <c r="AH4900" s="25" t="n"/>
      <c r="AI4900" s="394" t="n"/>
      <c r="AM4900" s="48" t="n"/>
      <c r="AN4900" s="48" t="n"/>
      <c r="AO4900" s="48" t="n"/>
    </row>
    <row r="4901">
      <c r="M4901" s="25" t="n"/>
      <c r="Q4901" s="25" t="n"/>
      <c r="U4901" s="194" t="n"/>
      <c r="AA4901" s="25" t="n"/>
      <c r="AB4901" s="25" t="n"/>
      <c r="AC4901" s="195" t="n"/>
      <c r="AD4901" s="25" t="n"/>
      <c r="AE4901" s="25" t="n"/>
      <c r="AG4901" s="25" t="n"/>
      <c r="AH4901" s="25" t="n"/>
      <c r="AI4901" s="394" t="n"/>
      <c r="AM4901" s="48" t="n"/>
      <c r="AN4901" s="48" t="n"/>
      <c r="AO4901" s="48" t="n"/>
    </row>
    <row r="4902">
      <c r="M4902" s="25" t="n"/>
      <c r="Q4902" s="25" t="n"/>
      <c r="U4902" s="194" t="n"/>
      <c r="AA4902" s="25" t="n"/>
      <c r="AB4902" s="25" t="n"/>
      <c r="AC4902" s="195" t="n"/>
      <c r="AD4902" s="25" t="n"/>
      <c r="AE4902" s="25" t="n"/>
      <c r="AG4902" s="25" t="n"/>
      <c r="AH4902" s="25" t="n"/>
      <c r="AI4902" s="394" t="n"/>
      <c r="AM4902" s="48" t="n"/>
      <c r="AN4902" s="48" t="n"/>
      <c r="AO4902" s="48" t="n"/>
    </row>
    <row r="4903">
      <c r="M4903" s="25" t="n"/>
      <c r="Q4903" s="25" t="n"/>
      <c r="U4903" s="194" t="n"/>
      <c r="AA4903" s="25" t="n"/>
      <c r="AB4903" s="25" t="n"/>
      <c r="AC4903" s="195" t="n"/>
      <c r="AD4903" s="25" t="n"/>
      <c r="AE4903" s="25" t="n"/>
      <c r="AG4903" s="25" t="n"/>
      <c r="AH4903" s="25" t="n"/>
      <c r="AI4903" s="394" t="n"/>
      <c r="AM4903" s="48" t="n"/>
      <c r="AN4903" s="48" t="n"/>
      <c r="AO4903" s="48" t="n"/>
    </row>
    <row r="4904">
      <c r="M4904" s="25" t="n"/>
      <c r="Q4904" s="25" t="n"/>
      <c r="U4904" s="194" t="n"/>
      <c r="AA4904" s="25" t="n"/>
      <c r="AB4904" s="25" t="n"/>
      <c r="AC4904" s="195" t="n"/>
      <c r="AD4904" s="25" t="n"/>
      <c r="AE4904" s="25" t="n"/>
      <c r="AG4904" s="25" t="n"/>
      <c r="AH4904" s="25" t="n"/>
      <c r="AI4904" s="394" t="n"/>
      <c r="AM4904" s="48" t="n"/>
      <c r="AN4904" s="48" t="n"/>
      <c r="AO4904" s="48" t="n"/>
    </row>
    <row r="4905">
      <c r="M4905" s="25" t="n"/>
      <c r="Q4905" s="25" t="n"/>
      <c r="U4905" s="194" t="n"/>
      <c r="AA4905" s="25" t="n"/>
      <c r="AB4905" s="25" t="n"/>
      <c r="AC4905" s="195" t="n"/>
      <c r="AD4905" s="25" t="n"/>
      <c r="AE4905" s="25" t="n"/>
      <c r="AG4905" s="25" t="n"/>
      <c r="AH4905" s="25" t="n"/>
      <c r="AI4905" s="394" t="n"/>
      <c r="AM4905" s="48" t="n"/>
      <c r="AN4905" s="48" t="n"/>
      <c r="AO4905" s="48" t="n"/>
    </row>
    <row r="4906">
      <c r="M4906" s="25" t="n"/>
      <c r="Q4906" s="25" t="n"/>
      <c r="U4906" s="194" t="n"/>
      <c r="AA4906" s="25" t="n"/>
      <c r="AB4906" s="25" t="n"/>
      <c r="AC4906" s="195" t="n"/>
      <c r="AD4906" s="25" t="n"/>
      <c r="AE4906" s="25" t="n"/>
      <c r="AG4906" s="25" t="n"/>
      <c r="AH4906" s="25" t="n"/>
      <c r="AI4906" s="394" t="n"/>
      <c r="AM4906" s="48" t="n"/>
      <c r="AN4906" s="48" t="n"/>
      <c r="AO4906" s="48" t="n"/>
    </row>
    <row r="4907">
      <c r="M4907" s="25" t="n"/>
      <c r="Q4907" s="25" t="n"/>
      <c r="U4907" s="194" t="n"/>
      <c r="AA4907" s="25" t="n"/>
      <c r="AB4907" s="25" t="n"/>
      <c r="AC4907" s="195" t="n"/>
      <c r="AD4907" s="25" t="n"/>
      <c r="AE4907" s="25" t="n"/>
      <c r="AG4907" s="25" t="n"/>
      <c r="AH4907" s="25" t="n"/>
      <c r="AI4907" s="394" t="n"/>
      <c r="AM4907" s="48" t="n"/>
      <c r="AN4907" s="48" t="n"/>
      <c r="AO4907" s="48" t="n"/>
    </row>
    <row r="4908">
      <c r="M4908" s="25" t="n"/>
      <c r="Q4908" s="25" t="n"/>
      <c r="U4908" s="194" t="n"/>
      <c r="AA4908" s="25" t="n"/>
      <c r="AB4908" s="25" t="n"/>
      <c r="AC4908" s="195" t="n"/>
      <c r="AD4908" s="25" t="n"/>
      <c r="AE4908" s="25" t="n"/>
      <c r="AG4908" s="25" t="n"/>
      <c r="AH4908" s="25" t="n"/>
      <c r="AI4908" s="394" t="n"/>
      <c r="AM4908" s="48" t="n"/>
      <c r="AN4908" s="48" t="n"/>
      <c r="AO4908" s="48" t="n"/>
    </row>
    <row r="4909">
      <c r="M4909" s="25" t="n"/>
      <c r="Q4909" s="25" t="n"/>
      <c r="U4909" s="194" t="n"/>
      <c r="AA4909" s="25" t="n"/>
      <c r="AB4909" s="25" t="n"/>
      <c r="AC4909" s="195" t="n"/>
      <c r="AD4909" s="25" t="n"/>
      <c r="AE4909" s="25" t="n"/>
      <c r="AG4909" s="25" t="n"/>
      <c r="AH4909" s="25" t="n"/>
      <c r="AI4909" s="394" t="n"/>
      <c r="AM4909" s="48" t="n"/>
      <c r="AN4909" s="48" t="n"/>
      <c r="AO4909" s="48" t="n"/>
    </row>
    <row r="4910">
      <c r="M4910" s="25" t="n"/>
      <c r="Q4910" s="25" t="n"/>
      <c r="U4910" s="194" t="n"/>
      <c r="AA4910" s="25" t="n"/>
      <c r="AB4910" s="25" t="n"/>
      <c r="AC4910" s="195" t="n"/>
      <c r="AD4910" s="25" t="n"/>
      <c r="AE4910" s="25" t="n"/>
      <c r="AG4910" s="25" t="n"/>
      <c r="AH4910" s="25" t="n"/>
      <c r="AI4910" s="394" t="n"/>
      <c r="AM4910" s="48" t="n"/>
      <c r="AN4910" s="48" t="n"/>
      <c r="AO4910" s="48" t="n"/>
    </row>
    <row r="4911">
      <c r="M4911" s="25" t="n"/>
      <c r="Q4911" s="25" t="n"/>
      <c r="U4911" s="194" t="n"/>
      <c r="AA4911" s="25" t="n"/>
      <c r="AB4911" s="25" t="n"/>
      <c r="AC4911" s="195" t="n"/>
      <c r="AD4911" s="25" t="n"/>
      <c r="AE4911" s="25" t="n"/>
      <c r="AG4911" s="25" t="n"/>
      <c r="AH4911" s="25" t="n"/>
      <c r="AI4911" s="394" t="n"/>
      <c r="AM4911" s="48" t="n"/>
      <c r="AN4911" s="48" t="n"/>
      <c r="AO4911" s="48" t="n"/>
    </row>
    <row r="4912">
      <c r="M4912" s="25" t="n"/>
      <c r="Q4912" s="25" t="n"/>
      <c r="U4912" s="194" t="n"/>
      <c r="AA4912" s="25" t="n"/>
      <c r="AB4912" s="25" t="n"/>
      <c r="AC4912" s="195" t="n"/>
      <c r="AD4912" s="25" t="n"/>
      <c r="AE4912" s="25" t="n"/>
      <c r="AG4912" s="25" t="n"/>
      <c r="AH4912" s="25" t="n"/>
      <c r="AI4912" s="394" t="n"/>
      <c r="AM4912" s="48" t="n"/>
      <c r="AN4912" s="48" t="n"/>
      <c r="AO4912" s="48" t="n"/>
    </row>
    <row r="4913">
      <c r="M4913" s="25" t="n"/>
      <c r="Q4913" s="25" t="n"/>
      <c r="U4913" s="194" t="n"/>
      <c r="AA4913" s="25" t="n"/>
      <c r="AB4913" s="25" t="n"/>
      <c r="AC4913" s="195" t="n"/>
      <c r="AD4913" s="25" t="n"/>
      <c r="AE4913" s="25" t="n"/>
      <c r="AG4913" s="25" t="n"/>
      <c r="AH4913" s="25" t="n"/>
      <c r="AI4913" s="394" t="n"/>
      <c r="AM4913" s="48" t="n"/>
      <c r="AN4913" s="48" t="n"/>
      <c r="AO4913" s="48" t="n"/>
    </row>
    <row r="4914">
      <c r="M4914" s="25" t="n"/>
      <c r="Q4914" s="25" t="n"/>
      <c r="U4914" s="194" t="n"/>
      <c r="AA4914" s="25" t="n"/>
      <c r="AB4914" s="25" t="n"/>
      <c r="AC4914" s="195" t="n"/>
      <c r="AD4914" s="25" t="n"/>
      <c r="AE4914" s="25" t="n"/>
      <c r="AG4914" s="25" t="n"/>
      <c r="AH4914" s="25" t="n"/>
      <c r="AI4914" s="394" t="n"/>
      <c r="AM4914" s="48" t="n"/>
      <c r="AN4914" s="48" t="n"/>
      <c r="AO4914" s="48" t="n"/>
    </row>
    <row r="4915">
      <c r="M4915" s="25" t="n"/>
      <c r="Q4915" s="25" t="n"/>
      <c r="U4915" s="194" t="n"/>
      <c r="AA4915" s="25" t="n"/>
      <c r="AB4915" s="25" t="n"/>
      <c r="AC4915" s="195" t="n"/>
      <c r="AD4915" s="25" t="n"/>
      <c r="AE4915" s="25" t="n"/>
      <c r="AG4915" s="25" t="n"/>
      <c r="AH4915" s="25" t="n"/>
      <c r="AI4915" s="394" t="n"/>
      <c r="AM4915" s="48" t="n"/>
      <c r="AN4915" s="48" t="n"/>
      <c r="AO4915" s="48" t="n"/>
    </row>
    <row r="4916">
      <c r="M4916" s="25" t="n"/>
      <c r="Q4916" s="25" t="n"/>
      <c r="U4916" s="194" t="n"/>
      <c r="AA4916" s="25" t="n"/>
      <c r="AB4916" s="25" t="n"/>
      <c r="AC4916" s="195" t="n"/>
      <c r="AD4916" s="25" t="n"/>
      <c r="AE4916" s="25" t="n"/>
      <c r="AG4916" s="25" t="n"/>
      <c r="AH4916" s="25" t="n"/>
      <c r="AI4916" s="394" t="n"/>
      <c r="AM4916" s="48" t="n"/>
      <c r="AN4916" s="48" t="n"/>
      <c r="AO4916" s="48" t="n"/>
    </row>
    <row r="4917">
      <c r="M4917" s="25" t="n"/>
      <c r="Q4917" s="25" t="n"/>
      <c r="U4917" s="194" t="n"/>
      <c r="AA4917" s="25" t="n"/>
      <c r="AB4917" s="25" t="n"/>
      <c r="AC4917" s="195" t="n"/>
      <c r="AD4917" s="25" t="n"/>
      <c r="AE4917" s="25" t="n"/>
      <c r="AG4917" s="25" t="n"/>
      <c r="AH4917" s="25" t="n"/>
      <c r="AI4917" s="394" t="n"/>
      <c r="AM4917" s="48" t="n"/>
      <c r="AN4917" s="48" t="n"/>
      <c r="AO4917" s="48" t="n"/>
    </row>
    <row r="4918">
      <c r="M4918" s="25" t="n"/>
      <c r="Q4918" s="25" t="n"/>
      <c r="U4918" s="194" t="n"/>
      <c r="AA4918" s="25" t="n"/>
      <c r="AB4918" s="25" t="n"/>
      <c r="AC4918" s="195" t="n"/>
      <c r="AD4918" s="25" t="n"/>
      <c r="AE4918" s="25" t="n"/>
      <c r="AG4918" s="25" t="n"/>
      <c r="AH4918" s="25" t="n"/>
      <c r="AI4918" s="394" t="n"/>
      <c r="AM4918" s="48" t="n"/>
      <c r="AN4918" s="48" t="n"/>
      <c r="AO4918" s="48" t="n"/>
    </row>
    <row r="4919">
      <c r="M4919" s="25" t="n"/>
      <c r="Q4919" s="25" t="n"/>
      <c r="U4919" s="194" t="n"/>
      <c r="AA4919" s="25" t="n"/>
      <c r="AB4919" s="25" t="n"/>
      <c r="AC4919" s="195" t="n"/>
      <c r="AD4919" s="25" t="n"/>
      <c r="AE4919" s="25" t="n"/>
      <c r="AG4919" s="25" t="n"/>
      <c r="AH4919" s="25" t="n"/>
      <c r="AI4919" s="394" t="n"/>
      <c r="AM4919" s="48" t="n"/>
      <c r="AN4919" s="48" t="n"/>
      <c r="AO4919" s="48" t="n"/>
    </row>
    <row r="4920">
      <c r="M4920" s="25" t="n"/>
      <c r="Q4920" s="25" t="n"/>
      <c r="U4920" s="194" t="n"/>
      <c r="AA4920" s="25" t="n"/>
      <c r="AB4920" s="25" t="n"/>
      <c r="AC4920" s="195" t="n"/>
      <c r="AD4920" s="25" t="n"/>
      <c r="AE4920" s="25" t="n"/>
      <c r="AG4920" s="25" t="n"/>
      <c r="AH4920" s="25" t="n"/>
      <c r="AI4920" s="394" t="n"/>
      <c r="AM4920" s="48" t="n"/>
      <c r="AN4920" s="48" t="n"/>
      <c r="AO4920" s="48" t="n"/>
    </row>
    <row r="4921">
      <c r="M4921" s="25" t="n"/>
      <c r="Q4921" s="25" t="n"/>
      <c r="U4921" s="194" t="n"/>
      <c r="AA4921" s="25" t="n"/>
      <c r="AB4921" s="25" t="n"/>
      <c r="AC4921" s="195" t="n"/>
      <c r="AD4921" s="25" t="n"/>
      <c r="AE4921" s="25" t="n"/>
      <c r="AG4921" s="25" t="n"/>
      <c r="AH4921" s="25" t="n"/>
      <c r="AI4921" s="394" t="n"/>
      <c r="AM4921" s="48" t="n"/>
      <c r="AN4921" s="48" t="n"/>
      <c r="AO4921" s="48" t="n"/>
    </row>
    <row r="4922">
      <c r="M4922" s="25" t="n"/>
      <c r="Q4922" s="25" t="n"/>
      <c r="U4922" s="194" t="n"/>
      <c r="AA4922" s="25" t="n"/>
      <c r="AB4922" s="25" t="n"/>
      <c r="AC4922" s="195" t="n"/>
      <c r="AD4922" s="25" t="n"/>
      <c r="AE4922" s="25" t="n"/>
      <c r="AG4922" s="25" t="n"/>
      <c r="AH4922" s="25" t="n"/>
      <c r="AI4922" s="394" t="n"/>
      <c r="AM4922" s="48" t="n"/>
      <c r="AN4922" s="48" t="n"/>
      <c r="AO4922" s="48" t="n"/>
    </row>
    <row r="4923">
      <c r="M4923" s="25" t="n"/>
      <c r="Q4923" s="25" t="n"/>
      <c r="U4923" s="194" t="n"/>
      <c r="AA4923" s="25" t="n"/>
      <c r="AB4923" s="25" t="n"/>
      <c r="AC4923" s="195" t="n"/>
      <c r="AD4923" s="25" t="n"/>
      <c r="AE4923" s="25" t="n"/>
      <c r="AG4923" s="25" t="n"/>
      <c r="AH4923" s="25" t="n"/>
      <c r="AI4923" s="394" t="n"/>
      <c r="AM4923" s="48" t="n"/>
      <c r="AN4923" s="48" t="n"/>
      <c r="AO4923" s="48" t="n"/>
    </row>
    <row r="4924">
      <c r="M4924" s="25" t="n"/>
      <c r="Q4924" s="25" t="n"/>
      <c r="U4924" s="194" t="n"/>
      <c r="AA4924" s="25" t="n"/>
      <c r="AB4924" s="25" t="n"/>
      <c r="AC4924" s="195" t="n"/>
      <c r="AD4924" s="25" t="n"/>
      <c r="AE4924" s="25" t="n"/>
      <c r="AG4924" s="25" t="n"/>
      <c r="AH4924" s="25" t="n"/>
      <c r="AI4924" s="394" t="n"/>
      <c r="AM4924" s="48" t="n"/>
      <c r="AN4924" s="48" t="n"/>
      <c r="AO4924" s="48" t="n"/>
    </row>
    <row r="4925">
      <c r="M4925" s="25" t="n"/>
      <c r="Q4925" s="25" t="n"/>
      <c r="U4925" s="194" t="n"/>
      <c r="AA4925" s="25" t="n"/>
      <c r="AB4925" s="25" t="n"/>
      <c r="AC4925" s="195" t="n"/>
      <c r="AD4925" s="25" t="n"/>
      <c r="AE4925" s="25" t="n"/>
      <c r="AG4925" s="25" t="n"/>
      <c r="AH4925" s="25" t="n"/>
      <c r="AI4925" s="394" t="n"/>
      <c r="AM4925" s="48" t="n"/>
      <c r="AN4925" s="48" t="n"/>
      <c r="AO4925" s="48" t="n"/>
    </row>
    <row r="4926">
      <c r="M4926" s="25" t="n"/>
      <c r="Q4926" s="25" t="n"/>
      <c r="U4926" s="194" t="n"/>
      <c r="AA4926" s="25" t="n"/>
      <c r="AB4926" s="25" t="n"/>
      <c r="AC4926" s="195" t="n"/>
      <c r="AD4926" s="25" t="n"/>
      <c r="AE4926" s="25" t="n"/>
      <c r="AG4926" s="25" t="n"/>
      <c r="AH4926" s="25" t="n"/>
      <c r="AI4926" s="394" t="n"/>
      <c r="AM4926" s="48" t="n"/>
      <c r="AN4926" s="48" t="n"/>
      <c r="AO4926" s="48" t="n"/>
    </row>
    <row r="4927">
      <c r="M4927" s="25" t="n"/>
      <c r="Q4927" s="25" t="n"/>
      <c r="U4927" s="194" t="n"/>
      <c r="AA4927" s="25" t="n"/>
      <c r="AB4927" s="25" t="n"/>
      <c r="AC4927" s="195" t="n"/>
      <c r="AD4927" s="25" t="n"/>
      <c r="AE4927" s="25" t="n"/>
      <c r="AG4927" s="25" t="n"/>
      <c r="AH4927" s="25" t="n"/>
      <c r="AI4927" s="394" t="n"/>
      <c r="AM4927" s="48" t="n"/>
      <c r="AN4927" s="48" t="n"/>
      <c r="AO4927" s="48" t="n"/>
    </row>
    <row r="4928">
      <c r="M4928" s="25" t="n"/>
      <c r="Q4928" s="25" t="n"/>
      <c r="U4928" s="194" t="n"/>
      <c r="AA4928" s="25" t="n"/>
      <c r="AB4928" s="25" t="n"/>
      <c r="AC4928" s="195" t="n"/>
      <c r="AD4928" s="25" t="n"/>
      <c r="AE4928" s="25" t="n"/>
      <c r="AG4928" s="25" t="n"/>
      <c r="AH4928" s="25" t="n"/>
      <c r="AI4928" s="394" t="n"/>
      <c r="AM4928" s="48" t="n"/>
      <c r="AN4928" s="48" t="n"/>
      <c r="AO4928" s="48" t="n"/>
    </row>
    <row r="4929">
      <c r="M4929" s="25" t="n"/>
      <c r="Q4929" s="25" t="n"/>
      <c r="U4929" s="194" t="n"/>
      <c r="AA4929" s="25" t="n"/>
      <c r="AB4929" s="25" t="n"/>
      <c r="AC4929" s="195" t="n"/>
      <c r="AD4929" s="25" t="n"/>
      <c r="AE4929" s="25" t="n"/>
      <c r="AG4929" s="25" t="n"/>
      <c r="AH4929" s="25" t="n"/>
      <c r="AI4929" s="394" t="n"/>
      <c r="AM4929" s="48" t="n"/>
      <c r="AN4929" s="48" t="n"/>
      <c r="AO4929" s="48" t="n"/>
    </row>
    <row r="4930">
      <c r="M4930" s="25" t="n"/>
      <c r="Q4930" s="25" t="n"/>
      <c r="U4930" s="194" t="n"/>
      <c r="AA4930" s="25" t="n"/>
      <c r="AB4930" s="25" t="n"/>
      <c r="AC4930" s="195" t="n"/>
      <c r="AD4930" s="25" t="n"/>
      <c r="AE4930" s="25" t="n"/>
      <c r="AG4930" s="25" t="n"/>
      <c r="AH4930" s="25" t="n"/>
      <c r="AI4930" s="394" t="n"/>
      <c r="AM4930" s="48" t="n"/>
      <c r="AN4930" s="48" t="n"/>
      <c r="AO4930" s="48" t="n"/>
    </row>
    <row r="4931">
      <c r="M4931" s="25" t="n"/>
      <c r="Q4931" s="25" t="n"/>
      <c r="U4931" s="194" t="n"/>
      <c r="AA4931" s="25" t="n"/>
      <c r="AB4931" s="25" t="n"/>
      <c r="AC4931" s="195" t="n"/>
      <c r="AD4931" s="25" t="n"/>
      <c r="AE4931" s="25" t="n"/>
      <c r="AG4931" s="25" t="n"/>
      <c r="AH4931" s="25" t="n"/>
      <c r="AI4931" s="394" t="n"/>
      <c r="AM4931" s="48" t="n"/>
      <c r="AN4931" s="48" t="n"/>
      <c r="AO4931" s="48" t="n"/>
    </row>
    <row r="4932">
      <c r="M4932" s="25" t="n"/>
      <c r="Q4932" s="25" t="n"/>
      <c r="U4932" s="194" t="n"/>
      <c r="AA4932" s="25" t="n"/>
      <c r="AB4932" s="25" t="n"/>
      <c r="AC4932" s="195" t="n"/>
      <c r="AD4932" s="25" t="n"/>
      <c r="AE4932" s="25" t="n"/>
      <c r="AG4932" s="25" t="n"/>
      <c r="AH4932" s="25" t="n"/>
      <c r="AI4932" s="394" t="n"/>
      <c r="AM4932" s="48" t="n"/>
      <c r="AN4932" s="48" t="n"/>
      <c r="AO4932" s="48" t="n"/>
    </row>
    <row r="4933">
      <c r="M4933" s="25" t="n"/>
      <c r="Q4933" s="25" t="n"/>
      <c r="U4933" s="194" t="n"/>
      <c r="AA4933" s="25" t="n"/>
      <c r="AB4933" s="25" t="n"/>
      <c r="AC4933" s="195" t="n"/>
      <c r="AD4933" s="25" t="n"/>
      <c r="AE4933" s="25" t="n"/>
      <c r="AG4933" s="25" t="n"/>
      <c r="AH4933" s="25" t="n"/>
      <c r="AI4933" s="394" t="n"/>
      <c r="AM4933" s="48" t="n"/>
      <c r="AN4933" s="48" t="n"/>
      <c r="AO4933" s="48" t="n"/>
    </row>
    <row r="4934">
      <c r="M4934" s="25" t="n"/>
      <c r="Q4934" s="25" t="n"/>
      <c r="U4934" s="194" t="n"/>
      <c r="AA4934" s="25" t="n"/>
      <c r="AB4934" s="25" t="n"/>
      <c r="AC4934" s="195" t="n"/>
      <c r="AD4934" s="25" t="n"/>
      <c r="AE4934" s="25" t="n"/>
      <c r="AG4934" s="25" t="n"/>
      <c r="AH4934" s="25" t="n"/>
      <c r="AI4934" s="394" t="n"/>
      <c r="AM4934" s="48" t="n"/>
      <c r="AN4934" s="48" t="n"/>
      <c r="AO4934" s="48" t="n"/>
    </row>
    <row r="4935">
      <c r="M4935" s="25" t="n"/>
      <c r="Q4935" s="25" t="n"/>
      <c r="U4935" s="194" t="n"/>
      <c r="AA4935" s="25" t="n"/>
      <c r="AB4935" s="25" t="n"/>
      <c r="AC4935" s="195" t="n"/>
      <c r="AD4935" s="25" t="n"/>
      <c r="AE4935" s="25" t="n"/>
      <c r="AG4935" s="25" t="n"/>
      <c r="AH4935" s="25" t="n"/>
      <c r="AI4935" s="394" t="n"/>
      <c r="AM4935" s="48" t="n"/>
      <c r="AN4935" s="48" t="n"/>
      <c r="AO4935" s="48" t="n"/>
    </row>
    <row r="4936">
      <c r="M4936" s="25" t="n"/>
      <c r="Q4936" s="25" t="n"/>
      <c r="U4936" s="194" t="n"/>
      <c r="AA4936" s="25" t="n"/>
      <c r="AB4936" s="25" t="n"/>
      <c r="AC4936" s="195" t="n"/>
      <c r="AD4936" s="25" t="n"/>
      <c r="AE4936" s="25" t="n"/>
      <c r="AG4936" s="25" t="n"/>
      <c r="AH4936" s="25" t="n"/>
      <c r="AI4936" s="394" t="n"/>
      <c r="AM4936" s="48" t="n"/>
      <c r="AN4936" s="48" t="n"/>
      <c r="AO4936" s="48" t="n"/>
    </row>
    <row r="4937">
      <c r="M4937" s="25" t="n"/>
      <c r="Q4937" s="25" t="n"/>
      <c r="U4937" s="194" t="n"/>
      <c r="AA4937" s="25" t="n"/>
      <c r="AB4937" s="25" t="n"/>
      <c r="AC4937" s="195" t="n"/>
      <c r="AD4937" s="25" t="n"/>
      <c r="AE4937" s="25" t="n"/>
      <c r="AG4937" s="25" t="n"/>
      <c r="AH4937" s="25" t="n"/>
      <c r="AI4937" s="394" t="n"/>
      <c r="AM4937" s="48" t="n"/>
      <c r="AN4937" s="48" t="n"/>
      <c r="AO4937" s="48" t="n"/>
    </row>
    <row r="4938">
      <c r="M4938" s="25" t="n"/>
      <c r="Q4938" s="25" t="n"/>
      <c r="U4938" s="194" t="n"/>
      <c r="AA4938" s="25" t="n"/>
      <c r="AB4938" s="25" t="n"/>
      <c r="AC4938" s="195" t="n"/>
      <c r="AD4938" s="25" t="n"/>
      <c r="AE4938" s="25" t="n"/>
      <c r="AG4938" s="25" t="n"/>
      <c r="AH4938" s="25" t="n"/>
      <c r="AI4938" s="394" t="n"/>
      <c r="AM4938" s="48" t="n"/>
      <c r="AN4938" s="48" t="n"/>
      <c r="AO4938" s="48" t="n"/>
    </row>
    <row r="4939">
      <c r="M4939" s="25" t="n"/>
      <c r="Q4939" s="25" t="n"/>
      <c r="U4939" s="194" t="n"/>
      <c r="AA4939" s="25" t="n"/>
      <c r="AB4939" s="25" t="n"/>
      <c r="AC4939" s="195" t="n"/>
      <c r="AD4939" s="25" t="n"/>
      <c r="AE4939" s="25" t="n"/>
      <c r="AG4939" s="25" t="n"/>
      <c r="AH4939" s="25" t="n"/>
      <c r="AI4939" s="394" t="n"/>
      <c r="AM4939" s="48" t="n"/>
      <c r="AN4939" s="48" t="n"/>
      <c r="AO4939" s="48" t="n"/>
    </row>
    <row r="4940">
      <c r="M4940" s="25" t="n"/>
      <c r="Q4940" s="25" t="n"/>
      <c r="U4940" s="194" t="n"/>
      <c r="AA4940" s="25" t="n"/>
      <c r="AB4940" s="25" t="n"/>
      <c r="AC4940" s="195" t="n"/>
      <c r="AD4940" s="25" t="n"/>
      <c r="AE4940" s="25" t="n"/>
      <c r="AG4940" s="25" t="n"/>
      <c r="AH4940" s="25" t="n"/>
      <c r="AI4940" s="394" t="n"/>
      <c r="AM4940" s="48" t="n"/>
      <c r="AN4940" s="48" t="n"/>
      <c r="AO4940" s="48" t="n"/>
    </row>
    <row r="4941">
      <c r="M4941" s="25" t="n"/>
      <c r="Q4941" s="25" t="n"/>
      <c r="U4941" s="194" t="n"/>
      <c r="AA4941" s="25" t="n"/>
      <c r="AB4941" s="25" t="n"/>
      <c r="AC4941" s="195" t="n"/>
      <c r="AD4941" s="25" t="n"/>
      <c r="AE4941" s="25" t="n"/>
      <c r="AG4941" s="25" t="n"/>
      <c r="AH4941" s="25" t="n"/>
      <c r="AI4941" s="394" t="n"/>
      <c r="AM4941" s="48" t="n"/>
      <c r="AN4941" s="48" t="n"/>
      <c r="AO4941" s="48" t="n"/>
    </row>
    <row r="4942">
      <c r="M4942" s="25" t="n"/>
      <c r="Q4942" s="25" t="n"/>
      <c r="U4942" s="194" t="n"/>
      <c r="AA4942" s="25" t="n"/>
      <c r="AB4942" s="25" t="n"/>
      <c r="AC4942" s="195" t="n"/>
      <c r="AD4942" s="25" t="n"/>
      <c r="AE4942" s="25" t="n"/>
      <c r="AG4942" s="25" t="n"/>
      <c r="AH4942" s="25" t="n"/>
      <c r="AI4942" s="394" t="n"/>
      <c r="AM4942" s="48" t="n"/>
      <c r="AN4942" s="48" t="n"/>
      <c r="AO4942" s="48" t="n"/>
    </row>
    <row r="4943">
      <c r="M4943" s="25" t="n"/>
      <c r="Q4943" s="25" t="n"/>
      <c r="U4943" s="194" t="n"/>
      <c r="AA4943" s="25" t="n"/>
      <c r="AB4943" s="25" t="n"/>
      <c r="AC4943" s="195" t="n"/>
      <c r="AD4943" s="25" t="n"/>
      <c r="AE4943" s="25" t="n"/>
      <c r="AG4943" s="25" t="n"/>
      <c r="AH4943" s="25" t="n"/>
      <c r="AI4943" s="394" t="n"/>
      <c r="AM4943" s="48" t="n"/>
      <c r="AN4943" s="48" t="n"/>
      <c r="AO4943" s="48" t="n"/>
    </row>
    <row r="4944">
      <c r="M4944" s="25" t="n"/>
      <c r="Q4944" s="25" t="n"/>
      <c r="U4944" s="194" t="n"/>
      <c r="AA4944" s="25" t="n"/>
      <c r="AB4944" s="25" t="n"/>
      <c r="AC4944" s="195" t="n"/>
      <c r="AD4944" s="25" t="n"/>
      <c r="AE4944" s="25" t="n"/>
      <c r="AG4944" s="25" t="n"/>
      <c r="AH4944" s="25" t="n"/>
      <c r="AI4944" s="394" t="n"/>
      <c r="AM4944" s="48" t="n"/>
      <c r="AN4944" s="48" t="n"/>
      <c r="AO4944" s="48" t="n"/>
    </row>
    <row r="4945">
      <c r="M4945" s="25" t="n"/>
      <c r="Q4945" s="25" t="n"/>
      <c r="U4945" s="194" t="n"/>
      <c r="AA4945" s="25" t="n"/>
      <c r="AB4945" s="25" t="n"/>
      <c r="AC4945" s="195" t="n"/>
      <c r="AD4945" s="25" t="n"/>
      <c r="AE4945" s="25" t="n"/>
      <c r="AG4945" s="25" t="n"/>
      <c r="AH4945" s="25" t="n"/>
      <c r="AI4945" s="394" t="n"/>
      <c r="AM4945" s="48" t="n"/>
      <c r="AN4945" s="48" t="n"/>
      <c r="AO4945" s="48" t="n"/>
    </row>
    <row r="4946">
      <c r="M4946" s="25" t="n"/>
      <c r="Q4946" s="25" t="n"/>
      <c r="U4946" s="194" t="n"/>
      <c r="AA4946" s="25" t="n"/>
      <c r="AB4946" s="25" t="n"/>
      <c r="AC4946" s="195" t="n"/>
      <c r="AD4946" s="25" t="n"/>
      <c r="AE4946" s="25" t="n"/>
      <c r="AG4946" s="25" t="n"/>
      <c r="AH4946" s="25" t="n"/>
      <c r="AI4946" s="394" t="n"/>
      <c r="AM4946" s="48" t="n"/>
      <c r="AN4946" s="48" t="n"/>
      <c r="AO4946" s="48" t="n"/>
    </row>
    <row r="4947">
      <c r="M4947" s="25" t="n"/>
      <c r="Q4947" s="25" t="n"/>
      <c r="U4947" s="194" t="n"/>
      <c r="AA4947" s="25" t="n"/>
      <c r="AB4947" s="25" t="n"/>
      <c r="AC4947" s="195" t="n"/>
      <c r="AD4947" s="25" t="n"/>
      <c r="AE4947" s="25" t="n"/>
      <c r="AG4947" s="25" t="n"/>
      <c r="AH4947" s="25" t="n"/>
      <c r="AI4947" s="394" t="n"/>
      <c r="AM4947" s="48" t="n"/>
      <c r="AN4947" s="48" t="n"/>
      <c r="AO4947" s="48" t="n"/>
    </row>
    <row r="4948">
      <c r="M4948" s="25" t="n"/>
      <c r="Q4948" s="25" t="n"/>
      <c r="U4948" s="194" t="n"/>
      <c r="AA4948" s="25" t="n"/>
      <c r="AB4948" s="25" t="n"/>
      <c r="AC4948" s="195" t="n"/>
      <c r="AD4948" s="25" t="n"/>
      <c r="AE4948" s="25" t="n"/>
      <c r="AG4948" s="25" t="n"/>
      <c r="AH4948" s="25" t="n"/>
      <c r="AI4948" s="394" t="n"/>
      <c r="AM4948" s="48" t="n"/>
      <c r="AN4948" s="48" t="n"/>
      <c r="AO4948" s="48" t="n"/>
    </row>
    <row r="4949">
      <c r="M4949" s="25" t="n"/>
      <c r="Q4949" s="25" t="n"/>
      <c r="U4949" s="194" t="n"/>
      <c r="AA4949" s="25" t="n"/>
      <c r="AB4949" s="25" t="n"/>
      <c r="AC4949" s="195" t="n"/>
      <c r="AD4949" s="25" t="n"/>
      <c r="AE4949" s="25" t="n"/>
      <c r="AG4949" s="25" t="n"/>
      <c r="AH4949" s="25" t="n"/>
      <c r="AI4949" s="394" t="n"/>
      <c r="AM4949" s="48" t="n"/>
      <c r="AN4949" s="48" t="n"/>
      <c r="AO4949" s="48" t="n"/>
    </row>
    <row r="4950">
      <c r="M4950" s="25" t="n"/>
      <c r="Q4950" s="25" t="n"/>
      <c r="U4950" s="194" t="n"/>
      <c r="AA4950" s="25" t="n"/>
      <c r="AB4950" s="25" t="n"/>
      <c r="AC4950" s="195" t="n"/>
      <c r="AD4950" s="25" t="n"/>
      <c r="AE4950" s="25" t="n"/>
      <c r="AG4950" s="25" t="n"/>
      <c r="AH4950" s="25" t="n"/>
      <c r="AI4950" s="394" t="n"/>
      <c r="AM4950" s="48" t="n"/>
      <c r="AN4950" s="48" t="n"/>
      <c r="AO4950" s="48" t="n"/>
    </row>
    <row r="4951">
      <c r="M4951" s="25" t="n"/>
      <c r="Q4951" s="25" t="n"/>
      <c r="U4951" s="194" t="n"/>
      <c r="AA4951" s="25" t="n"/>
      <c r="AB4951" s="25" t="n"/>
      <c r="AC4951" s="195" t="n"/>
      <c r="AD4951" s="25" t="n"/>
      <c r="AE4951" s="25" t="n"/>
      <c r="AG4951" s="25" t="n"/>
      <c r="AH4951" s="25" t="n"/>
      <c r="AI4951" s="394" t="n"/>
      <c r="AM4951" s="48" t="n"/>
      <c r="AN4951" s="48" t="n"/>
      <c r="AO4951" s="48" t="n"/>
    </row>
    <row r="4952">
      <c r="M4952" s="25" t="n"/>
      <c r="Q4952" s="25" t="n"/>
      <c r="U4952" s="194" t="n"/>
      <c r="AA4952" s="25" t="n"/>
      <c r="AB4952" s="25" t="n"/>
      <c r="AC4952" s="195" t="n"/>
      <c r="AD4952" s="25" t="n"/>
      <c r="AE4952" s="25" t="n"/>
      <c r="AG4952" s="25" t="n"/>
      <c r="AH4952" s="25" t="n"/>
      <c r="AI4952" s="394" t="n"/>
      <c r="AM4952" s="48" t="n"/>
      <c r="AN4952" s="48" t="n"/>
      <c r="AO4952" s="48" t="n"/>
    </row>
    <row r="4953">
      <c r="M4953" s="25" t="n"/>
      <c r="Q4953" s="25" t="n"/>
      <c r="U4953" s="194" t="n"/>
      <c r="AA4953" s="25" t="n"/>
      <c r="AB4953" s="25" t="n"/>
      <c r="AC4953" s="195" t="n"/>
      <c r="AD4953" s="25" t="n"/>
      <c r="AE4953" s="25" t="n"/>
      <c r="AG4953" s="25" t="n"/>
      <c r="AH4953" s="25" t="n"/>
      <c r="AI4953" s="394" t="n"/>
      <c r="AM4953" s="48" t="n"/>
      <c r="AN4953" s="48" t="n"/>
      <c r="AO4953" s="48" t="n"/>
    </row>
    <row r="4954">
      <c r="M4954" s="25" t="n"/>
      <c r="Q4954" s="25" t="n"/>
      <c r="U4954" s="194" t="n"/>
      <c r="AA4954" s="25" t="n"/>
      <c r="AB4954" s="25" t="n"/>
      <c r="AC4954" s="195" t="n"/>
      <c r="AD4954" s="25" t="n"/>
      <c r="AE4954" s="25" t="n"/>
      <c r="AG4954" s="25" t="n"/>
      <c r="AH4954" s="25" t="n"/>
      <c r="AI4954" s="394" t="n"/>
      <c r="AM4954" s="48" t="n"/>
      <c r="AN4954" s="48" t="n"/>
      <c r="AO4954" s="48" t="n"/>
    </row>
    <row r="4955">
      <c r="M4955" s="25" t="n"/>
      <c r="Q4955" s="25" t="n"/>
      <c r="U4955" s="194" t="n"/>
      <c r="AA4955" s="25" t="n"/>
      <c r="AB4955" s="25" t="n"/>
      <c r="AC4955" s="195" t="n"/>
      <c r="AD4955" s="25" t="n"/>
      <c r="AE4955" s="25" t="n"/>
      <c r="AG4955" s="25" t="n"/>
      <c r="AH4955" s="25" t="n"/>
      <c r="AI4955" s="394" t="n"/>
      <c r="AM4955" s="48" t="n"/>
      <c r="AN4955" s="48" t="n"/>
      <c r="AO4955" s="48" t="n"/>
    </row>
    <row r="4956">
      <c r="M4956" s="25" t="n"/>
      <c r="Q4956" s="25" t="n"/>
      <c r="U4956" s="194" t="n"/>
      <c r="AA4956" s="25" t="n"/>
      <c r="AB4956" s="25" t="n"/>
      <c r="AC4956" s="195" t="n"/>
      <c r="AD4956" s="25" t="n"/>
      <c r="AE4956" s="25" t="n"/>
      <c r="AG4956" s="25" t="n"/>
      <c r="AH4956" s="25" t="n"/>
      <c r="AI4956" s="394" t="n"/>
      <c r="AM4956" s="48" t="n"/>
      <c r="AN4956" s="48" t="n"/>
      <c r="AO4956" s="48" t="n"/>
    </row>
    <row r="4957">
      <c r="M4957" s="25" t="n"/>
      <c r="Q4957" s="25" t="n"/>
      <c r="U4957" s="194" t="n"/>
      <c r="AA4957" s="25" t="n"/>
      <c r="AB4957" s="25" t="n"/>
      <c r="AC4957" s="195" t="n"/>
      <c r="AD4957" s="25" t="n"/>
      <c r="AE4957" s="25" t="n"/>
      <c r="AG4957" s="25" t="n"/>
      <c r="AH4957" s="25" t="n"/>
      <c r="AI4957" s="394" t="n"/>
      <c r="AM4957" s="48" t="n"/>
      <c r="AN4957" s="48" t="n"/>
      <c r="AO4957" s="48" t="n"/>
    </row>
    <row r="4958">
      <c r="M4958" s="25" t="n"/>
      <c r="Q4958" s="25" t="n"/>
      <c r="U4958" s="194" t="n"/>
      <c r="AA4958" s="25" t="n"/>
      <c r="AB4958" s="25" t="n"/>
      <c r="AC4958" s="195" t="n"/>
      <c r="AD4958" s="25" t="n"/>
      <c r="AE4958" s="25" t="n"/>
      <c r="AG4958" s="25" t="n"/>
      <c r="AH4958" s="25" t="n"/>
      <c r="AI4958" s="394" t="n"/>
      <c r="AM4958" s="48" t="n"/>
      <c r="AN4958" s="48" t="n"/>
      <c r="AO4958" s="48" t="n"/>
    </row>
    <row r="4959">
      <c r="M4959" s="25" t="n"/>
      <c r="Q4959" s="25" t="n"/>
      <c r="U4959" s="194" t="n"/>
      <c r="AA4959" s="25" t="n"/>
      <c r="AB4959" s="25" t="n"/>
      <c r="AC4959" s="195" t="n"/>
      <c r="AD4959" s="25" t="n"/>
      <c r="AE4959" s="25" t="n"/>
      <c r="AG4959" s="25" t="n"/>
      <c r="AH4959" s="25" t="n"/>
      <c r="AI4959" s="394" t="n"/>
      <c r="AM4959" s="48" t="n"/>
      <c r="AN4959" s="48" t="n"/>
      <c r="AO4959" s="48" t="n"/>
    </row>
    <row r="4960">
      <c r="M4960" s="25" t="n"/>
      <c r="Q4960" s="25" t="n"/>
      <c r="U4960" s="194" t="n"/>
      <c r="AA4960" s="25" t="n"/>
      <c r="AB4960" s="25" t="n"/>
      <c r="AC4960" s="195" t="n"/>
      <c r="AD4960" s="25" t="n"/>
      <c r="AE4960" s="25" t="n"/>
      <c r="AG4960" s="25" t="n"/>
      <c r="AH4960" s="25" t="n"/>
      <c r="AI4960" s="394" t="n"/>
      <c r="AM4960" s="48" t="n"/>
      <c r="AN4960" s="48" t="n"/>
      <c r="AO4960" s="48" t="n"/>
    </row>
    <row r="4961">
      <c r="M4961" s="25" t="n"/>
      <c r="Q4961" s="25" t="n"/>
      <c r="U4961" s="194" t="n"/>
      <c r="AA4961" s="25" t="n"/>
      <c r="AB4961" s="25" t="n"/>
      <c r="AC4961" s="195" t="n"/>
      <c r="AD4961" s="25" t="n"/>
      <c r="AE4961" s="25" t="n"/>
      <c r="AG4961" s="25" t="n"/>
      <c r="AH4961" s="25" t="n"/>
      <c r="AI4961" s="394" t="n"/>
      <c r="AM4961" s="48" t="n"/>
      <c r="AN4961" s="48" t="n"/>
      <c r="AO4961" s="48" t="n"/>
    </row>
    <row r="4962">
      <c r="M4962" s="25" t="n"/>
      <c r="Q4962" s="25" t="n"/>
      <c r="U4962" s="194" t="n"/>
      <c r="AA4962" s="25" t="n"/>
      <c r="AB4962" s="25" t="n"/>
      <c r="AC4962" s="195" t="n"/>
      <c r="AD4962" s="25" t="n"/>
      <c r="AE4962" s="25" t="n"/>
      <c r="AG4962" s="25" t="n"/>
      <c r="AH4962" s="25" t="n"/>
      <c r="AI4962" s="394" t="n"/>
      <c r="AM4962" s="48" t="n"/>
      <c r="AN4962" s="48" t="n"/>
      <c r="AO4962" s="48" t="n"/>
    </row>
    <row r="4963">
      <c r="M4963" s="25" t="n"/>
      <c r="Q4963" s="25" t="n"/>
      <c r="U4963" s="194" t="n"/>
      <c r="AA4963" s="25" t="n"/>
      <c r="AB4963" s="25" t="n"/>
      <c r="AC4963" s="195" t="n"/>
      <c r="AD4963" s="25" t="n"/>
      <c r="AE4963" s="25" t="n"/>
      <c r="AG4963" s="25" t="n"/>
      <c r="AH4963" s="25" t="n"/>
      <c r="AI4963" s="394" t="n"/>
      <c r="AM4963" s="48" t="n"/>
      <c r="AN4963" s="48" t="n"/>
      <c r="AO4963" s="48" t="n"/>
    </row>
    <row r="4964">
      <c r="M4964" s="25" t="n"/>
      <c r="Q4964" s="25" t="n"/>
      <c r="U4964" s="194" t="n"/>
      <c r="AA4964" s="25" t="n"/>
      <c r="AB4964" s="25" t="n"/>
      <c r="AC4964" s="195" t="n"/>
      <c r="AD4964" s="25" t="n"/>
      <c r="AE4964" s="25" t="n"/>
      <c r="AG4964" s="25" t="n"/>
      <c r="AH4964" s="25" t="n"/>
      <c r="AI4964" s="394" t="n"/>
      <c r="AM4964" s="48" t="n"/>
      <c r="AN4964" s="48" t="n"/>
      <c r="AO4964" s="48" t="n"/>
    </row>
    <row r="4965">
      <c r="M4965" s="25" t="n"/>
      <c r="Q4965" s="25" t="n"/>
      <c r="U4965" s="194" t="n"/>
      <c r="AA4965" s="25" t="n"/>
      <c r="AB4965" s="25" t="n"/>
      <c r="AC4965" s="195" t="n"/>
      <c r="AD4965" s="25" t="n"/>
      <c r="AE4965" s="25" t="n"/>
      <c r="AG4965" s="25" t="n"/>
      <c r="AH4965" s="25" t="n"/>
      <c r="AI4965" s="394" t="n"/>
      <c r="AM4965" s="48" t="n"/>
      <c r="AN4965" s="48" t="n"/>
      <c r="AO4965" s="48" t="n"/>
    </row>
    <row r="4966">
      <c r="M4966" s="25" t="n"/>
      <c r="Q4966" s="25" t="n"/>
      <c r="U4966" s="194" t="n"/>
      <c r="AA4966" s="25" t="n"/>
      <c r="AB4966" s="25" t="n"/>
      <c r="AC4966" s="195" t="n"/>
      <c r="AD4966" s="25" t="n"/>
      <c r="AE4966" s="25" t="n"/>
      <c r="AG4966" s="25" t="n"/>
      <c r="AH4966" s="25" t="n"/>
      <c r="AI4966" s="394" t="n"/>
      <c r="AM4966" s="48" t="n"/>
      <c r="AN4966" s="48" t="n"/>
      <c r="AO4966" s="48" t="n"/>
    </row>
    <row r="4967">
      <c r="M4967" s="25" t="n"/>
      <c r="Q4967" s="25" t="n"/>
      <c r="U4967" s="194" t="n"/>
      <c r="AA4967" s="25" t="n"/>
      <c r="AB4967" s="25" t="n"/>
      <c r="AC4967" s="195" t="n"/>
      <c r="AD4967" s="25" t="n"/>
      <c r="AE4967" s="25" t="n"/>
      <c r="AG4967" s="25" t="n"/>
      <c r="AH4967" s="25" t="n"/>
      <c r="AI4967" s="394" t="n"/>
      <c r="AM4967" s="48" t="n"/>
      <c r="AN4967" s="48" t="n"/>
      <c r="AO4967" s="48" t="n"/>
    </row>
    <row r="4968">
      <c r="M4968" s="25" t="n"/>
      <c r="Q4968" s="25" t="n"/>
      <c r="U4968" s="194" t="n"/>
      <c r="AA4968" s="25" t="n"/>
      <c r="AB4968" s="25" t="n"/>
      <c r="AC4968" s="195" t="n"/>
      <c r="AD4968" s="25" t="n"/>
      <c r="AE4968" s="25" t="n"/>
      <c r="AG4968" s="25" t="n"/>
      <c r="AH4968" s="25" t="n"/>
      <c r="AI4968" s="394" t="n"/>
      <c r="AM4968" s="48" t="n"/>
      <c r="AN4968" s="48" t="n"/>
      <c r="AO4968" s="48" t="n"/>
    </row>
    <row r="4969">
      <c r="M4969" s="25" t="n"/>
      <c r="Q4969" s="25" t="n"/>
      <c r="U4969" s="194" t="n"/>
      <c r="AA4969" s="25" t="n"/>
      <c r="AB4969" s="25" t="n"/>
      <c r="AC4969" s="195" t="n"/>
      <c r="AD4969" s="25" t="n"/>
      <c r="AE4969" s="25" t="n"/>
      <c r="AG4969" s="25" t="n"/>
      <c r="AH4969" s="25" t="n"/>
      <c r="AI4969" s="394" t="n"/>
      <c r="AM4969" s="48" t="n"/>
      <c r="AN4969" s="48" t="n"/>
      <c r="AO4969" s="48" t="n"/>
    </row>
    <row r="4970">
      <c r="M4970" s="25" t="n"/>
      <c r="Q4970" s="25" t="n"/>
      <c r="U4970" s="194" t="n"/>
      <c r="AA4970" s="25" t="n"/>
      <c r="AB4970" s="25" t="n"/>
      <c r="AC4970" s="195" t="n"/>
      <c r="AD4970" s="25" t="n"/>
      <c r="AE4970" s="25" t="n"/>
      <c r="AG4970" s="25" t="n"/>
      <c r="AH4970" s="25" t="n"/>
      <c r="AI4970" s="394" t="n"/>
      <c r="AM4970" s="48" t="n"/>
      <c r="AN4970" s="48" t="n"/>
      <c r="AO4970" s="48" t="n"/>
    </row>
    <row r="4971">
      <c r="M4971" s="25" t="n"/>
      <c r="Q4971" s="25" t="n"/>
      <c r="U4971" s="194" t="n"/>
      <c r="AA4971" s="25" t="n"/>
      <c r="AB4971" s="25" t="n"/>
      <c r="AC4971" s="195" t="n"/>
      <c r="AD4971" s="25" t="n"/>
      <c r="AE4971" s="25" t="n"/>
      <c r="AG4971" s="25" t="n"/>
      <c r="AH4971" s="25" t="n"/>
      <c r="AI4971" s="394" t="n"/>
      <c r="AM4971" s="48" t="n"/>
      <c r="AN4971" s="48" t="n"/>
      <c r="AO4971" s="48" t="n"/>
    </row>
    <row r="4972">
      <c r="M4972" s="25" t="n"/>
      <c r="Q4972" s="25" t="n"/>
      <c r="U4972" s="194" t="n"/>
      <c r="AA4972" s="25" t="n"/>
      <c r="AB4972" s="25" t="n"/>
      <c r="AC4972" s="195" t="n"/>
      <c r="AD4972" s="25" t="n"/>
      <c r="AE4972" s="25" t="n"/>
      <c r="AG4972" s="25" t="n"/>
      <c r="AH4972" s="25" t="n"/>
      <c r="AI4972" s="394" t="n"/>
      <c r="AM4972" s="48" t="n"/>
      <c r="AN4972" s="48" t="n"/>
      <c r="AO4972" s="48" t="n"/>
    </row>
    <row r="4973">
      <c r="M4973" s="25" t="n"/>
      <c r="Q4973" s="25" t="n"/>
      <c r="U4973" s="194" t="n"/>
      <c r="AA4973" s="25" t="n"/>
      <c r="AB4973" s="25" t="n"/>
      <c r="AC4973" s="195" t="n"/>
      <c r="AD4973" s="25" t="n"/>
      <c r="AE4973" s="25" t="n"/>
      <c r="AG4973" s="25" t="n"/>
      <c r="AH4973" s="25" t="n"/>
      <c r="AI4973" s="394" t="n"/>
      <c r="AM4973" s="48" t="n"/>
      <c r="AN4973" s="48" t="n"/>
      <c r="AO4973" s="48" t="n"/>
    </row>
    <row r="4974">
      <c r="M4974" s="25" t="n"/>
      <c r="Q4974" s="25" t="n"/>
      <c r="U4974" s="194" t="n"/>
      <c r="AA4974" s="25" t="n"/>
      <c r="AB4974" s="25" t="n"/>
      <c r="AC4974" s="195" t="n"/>
      <c r="AD4974" s="25" t="n"/>
      <c r="AE4974" s="25" t="n"/>
      <c r="AG4974" s="25" t="n"/>
      <c r="AH4974" s="25" t="n"/>
      <c r="AI4974" s="394" t="n"/>
      <c r="AM4974" s="48" t="n"/>
      <c r="AN4974" s="48" t="n"/>
      <c r="AO4974" s="48" t="n"/>
    </row>
    <row r="4975">
      <c r="M4975" s="25" t="n"/>
      <c r="Q4975" s="25" t="n"/>
      <c r="U4975" s="194" t="n"/>
      <c r="AA4975" s="25" t="n"/>
      <c r="AB4975" s="25" t="n"/>
      <c r="AC4975" s="195" t="n"/>
      <c r="AD4975" s="25" t="n"/>
      <c r="AE4975" s="25" t="n"/>
      <c r="AG4975" s="25" t="n"/>
      <c r="AH4975" s="25" t="n"/>
      <c r="AI4975" s="394" t="n"/>
      <c r="AM4975" s="48" t="n"/>
      <c r="AN4975" s="48" t="n"/>
      <c r="AO4975" s="48" t="n"/>
    </row>
    <row r="4976">
      <c r="M4976" s="25" t="n"/>
      <c r="Q4976" s="25" t="n"/>
      <c r="U4976" s="194" t="n"/>
      <c r="AA4976" s="25" t="n"/>
      <c r="AB4976" s="25" t="n"/>
      <c r="AC4976" s="195" t="n"/>
      <c r="AD4976" s="25" t="n"/>
      <c r="AE4976" s="25" t="n"/>
      <c r="AG4976" s="25" t="n"/>
      <c r="AH4976" s="25" t="n"/>
      <c r="AI4976" s="394" t="n"/>
      <c r="AM4976" s="48" t="n"/>
      <c r="AN4976" s="48" t="n"/>
      <c r="AO4976" s="48" t="n"/>
    </row>
    <row r="4977">
      <c r="M4977" s="25" t="n"/>
      <c r="Q4977" s="25" t="n"/>
      <c r="U4977" s="194" t="n"/>
      <c r="AA4977" s="25" t="n"/>
      <c r="AB4977" s="25" t="n"/>
      <c r="AC4977" s="195" t="n"/>
      <c r="AD4977" s="25" t="n"/>
      <c r="AE4977" s="25" t="n"/>
      <c r="AG4977" s="25" t="n"/>
      <c r="AH4977" s="25" t="n"/>
      <c r="AI4977" s="394" t="n"/>
      <c r="AM4977" s="48" t="n"/>
      <c r="AN4977" s="48" t="n"/>
      <c r="AO4977" s="48" t="n"/>
    </row>
    <row r="4978">
      <c r="M4978" s="25" t="n"/>
      <c r="Q4978" s="25" t="n"/>
      <c r="U4978" s="194" t="n"/>
      <c r="AA4978" s="25" t="n"/>
      <c r="AB4978" s="25" t="n"/>
      <c r="AC4978" s="195" t="n"/>
      <c r="AD4978" s="25" t="n"/>
      <c r="AE4978" s="25" t="n"/>
      <c r="AG4978" s="25" t="n"/>
      <c r="AH4978" s="25" t="n"/>
      <c r="AI4978" s="394" t="n"/>
      <c r="AM4978" s="48" t="n"/>
      <c r="AN4978" s="48" t="n"/>
      <c r="AO4978" s="48" t="n"/>
    </row>
    <row r="4979">
      <c r="M4979" s="25" t="n"/>
      <c r="Q4979" s="25" t="n"/>
      <c r="U4979" s="194" t="n"/>
      <c r="AA4979" s="25" t="n"/>
      <c r="AB4979" s="25" t="n"/>
      <c r="AC4979" s="195" t="n"/>
      <c r="AD4979" s="25" t="n"/>
      <c r="AE4979" s="25" t="n"/>
      <c r="AG4979" s="25" t="n"/>
      <c r="AH4979" s="25" t="n"/>
      <c r="AI4979" s="394" t="n"/>
      <c r="AM4979" s="48" t="n"/>
      <c r="AN4979" s="48" t="n"/>
      <c r="AO4979" s="48" t="n"/>
    </row>
    <row r="4980">
      <c r="M4980" s="25" t="n"/>
      <c r="Q4980" s="25" t="n"/>
      <c r="U4980" s="194" t="n"/>
      <c r="AA4980" s="25" t="n"/>
      <c r="AB4980" s="25" t="n"/>
      <c r="AC4980" s="195" t="n"/>
      <c r="AD4980" s="25" t="n"/>
      <c r="AE4980" s="25" t="n"/>
      <c r="AG4980" s="25" t="n"/>
      <c r="AH4980" s="25" t="n"/>
      <c r="AI4980" s="394" t="n"/>
      <c r="AM4980" s="48" t="n"/>
      <c r="AN4980" s="48" t="n"/>
      <c r="AO4980" s="48" t="n"/>
    </row>
    <row r="4981">
      <c r="M4981" s="25" t="n"/>
      <c r="Q4981" s="25" t="n"/>
      <c r="U4981" s="194" t="n"/>
      <c r="AA4981" s="25" t="n"/>
      <c r="AB4981" s="25" t="n"/>
      <c r="AC4981" s="195" t="n"/>
      <c r="AD4981" s="25" t="n"/>
      <c r="AE4981" s="25" t="n"/>
      <c r="AG4981" s="25" t="n"/>
      <c r="AH4981" s="25" t="n"/>
      <c r="AI4981" s="394" t="n"/>
      <c r="AM4981" s="48" t="n"/>
      <c r="AN4981" s="48" t="n"/>
      <c r="AO4981" s="48" t="n"/>
    </row>
    <row r="4982">
      <c r="M4982" s="25" t="n"/>
      <c r="Q4982" s="25" t="n"/>
      <c r="U4982" s="194" t="n"/>
      <c r="AA4982" s="25" t="n"/>
      <c r="AB4982" s="25" t="n"/>
      <c r="AC4982" s="195" t="n"/>
      <c r="AD4982" s="25" t="n"/>
      <c r="AE4982" s="25" t="n"/>
      <c r="AG4982" s="25" t="n"/>
      <c r="AH4982" s="25" t="n"/>
      <c r="AI4982" s="394" t="n"/>
      <c r="AM4982" s="48" t="n"/>
      <c r="AN4982" s="48" t="n"/>
      <c r="AO4982" s="48" t="n"/>
    </row>
    <row r="4983">
      <c r="M4983" s="25" t="n"/>
      <c r="Q4983" s="25" t="n"/>
      <c r="U4983" s="194" t="n"/>
      <c r="AA4983" s="25" t="n"/>
      <c r="AB4983" s="25" t="n"/>
      <c r="AC4983" s="195" t="n"/>
      <c r="AD4983" s="25" t="n"/>
      <c r="AE4983" s="25" t="n"/>
      <c r="AG4983" s="25" t="n"/>
      <c r="AH4983" s="25" t="n"/>
      <c r="AI4983" s="394" t="n"/>
      <c r="AM4983" s="48" t="n"/>
      <c r="AN4983" s="48" t="n"/>
      <c r="AO4983" s="48" t="n"/>
    </row>
    <row r="4984">
      <c r="M4984" s="25" t="n"/>
      <c r="Q4984" s="25" t="n"/>
      <c r="U4984" s="194" t="n"/>
      <c r="AA4984" s="25" t="n"/>
      <c r="AB4984" s="25" t="n"/>
      <c r="AC4984" s="195" t="n"/>
      <c r="AD4984" s="25" t="n"/>
      <c r="AE4984" s="25" t="n"/>
      <c r="AG4984" s="25" t="n"/>
      <c r="AH4984" s="25" t="n"/>
      <c r="AI4984" s="394" t="n"/>
      <c r="AM4984" s="48" t="n"/>
      <c r="AN4984" s="48" t="n"/>
      <c r="AO4984" s="48" t="n"/>
    </row>
    <row r="4985">
      <c r="M4985" s="25" t="n"/>
      <c r="Q4985" s="25" t="n"/>
      <c r="U4985" s="194" t="n"/>
      <c r="AA4985" s="25" t="n"/>
      <c r="AB4985" s="25" t="n"/>
      <c r="AC4985" s="195" t="n"/>
      <c r="AD4985" s="25" t="n"/>
      <c r="AE4985" s="25" t="n"/>
      <c r="AG4985" s="25" t="n"/>
      <c r="AH4985" s="25" t="n"/>
      <c r="AI4985" s="394" t="n"/>
      <c r="AM4985" s="48" t="n"/>
      <c r="AN4985" s="48" t="n"/>
      <c r="AO4985" s="48" t="n"/>
    </row>
    <row r="4986">
      <c r="M4986" s="25" t="n"/>
      <c r="Q4986" s="25" t="n"/>
      <c r="U4986" s="194" t="n"/>
      <c r="AA4986" s="25" t="n"/>
      <c r="AB4986" s="25" t="n"/>
      <c r="AC4986" s="195" t="n"/>
      <c r="AD4986" s="25" t="n"/>
      <c r="AE4986" s="25" t="n"/>
      <c r="AG4986" s="25" t="n"/>
      <c r="AH4986" s="25" t="n"/>
      <c r="AI4986" s="394" t="n"/>
      <c r="AM4986" s="48" t="n"/>
      <c r="AN4986" s="48" t="n"/>
      <c r="AO4986" s="48" t="n"/>
    </row>
    <row r="4987">
      <c r="M4987" s="25" t="n"/>
      <c r="Q4987" s="25" t="n"/>
      <c r="U4987" s="194" t="n"/>
      <c r="AA4987" s="25" t="n"/>
      <c r="AB4987" s="25" t="n"/>
      <c r="AC4987" s="195" t="n"/>
      <c r="AD4987" s="25" t="n"/>
      <c r="AE4987" s="25" t="n"/>
      <c r="AG4987" s="25" t="n"/>
      <c r="AH4987" s="25" t="n"/>
      <c r="AI4987" s="394" t="n"/>
      <c r="AM4987" s="48" t="n"/>
      <c r="AN4987" s="48" t="n"/>
      <c r="AO4987" s="48" t="n"/>
    </row>
    <row r="4988">
      <c r="M4988" s="25" t="n"/>
      <c r="Q4988" s="25" t="n"/>
      <c r="U4988" s="194" t="n"/>
      <c r="AA4988" s="25" t="n"/>
      <c r="AB4988" s="25" t="n"/>
      <c r="AC4988" s="195" t="n"/>
      <c r="AD4988" s="25" t="n"/>
      <c r="AE4988" s="25" t="n"/>
      <c r="AG4988" s="25" t="n"/>
      <c r="AH4988" s="25" t="n"/>
      <c r="AI4988" s="394" t="n"/>
      <c r="AM4988" s="48" t="n"/>
      <c r="AN4988" s="48" t="n"/>
      <c r="AO4988" s="48" t="n"/>
    </row>
    <row r="4989">
      <c r="M4989" s="25" t="n"/>
      <c r="Q4989" s="25" t="n"/>
      <c r="U4989" s="194" t="n"/>
      <c r="AA4989" s="25" t="n"/>
      <c r="AB4989" s="25" t="n"/>
      <c r="AC4989" s="195" t="n"/>
      <c r="AD4989" s="25" t="n"/>
      <c r="AE4989" s="25" t="n"/>
      <c r="AG4989" s="25" t="n"/>
      <c r="AH4989" s="25" t="n"/>
      <c r="AI4989" s="394" t="n"/>
      <c r="AM4989" s="48" t="n"/>
      <c r="AN4989" s="48" t="n"/>
      <c r="AO4989" s="48" t="n"/>
    </row>
    <row r="4990">
      <c r="M4990" s="25" t="n"/>
      <c r="Q4990" s="25" t="n"/>
      <c r="U4990" s="194" t="n"/>
      <c r="AA4990" s="25" t="n"/>
      <c r="AB4990" s="25" t="n"/>
      <c r="AC4990" s="195" t="n"/>
      <c r="AD4990" s="25" t="n"/>
      <c r="AE4990" s="25" t="n"/>
      <c r="AG4990" s="25" t="n"/>
      <c r="AH4990" s="25" t="n"/>
      <c r="AI4990" s="394" t="n"/>
      <c r="AM4990" s="48" t="n"/>
      <c r="AN4990" s="48" t="n"/>
      <c r="AO4990" s="48" t="n"/>
    </row>
    <row r="4991">
      <c r="M4991" s="25" t="n"/>
      <c r="Q4991" s="25" t="n"/>
      <c r="U4991" s="194" t="n"/>
      <c r="AA4991" s="25" t="n"/>
      <c r="AB4991" s="25" t="n"/>
      <c r="AC4991" s="195" t="n"/>
      <c r="AD4991" s="25" t="n"/>
      <c r="AE4991" s="25" t="n"/>
      <c r="AG4991" s="25" t="n"/>
      <c r="AH4991" s="25" t="n"/>
      <c r="AI4991" s="394" t="n"/>
      <c r="AM4991" s="48" t="n"/>
      <c r="AN4991" s="48" t="n"/>
      <c r="AO4991" s="48" t="n"/>
    </row>
    <row r="4992">
      <c r="M4992" s="25" t="n"/>
      <c r="Q4992" s="25" t="n"/>
      <c r="U4992" s="194" t="n"/>
      <c r="AA4992" s="25" t="n"/>
      <c r="AB4992" s="25" t="n"/>
      <c r="AC4992" s="195" t="n"/>
      <c r="AD4992" s="25" t="n"/>
      <c r="AE4992" s="25" t="n"/>
      <c r="AG4992" s="25" t="n"/>
      <c r="AH4992" s="25" t="n"/>
      <c r="AI4992" s="394" t="n"/>
      <c r="AM4992" s="48" t="n"/>
      <c r="AN4992" s="48" t="n"/>
      <c r="AO4992" s="48" t="n"/>
    </row>
    <row r="4993">
      <c r="M4993" s="25" t="n"/>
      <c r="Q4993" s="25" t="n"/>
      <c r="U4993" s="194" t="n"/>
      <c r="AA4993" s="25" t="n"/>
      <c r="AB4993" s="25" t="n"/>
      <c r="AC4993" s="195" t="n"/>
      <c r="AD4993" s="25" t="n"/>
      <c r="AE4993" s="25" t="n"/>
      <c r="AG4993" s="25" t="n"/>
      <c r="AH4993" s="25" t="n"/>
      <c r="AI4993" s="394" t="n"/>
      <c r="AM4993" s="48" t="n"/>
      <c r="AN4993" s="48" t="n"/>
      <c r="AO4993" s="48" t="n"/>
    </row>
    <row r="4994">
      <c r="M4994" s="25" t="n"/>
      <c r="Q4994" s="25" t="n"/>
      <c r="U4994" s="194" t="n"/>
      <c r="AA4994" s="25" t="n"/>
      <c r="AB4994" s="25" t="n"/>
      <c r="AC4994" s="195" t="n"/>
      <c r="AD4994" s="25" t="n"/>
      <c r="AE4994" s="25" t="n"/>
      <c r="AG4994" s="25" t="n"/>
      <c r="AH4994" s="25" t="n"/>
      <c r="AI4994" s="394" t="n"/>
      <c r="AM4994" s="48" t="n"/>
      <c r="AN4994" s="48" t="n"/>
      <c r="AO4994" s="48" t="n"/>
    </row>
    <row r="4995">
      <c r="M4995" s="25" t="n"/>
      <c r="Q4995" s="25" t="n"/>
      <c r="U4995" s="194" t="n"/>
      <c r="AA4995" s="25" t="n"/>
      <c r="AB4995" s="25" t="n"/>
      <c r="AC4995" s="195" t="n"/>
      <c r="AD4995" s="25" t="n"/>
      <c r="AE4995" s="25" t="n"/>
      <c r="AG4995" s="25" t="n"/>
      <c r="AH4995" s="25" t="n"/>
      <c r="AI4995" s="394" t="n"/>
      <c r="AM4995" s="48" t="n"/>
      <c r="AN4995" s="48" t="n"/>
      <c r="AO4995" s="48" t="n"/>
    </row>
    <row r="4996">
      <c r="M4996" s="25" t="n"/>
      <c r="Q4996" s="25" t="n"/>
      <c r="U4996" s="194" t="n"/>
      <c r="AA4996" s="25" t="n"/>
      <c r="AB4996" s="25" t="n"/>
      <c r="AC4996" s="195" t="n"/>
      <c r="AD4996" s="25" t="n"/>
      <c r="AE4996" s="25" t="n"/>
      <c r="AG4996" s="25" t="n"/>
      <c r="AH4996" s="25" t="n"/>
      <c r="AI4996" s="394" t="n"/>
      <c r="AM4996" s="48" t="n"/>
      <c r="AN4996" s="48" t="n"/>
      <c r="AO4996" s="48" t="n"/>
    </row>
    <row r="4997">
      <c r="M4997" s="25" t="n"/>
      <c r="Q4997" s="25" t="n"/>
      <c r="U4997" s="194" t="n"/>
      <c r="AA4997" s="25" t="n"/>
      <c r="AB4997" s="25" t="n"/>
      <c r="AC4997" s="195" t="n"/>
      <c r="AD4997" s="25" t="n"/>
      <c r="AE4997" s="25" t="n"/>
      <c r="AG4997" s="25" t="n"/>
      <c r="AH4997" s="25" t="n"/>
      <c r="AI4997" s="394" t="n"/>
      <c r="AM4997" s="48" t="n"/>
      <c r="AN4997" s="48" t="n"/>
      <c r="AO4997" s="48" t="n"/>
    </row>
    <row r="4998">
      <c r="M4998" s="25" t="n"/>
      <c r="Q4998" s="25" t="n"/>
      <c r="U4998" s="194" t="n"/>
      <c r="AA4998" s="25" t="n"/>
      <c r="AB4998" s="25" t="n"/>
      <c r="AC4998" s="195" t="n"/>
      <c r="AD4998" s="25" t="n"/>
      <c r="AE4998" s="25" t="n"/>
      <c r="AG4998" s="25" t="n"/>
      <c r="AH4998" s="25" t="n"/>
      <c r="AI4998" s="394" t="n"/>
      <c r="AM4998" s="48" t="n"/>
      <c r="AN4998" s="48" t="n"/>
      <c r="AO4998" s="48" t="n"/>
    </row>
    <row r="4999">
      <c r="M4999" s="25" t="n"/>
      <c r="Q4999" s="25" t="n"/>
      <c r="U4999" s="194" t="n"/>
      <c r="AA4999" s="25" t="n"/>
      <c r="AB4999" s="25" t="n"/>
      <c r="AC4999" s="195" t="n"/>
      <c r="AD4999" s="25" t="n"/>
      <c r="AE4999" s="25" t="n"/>
      <c r="AG4999" s="25" t="n"/>
      <c r="AH4999" s="25" t="n"/>
      <c r="AI4999" s="394" t="n"/>
      <c r="AM4999" s="48" t="n"/>
      <c r="AN4999" s="48" t="n"/>
      <c r="AO4999" s="48" t="n"/>
    </row>
    <row r="5000">
      <c r="M5000" s="25" t="n"/>
      <c r="Q5000" s="25" t="n"/>
      <c r="U5000" s="194" t="n"/>
      <c r="AA5000" s="25" t="n"/>
      <c r="AB5000" s="25" t="n"/>
      <c r="AC5000" s="195" t="n"/>
      <c r="AD5000" s="25" t="n"/>
      <c r="AE5000" s="25" t="n"/>
      <c r="AG5000" s="25" t="n"/>
      <c r="AH5000" s="25" t="n"/>
      <c r="AI5000" s="394" t="n"/>
      <c r="AM5000" s="48" t="n"/>
      <c r="AN5000" s="48" t="n"/>
      <c r="AO5000" s="48" t="n"/>
    </row>
    <row r="5001">
      <c r="M5001" s="25" t="n"/>
      <c r="Q5001" s="25" t="n"/>
      <c r="U5001" s="194" t="n"/>
      <c r="AA5001" s="25" t="n"/>
      <c r="AB5001" s="25" t="n"/>
      <c r="AC5001" s="195" t="n"/>
      <c r="AD5001" s="25" t="n"/>
      <c r="AE5001" s="25" t="n"/>
      <c r="AG5001" s="25" t="n"/>
      <c r="AH5001" s="25" t="n"/>
      <c r="AI5001" s="394" t="n"/>
      <c r="AM5001" s="48" t="n"/>
      <c r="AN5001" s="48" t="n"/>
      <c r="AO5001" s="48" t="n"/>
    </row>
    <row r="5002">
      <c r="M5002" s="25" t="n"/>
      <c r="Q5002" s="25" t="n"/>
      <c r="U5002" s="194" t="n"/>
      <c r="AA5002" s="25" t="n"/>
      <c r="AB5002" s="25" t="n"/>
      <c r="AC5002" s="195" t="n"/>
      <c r="AD5002" s="25" t="n"/>
      <c r="AE5002" s="25" t="n"/>
      <c r="AG5002" s="25" t="n"/>
      <c r="AH5002" s="25" t="n"/>
      <c r="AI5002" s="394" t="n"/>
      <c r="AM5002" s="48" t="n"/>
      <c r="AN5002" s="48" t="n"/>
      <c r="AO5002" s="48" t="n"/>
    </row>
    <row r="5003">
      <c r="M5003" s="25" t="n"/>
      <c r="Q5003" s="25" t="n"/>
      <c r="U5003" s="194" t="n"/>
      <c r="AA5003" s="25" t="n"/>
      <c r="AB5003" s="25" t="n"/>
      <c r="AC5003" s="195" t="n"/>
      <c r="AD5003" s="25" t="n"/>
      <c r="AE5003" s="25" t="n"/>
      <c r="AG5003" s="25" t="n"/>
      <c r="AH5003" s="25" t="n"/>
      <c r="AI5003" s="394" t="n"/>
      <c r="AM5003" s="48" t="n"/>
      <c r="AN5003" s="48" t="n"/>
      <c r="AO5003" s="48" t="n"/>
    </row>
    <row r="5004">
      <c r="M5004" s="25" t="n"/>
      <c r="Q5004" s="25" t="n"/>
      <c r="U5004" s="194" t="n"/>
      <c r="AA5004" s="25" t="n"/>
      <c r="AB5004" s="25" t="n"/>
      <c r="AC5004" s="195" t="n"/>
      <c r="AD5004" s="25" t="n"/>
      <c r="AE5004" s="25" t="n"/>
      <c r="AG5004" s="25" t="n"/>
      <c r="AH5004" s="25" t="n"/>
      <c r="AI5004" s="394" t="n"/>
      <c r="AM5004" s="48" t="n"/>
      <c r="AN5004" s="48" t="n"/>
      <c r="AO5004" s="48" t="n"/>
    </row>
    <row r="5005">
      <c r="M5005" s="25" t="n"/>
      <c r="Q5005" s="25" t="n"/>
      <c r="U5005" s="194" t="n"/>
      <c r="AA5005" s="25" t="n"/>
      <c r="AB5005" s="25" t="n"/>
      <c r="AC5005" s="195" t="n"/>
      <c r="AD5005" s="25" t="n"/>
      <c r="AE5005" s="25" t="n"/>
      <c r="AG5005" s="25" t="n"/>
      <c r="AH5005" s="25" t="n"/>
      <c r="AI5005" s="394" t="n"/>
      <c r="AM5005" s="48" t="n"/>
      <c r="AN5005" s="48" t="n"/>
      <c r="AO5005" s="48" t="n"/>
    </row>
    <row r="5006">
      <c r="M5006" s="25" t="n"/>
      <c r="Q5006" s="25" t="n"/>
      <c r="U5006" s="194" t="n"/>
      <c r="AA5006" s="25" t="n"/>
      <c r="AB5006" s="25" t="n"/>
      <c r="AC5006" s="195" t="n"/>
      <c r="AD5006" s="25" t="n"/>
      <c r="AE5006" s="25" t="n"/>
      <c r="AG5006" s="25" t="n"/>
      <c r="AH5006" s="25" t="n"/>
      <c r="AI5006" s="394" t="n"/>
      <c r="AM5006" s="48" t="n"/>
      <c r="AN5006" s="48" t="n"/>
      <c r="AO5006" s="48" t="n"/>
    </row>
    <row r="5007">
      <c r="M5007" s="25" t="n"/>
      <c r="Q5007" s="25" t="n"/>
      <c r="U5007" s="194" t="n"/>
      <c r="AA5007" s="25" t="n"/>
      <c r="AB5007" s="25" t="n"/>
      <c r="AC5007" s="195" t="n"/>
      <c r="AD5007" s="25" t="n"/>
      <c r="AE5007" s="25" t="n"/>
      <c r="AG5007" s="25" t="n"/>
      <c r="AH5007" s="25" t="n"/>
      <c r="AI5007" s="394" t="n"/>
      <c r="AM5007" s="48" t="n"/>
      <c r="AN5007" s="48" t="n"/>
      <c r="AO5007" s="48" t="n"/>
    </row>
    <row r="5008">
      <c r="M5008" s="25" t="n"/>
      <c r="Q5008" s="25" t="n"/>
      <c r="U5008" s="194" t="n"/>
      <c r="AA5008" s="25" t="n"/>
      <c r="AB5008" s="25" t="n"/>
      <c r="AC5008" s="195" t="n"/>
      <c r="AD5008" s="25" t="n"/>
      <c r="AE5008" s="25" t="n"/>
      <c r="AG5008" s="25" t="n"/>
      <c r="AH5008" s="25" t="n"/>
      <c r="AI5008" s="394" t="n"/>
      <c r="AM5008" s="48" t="n"/>
      <c r="AN5008" s="48" t="n"/>
      <c r="AO5008" s="48" t="n"/>
    </row>
    <row r="5009">
      <c r="M5009" s="25" t="n"/>
      <c r="Q5009" s="25" t="n"/>
      <c r="U5009" s="194" t="n"/>
      <c r="AA5009" s="25" t="n"/>
      <c r="AB5009" s="25" t="n"/>
      <c r="AC5009" s="195" t="n"/>
      <c r="AD5009" s="25" t="n"/>
      <c r="AE5009" s="25" t="n"/>
      <c r="AG5009" s="25" t="n"/>
      <c r="AH5009" s="25" t="n"/>
      <c r="AI5009" s="394" t="n"/>
      <c r="AM5009" s="48" t="n"/>
      <c r="AN5009" s="48" t="n"/>
      <c r="AO5009" s="48" t="n"/>
    </row>
    <row r="5010">
      <c r="M5010" s="25" t="n"/>
      <c r="Q5010" s="25" t="n"/>
      <c r="U5010" s="194" t="n"/>
      <c r="AA5010" s="25" t="n"/>
      <c r="AB5010" s="25" t="n"/>
      <c r="AC5010" s="195" t="n"/>
      <c r="AD5010" s="25" t="n"/>
      <c r="AE5010" s="25" t="n"/>
      <c r="AG5010" s="25" t="n"/>
      <c r="AH5010" s="25" t="n"/>
      <c r="AI5010" s="394" t="n"/>
      <c r="AM5010" s="48" t="n"/>
      <c r="AN5010" s="48" t="n"/>
      <c r="AO5010" s="48" t="n"/>
    </row>
    <row r="5011">
      <c r="M5011" s="25" t="n"/>
      <c r="Q5011" s="25" t="n"/>
      <c r="U5011" s="194" t="n"/>
      <c r="AA5011" s="25" t="n"/>
      <c r="AB5011" s="25" t="n"/>
      <c r="AC5011" s="195" t="n"/>
      <c r="AD5011" s="25" t="n"/>
      <c r="AE5011" s="25" t="n"/>
      <c r="AG5011" s="25" t="n"/>
      <c r="AH5011" s="25" t="n"/>
      <c r="AI5011" s="394" t="n"/>
      <c r="AM5011" s="48" t="n"/>
      <c r="AN5011" s="48" t="n"/>
      <c r="AO5011" s="48" t="n"/>
    </row>
    <row r="5012">
      <c r="M5012" s="25" t="n"/>
      <c r="Q5012" s="25" t="n"/>
      <c r="U5012" s="194" t="n"/>
      <c r="AA5012" s="25" t="n"/>
      <c r="AB5012" s="25" t="n"/>
      <c r="AC5012" s="195" t="n"/>
      <c r="AD5012" s="25" t="n"/>
      <c r="AE5012" s="25" t="n"/>
      <c r="AG5012" s="25" t="n"/>
      <c r="AH5012" s="25" t="n"/>
      <c r="AI5012" s="394" t="n"/>
      <c r="AM5012" s="48" t="n"/>
      <c r="AN5012" s="48" t="n"/>
      <c r="AO5012" s="48" t="n"/>
    </row>
    <row r="5013">
      <c r="M5013" s="25" t="n"/>
      <c r="Q5013" s="25" t="n"/>
      <c r="U5013" s="194" t="n"/>
      <c r="AA5013" s="25" t="n"/>
      <c r="AB5013" s="25" t="n"/>
      <c r="AC5013" s="195" t="n"/>
      <c r="AD5013" s="25" t="n"/>
      <c r="AE5013" s="25" t="n"/>
      <c r="AG5013" s="25" t="n"/>
      <c r="AH5013" s="25" t="n"/>
      <c r="AI5013" s="394" t="n"/>
      <c r="AM5013" s="48" t="n"/>
      <c r="AN5013" s="48" t="n"/>
      <c r="AO5013" s="48" t="n"/>
    </row>
    <row r="5014">
      <c r="M5014" s="25" t="n"/>
      <c r="Q5014" s="25" t="n"/>
      <c r="U5014" s="194" t="n"/>
      <c r="AA5014" s="25" t="n"/>
      <c r="AB5014" s="25" t="n"/>
      <c r="AC5014" s="195" t="n"/>
      <c r="AD5014" s="25" t="n"/>
      <c r="AE5014" s="25" t="n"/>
      <c r="AG5014" s="25" t="n"/>
      <c r="AH5014" s="25" t="n"/>
      <c r="AI5014" s="394" t="n"/>
      <c r="AM5014" s="48" t="n"/>
      <c r="AN5014" s="48" t="n"/>
      <c r="AO5014" s="48" t="n"/>
    </row>
    <row r="5015">
      <c r="M5015" s="25" t="n"/>
      <c r="Q5015" s="25" t="n"/>
      <c r="U5015" s="194" t="n"/>
      <c r="AA5015" s="25" t="n"/>
      <c r="AB5015" s="25" t="n"/>
      <c r="AC5015" s="195" t="n"/>
      <c r="AD5015" s="25" t="n"/>
      <c r="AE5015" s="25" t="n"/>
      <c r="AG5015" s="25" t="n"/>
      <c r="AH5015" s="25" t="n"/>
      <c r="AI5015" s="394" t="n"/>
      <c r="AM5015" s="48" t="n"/>
      <c r="AN5015" s="48" t="n"/>
      <c r="AO5015" s="48" t="n"/>
    </row>
    <row r="5016">
      <c r="M5016" s="25" t="n"/>
      <c r="Q5016" s="25" t="n"/>
      <c r="U5016" s="194" t="n"/>
      <c r="AA5016" s="25" t="n"/>
      <c r="AB5016" s="25" t="n"/>
      <c r="AC5016" s="195" t="n"/>
      <c r="AD5016" s="25" t="n"/>
      <c r="AE5016" s="25" t="n"/>
      <c r="AG5016" s="25" t="n"/>
      <c r="AH5016" s="25" t="n"/>
      <c r="AI5016" s="394" t="n"/>
      <c r="AM5016" s="48" t="n"/>
      <c r="AN5016" s="48" t="n"/>
      <c r="AO5016" s="48" t="n"/>
    </row>
    <row r="5017">
      <c r="M5017" s="25" t="n"/>
      <c r="Q5017" s="25" t="n"/>
      <c r="U5017" s="194" t="n"/>
      <c r="AA5017" s="25" t="n"/>
      <c r="AB5017" s="25" t="n"/>
      <c r="AC5017" s="195" t="n"/>
      <c r="AD5017" s="25" t="n"/>
      <c r="AE5017" s="25" t="n"/>
      <c r="AG5017" s="25" t="n"/>
      <c r="AH5017" s="25" t="n"/>
      <c r="AI5017" s="394" t="n"/>
      <c r="AM5017" s="48" t="n"/>
      <c r="AN5017" s="48" t="n"/>
      <c r="AO5017" s="48" t="n"/>
    </row>
    <row r="5018">
      <c r="M5018" s="25" t="n"/>
      <c r="Q5018" s="25" t="n"/>
      <c r="U5018" s="194" t="n"/>
      <c r="AA5018" s="25" t="n"/>
      <c r="AB5018" s="25" t="n"/>
      <c r="AC5018" s="195" t="n"/>
      <c r="AD5018" s="25" t="n"/>
      <c r="AE5018" s="25" t="n"/>
      <c r="AG5018" s="25" t="n"/>
      <c r="AH5018" s="25" t="n"/>
      <c r="AI5018" s="394" t="n"/>
      <c r="AM5018" s="48" t="n"/>
      <c r="AN5018" s="48" t="n"/>
      <c r="AO5018" s="48" t="n"/>
    </row>
    <row r="5019">
      <c r="M5019" s="25" t="n"/>
      <c r="Q5019" s="25" t="n"/>
      <c r="U5019" s="194" t="n"/>
      <c r="AA5019" s="25" t="n"/>
      <c r="AB5019" s="25" t="n"/>
      <c r="AC5019" s="195" t="n"/>
      <c r="AD5019" s="25" t="n"/>
      <c r="AE5019" s="25" t="n"/>
      <c r="AG5019" s="25" t="n"/>
      <c r="AH5019" s="25" t="n"/>
      <c r="AI5019" s="394" t="n"/>
      <c r="AM5019" s="48" t="n"/>
      <c r="AN5019" s="48" t="n"/>
      <c r="AO5019" s="48" t="n"/>
    </row>
    <row r="5020">
      <c r="M5020" s="25" t="n"/>
      <c r="Q5020" s="25" t="n"/>
      <c r="U5020" s="194" t="n"/>
      <c r="AA5020" s="25" t="n"/>
      <c r="AB5020" s="25" t="n"/>
      <c r="AC5020" s="195" t="n"/>
      <c r="AD5020" s="25" t="n"/>
      <c r="AE5020" s="25" t="n"/>
      <c r="AG5020" s="25" t="n"/>
      <c r="AH5020" s="25" t="n"/>
      <c r="AI5020" s="394" t="n"/>
      <c r="AM5020" s="48" t="n"/>
      <c r="AN5020" s="48" t="n"/>
      <c r="AO5020" s="48" t="n"/>
    </row>
    <row r="5021">
      <c r="M5021" s="25" t="n"/>
      <c r="Q5021" s="25" t="n"/>
      <c r="U5021" s="194" t="n"/>
      <c r="AA5021" s="25" t="n"/>
      <c r="AB5021" s="25" t="n"/>
      <c r="AC5021" s="195" t="n"/>
      <c r="AD5021" s="25" t="n"/>
      <c r="AE5021" s="25" t="n"/>
      <c r="AG5021" s="25" t="n"/>
      <c r="AH5021" s="25" t="n"/>
      <c r="AI5021" s="394" t="n"/>
      <c r="AM5021" s="48" t="n"/>
      <c r="AN5021" s="48" t="n"/>
      <c r="AO5021" s="48" t="n"/>
    </row>
    <row r="5022">
      <c r="M5022" s="25" t="n"/>
      <c r="Q5022" s="25" t="n"/>
      <c r="U5022" s="194" t="n"/>
      <c r="AA5022" s="25" t="n"/>
      <c r="AB5022" s="25" t="n"/>
      <c r="AC5022" s="195" t="n"/>
      <c r="AD5022" s="25" t="n"/>
      <c r="AE5022" s="25" t="n"/>
      <c r="AG5022" s="25" t="n"/>
      <c r="AH5022" s="25" t="n"/>
      <c r="AI5022" s="394" t="n"/>
      <c r="AM5022" s="48" t="n"/>
      <c r="AN5022" s="48" t="n"/>
      <c r="AO5022" s="48" t="n"/>
    </row>
    <row r="5023">
      <c r="M5023" s="25" t="n"/>
      <c r="Q5023" s="25" t="n"/>
      <c r="U5023" s="194" t="n"/>
      <c r="AA5023" s="25" t="n"/>
      <c r="AB5023" s="25" t="n"/>
      <c r="AC5023" s="195" t="n"/>
      <c r="AD5023" s="25" t="n"/>
      <c r="AE5023" s="25" t="n"/>
      <c r="AG5023" s="25" t="n"/>
      <c r="AH5023" s="25" t="n"/>
      <c r="AI5023" s="394" t="n"/>
      <c r="AM5023" s="48" t="n"/>
      <c r="AN5023" s="48" t="n"/>
      <c r="AO5023" s="48" t="n"/>
    </row>
    <row r="5024">
      <c r="M5024" s="25" t="n"/>
      <c r="Q5024" s="25" t="n"/>
      <c r="U5024" s="194" t="n"/>
      <c r="AA5024" s="25" t="n"/>
      <c r="AB5024" s="25" t="n"/>
      <c r="AC5024" s="195" t="n"/>
      <c r="AD5024" s="25" t="n"/>
      <c r="AE5024" s="25" t="n"/>
      <c r="AG5024" s="25" t="n"/>
      <c r="AH5024" s="25" t="n"/>
      <c r="AI5024" s="394" t="n"/>
      <c r="AM5024" s="48" t="n"/>
      <c r="AN5024" s="48" t="n"/>
      <c r="AO5024" s="48" t="n"/>
    </row>
    <row r="5025">
      <c r="M5025" s="25" t="n"/>
      <c r="Q5025" s="25" t="n"/>
      <c r="U5025" s="194" t="n"/>
      <c r="AA5025" s="25" t="n"/>
      <c r="AB5025" s="25" t="n"/>
      <c r="AC5025" s="195" t="n"/>
      <c r="AD5025" s="25" t="n"/>
      <c r="AE5025" s="25" t="n"/>
      <c r="AG5025" s="25" t="n"/>
      <c r="AH5025" s="25" t="n"/>
      <c r="AI5025" s="394" t="n"/>
      <c r="AM5025" s="48" t="n"/>
      <c r="AN5025" s="48" t="n"/>
      <c r="AO5025" s="48" t="n"/>
    </row>
    <row r="5026">
      <c r="M5026" s="25" t="n"/>
      <c r="Q5026" s="25" t="n"/>
      <c r="U5026" s="194" t="n"/>
      <c r="AA5026" s="25" t="n"/>
      <c r="AB5026" s="25" t="n"/>
      <c r="AC5026" s="195" t="n"/>
      <c r="AD5026" s="25" t="n"/>
      <c r="AE5026" s="25" t="n"/>
      <c r="AG5026" s="25" t="n"/>
      <c r="AH5026" s="25" t="n"/>
      <c r="AI5026" s="394" t="n"/>
      <c r="AM5026" s="48" t="n"/>
      <c r="AN5026" s="48" t="n"/>
      <c r="AO5026" s="48" t="n"/>
    </row>
    <row r="5027">
      <c r="M5027" s="25" t="n"/>
      <c r="Q5027" s="25" t="n"/>
      <c r="U5027" s="194" t="n"/>
      <c r="AA5027" s="25" t="n"/>
      <c r="AB5027" s="25" t="n"/>
      <c r="AC5027" s="195" t="n"/>
      <c r="AD5027" s="25" t="n"/>
      <c r="AE5027" s="25" t="n"/>
      <c r="AG5027" s="25" t="n"/>
      <c r="AH5027" s="25" t="n"/>
      <c r="AI5027" s="394" t="n"/>
      <c r="AM5027" s="48" t="n"/>
      <c r="AN5027" s="48" t="n"/>
      <c r="AO5027" s="48" t="n"/>
    </row>
    <row r="5028">
      <c r="M5028" s="25" t="n"/>
      <c r="Q5028" s="25" t="n"/>
      <c r="U5028" s="194" t="n"/>
      <c r="AA5028" s="25" t="n"/>
      <c r="AB5028" s="25" t="n"/>
      <c r="AC5028" s="195" t="n"/>
      <c r="AD5028" s="25" t="n"/>
      <c r="AE5028" s="25" t="n"/>
      <c r="AG5028" s="25" t="n"/>
      <c r="AH5028" s="25" t="n"/>
      <c r="AI5028" s="394" t="n"/>
      <c r="AM5028" s="48" t="n"/>
      <c r="AN5028" s="48" t="n"/>
      <c r="AO5028" s="48" t="n"/>
    </row>
    <row r="5029">
      <c r="M5029" s="25" t="n"/>
      <c r="Q5029" s="25" t="n"/>
      <c r="U5029" s="194" t="n"/>
      <c r="AA5029" s="25" t="n"/>
      <c r="AB5029" s="25" t="n"/>
      <c r="AC5029" s="195" t="n"/>
      <c r="AD5029" s="25" t="n"/>
      <c r="AE5029" s="25" t="n"/>
      <c r="AG5029" s="25" t="n"/>
      <c r="AH5029" s="25" t="n"/>
      <c r="AI5029" s="394" t="n"/>
      <c r="AM5029" s="48" t="n"/>
      <c r="AN5029" s="48" t="n"/>
      <c r="AO5029" s="48" t="n"/>
    </row>
    <row r="5030">
      <c r="M5030" s="25" t="n"/>
      <c r="Q5030" s="25" t="n"/>
      <c r="U5030" s="194" t="n"/>
      <c r="AA5030" s="25" t="n"/>
      <c r="AB5030" s="25" t="n"/>
      <c r="AC5030" s="195" t="n"/>
      <c r="AD5030" s="25" t="n"/>
      <c r="AE5030" s="25" t="n"/>
      <c r="AG5030" s="25" t="n"/>
      <c r="AH5030" s="25" t="n"/>
      <c r="AI5030" s="394" t="n"/>
      <c r="AM5030" s="48" t="n"/>
      <c r="AN5030" s="48" t="n"/>
      <c r="AO5030" s="48" t="n"/>
    </row>
    <row r="5031">
      <c r="M5031" s="25" t="n"/>
      <c r="Q5031" s="25" t="n"/>
      <c r="U5031" s="194" t="n"/>
      <c r="AA5031" s="25" t="n"/>
      <c r="AB5031" s="25" t="n"/>
      <c r="AC5031" s="195" t="n"/>
      <c r="AD5031" s="25" t="n"/>
      <c r="AE5031" s="25" t="n"/>
      <c r="AG5031" s="25" t="n"/>
      <c r="AH5031" s="25" t="n"/>
      <c r="AI5031" s="394" t="n"/>
      <c r="AM5031" s="48" t="n"/>
      <c r="AN5031" s="48" t="n"/>
      <c r="AO5031" s="48" t="n"/>
    </row>
    <row r="5032">
      <c r="M5032" s="25" t="n"/>
      <c r="Q5032" s="25" t="n"/>
      <c r="U5032" s="194" t="n"/>
      <c r="AA5032" s="25" t="n"/>
      <c r="AB5032" s="25" t="n"/>
      <c r="AC5032" s="195" t="n"/>
      <c r="AD5032" s="25" t="n"/>
      <c r="AE5032" s="25" t="n"/>
      <c r="AG5032" s="25" t="n"/>
      <c r="AH5032" s="25" t="n"/>
      <c r="AI5032" s="394" t="n"/>
      <c r="AM5032" s="48" t="n"/>
      <c r="AN5032" s="48" t="n"/>
      <c r="AO5032" s="48" t="n"/>
    </row>
    <row r="5033">
      <c r="M5033" s="25" t="n"/>
      <c r="Q5033" s="25" t="n"/>
      <c r="U5033" s="194" t="n"/>
      <c r="AA5033" s="25" t="n"/>
      <c r="AB5033" s="25" t="n"/>
      <c r="AC5033" s="195" t="n"/>
      <c r="AD5033" s="25" t="n"/>
      <c r="AE5033" s="25" t="n"/>
      <c r="AG5033" s="25" t="n"/>
      <c r="AH5033" s="25" t="n"/>
      <c r="AI5033" s="394" t="n"/>
      <c r="AM5033" s="48" t="n"/>
      <c r="AN5033" s="48" t="n"/>
      <c r="AO5033" s="48" t="n"/>
    </row>
    <row r="5034">
      <c r="M5034" s="25" t="n"/>
      <c r="Q5034" s="25" t="n"/>
      <c r="U5034" s="194" t="n"/>
      <c r="AA5034" s="25" t="n"/>
      <c r="AB5034" s="25" t="n"/>
      <c r="AC5034" s="195" t="n"/>
      <c r="AD5034" s="25" t="n"/>
      <c r="AE5034" s="25" t="n"/>
      <c r="AG5034" s="25" t="n"/>
      <c r="AH5034" s="25" t="n"/>
      <c r="AI5034" s="394" t="n"/>
      <c r="AM5034" s="48" t="n"/>
      <c r="AN5034" s="48" t="n"/>
      <c r="AO5034" s="48" t="n"/>
    </row>
    <row r="5035">
      <c r="M5035" s="25" t="n"/>
      <c r="Q5035" s="25" t="n"/>
      <c r="U5035" s="194" t="n"/>
      <c r="AA5035" s="25" t="n"/>
      <c r="AB5035" s="25" t="n"/>
      <c r="AC5035" s="195" t="n"/>
      <c r="AD5035" s="25" t="n"/>
      <c r="AE5035" s="25" t="n"/>
      <c r="AG5035" s="25" t="n"/>
      <c r="AH5035" s="25" t="n"/>
      <c r="AI5035" s="394" t="n"/>
      <c r="AM5035" s="48" t="n"/>
      <c r="AN5035" s="48" t="n"/>
      <c r="AO5035" s="48" t="n"/>
    </row>
    <row r="5036">
      <c r="M5036" s="25" t="n"/>
      <c r="Q5036" s="25" t="n"/>
      <c r="U5036" s="194" t="n"/>
      <c r="AA5036" s="25" t="n"/>
      <c r="AB5036" s="25" t="n"/>
      <c r="AC5036" s="195" t="n"/>
      <c r="AD5036" s="25" t="n"/>
      <c r="AE5036" s="25" t="n"/>
      <c r="AG5036" s="25" t="n"/>
      <c r="AH5036" s="25" t="n"/>
      <c r="AI5036" s="394" t="n"/>
      <c r="AM5036" s="48" t="n"/>
      <c r="AN5036" s="48" t="n"/>
      <c r="AO5036" s="48" t="n"/>
    </row>
    <row r="5037">
      <c r="M5037" s="25" t="n"/>
      <c r="Q5037" s="25" t="n"/>
      <c r="U5037" s="194" t="n"/>
      <c r="AA5037" s="25" t="n"/>
      <c r="AB5037" s="25" t="n"/>
      <c r="AC5037" s="195" t="n"/>
      <c r="AD5037" s="25" t="n"/>
      <c r="AE5037" s="25" t="n"/>
      <c r="AG5037" s="25" t="n"/>
      <c r="AH5037" s="25" t="n"/>
      <c r="AI5037" s="394" t="n"/>
      <c r="AM5037" s="48" t="n"/>
      <c r="AN5037" s="48" t="n"/>
      <c r="AO5037" s="48" t="n"/>
    </row>
    <row r="5038">
      <c r="M5038" s="25" t="n"/>
      <c r="Q5038" s="25" t="n"/>
      <c r="U5038" s="194" t="n"/>
      <c r="AA5038" s="25" t="n"/>
      <c r="AB5038" s="25" t="n"/>
      <c r="AC5038" s="195" t="n"/>
      <c r="AD5038" s="25" t="n"/>
      <c r="AE5038" s="25" t="n"/>
      <c r="AG5038" s="25" t="n"/>
      <c r="AH5038" s="25" t="n"/>
      <c r="AI5038" s="394" t="n"/>
      <c r="AM5038" s="48" t="n"/>
      <c r="AN5038" s="48" t="n"/>
      <c r="AO5038" s="48" t="n"/>
    </row>
    <row r="5039">
      <c r="M5039" s="25" t="n"/>
      <c r="Q5039" s="25" t="n"/>
      <c r="U5039" s="194" t="n"/>
      <c r="AA5039" s="25" t="n"/>
      <c r="AB5039" s="25" t="n"/>
      <c r="AC5039" s="195" t="n"/>
      <c r="AD5039" s="25" t="n"/>
      <c r="AE5039" s="25" t="n"/>
      <c r="AG5039" s="25" t="n"/>
      <c r="AH5039" s="25" t="n"/>
      <c r="AI5039" s="394" t="n"/>
      <c r="AM5039" s="48" t="n"/>
      <c r="AN5039" s="48" t="n"/>
      <c r="AO5039" s="48" t="n"/>
    </row>
    <row r="5040">
      <c r="M5040" s="25" t="n"/>
      <c r="Q5040" s="25" t="n"/>
      <c r="U5040" s="194" t="n"/>
      <c r="AA5040" s="25" t="n"/>
      <c r="AB5040" s="25" t="n"/>
      <c r="AC5040" s="195" t="n"/>
      <c r="AD5040" s="25" t="n"/>
      <c r="AE5040" s="25" t="n"/>
      <c r="AG5040" s="25" t="n"/>
      <c r="AH5040" s="25" t="n"/>
      <c r="AI5040" s="394" t="n"/>
      <c r="AM5040" s="48" t="n"/>
      <c r="AN5040" s="48" t="n"/>
      <c r="AO5040" s="48" t="n"/>
    </row>
    <row r="5041">
      <c r="M5041" s="25" t="n"/>
      <c r="Q5041" s="25" t="n"/>
      <c r="U5041" s="194" t="n"/>
      <c r="AA5041" s="25" t="n"/>
      <c r="AB5041" s="25" t="n"/>
      <c r="AC5041" s="195" t="n"/>
      <c r="AD5041" s="25" t="n"/>
      <c r="AE5041" s="25" t="n"/>
      <c r="AG5041" s="25" t="n"/>
      <c r="AH5041" s="25" t="n"/>
      <c r="AI5041" s="394" t="n"/>
      <c r="AM5041" s="48" t="n"/>
      <c r="AN5041" s="48" t="n"/>
      <c r="AO5041" s="48" t="n"/>
    </row>
    <row r="5042">
      <c r="M5042" s="25" t="n"/>
      <c r="Q5042" s="25" t="n"/>
      <c r="U5042" s="194" t="n"/>
      <c r="AA5042" s="25" t="n"/>
      <c r="AB5042" s="25" t="n"/>
      <c r="AC5042" s="195" t="n"/>
      <c r="AD5042" s="25" t="n"/>
      <c r="AE5042" s="25" t="n"/>
      <c r="AG5042" s="25" t="n"/>
      <c r="AH5042" s="25" t="n"/>
      <c r="AI5042" s="394" t="n"/>
      <c r="AM5042" s="48" t="n"/>
      <c r="AN5042" s="48" t="n"/>
      <c r="AO5042" s="48" t="n"/>
    </row>
    <row r="5043">
      <c r="M5043" s="25" t="n"/>
      <c r="Q5043" s="25" t="n"/>
      <c r="U5043" s="194" t="n"/>
      <c r="AA5043" s="25" t="n"/>
      <c r="AB5043" s="25" t="n"/>
      <c r="AC5043" s="195" t="n"/>
      <c r="AD5043" s="25" t="n"/>
      <c r="AE5043" s="25" t="n"/>
      <c r="AG5043" s="25" t="n"/>
      <c r="AH5043" s="25" t="n"/>
      <c r="AI5043" s="394" t="n"/>
      <c r="AM5043" s="48" t="n"/>
      <c r="AN5043" s="48" t="n"/>
      <c r="AO5043" s="48" t="n"/>
    </row>
    <row r="5044">
      <c r="M5044" s="25" t="n"/>
      <c r="Q5044" s="25" t="n"/>
      <c r="U5044" s="194" t="n"/>
      <c r="AA5044" s="25" t="n"/>
      <c r="AB5044" s="25" t="n"/>
      <c r="AC5044" s="195" t="n"/>
      <c r="AD5044" s="25" t="n"/>
      <c r="AE5044" s="25" t="n"/>
      <c r="AG5044" s="25" t="n"/>
      <c r="AH5044" s="25" t="n"/>
      <c r="AI5044" s="394" t="n"/>
      <c r="AM5044" s="48" t="n"/>
      <c r="AN5044" s="48" t="n"/>
      <c r="AO5044" s="48" t="n"/>
    </row>
    <row r="5045">
      <c r="M5045" s="25" t="n"/>
      <c r="Q5045" s="25" t="n"/>
      <c r="U5045" s="194" t="n"/>
      <c r="AA5045" s="25" t="n"/>
      <c r="AB5045" s="25" t="n"/>
      <c r="AC5045" s="195" t="n"/>
      <c r="AD5045" s="25" t="n"/>
      <c r="AE5045" s="25" t="n"/>
      <c r="AG5045" s="25" t="n"/>
      <c r="AH5045" s="25" t="n"/>
      <c r="AI5045" s="394" t="n"/>
      <c r="AM5045" s="48" t="n"/>
      <c r="AN5045" s="48" t="n"/>
      <c r="AO5045" s="48" t="n"/>
    </row>
    <row r="5046">
      <c r="M5046" s="25" t="n"/>
      <c r="Q5046" s="25" t="n"/>
      <c r="U5046" s="194" t="n"/>
      <c r="AA5046" s="25" t="n"/>
      <c r="AB5046" s="25" t="n"/>
      <c r="AC5046" s="195" t="n"/>
      <c r="AD5046" s="25" t="n"/>
      <c r="AE5046" s="25" t="n"/>
      <c r="AG5046" s="25" t="n"/>
      <c r="AH5046" s="25" t="n"/>
      <c r="AI5046" s="394" t="n"/>
      <c r="AM5046" s="48" t="n"/>
      <c r="AN5046" s="48" t="n"/>
      <c r="AO5046" s="48" t="n"/>
    </row>
    <row r="5047">
      <c r="M5047" s="25" t="n"/>
      <c r="Q5047" s="25" t="n"/>
      <c r="U5047" s="194" t="n"/>
      <c r="AA5047" s="25" t="n"/>
      <c r="AB5047" s="25" t="n"/>
      <c r="AC5047" s="195" t="n"/>
      <c r="AD5047" s="25" t="n"/>
      <c r="AE5047" s="25" t="n"/>
      <c r="AG5047" s="25" t="n"/>
      <c r="AH5047" s="25" t="n"/>
      <c r="AI5047" s="394" t="n"/>
      <c r="AM5047" s="48" t="n"/>
      <c r="AN5047" s="48" t="n"/>
      <c r="AO5047" s="48" t="n"/>
    </row>
    <row r="5048">
      <c r="M5048" s="25" t="n"/>
      <c r="Q5048" s="25" t="n"/>
      <c r="U5048" s="194" t="n"/>
      <c r="AA5048" s="25" t="n"/>
      <c r="AB5048" s="25" t="n"/>
      <c r="AC5048" s="195" t="n"/>
      <c r="AD5048" s="25" t="n"/>
      <c r="AE5048" s="25" t="n"/>
      <c r="AG5048" s="25" t="n"/>
      <c r="AH5048" s="25" t="n"/>
      <c r="AI5048" s="394" t="n"/>
      <c r="AM5048" s="48" t="n"/>
      <c r="AN5048" s="48" t="n"/>
      <c r="AO5048" s="48" t="n"/>
    </row>
    <row r="5049">
      <c r="M5049" s="25" t="n"/>
      <c r="Q5049" s="25" t="n"/>
      <c r="U5049" s="194" t="n"/>
      <c r="AA5049" s="25" t="n"/>
      <c r="AB5049" s="25" t="n"/>
      <c r="AC5049" s="195" t="n"/>
      <c r="AD5049" s="25" t="n"/>
      <c r="AE5049" s="25" t="n"/>
      <c r="AG5049" s="25" t="n"/>
      <c r="AH5049" s="25" t="n"/>
      <c r="AI5049" s="394" t="n"/>
      <c r="AM5049" s="48" t="n"/>
      <c r="AN5049" s="48" t="n"/>
      <c r="AO5049" s="48" t="n"/>
    </row>
    <row r="5050">
      <c r="M5050" s="25" t="n"/>
      <c r="Q5050" s="25" t="n"/>
      <c r="U5050" s="194" t="n"/>
      <c r="AA5050" s="25" t="n"/>
      <c r="AB5050" s="25" t="n"/>
      <c r="AC5050" s="195" t="n"/>
      <c r="AD5050" s="25" t="n"/>
      <c r="AE5050" s="25" t="n"/>
      <c r="AG5050" s="25" t="n"/>
      <c r="AH5050" s="25" t="n"/>
      <c r="AI5050" s="394" t="n"/>
      <c r="AM5050" s="48" t="n"/>
      <c r="AN5050" s="48" t="n"/>
      <c r="AO5050" s="48" t="n"/>
    </row>
    <row r="5051">
      <c r="M5051" s="25" t="n"/>
      <c r="Q5051" s="25" t="n"/>
      <c r="U5051" s="194" t="n"/>
      <c r="AA5051" s="25" t="n"/>
      <c r="AB5051" s="25" t="n"/>
      <c r="AC5051" s="195" t="n"/>
      <c r="AD5051" s="25" t="n"/>
      <c r="AE5051" s="25" t="n"/>
      <c r="AG5051" s="25" t="n"/>
      <c r="AH5051" s="25" t="n"/>
      <c r="AI5051" s="394" t="n"/>
      <c r="AM5051" s="48" t="n"/>
      <c r="AN5051" s="48" t="n"/>
      <c r="AO5051" s="48" t="n"/>
    </row>
    <row r="5052">
      <c r="M5052" s="25" t="n"/>
      <c r="Q5052" s="25" t="n"/>
      <c r="U5052" s="194" t="n"/>
      <c r="AA5052" s="25" t="n"/>
      <c r="AB5052" s="25" t="n"/>
      <c r="AC5052" s="195" t="n"/>
      <c r="AD5052" s="25" t="n"/>
      <c r="AE5052" s="25" t="n"/>
      <c r="AG5052" s="25" t="n"/>
      <c r="AH5052" s="25" t="n"/>
      <c r="AI5052" s="394" t="n"/>
      <c r="AM5052" s="48" t="n"/>
      <c r="AN5052" s="48" t="n"/>
      <c r="AO5052" s="48" t="n"/>
    </row>
    <row r="5053">
      <c r="M5053" s="25" t="n"/>
      <c r="Q5053" s="25" t="n"/>
      <c r="U5053" s="194" t="n"/>
      <c r="AA5053" s="25" t="n"/>
      <c r="AB5053" s="25" t="n"/>
      <c r="AC5053" s="195" t="n"/>
      <c r="AD5053" s="25" t="n"/>
      <c r="AE5053" s="25" t="n"/>
      <c r="AG5053" s="25" t="n"/>
      <c r="AH5053" s="25" t="n"/>
      <c r="AI5053" s="394" t="n"/>
      <c r="AM5053" s="48" t="n"/>
      <c r="AN5053" s="48" t="n"/>
      <c r="AO5053" s="48" t="n"/>
    </row>
    <row r="5054">
      <c r="M5054" s="25" t="n"/>
      <c r="Q5054" s="25" t="n"/>
      <c r="U5054" s="194" t="n"/>
      <c r="AA5054" s="25" t="n"/>
      <c r="AB5054" s="25" t="n"/>
      <c r="AC5054" s="195" t="n"/>
      <c r="AD5054" s="25" t="n"/>
      <c r="AE5054" s="25" t="n"/>
      <c r="AG5054" s="25" t="n"/>
      <c r="AH5054" s="25" t="n"/>
      <c r="AI5054" s="394" t="n"/>
      <c r="AM5054" s="48" t="n"/>
      <c r="AN5054" s="48" t="n"/>
      <c r="AO5054" s="48" t="n"/>
    </row>
    <row r="5055">
      <c r="M5055" s="25" t="n"/>
      <c r="Q5055" s="25" t="n"/>
      <c r="U5055" s="194" t="n"/>
      <c r="AA5055" s="25" t="n"/>
      <c r="AB5055" s="25" t="n"/>
      <c r="AC5055" s="195" t="n"/>
      <c r="AD5055" s="25" t="n"/>
      <c r="AE5055" s="25" t="n"/>
      <c r="AG5055" s="25" t="n"/>
      <c r="AH5055" s="25" t="n"/>
      <c r="AI5055" s="394" t="n"/>
      <c r="AM5055" s="48" t="n"/>
      <c r="AN5055" s="48" t="n"/>
      <c r="AO5055" s="48" t="n"/>
    </row>
    <row r="5056">
      <c r="M5056" s="25" t="n"/>
      <c r="Q5056" s="25" t="n"/>
      <c r="U5056" s="194" t="n"/>
      <c r="AA5056" s="25" t="n"/>
      <c r="AB5056" s="25" t="n"/>
      <c r="AC5056" s="195" t="n"/>
      <c r="AD5056" s="25" t="n"/>
      <c r="AE5056" s="25" t="n"/>
      <c r="AG5056" s="25" t="n"/>
      <c r="AH5056" s="25" t="n"/>
      <c r="AI5056" s="394" t="n"/>
      <c r="AM5056" s="48" t="n"/>
      <c r="AN5056" s="48" t="n"/>
      <c r="AO5056" s="48" t="n"/>
    </row>
    <row r="5057">
      <c r="M5057" s="25" t="n"/>
      <c r="Q5057" s="25" t="n"/>
      <c r="U5057" s="194" t="n"/>
      <c r="AA5057" s="25" t="n"/>
      <c r="AB5057" s="25" t="n"/>
      <c r="AC5057" s="195" t="n"/>
      <c r="AD5057" s="25" t="n"/>
      <c r="AE5057" s="25" t="n"/>
      <c r="AG5057" s="25" t="n"/>
      <c r="AH5057" s="25" t="n"/>
      <c r="AI5057" s="394" t="n"/>
      <c r="AM5057" s="48" t="n"/>
      <c r="AN5057" s="48" t="n"/>
      <c r="AO5057" s="48" t="n"/>
    </row>
    <row r="5058">
      <c r="M5058" s="25" t="n"/>
      <c r="Q5058" s="25" t="n"/>
      <c r="U5058" s="194" t="n"/>
      <c r="AA5058" s="25" t="n"/>
      <c r="AB5058" s="25" t="n"/>
      <c r="AC5058" s="195" t="n"/>
      <c r="AD5058" s="25" t="n"/>
      <c r="AE5058" s="25" t="n"/>
      <c r="AG5058" s="25" t="n"/>
      <c r="AH5058" s="25" t="n"/>
      <c r="AI5058" s="394" t="n"/>
      <c r="AM5058" s="48" t="n"/>
      <c r="AN5058" s="48" t="n"/>
      <c r="AO5058" s="48" t="n"/>
    </row>
    <row r="5059">
      <c r="M5059" s="25" t="n"/>
      <c r="Q5059" s="25" t="n"/>
      <c r="U5059" s="194" t="n"/>
      <c r="AA5059" s="25" t="n"/>
      <c r="AB5059" s="25" t="n"/>
      <c r="AC5059" s="195" t="n"/>
      <c r="AD5059" s="25" t="n"/>
      <c r="AE5059" s="25" t="n"/>
      <c r="AG5059" s="25" t="n"/>
      <c r="AH5059" s="25" t="n"/>
      <c r="AI5059" s="394" t="n"/>
      <c r="AM5059" s="48" t="n"/>
      <c r="AN5059" s="48" t="n"/>
      <c r="AO5059" s="48" t="n"/>
    </row>
    <row r="5060">
      <c r="M5060" s="25" t="n"/>
      <c r="Q5060" s="25" t="n"/>
      <c r="U5060" s="194" t="n"/>
      <c r="AA5060" s="25" t="n"/>
      <c r="AB5060" s="25" t="n"/>
      <c r="AC5060" s="195" t="n"/>
      <c r="AD5060" s="25" t="n"/>
      <c r="AE5060" s="25" t="n"/>
      <c r="AG5060" s="25" t="n"/>
      <c r="AH5060" s="25" t="n"/>
      <c r="AI5060" s="394" t="n"/>
      <c r="AM5060" s="48" t="n"/>
      <c r="AN5060" s="48" t="n"/>
      <c r="AO5060" s="48" t="n"/>
    </row>
    <row r="5061">
      <c r="M5061" s="25" t="n"/>
      <c r="Q5061" s="25" t="n"/>
      <c r="U5061" s="194" t="n"/>
      <c r="AA5061" s="25" t="n"/>
      <c r="AB5061" s="25" t="n"/>
      <c r="AC5061" s="195" t="n"/>
      <c r="AD5061" s="25" t="n"/>
      <c r="AE5061" s="25" t="n"/>
      <c r="AG5061" s="25" t="n"/>
      <c r="AH5061" s="25" t="n"/>
      <c r="AI5061" s="394" t="n"/>
      <c r="AM5061" s="48" t="n"/>
      <c r="AN5061" s="48" t="n"/>
      <c r="AO5061" s="48" t="n"/>
    </row>
    <row r="5062">
      <c r="M5062" s="25" t="n"/>
      <c r="Q5062" s="25" t="n"/>
      <c r="U5062" s="194" t="n"/>
      <c r="AA5062" s="25" t="n"/>
      <c r="AB5062" s="25" t="n"/>
      <c r="AC5062" s="195" t="n"/>
      <c r="AD5062" s="25" t="n"/>
      <c r="AE5062" s="25" t="n"/>
      <c r="AG5062" s="25" t="n"/>
      <c r="AH5062" s="25" t="n"/>
      <c r="AI5062" s="394" t="n"/>
      <c r="AM5062" s="48" t="n"/>
      <c r="AN5062" s="48" t="n"/>
      <c r="AO5062" s="48" t="n"/>
    </row>
    <row r="5063">
      <c r="M5063" s="25" t="n"/>
      <c r="Q5063" s="25" t="n"/>
      <c r="U5063" s="194" t="n"/>
      <c r="AA5063" s="25" t="n"/>
      <c r="AB5063" s="25" t="n"/>
      <c r="AC5063" s="195" t="n"/>
      <c r="AD5063" s="25" t="n"/>
      <c r="AE5063" s="25" t="n"/>
      <c r="AG5063" s="25" t="n"/>
      <c r="AH5063" s="25" t="n"/>
      <c r="AI5063" s="394" t="n"/>
      <c r="AM5063" s="48" t="n"/>
      <c r="AN5063" s="48" t="n"/>
      <c r="AO5063" s="48" t="n"/>
    </row>
    <row r="5064">
      <c r="M5064" s="25" t="n"/>
      <c r="Q5064" s="25" t="n"/>
      <c r="U5064" s="194" t="n"/>
      <c r="AA5064" s="25" t="n"/>
      <c r="AB5064" s="25" t="n"/>
      <c r="AC5064" s="195" t="n"/>
      <c r="AD5064" s="25" t="n"/>
      <c r="AE5064" s="25" t="n"/>
      <c r="AG5064" s="25" t="n"/>
      <c r="AH5064" s="25" t="n"/>
      <c r="AI5064" s="394" t="n"/>
      <c r="AM5064" s="48" t="n"/>
      <c r="AN5064" s="48" t="n"/>
      <c r="AO5064" s="48" t="n"/>
    </row>
    <row r="5065">
      <c r="M5065" s="25" t="n"/>
      <c r="Q5065" s="25" t="n"/>
      <c r="U5065" s="194" t="n"/>
      <c r="AA5065" s="25" t="n"/>
      <c r="AB5065" s="25" t="n"/>
      <c r="AC5065" s="195" t="n"/>
      <c r="AD5065" s="25" t="n"/>
      <c r="AE5065" s="25" t="n"/>
      <c r="AG5065" s="25" t="n"/>
      <c r="AH5065" s="25" t="n"/>
      <c r="AI5065" s="394" t="n"/>
      <c r="AM5065" s="48" t="n"/>
      <c r="AN5065" s="48" t="n"/>
      <c r="AO5065" s="48" t="n"/>
    </row>
    <row r="5066">
      <c r="M5066" s="25" t="n"/>
      <c r="Q5066" s="25" t="n"/>
      <c r="U5066" s="194" t="n"/>
      <c r="AA5066" s="25" t="n"/>
      <c r="AB5066" s="25" t="n"/>
      <c r="AC5066" s="195" t="n"/>
      <c r="AD5066" s="25" t="n"/>
      <c r="AE5066" s="25" t="n"/>
      <c r="AG5066" s="25" t="n"/>
      <c r="AH5066" s="25" t="n"/>
      <c r="AI5066" s="394" t="n"/>
      <c r="AM5066" s="48" t="n"/>
      <c r="AN5066" s="48" t="n"/>
      <c r="AO5066" s="48" t="n"/>
    </row>
    <row r="5067">
      <c r="M5067" s="25" t="n"/>
      <c r="Q5067" s="25" t="n"/>
      <c r="U5067" s="194" t="n"/>
      <c r="AA5067" s="25" t="n"/>
      <c r="AB5067" s="25" t="n"/>
      <c r="AC5067" s="195" t="n"/>
      <c r="AD5067" s="25" t="n"/>
      <c r="AE5067" s="25" t="n"/>
      <c r="AG5067" s="25" t="n"/>
      <c r="AH5067" s="25" t="n"/>
      <c r="AI5067" s="394" t="n"/>
      <c r="AM5067" s="48" t="n"/>
      <c r="AN5067" s="48" t="n"/>
      <c r="AO5067" s="48" t="n"/>
    </row>
    <row r="5068">
      <c r="M5068" s="25" t="n"/>
      <c r="Q5068" s="25" t="n"/>
      <c r="U5068" s="194" t="n"/>
      <c r="AA5068" s="25" t="n"/>
      <c r="AB5068" s="25" t="n"/>
      <c r="AC5068" s="195" t="n"/>
      <c r="AD5068" s="25" t="n"/>
      <c r="AE5068" s="25" t="n"/>
      <c r="AG5068" s="25" t="n"/>
      <c r="AH5068" s="25" t="n"/>
      <c r="AI5068" s="394" t="n"/>
      <c r="AM5068" s="48" t="n"/>
      <c r="AN5068" s="48" t="n"/>
      <c r="AO5068" s="48" t="n"/>
    </row>
    <row r="5069">
      <c r="M5069" s="25" t="n"/>
      <c r="Q5069" s="25" t="n"/>
      <c r="U5069" s="194" t="n"/>
      <c r="AA5069" s="25" t="n"/>
      <c r="AB5069" s="25" t="n"/>
      <c r="AC5069" s="195" t="n"/>
      <c r="AD5069" s="25" t="n"/>
      <c r="AE5069" s="25" t="n"/>
      <c r="AG5069" s="25" t="n"/>
      <c r="AH5069" s="25" t="n"/>
      <c r="AI5069" s="394" t="n"/>
      <c r="AM5069" s="48" t="n"/>
      <c r="AN5069" s="48" t="n"/>
      <c r="AO5069" s="48" t="n"/>
    </row>
    <row r="5070">
      <c r="M5070" s="25" t="n"/>
      <c r="Q5070" s="25" t="n"/>
      <c r="U5070" s="194" t="n"/>
      <c r="AA5070" s="25" t="n"/>
      <c r="AB5070" s="25" t="n"/>
      <c r="AC5070" s="195" t="n"/>
      <c r="AD5070" s="25" t="n"/>
      <c r="AE5070" s="25" t="n"/>
      <c r="AG5070" s="25" t="n"/>
      <c r="AH5070" s="25" t="n"/>
      <c r="AI5070" s="394" t="n"/>
      <c r="AM5070" s="48" t="n"/>
      <c r="AN5070" s="48" t="n"/>
      <c r="AO5070" s="48" t="n"/>
    </row>
    <row r="5071">
      <c r="M5071" s="25" t="n"/>
      <c r="Q5071" s="25" t="n"/>
      <c r="U5071" s="194" t="n"/>
      <c r="AA5071" s="25" t="n"/>
      <c r="AB5071" s="25" t="n"/>
      <c r="AC5071" s="195" t="n"/>
      <c r="AD5071" s="25" t="n"/>
      <c r="AE5071" s="25" t="n"/>
      <c r="AG5071" s="25" t="n"/>
      <c r="AH5071" s="25" t="n"/>
      <c r="AI5071" s="394" t="n"/>
      <c r="AM5071" s="48" t="n"/>
      <c r="AN5071" s="48" t="n"/>
      <c r="AO5071" s="48" t="n"/>
    </row>
    <row r="5072">
      <c r="M5072" s="25" t="n"/>
      <c r="Q5072" s="25" t="n"/>
      <c r="U5072" s="194" t="n"/>
      <c r="AA5072" s="25" t="n"/>
      <c r="AB5072" s="25" t="n"/>
      <c r="AC5072" s="195" t="n"/>
      <c r="AD5072" s="25" t="n"/>
      <c r="AE5072" s="25" t="n"/>
      <c r="AG5072" s="25" t="n"/>
      <c r="AH5072" s="25" t="n"/>
      <c r="AI5072" s="394" t="n"/>
      <c r="AM5072" s="48" t="n"/>
      <c r="AN5072" s="48" t="n"/>
      <c r="AO5072" s="48" t="n"/>
    </row>
    <row r="5073">
      <c r="M5073" s="25" t="n"/>
      <c r="Q5073" s="25" t="n"/>
      <c r="U5073" s="194" t="n"/>
      <c r="AA5073" s="25" t="n"/>
      <c r="AB5073" s="25" t="n"/>
      <c r="AC5073" s="195" t="n"/>
      <c r="AD5073" s="25" t="n"/>
      <c r="AE5073" s="25" t="n"/>
      <c r="AG5073" s="25" t="n"/>
      <c r="AH5073" s="25" t="n"/>
      <c r="AI5073" s="394" t="n"/>
      <c r="AM5073" s="48" t="n"/>
      <c r="AN5073" s="48" t="n"/>
      <c r="AO5073" s="48" t="n"/>
    </row>
    <row r="5074">
      <c r="M5074" s="25" t="n"/>
      <c r="Q5074" s="25" t="n"/>
      <c r="U5074" s="194" t="n"/>
      <c r="AA5074" s="25" t="n"/>
      <c r="AB5074" s="25" t="n"/>
      <c r="AC5074" s="195" t="n"/>
      <c r="AD5074" s="25" t="n"/>
      <c r="AE5074" s="25" t="n"/>
      <c r="AG5074" s="25" t="n"/>
      <c r="AH5074" s="25" t="n"/>
      <c r="AI5074" s="394" t="n"/>
      <c r="AM5074" s="48" t="n"/>
      <c r="AN5074" s="48" t="n"/>
      <c r="AO5074" s="48" t="n"/>
    </row>
    <row r="5075">
      <c r="M5075" s="25" t="n"/>
      <c r="Q5075" s="25" t="n"/>
      <c r="U5075" s="194" t="n"/>
      <c r="AA5075" s="25" t="n"/>
      <c r="AB5075" s="25" t="n"/>
      <c r="AC5075" s="195" t="n"/>
      <c r="AD5075" s="25" t="n"/>
      <c r="AE5075" s="25" t="n"/>
      <c r="AG5075" s="25" t="n"/>
      <c r="AH5075" s="25" t="n"/>
      <c r="AI5075" s="394" t="n"/>
      <c r="AM5075" s="48" t="n"/>
      <c r="AN5075" s="48" t="n"/>
      <c r="AO5075" s="48" t="n"/>
    </row>
    <row r="5076">
      <c r="M5076" s="25" t="n"/>
      <c r="Q5076" s="25" t="n"/>
      <c r="U5076" s="194" t="n"/>
      <c r="AA5076" s="25" t="n"/>
      <c r="AB5076" s="25" t="n"/>
      <c r="AC5076" s="195" t="n"/>
      <c r="AD5076" s="25" t="n"/>
      <c r="AE5076" s="25" t="n"/>
      <c r="AG5076" s="25" t="n"/>
      <c r="AH5076" s="25" t="n"/>
      <c r="AI5076" s="394" t="n"/>
      <c r="AM5076" s="48" t="n"/>
      <c r="AN5076" s="48" t="n"/>
      <c r="AO5076" s="48" t="n"/>
    </row>
    <row r="5077">
      <c r="M5077" s="25" t="n"/>
      <c r="Q5077" s="25" t="n"/>
      <c r="U5077" s="194" t="n"/>
      <c r="AA5077" s="25" t="n"/>
      <c r="AB5077" s="25" t="n"/>
      <c r="AC5077" s="195" t="n"/>
      <c r="AD5077" s="25" t="n"/>
      <c r="AE5077" s="25" t="n"/>
      <c r="AG5077" s="25" t="n"/>
      <c r="AH5077" s="25" t="n"/>
      <c r="AI5077" s="394" t="n"/>
      <c r="AM5077" s="48" t="n"/>
      <c r="AN5077" s="48" t="n"/>
      <c r="AO5077" s="48" t="n"/>
    </row>
    <row r="5078">
      <c r="M5078" s="25" t="n"/>
      <c r="Q5078" s="25" t="n"/>
      <c r="U5078" s="194" t="n"/>
      <c r="AA5078" s="25" t="n"/>
      <c r="AB5078" s="25" t="n"/>
      <c r="AC5078" s="195" t="n"/>
      <c r="AD5078" s="25" t="n"/>
      <c r="AE5078" s="25" t="n"/>
      <c r="AG5078" s="25" t="n"/>
      <c r="AH5078" s="25" t="n"/>
      <c r="AI5078" s="394" t="n"/>
      <c r="AM5078" s="48" t="n"/>
      <c r="AN5078" s="48" t="n"/>
      <c r="AO5078" s="48" t="n"/>
    </row>
    <row r="5079">
      <c r="M5079" s="25" t="n"/>
      <c r="Q5079" s="25" t="n"/>
      <c r="U5079" s="194" t="n"/>
      <c r="AA5079" s="25" t="n"/>
      <c r="AB5079" s="25" t="n"/>
      <c r="AC5079" s="195" t="n"/>
      <c r="AD5079" s="25" t="n"/>
      <c r="AE5079" s="25" t="n"/>
      <c r="AG5079" s="25" t="n"/>
      <c r="AH5079" s="25" t="n"/>
      <c r="AI5079" s="394" t="n"/>
      <c r="AM5079" s="48" t="n"/>
      <c r="AN5079" s="48" t="n"/>
      <c r="AO5079" s="48" t="n"/>
    </row>
    <row r="5080">
      <c r="M5080" s="25" t="n"/>
      <c r="Q5080" s="25" t="n"/>
      <c r="U5080" s="194" t="n"/>
      <c r="AA5080" s="25" t="n"/>
      <c r="AB5080" s="25" t="n"/>
      <c r="AC5080" s="195" t="n"/>
      <c r="AD5080" s="25" t="n"/>
      <c r="AE5080" s="25" t="n"/>
      <c r="AG5080" s="25" t="n"/>
      <c r="AH5080" s="25" t="n"/>
      <c r="AI5080" s="394" t="n"/>
      <c r="AM5080" s="48" t="n"/>
      <c r="AN5080" s="48" t="n"/>
      <c r="AO5080" s="48" t="n"/>
    </row>
    <row r="5081">
      <c r="M5081" s="25" t="n"/>
      <c r="Q5081" s="25" t="n"/>
      <c r="U5081" s="194" t="n"/>
      <c r="AA5081" s="25" t="n"/>
      <c r="AB5081" s="25" t="n"/>
      <c r="AC5081" s="195" t="n"/>
      <c r="AD5081" s="25" t="n"/>
      <c r="AE5081" s="25" t="n"/>
      <c r="AG5081" s="25" t="n"/>
      <c r="AH5081" s="25" t="n"/>
      <c r="AI5081" s="394" t="n"/>
      <c r="AM5081" s="48" t="n"/>
      <c r="AN5081" s="48" t="n"/>
      <c r="AO5081" s="48" t="n"/>
    </row>
    <row r="5082">
      <c r="M5082" s="25" t="n"/>
      <c r="Q5082" s="25" t="n"/>
      <c r="U5082" s="194" t="n"/>
      <c r="AA5082" s="25" t="n"/>
      <c r="AB5082" s="25" t="n"/>
      <c r="AC5082" s="195" t="n"/>
      <c r="AD5082" s="25" t="n"/>
      <c r="AE5082" s="25" t="n"/>
      <c r="AG5082" s="25" t="n"/>
      <c r="AH5082" s="25" t="n"/>
      <c r="AI5082" s="394" t="n"/>
      <c r="AM5082" s="48" t="n"/>
      <c r="AN5082" s="48" t="n"/>
      <c r="AO5082" s="48" t="n"/>
    </row>
    <row r="5083">
      <c r="M5083" s="25" t="n"/>
      <c r="Q5083" s="25" t="n"/>
      <c r="U5083" s="194" t="n"/>
      <c r="AA5083" s="25" t="n"/>
      <c r="AB5083" s="25" t="n"/>
      <c r="AC5083" s="195" t="n"/>
      <c r="AD5083" s="25" t="n"/>
      <c r="AE5083" s="25" t="n"/>
      <c r="AG5083" s="25" t="n"/>
      <c r="AH5083" s="25" t="n"/>
      <c r="AI5083" s="394" t="n"/>
      <c r="AM5083" s="48" t="n"/>
      <c r="AN5083" s="48" t="n"/>
      <c r="AO5083" s="48" t="n"/>
    </row>
    <row r="5084">
      <c r="M5084" s="25" t="n"/>
      <c r="Q5084" s="25" t="n"/>
      <c r="U5084" s="194" t="n"/>
      <c r="AA5084" s="25" t="n"/>
      <c r="AB5084" s="25" t="n"/>
      <c r="AC5084" s="195" t="n"/>
      <c r="AD5084" s="25" t="n"/>
      <c r="AE5084" s="25" t="n"/>
      <c r="AG5084" s="25" t="n"/>
      <c r="AH5084" s="25" t="n"/>
      <c r="AI5084" s="394" t="n"/>
      <c r="AM5084" s="48" t="n"/>
      <c r="AN5084" s="48" t="n"/>
      <c r="AO5084" s="48" t="n"/>
    </row>
    <row r="5085">
      <c r="M5085" s="25" t="n"/>
      <c r="Q5085" s="25" t="n"/>
      <c r="U5085" s="194" t="n"/>
      <c r="AA5085" s="25" t="n"/>
      <c r="AB5085" s="25" t="n"/>
      <c r="AC5085" s="195" t="n"/>
      <c r="AD5085" s="25" t="n"/>
      <c r="AE5085" s="25" t="n"/>
      <c r="AG5085" s="25" t="n"/>
      <c r="AH5085" s="25" t="n"/>
      <c r="AI5085" s="394" t="n"/>
      <c r="AM5085" s="48" t="n"/>
      <c r="AN5085" s="48" t="n"/>
      <c r="AO5085" s="48" t="n"/>
    </row>
    <row r="5086">
      <c r="M5086" s="25" t="n"/>
      <c r="Q5086" s="25" t="n"/>
      <c r="U5086" s="194" t="n"/>
      <c r="AA5086" s="25" t="n"/>
      <c r="AB5086" s="25" t="n"/>
      <c r="AC5086" s="195" t="n"/>
      <c r="AD5086" s="25" t="n"/>
      <c r="AE5086" s="25" t="n"/>
      <c r="AG5086" s="25" t="n"/>
      <c r="AH5086" s="25" t="n"/>
      <c r="AI5086" s="394" t="n"/>
      <c r="AM5086" s="48" t="n"/>
      <c r="AN5086" s="48" t="n"/>
      <c r="AO5086" s="48" t="n"/>
    </row>
    <row r="5087">
      <c r="M5087" s="25" t="n"/>
      <c r="Q5087" s="25" t="n"/>
      <c r="U5087" s="194" t="n"/>
      <c r="AA5087" s="25" t="n"/>
      <c r="AB5087" s="25" t="n"/>
      <c r="AC5087" s="195" t="n"/>
      <c r="AD5087" s="25" t="n"/>
      <c r="AE5087" s="25" t="n"/>
      <c r="AG5087" s="25" t="n"/>
      <c r="AH5087" s="25" t="n"/>
      <c r="AI5087" s="394" t="n"/>
      <c r="AM5087" s="48" t="n"/>
      <c r="AN5087" s="48" t="n"/>
      <c r="AO5087" s="48" t="n"/>
    </row>
    <row r="5088">
      <c r="M5088" s="25" t="n"/>
      <c r="Q5088" s="25" t="n"/>
      <c r="U5088" s="194" t="n"/>
      <c r="AA5088" s="25" t="n"/>
      <c r="AB5088" s="25" t="n"/>
      <c r="AC5088" s="195" t="n"/>
      <c r="AD5088" s="25" t="n"/>
      <c r="AE5088" s="25" t="n"/>
      <c r="AG5088" s="25" t="n"/>
      <c r="AH5088" s="25" t="n"/>
      <c r="AI5088" s="394" t="n"/>
      <c r="AM5088" s="48" t="n"/>
      <c r="AN5088" s="48" t="n"/>
      <c r="AO5088" s="48" t="n"/>
    </row>
    <row r="5089">
      <c r="M5089" s="25" t="n"/>
      <c r="Q5089" s="25" t="n"/>
      <c r="U5089" s="194" t="n"/>
      <c r="AA5089" s="25" t="n"/>
      <c r="AB5089" s="25" t="n"/>
      <c r="AC5089" s="195" t="n"/>
      <c r="AD5089" s="25" t="n"/>
      <c r="AE5089" s="25" t="n"/>
      <c r="AG5089" s="25" t="n"/>
      <c r="AH5089" s="25" t="n"/>
      <c r="AI5089" s="394" t="n"/>
      <c r="AM5089" s="48" t="n"/>
      <c r="AN5089" s="48" t="n"/>
      <c r="AO5089" s="48" t="n"/>
    </row>
    <row r="5090">
      <c r="M5090" s="25" t="n"/>
      <c r="Q5090" s="25" t="n"/>
      <c r="U5090" s="194" t="n"/>
      <c r="AA5090" s="25" t="n"/>
      <c r="AB5090" s="25" t="n"/>
      <c r="AC5090" s="195" t="n"/>
      <c r="AD5090" s="25" t="n"/>
      <c r="AE5090" s="25" t="n"/>
      <c r="AG5090" s="25" t="n"/>
      <c r="AH5090" s="25" t="n"/>
      <c r="AI5090" s="394" t="n"/>
      <c r="AM5090" s="48" t="n"/>
      <c r="AN5090" s="48" t="n"/>
      <c r="AO5090" s="48" t="n"/>
    </row>
    <row r="5091">
      <c r="M5091" s="25" t="n"/>
      <c r="Q5091" s="25" t="n"/>
      <c r="U5091" s="194" t="n"/>
      <c r="AA5091" s="25" t="n"/>
      <c r="AB5091" s="25" t="n"/>
      <c r="AC5091" s="195" t="n"/>
      <c r="AD5091" s="25" t="n"/>
      <c r="AE5091" s="25" t="n"/>
      <c r="AG5091" s="25" t="n"/>
      <c r="AH5091" s="25" t="n"/>
      <c r="AI5091" s="394" t="n"/>
      <c r="AM5091" s="48" t="n"/>
      <c r="AN5091" s="48" t="n"/>
      <c r="AO5091" s="48" t="n"/>
    </row>
    <row r="5092">
      <c r="M5092" s="25" t="n"/>
      <c r="Q5092" s="25" t="n"/>
      <c r="U5092" s="194" t="n"/>
      <c r="AA5092" s="25" t="n"/>
      <c r="AB5092" s="25" t="n"/>
      <c r="AC5092" s="195" t="n"/>
      <c r="AD5092" s="25" t="n"/>
      <c r="AE5092" s="25" t="n"/>
      <c r="AG5092" s="25" t="n"/>
      <c r="AH5092" s="25" t="n"/>
      <c r="AI5092" s="394" t="n"/>
      <c r="AM5092" s="48" t="n"/>
      <c r="AN5092" s="48" t="n"/>
      <c r="AO5092" s="48" t="n"/>
    </row>
    <row r="5093">
      <c r="M5093" s="25" t="n"/>
      <c r="Q5093" s="25" t="n"/>
      <c r="U5093" s="194" t="n"/>
      <c r="AA5093" s="25" t="n"/>
      <c r="AB5093" s="25" t="n"/>
      <c r="AC5093" s="195" t="n"/>
      <c r="AD5093" s="25" t="n"/>
      <c r="AE5093" s="25" t="n"/>
      <c r="AG5093" s="25" t="n"/>
      <c r="AH5093" s="25" t="n"/>
      <c r="AI5093" s="394" t="n"/>
      <c r="AM5093" s="48" t="n"/>
      <c r="AN5093" s="48" t="n"/>
      <c r="AO5093" s="48" t="n"/>
    </row>
    <row r="5094">
      <c r="M5094" s="25" t="n"/>
      <c r="Q5094" s="25" t="n"/>
      <c r="U5094" s="194" t="n"/>
      <c r="AA5094" s="25" t="n"/>
      <c r="AB5094" s="25" t="n"/>
      <c r="AC5094" s="195" t="n"/>
      <c r="AD5094" s="25" t="n"/>
      <c r="AE5094" s="25" t="n"/>
      <c r="AG5094" s="25" t="n"/>
      <c r="AH5094" s="25" t="n"/>
      <c r="AI5094" s="394" t="n"/>
      <c r="AM5094" s="48" t="n"/>
      <c r="AN5094" s="48" t="n"/>
      <c r="AO5094" s="48" t="n"/>
    </row>
    <row r="5095">
      <c r="M5095" s="25" t="n"/>
      <c r="Q5095" s="25" t="n"/>
      <c r="U5095" s="194" t="n"/>
      <c r="AA5095" s="25" t="n"/>
      <c r="AB5095" s="25" t="n"/>
      <c r="AC5095" s="195" t="n"/>
      <c r="AD5095" s="25" t="n"/>
      <c r="AE5095" s="25" t="n"/>
      <c r="AG5095" s="25" t="n"/>
      <c r="AH5095" s="25" t="n"/>
      <c r="AI5095" s="394" t="n"/>
      <c r="AM5095" s="48" t="n"/>
      <c r="AN5095" s="48" t="n"/>
      <c r="AO5095" s="48" t="n"/>
    </row>
    <row r="5096">
      <c r="M5096" s="25" t="n"/>
      <c r="Q5096" s="25" t="n"/>
      <c r="U5096" s="194" t="n"/>
      <c r="AA5096" s="25" t="n"/>
      <c r="AB5096" s="25" t="n"/>
      <c r="AC5096" s="195" t="n"/>
      <c r="AD5096" s="25" t="n"/>
      <c r="AE5096" s="25" t="n"/>
      <c r="AG5096" s="25" t="n"/>
      <c r="AH5096" s="25" t="n"/>
      <c r="AI5096" s="394" t="n"/>
      <c r="AM5096" s="48" t="n"/>
      <c r="AN5096" s="48" t="n"/>
      <c r="AO5096" s="48" t="n"/>
    </row>
    <row r="5097">
      <c r="M5097" s="25" t="n"/>
      <c r="Q5097" s="25" t="n"/>
      <c r="U5097" s="194" t="n"/>
      <c r="AA5097" s="25" t="n"/>
      <c r="AB5097" s="25" t="n"/>
      <c r="AC5097" s="195" t="n"/>
      <c r="AD5097" s="25" t="n"/>
      <c r="AE5097" s="25" t="n"/>
      <c r="AG5097" s="25" t="n"/>
      <c r="AH5097" s="25" t="n"/>
      <c r="AI5097" s="394" t="n"/>
      <c r="AM5097" s="48" t="n"/>
      <c r="AN5097" s="48" t="n"/>
      <c r="AO5097" s="48" t="n"/>
    </row>
    <row r="5098">
      <c r="M5098" s="25" t="n"/>
      <c r="Q5098" s="25" t="n"/>
      <c r="U5098" s="194" t="n"/>
      <c r="AA5098" s="25" t="n"/>
      <c r="AB5098" s="25" t="n"/>
      <c r="AC5098" s="195" t="n"/>
      <c r="AD5098" s="25" t="n"/>
      <c r="AE5098" s="25" t="n"/>
      <c r="AG5098" s="25" t="n"/>
      <c r="AH5098" s="25" t="n"/>
      <c r="AI5098" s="394" t="n"/>
      <c r="AM5098" s="48" t="n"/>
      <c r="AN5098" s="48" t="n"/>
      <c r="AO5098" s="48" t="n"/>
    </row>
    <row r="5099">
      <c r="M5099" s="25" t="n"/>
      <c r="Q5099" s="25" t="n"/>
      <c r="U5099" s="194" t="n"/>
      <c r="AA5099" s="25" t="n"/>
      <c r="AB5099" s="25" t="n"/>
      <c r="AC5099" s="195" t="n"/>
      <c r="AD5099" s="25" t="n"/>
      <c r="AE5099" s="25" t="n"/>
      <c r="AG5099" s="25" t="n"/>
      <c r="AH5099" s="25" t="n"/>
      <c r="AI5099" s="394" t="n"/>
      <c r="AM5099" s="48" t="n"/>
      <c r="AN5099" s="48" t="n"/>
      <c r="AO5099" s="48" t="n"/>
    </row>
    <row r="5100">
      <c r="M5100" s="25" t="n"/>
      <c r="Q5100" s="25" t="n"/>
      <c r="U5100" s="194" t="n"/>
      <c r="AA5100" s="25" t="n"/>
      <c r="AB5100" s="25" t="n"/>
      <c r="AC5100" s="195" t="n"/>
      <c r="AD5100" s="25" t="n"/>
      <c r="AE5100" s="25" t="n"/>
      <c r="AG5100" s="25" t="n"/>
      <c r="AH5100" s="25" t="n"/>
      <c r="AI5100" s="394" t="n"/>
      <c r="AM5100" s="48" t="n"/>
      <c r="AN5100" s="48" t="n"/>
      <c r="AO5100" s="48" t="n"/>
    </row>
    <row r="5101">
      <c r="M5101" s="25" t="n"/>
      <c r="Q5101" s="25" t="n"/>
      <c r="U5101" s="194" t="n"/>
      <c r="AA5101" s="25" t="n"/>
      <c r="AB5101" s="25" t="n"/>
      <c r="AC5101" s="195" t="n"/>
      <c r="AD5101" s="25" t="n"/>
      <c r="AE5101" s="25" t="n"/>
      <c r="AG5101" s="25" t="n"/>
      <c r="AH5101" s="25" t="n"/>
      <c r="AI5101" s="394" t="n"/>
      <c r="AM5101" s="48" t="n"/>
      <c r="AN5101" s="48" t="n"/>
      <c r="AO5101" s="48" t="n"/>
    </row>
    <row r="5102">
      <c r="M5102" s="25" t="n"/>
      <c r="Q5102" s="25" t="n"/>
      <c r="U5102" s="194" t="n"/>
      <c r="AA5102" s="25" t="n"/>
      <c r="AB5102" s="25" t="n"/>
      <c r="AC5102" s="195" t="n"/>
      <c r="AD5102" s="25" t="n"/>
      <c r="AE5102" s="25" t="n"/>
      <c r="AG5102" s="25" t="n"/>
      <c r="AH5102" s="25" t="n"/>
      <c r="AI5102" s="394" t="n"/>
      <c r="AM5102" s="48" t="n"/>
      <c r="AN5102" s="48" t="n"/>
      <c r="AO5102" s="48" t="n"/>
    </row>
    <row r="5103">
      <c r="M5103" s="25" t="n"/>
      <c r="Q5103" s="25" t="n"/>
      <c r="U5103" s="194" t="n"/>
      <c r="AA5103" s="25" t="n"/>
      <c r="AB5103" s="25" t="n"/>
      <c r="AC5103" s="195" t="n"/>
      <c r="AD5103" s="25" t="n"/>
      <c r="AE5103" s="25" t="n"/>
      <c r="AG5103" s="25" t="n"/>
      <c r="AH5103" s="25" t="n"/>
      <c r="AI5103" s="394" t="n"/>
      <c r="AM5103" s="48" t="n"/>
      <c r="AN5103" s="48" t="n"/>
      <c r="AO5103" s="48" t="n"/>
    </row>
    <row r="5104">
      <c r="M5104" s="25" t="n"/>
      <c r="Q5104" s="25" t="n"/>
      <c r="U5104" s="194" t="n"/>
      <c r="AA5104" s="25" t="n"/>
      <c r="AB5104" s="25" t="n"/>
      <c r="AC5104" s="195" t="n"/>
      <c r="AD5104" s="25" t="n"/>
      <c r="AE5104" s="25" t="n"/>
      <c r="AG5104" s="25" t="n"/>
      <c r="AH5104" s="25" t="n"/>
      <c r="AI5104" s="394" t="n"/>
      <c r="AM5104" s="48" t="n"/>
      <c r="AN5104" s="48" t="n"/>
      <c r="AO5104" s="48" t="n"/>
    </row>
    <row r="5105">
      <c r="M5105" s="25" t="n"/>
      <c r="Q5105" s="25" t="n"/>
      <c r="U5105" s="194" t="n"/>
      <c r="AA5105" s="25" t="n"/>
      <c r="AB5105" s="25" t="n"/>
      <c r="AC5105" s="195" t="n"/>
      <c r="AD5105" s="25" t="n"/>
      <c r="AE5105" s="25" t="n"/>
      <c r="AG5105" s="25" t="n"/>
      <c r="AH5105" s="25" t="n"/>
      <c r="AI5105" s="394" t="n"/>
      <c r="AM5105" s="48" t="n"/>
      <c r="AN5105" s="48" t="n"/>
      <c r="AO5105" s="48" t="n"/>
    </row>
    <row r="5106">
      <c r="M5106" s="25" t="n"/>
      <c r="Q5106" s="25" t="n"/>
      <c r="U5106" s="194" t="n"/>
      <c r="AA5106" s="25" t="n"/>
      <c r="AB5106" s="25" t="n"/>
      <c r="AC5106" s="195" t="n"/>
      <c r="AD5106" s="25" t="n"/>
      <c r="AE5106" s="25" t="n"/>
      <c r="AG5106" s="25" t="n"/>
      <c r="AH5106" s="25" t="n"/>
      <c r="AI5106" s="394" t="n"/>
      <c r="AM5106" s="48" t="n"/>
      <c r="AN5106" s="48" t="n"/>
      <c r="AO5106" s="48" t="n"/>
    </row>
    <row r="5107">
      <c r="M5107" s="25" t="n"/>
      <c r="Q5107" s="25" t="n"/>
      <c r="U5107" s="194" t="n"/>
      <c r="AA5107" s="25" t="n"/>
      <c r="AB5107" s="25" t="n"/>
      <c r="AC5107" s="195" t="n"/>
      <c r="AD5107" s="25" t="n"/>
      <c r="AE5107" s="25" t="n"/>
      <c r="AG5107" s="25" t="n"/>
      <c r="AH5107" s="25" t="n"/>
      <c r="AI5107" s="394" t="n"/>
      <c r="AM5107" s="48" t="n"/>
      <c r="AN5107" s="48" t="n"/>
      <c r="AO5107" s="48" t="n"/>
    </row>
    <row r="5108">
      <c r="M5108" s="25" t="n"/>
      <c r="Q5108" s="25" t="n"/>
      <c r="U5108" s="194" t="n"/>
      <c r="AA5108" s="25" t="n"/>
      <c r="AB5108" s="25" t="n"/>
      <c r="AC5108" s="195" t="n"/>
      <c r="AD5108" s="25" t="n"/>
      <c r="AE5108" s="25" t="n"/>
      <c r="AG5108" s="25" t="n"/>
      <c r="AH5108" s="25" t="n"/>
      <c r="AI5108" s="394" t="n"/>
      <c r="AM5108" s="48" t="n"/>
      <c r="AN5108" s="48" t="n"/>
      <c r="AO5108" s="48" t="n"/>
    </row>
    <row r="5109">
      <c r="M5109" s="25" t="n"/>
      <c r="Q5109" s="25" t="n"/>
      <c r="U5109" s="194" t="n"/>
      <c r="AA5109" s="25" t="n"/>
      <c r="AB5109" s="25" t="n"/>
      <c r="AC5109" s="195" t="n"/>
      <c r="AD5109" s="25" t="n"/>
      <c r="AE5109" s="25" t="n"/>
      <c r="AG5109" s="25" t="n"/>
      <c r="AH5109" s="25" t="n"/>
      <c r="AI5109" s="394" t="n"/>
      <c r="AM5109" s="48" t="n"/>
      <c r="AN5109" s="48" t="n"/>
      <c r="AO5109" s="48" t="n"/>
    </row>
    <row r="5110">
      <c r="M5110" s="25" t="n"/>
      <c r="Q5110" s="25" t="n"/>
      <c r="U5110" s="194" t="n"/>
      <c r="AA5110" s="25" t="n"/>
      <c r="AB5110" s="25" t="n"/>
      <c r="AC5110" s="195" t="n"/>
      <c r="AD5110" s="25" t="n"/>
      <c r="AE5110" s="25" t="n"/>
      <c r="AG5110" s="25" t="n"/>
      <c r="AH5110" s="25" t="n"/>
      <c r="AI5110" s="394" t="n"/>
      <c r="AM5110" s="48" t="n"/>
      <c r="AN5110" s="48" t="n"/>
      <c r="AO5110" s="48" t="n"/>
    </row>
    <row r="5111">
      <c r="M5111" s="25" t="n"/>
      <c r="Q5111" s="25" t="n"/>
      <c r="U5111" s="194" t="n"/>
      <c r="AA5111" s="25" t="n"/>
      <c r="AB5111" s="25" t="n"/>
      <c r="AC5111" s="195" t="n"/>
      <c r="AD5111" s="25" t="n"/>
      <c r="AE5111" s="25" t="n"/>
      <c r="AG5111" s="25" t="n"/>
      <c r="AH5111" s="25" t="n"/>
      <c r="AI5111" s="394" t="n"/>
      <c r="AM5111" s="48" t="n"/>
      <c r="AN5111" s="48" t="n"/>
      <c r="AO5111" s="48" t="n"/>
    </row>
    <row r="5112">
      <c r="M5112" s="25" t="n"/>
      <c r="Q5112" s="25" t="n"/>
      <c r="U5112" s="194" t="n"/>
      <c r="AA5112" s="25" t="n"/>
      <c r="AB5112" s="25" t="n"/>
      <c r="AC5112" s="195" t="n"/>
      <c r="AD5112" s="25" t="n"/>
      <c r="AE5112" s="25" t="n"/>
      <c r="AG5112" s="25" t="n"/>
      <c r="AH5112" s="25" t="n"/>
      <c r="AI5112" s="394" t="n"/>
      <c r="AM5112" s="48" t="n"/>
      <c r="AN5112" s="48" t="n"/>
      <c r="AO5112" s="48" t="n"/>
    </row>
    <row r="5113">
      <c r="M5113" s="25" t="n"/>
      <c r="Q5113" s="25" t="n"/>
      <c r="U5113" s="194" t="n"/>
      <c r="AA5113" s="25" t="n"/>
      <c r="AB5113" s="25" t="n"/>
      <c r="AC5113" s="195" t="n"/>
      <c r="AD5113" s="25" t="n"/>
      <c r="AE5113" s="25" t="n"/>
      <c r="AG5113" s="25" t="n"/>
      <c r="AH5113" s="25" t="n"/>
      <c r="AI5113" s="394" t="n"/>
      <c r="AM5113" s="48" t="n"/>
      <c r="AN5113" s="48" t="n"/>
      <c r="AO5113" s="48" t="n"/>
    </row>
    <row r="5114">
      <c r="M5114" s="25" t="n"/>
      <c r="Q5114" s="25" t="n"/>
      <c r="U5114" s="194" t="n"/>
      <c r="AA5114" s="25" t="n"/>
      <c r="AB5114" s="25" t="n"/>
      <c r="AC5114" s="195" t="n"/>
      <c r="AD5114" s="25" t="n"/>
      <c r="AE5114" s="25" t="n"/>
      <c r="AG5114" s="25" t="n"/>
      <c r="AH5114" s="25" t="n"/>
      <c r="AI5114" s="394" t="n"/>
      <c r="AM5114" s="48" t="n"/>
      <c r="AN5114" s="48" t="n"/>
      <c r="AO5114" s="48" t="n"/>
    </row>
    <row r="5115">
      <c r="M5115" s="25" t="n"/>
      <c r="Q5115" s="25" t="n"/>
      <c r="U5115" s="194" t="n"/>
      <c r="AA5115" s="25" t="n"/>
      <c r="AB5115" s="25" t="n"/>
      <c r="AC5115" s="195" t="n"/>
      <c r="AD5115" s="25" t="n"/>
      <c r="AE5115" s="25" t="n"/>
      <c r="AG5115" s="25" t="n"/>
      <c r="AH5115" s="25" t="n"/>
      <c r="AI5115" s="394" t="n"/>
      <c r="AM5115" s="48" t="n"/>
      <c r="AN5115" s="48" t="n"/>
      <c r="AO5115" s="48" t="n"/>
    </row>
    <row r="5116">
      <c r="M5116" s="25" t="n"/>
      <c r="Q5116" s="25" t="n"/>
      <c r="U5116" s="194" t="n"/>
      <c r="AA5116" s="25" t="n"/>
      <c r="AB5116" s="25" t="n"/>
      <c r="AC5116" s="195" t="n"/>
      <c r="AD5116" s="25" t="n"/>
      <c r="AE5116" s="25" t="n"/>
      <c r="AG5116" s="25" t="n"/>
      <c r="AH5116" s="25" t="n"/>
      <c r="AI5116" s="394" t="n"/>
      <c r="AM5116" s="48" t="n"/>
      <c r="AN5116" s="48" t="n"/>
      <c r="AO5116" s="48" t="n"/>
    </row>
    <row r="5117">
      <c r="M5117" s="25" t="n"/>
      <c r="Q5117" s="25" t="n"/>
      <c r="U5117" s="194" t="n"/>
      <c r="AA5117" s="25" t="n"/>
      <c r="AB5117" s="25" t="n"/>
      <c r="AC5117" s="195" t="n"/>
      <c r="AD5117" s="25" t="n"/>
      <c r="AE5117" s="25" t="n"/>
      <c r="AG5117" s="25" t="n"/>
      <c r="AH5117" s="25" t="n"/>
      <c r="AI5117" s="394" t="n"/>
      <c r="AM5117" s="48" t="n"/>
      <c r="AN5117" s="48" t="n"/>
      <c r="AO5117" s="48" t="n"/>
    </row>
    <row r="5118">
      <c r="M5118" s="25" t="n"/>
      <c r="Q5118" s="25" t="n"/>
      <c r="U5118" s="194" t="n"/>
      <c r="AA5118" s="25" t="n"/>
      <c r="AB5118" s="25" t="n"/>
      <c r="AC5118" s="195" t="n"/>
      <c r="AD5118" s="25" t="n"/>
      <c r="AE5118" s="25" t="n"/>
      <c r="AG5118" s="25" t="n"/>
      <c r="AH5118" s="25" t="n"/>
      <c r="AI5118" s="394" t="n"/>
      <c r="AM5118" s="48" t="n"/>
      <c r="AN5118" s="48" t="n"/>
      <c r="AO5118" s="48" t="n"/>
    </row>
    <row r="5119">
      <c r="M5119" s="25" t="n"/>
      <c r="Q5119" s="25" t="n"/>
      <c r="U5119" s="194" t="n"/>
      <c r="AA5119" s="25" t="n"/>
      <c r="AB5119" s="25" t="n"/>
      <c r="AC5119" s="195" t="n"/>
      <c r="AD5119" s="25" t="n"/>
      <c r="AE5119" s="25" t="n"/>
      <c r="AG5119" s="25" t="n"/>
      <c r="AH5119" s="25" t="n"/>
      <c r="AI5119" s="394" t="n"/>
      <c r="AM5119" s="48" t="n"/>
      <c r="AN5119" s="48" t="n"/>
      <c r="AO5119" s="48" t="n"/>
    </row>
    <row r="5120">
      <c r="M5120" s="25" t="n"/>
      <c r="Q5120" s="25" t="n"/>
      <c r="U5120" s="194" t="n"/>
      <c r="AA5120" s="25" t="n"/>
      <c r="AB5120" s="25" t="n"/>
      <c r="AC5120" s="195" t="n"/>
      <c r="AD5120" s="25" t="n"/>
      <c r="AE5120" s="25" t="n"/>
      <c r="AG5120" s="25" t="n"/>
      <c r="AH5120" s="25" t="n"/>
      <c r="AI5120" s="394" t="n"/>
      <c r="AM5120" s="48" t="n"/>
      <c r="AN5120" s="48" t="n"/>
      <c r="AO5120" s="48" t="n"/>
    </row>
    <row r="5121">
      <c r="M5121" s="25" t="n"/>
      <c r="Q5121" s="25" t="n"/>
      <c r="U5121" s="194" t="n"/>
      <c r="AA5121" s="25" t="n"/>
      <c r="AB5121" s="25" t="n"/>
      <c r="AC5121" s="195" t="n"/>
      <c r="AD5121" s="25" t="n"/>
      <c r="AE5121" s="25" t="n"/>
      <c r="AG5121" s="25" t="n"/>
      <c r="AH5121" s="25" t="n"/>
      <c r="AI5121" s="394" t="n"/>
      <c r="AM5121" s="48" t="n"/>
      <c r="AN5121" s="48" t="n"/>
      <c r="AO5121" s="48" t="n"/>
    </row>
    <row r="5122">
      <c r="M5122" s="25" t="n"/>
      <c r="Q5122" s="25" t="n"/>
      <c r="U5122" s="194" t="n"/>
      <c r="AA5122" s="25" t="n"/>
      <c r="AB5122" s="25" t="n"/>
      <c r="AC5122" s="195" t="n"/>
      <c r="AD5122" s="25" t="n"/>
      <c r="AE5122" s="25" t="n"/>
      <c r="AG5122" s="25" t="n"/>
      <c r="AH5122" s="25" t="n"/>
      <c r="AI5122" s="394" t="n"/>
      <c r="AM5122" s="48" t="n"/>
      <c r="AN5122" s="48" t="n"/>
      <c r="AO5122" s="48" t="n"/>
    </row>
    <row r="5123">
      <c r="M5123" s="25" t="n"/>
      <c r="Q5123" s="25" t="n"/>
      <c r="U5123" s="194" t="n"/>
      <c r="AA5123" s="25" t="n"/>
      <c r="AB5123" s="25" t="n"/>
      <c r="AC5123" s="195" t="n"/>
      <c r="AD5123" s="25" t="n"/>
      <c r="AE5123" s="25" t="n"/>
      <c r="AG5123" s="25" t="n"/>
      <c r="AH5123" s="25" t="n"/>
      <c r="AI5123" s="394" t="n"/>
      <c r="AM5123" s="48" t="n"/>
      <c r="AN5123" s="48" t="n"/>
      <c r="AO5123" s="48" t="n"/>
    </row>
    <row r="5124">
      <c r="M5124" s="25" t="n"/>
      <c r="Q5124" s="25" t="n"/>
      <c r="U5124" s="194" t="n"/>
      <c r="AA5124" s="25" t="n"/>
      <c r="AB5124" s="25" t="n"/>
      <c r="AC5124" s="195" t="n"/>
      <c r="AD5124" s="25" t="n"/>
      <c r="AE5124" s="25" t="n"/>
      <c r="AG5124" s="25" t="n"/>
      <c r="AH5124" s="25" t="n"/>
      <c r="AI5124" s="394" t="n"/>
      <c r="AM5124" s="48" t="n"/>
      <c r="AN5124" s="48" t="n"/>
      <c r="AO5124" s="48" t="n"/>
    </row>
    <row r="5125">
      <c r="M5125" s="25" t="n"/>
      <c r="Q5125" s="25" t="n"/>
      <c r="U5125" s="194" t="n"/>
      <c r="AA5125" s="25" t="n"/>
      <c r="AB5125" s="25" t="n"/>
      <c r="AC5125" s="195" t="n"/>
      <c r="AD5125" s="25" t="n"/>
      <c r="AE5125" s="25" t="n"/>
      <c r="AG5125" s="25" t="n"/>
      <c r="AH5125" s="25" t="n"/>
      <c r="AI5125" s="394" t="n"/>
      <c r="AM5125" s="48" t="n"/>
      <c r="AN5125" s="48" t="n"/>
      <c r="AO5125" s="48" t="n"/>
    </row>
    <row r="5126">
      <c r="M5126" s="25" t="n"/>
      <c r="Q5126" s="25" t="n"/>
      <c r="U5126" s="194" t="n"/>
      <c r="AA5126" s="25" t="n"/>
      <c r="AB5126" s="25" t="n"/>
      <c r="AC5126" s="195" t="n"/>
      <c r="AD5126" s="25" t="n"/>
      <c r="AE5126" s="25" t="n"/>
      <c r="AG5126" s="25" t="n"/>
      <c r="AH5126" s="25" t="n"/>
      <c r="AI5126" s="394" t="n"/>
      <c r="AM5126" s="48" t="n"/>
      <c r="AN5126" s="48" t="n"/>
      <c r="AO5126" s="48" t="n"/>
    </row>
    <row r="5127">
      <c r="M5127" s="25" t="n"/>
      <c r="Q5127" s="25" t="n"/>
      <c r="U5127" s="194" t="n"/>
      <c r="AA5127" s="25" t="n"/>
      <c r="AB5127" s="25" t="n"/>
      <c r="AC5127" s="195" t="n"/>
      <c r="AD5127" s="25" t="n"/>
      <c r="AE5127" s="25" t="n"/>
      <c r="AG5127" s="25" t="n"/>
      <c r="AH5127" s="25" t="n"/>
      <c r="AI5127" s="394" t="n"/>
      <c r="AM5127" s="48" t="n"/>
      <c r="AN5127" s="48" t="n"/>
      <c r="AO5127" s="48" t="n"/>
    </row>
    <row r="5128">
      <c r="M5128" s="25" t="n"/>
      <c r="Q5128" s="25" t="n"/>
      <c r="U5128" s="194" t="n"/>
      <c r="AA5128" s="25" t="n"/>
      <c r="AB5128" s="25" t="n"/>
      <c r="AC5128" s="195" t="n"/>
      <c r="AD5128" s="25" t="n"/>
      <c r="AE5128" s="25" t="n"/>
      <c r="AG5128" s="25" t="n"/>
      <c r="AH5128" s="25" t="n"/>
      <c r="AI5128" s="394" t="n"/>
      <c r="AM5128" s="48" t="n"/>
      <c r="AN5128" s="48" t="n"/>
      <c r="AO5128" s="48" t="n"/>
    </row>
    <row r="5129">
      <c r="M5129" s="25" t="n"/>
      <c r="Q5129" s="25" t="n"/>
      <c r="U5129" s="194" t="n"/>
      <c r="AA5129" s="25" t="n"/>
      <c r="AB5129" s="25" t="n"/>
      <c r="AC5129" s="195" t="n"/>
      <c r="AD5129" s="25" t="n"/>
      <c r="AE5129" s="25" t="n"/>
      <c r="AG5129" s="25" t="n"/>
      <c r="AH5129" s="25" t="n"/>
      <c r="AI5129" s="394" t="n"/>
      <c r="AM5129" s="48" t="n"/>
      <c r="AN5129" s="48" t="n"/>
      <c r="AO5129" s="48" t="n"/>
    </row>
    <row r="5130">
      <c r="M5130" s="25" t="n"/>
      <c r="Q5130" s="25" t="n"/>
      <c r="U5130" s="194" t="n"/>
      <c r="AA5130" s="25" t="n"/>
      <c r="AB5130" s="25" t="n"/>
      <c r="AC5130" s="195" t="n"/>
      <c r="AD5130" s="25" t="n"/>
      <c r="AE5130" s="25" t="n"/>
      <c r="AG5130" s="25" t="n"/>
      <c r="AH5130" s="25" t="n"/>
      <c r="AI5130" s="394" t="n"/>
      <c r="AM5130" s="48" t="n"/>
      <c r="AN5130" s="48" t="n"/>
      <c r="AO5130" s="48" t="n"/>
    </row>
    <row r="5131">
      <c r="M5131" s="25" t="n"/>
      <c r="Q5131" s="25" t="n"/>
      <c r="U5131" s="194" t="n"/>
      <c r="AA5131" s="25" t="n"/>
      <c r="AB5131" s="25" t="n"/>
      <c r="AC5131" s="195" t="n"/>
      <c r="AD5131" s="25" t="n"/>
      <c r="AE5131" s="25" t="n"/>
      <c r="AG5131" s="25" t="n"/>
      <c r="AH5131" s="25" t="n"/>
      <c r="AI5131" s="394" t="n"/>
      <c r="AM5131" s="48" t="n"/>
      <c r="AN5131" s="48" t="n"/>
      <c r="AO5131" s="48" t="n"/>
    </row>
    <row r="5132">
      <c r="M5132" s="25" t="n"/>
      <c r="Q5132" s="25" t="n"/>
      <c r="U5132" s="194" t="n"/>
      <c r="AA5132" s="25" t="n"/>
      <c r="AB5132" s="25" t="n"/>
      <c r="AC5132" s="195" t="n"/>
      <c r="AD5132" s="25" t="n"/>
      <c r="AE5132" s="25" t="n"/>
      <c r="AG5132" s="25" t="n"/>
      <c r="AH5132" s="25" t="n"/>
      <c r="AI5132" s="394" t="n"/>
      <c r="AM5132" s="48" t="n"/>
      <c r="AN5132" s="48" t="n"/>
      <c r="AO5132" s="48" t="n"/>
    </row>
    <row r="5133">
      <c r="M5133" s="25" t="n"/>
      <c r="Q5133" s="25" t="n"/>
      <c r="U5133" s="194" t="n"/>
      <c r="AA5133" s="25" t="n"/>
      <c r="AB5133" s="25" t="n"/>
      <c r="AC5133" s="195" t="n"/>
      <c r="AD5133" s="25" t="n"/>
      <c r="AE5133" s="25" t="n"/>
      <c r="AG5133" s="25" t="n"/>
      <c r="AH5133" s="25" t="n"/>
      <c r="AI5133" s="394" t="n"/>
      <c r="AM5133" s="48" t="n"/>
      <c r="AN5133" s="48" t="n"/>
      <c r="AO5133" s="48" t="n"/>
    </row>
    <row r="5134">
      <c r="M5134" s="25" t="n"/>
      <c r="Q5134" s="25" t="n"/>
      <c r="U5134" s="194" t="n"/>
      <c r="AA5134" s="25" t="n"/>
      <c r="AB5134" s="25" t="n"/>
      <c r="AC5134" s="195" t="n"/>
      <c r="AD5134" s="25" t="n"/>
      <c r="AE5134" s="25" t="n"/>
      <c r="AG5134" s="25" t="n"/>
      <c r="AH5134" s="25" t="n"/>
      <c r="AI5134" s="394" t="n"/>
      <c r="AM5134" s="48" t="n"/>
      <c r="AN5134" s="48" t="n"/>
      <c r="AO5134" s="48" t="n"/>
    </row>
    <row r="5135">
      <c r="M5135" s="25" t="n"/>
      <c r="Q5135" s="25" t="n"/>
      <c r="U5135" s="194" t="n"/>
      <c r="AA5135" s="25" t="n"/>
      <c r="AB5135" s="25" t="n"/>
      <c r="AC5135" s="195" t="n"/>
      <c r="AD5135" s="25" t="n"/>
      <c r="AE5135" s="25" t="n"/>
      <c r="AG5135" s="25" t="n"/>
      <c r="AH5135" s="25" t="n"/>
      <c r="AI5135" s="394" t="n"/>
      <c r="AM5135" s="48" t="n"/>
      <c r="AN5135" s="48" t="n"/>
      <c r="AO5135" s="48" t="n"/>
    </row>
    <row r="5136">
      <c r="M5136" s="25" t="n"/>
      <c r="Q5136" s="25" t="n"/>
      <c r="U5136" s="194" t="n"/>
      <c r="AA5136" s="25" t="n"/>
      <c r="AB5136" s="25" t="n"/>
      <c r="AC5136" s="195" t="n"/>
      <c r="AD5136" s="25" t="n"/>
      <c r="AE5136" s="25" t="n"/>
      <c r="AG5136" s="25" t="n"/>
      <c r="AH5136" s="25" t="n"/>
      <c r="AI5136" s="394" t="n"/>
      <c r="AM5136" s="48" t="n"/>
      <c r="AN5136" s="48" t="n"/>
      <c r="AO5136" s="48" t="n"/>
    </row>
    <row r="5137">
      <c r="M5137" s="25" t="n"/>
      <c r="Q5137" s="25" t="n"/>
      <c r="U5137" s="194" t="n"/>
      <c r="AA5137" s="25" t="n"/>
      <c r="AB5137" s="25" t="n"/>
      <c r="AC5137" s="195" t="n"/>
      <c r="AD5137" s="25" t="n"/>
      <c r="AE5137" s="25" t="n"/>
      <c r="AG5137" s="25" t="n"/>
      <c r="AH5137" s="25" t="n"/>
      <c r="AI5137" s="394" t="n"/>
      <c r="AM5137" s="48" t="n"/>
      <c r="AN5137" s="48" t="n"/>
      <c r="AO5137" s="48" t="n"/>
    </row>
    <row r="5138">
      <c r="M5138" s="25" t="n"/>
      <c r="Q5138" s="25" t="n"/>
      <c r="U5138" s="194" t="n"/>
      <c r="AA5138" s="25" t="n"/>
      <c r="AB5138" s="25" t="n"/>
      <c r="AC5138" s="195" t="n"/>
      <c r="AD5138" s="25" t="n"/>
      <c r="AE5138" s="25" t="n"/>
      <c r="AG5138" s="25" t="n"/>
      <c r="AH5138" s="25" t="n"/>
      <c r="AI5138" s="394" t="n"/>
      <c r="AM5138" s="48" t="n"/>
      <c r="AN5138" s="48" t="n"/>
      <c r="AO5138" s="48" t="n"/>
    </row>
    <row r="5139">
      <c r="M5139" s="25" t="n"/>
      <c r="Q5139" s="25" t="n"/>
      <c r="U5139" s="194" t="n"/>
      <c r="AA5139" s="25" t="n"/>
      <c r="AB5139" s="25" t="n"/>
      <c r="AC5139" s="195" t="n"/>
      <c r="AD5139" s="25" t="n"/>
      <c r="AE5139" s="25" t="n"/>
      <c r="AG5139" s="25" t="n"/>
      <c r="AH5139" s="25" t="n"/>
      <c r="AI5139" s="394" t="n"/>
      <c r="AM5139" s="48" t="n"/>
      <c r="AN5139" s="48" t="n"/>
      <c r="AO5139" s="48" t="n"/>
    </row>
    <row r="5140">
      <c r="M5140" s="25" t="n"/>
      <c r="Q5140" s="25" t="n"/>
      <c r="U5140" s="194" t="n"/>
      <c r="AA5140" s="25" t="n"/>
      <c r="AB5140" s="25" t="n"/>
      <c r="AC5140" s="195" t="n"/>
      <c r="AD5140" s="25" t="n"/>
      <c r="AE5140" s="25" t="n"/>
      <c r="AG5140" s="25" t="n"/>
      <c r="AH5140" s="25" t="n"/>
      <c r="AI5140" s="394" t="n"/>
      <c r="AM5140" s="48" t="n"/>
      <c r="AN5140" s="48" t="n"/>
      <c r="AO5140" s="48" t="n"/>
    </row>
    <row r="5141">
      <c r="M5141" s="25" t="n"/>
      <c r="Q5141" s="25" t="n"/>
      <c r="U5141" s="194" t="n"/>
      <c r="AA5141" s="25" t="n"/>
      <c r="AB5141" s="25" t="n"/>
      <c r="AC5141" s="195" t="n"/>
      <c r="AD5141" s="25" t="n"/>
      <c r="AE5141" s="25" t="n"/>
      <c r="AG5141" s="25" t="n"/>
      <c r="AH5141" s="25" t="n"/>
      <c r="AI5141" s="394" t="n"/>
      <c r="AM5141" s="48" t="n"/>
      <c r="AN5141" s="48" t="n"/>
      <c r="AO5141" s="48" t="n"/>
    </row>
    <row r="5142">
      <c r="M5142" s="25" t="n"/>
      <c r="Q5142" s="25" t="n"/>
      <c r="U5142" s="194" t="n"/>
      <c r="AA5142" s="25" t="n"/>
      <c r="AB5142" s="25" t="n"/>
      <c r="AC5142" s="195" t="n"/>
      <c r="AD5142" s="25" t="n"/>
      <c r="AE5142" s="25" t="n"/>
      <c r="AG5142" s="25" t="n"/>
      <c r="AH5142" s="25" t="n"/>
      <c r="AI5142" s="394" t="n"/>
      <c r="AM5142" s="48" t="n"/>
      <c r="AN5142" s="48" t="n"/>
      <c r="AO5142" s="48" t="n"/>
    </row>
    <row r="5143">
      <c r="M5143" s="25" t="n"/>
      <c r="Q5143" s="25" t="n"/>
      <c r="U5143" s="194" t="n"/>
      <c r="AA5143" s="25" t="n"/>
      <c r="AB5143" s="25" t="n"/>
      <c r="AC5143" s="195" t="n"/>
      <c r="AD5143" s="25" t="n"/>
      <c r="AE5143" s="25" t="n"/>
      <c r="AG5143" s="25" t="n"/>
      <c r="AH5143" s="25" t="n"/>
      <c r="AI5143" s="394" t="n"/>
      <c r="AM5143" s="48" t="n"/>
      <c r="AN5143" s="48" t="n"/>
      <c r="AO5143" s="48" t="n"/>
    </row>
    <row r="5144">
      <c r="M5144" s="25" t="n"/>
      <c r="Q5144" s="25" t="n"/>
      <c r="U5144" s="194" t="n"/>
      <c r="AA5144" s="25" t="n"/>
      <c r="AB5144" s="25" t="n"/>
      <c r="AC5144" s="195" t="n"/>
      <c r="AD5144" s="25" t="n"/>
      <c r="AE5144" s="25" t="n"/>
      <c r="AG5144" s="25" t="n"/>
      <c r="AH5144" s="25" t="n"/>
      <c r="AI5144" s="394" t="n"/>
      <c r="AM5144" s="48" t="n"/>
      <c r="AN5144" s="48" t="n"/>
      <c r="AO5144" s="48" t="n"/>
    </row>
    <row r="5145">
      <c r="M5145" s="25" t="n"/>
      <c r="Q5145" s="25" t="n"/>
      <c r="U5145" s="194" t="n"/>
      <c r="AA5145" s="25" t="n"/>
      <c r="AB5145" s="25" t="n"/>
      <c r="AC5145" s="195" t="n"/>
      <c r="AD5145" s="25" t="n"/>
      <c r="AE5145" s="25" t="n"/>
      <c r="AG5145" s="25" t="n"/>
      <c r="AH5145" s="25" t="n"/>
      <c r="AI5145" s="394" t="n"/>
      <c r="AM5145" s="48" t="n"/>
      <c r="AN5145" s="48" t="n"/>
      <c r="AO5145" s="48" t="n"/>
    </row>
    <row r="5146">
      <c r="M5146" s="25" t="n"/>
      <c r="Q5146" s="25" t="n"/>
      <c r="U5146" s="194" t="n"/>
      <c r="AA5146" s="25" t="n"/>
      <c r="AB5146" s="25" t="n"/>
      <c r="AC5146" s="195" t="n"/>
      <c r="AD5146" s="25" t="n"/>
      <c r="AE5146" s="25" t="n"/>
      <c r="AG5146" s="25" t="n"/>
      <c r="AH5146" s="25" t="n"/>
      <c r="AI5146" s="394" t="n"/>
      <c r="AM5146" s="48" t="n"/>
      <c r="AN5146" s="48" t="n"/>
      <c r="AO5146" s="48" t="n"/>
    </row>
    <row r="5147">
      <c r="M5147" s="25" t="n"/>
      <c r="Q5147" s="25" t="n"/>
      <c r="U5147" s="194" t="n"/>
      <c r="AA5147" s="25" t="n"/>
      <c r="AB5147" s="25" t="n"/>
      <c r="AC5147" s="195" t="n"/>
      <c r="AD5147" s="25" t="n"/>
      <c r="AE5147" s="25" t="n"/>
      <c r="AG5147" s="25" t="n"/>
      <c r="AH5147" s="25" t="n"/>
      <c r="AI5147" s="394" t="n"/>
      <c r="AM5147" s="48" t="n"/>
      <c r="AN5147" s="48" t="n"/>
      <c r="AO5147" s="48" t="n"/>
    </row>
    <row r="5148">
      <c r="M5148" s="25" t="n"/>
      <c r="Q5148" s="25" t="n"/>
      <c r="U5148" s="194" t="n"/>
      <c r="AA5148" s="25" t="n"/>
      <c r="AB5148" s="25" t="n"/>
      <c r="AC5148" s="195" t="n"/>
      <c r="AD5148" s="25" t="n"/>
      <c r="AE5148" s="25" t="n"/>
      <c r="AG5148" s="25" t="n"/>
      <c r="AH5148" s="25" t="n"/>
      <c r="AI5148" s="394" t="n"/>
      <c r="AM5148" s="48" t="n"/>
      <c r="AN5148" s="48" t="n"/>
      <c r="AO5148" s="48" t="n"/>
    </row>
    <row r="5149">
      <c r="M5149" s="25" t="n"/>
      <c r="Q5149" s="25" t="n"/>
      <c r="U5149" s="194" t="n"/>
      <c r="AA5149" s="25" t="n"/>
      <c r="AB5149" s="25" t="n"/>
      <c r="AC5149" s="195" t="n"/>
      <c r="AD5149" s="25" t="n"/>
      <c r="AE5149" s="25" t="n"/>
      <c r="AG5149" s="25" t="n"/>
      <c r="AH5149" s="25" t="n"/>
      <c r="AI5149" s="394" t="n"/>
      <c r="AM5149" s="48" t="n"/>
      <c r="AN5149" s="48" t="n"/>
      <c r="AO5149" s="48" t="n"/>
    </row>
    <row r="5150">
      <c r="M5150" s="25" t="n"/>
      <c r="Q5150" s="25" t="n"/>
      <c r="U5150" s="194" t="n"/>
      <c r="AA5150" s="25" t="n"/>
      <c r="AB5150" s="25" t="n"/>
      <c r="AC5150" s="195" t="n"/>
      <c r="AD5150" s="25" t="n"/>
      <c r="AE5150" s="25" t="n"/>
      <c r="AG5150" s="25" t="n"/>
      <c r="AH5150" s="25" t="n"/>
      <c r="AI5150" s="394" t="n"/>
      <c r="AM5150" s="48" t="n"/>
      <c r="AN5150" s="48" t="n"/>
      <c r="AO5150" s="48" t="n"/>
    </row>
    <row r="5151">
      <c r="M5151" s="25" t="n"/>
      <c r="Q5151" s="25" t="n"/>
      <c r="U5151" s="194" t="n"/>
      <c r="AA5151" s="25" t="n"/>
      <c r="AB5151" s="25" t="n"/>
      <c r="AC5151" s="195" t="n"/>
      <c r="AD5151" s="25" t="n"/>
      <c r="AE5151" s="25" t="n"/>
      <c r="AG5151" s="25" t="n"/>
      <c r="AH5151" s="25" t="n"/>
      <c r="AI5151" s="394" t="n"/>
      <c r="AM5151" s="48" t="n"/>
      <c r="AN5151" s="48" t="n"/>
      <c r="AO5151" s="48" t="n"/>
    </row>
    <row r="5152">
      <c r="M5152" s="25" t="n"/>
      <c r="Q5152" s="25" t="n"/>
      <c r="U5152" s="194" t="n"/>
      <c r="AA5152" s="25" t="n"/>
      <c r="AB5152" s="25" t="n"/>
      <c r="AC5152" s="195" t="n"/>
      <c r="AD5152" s="25" t="n"/>
      <c r="AE5152" s="25" t="n"/>
      <c r="AG5152" s="25" t="n"/>
      <c r="AH5152" s="25" t="n"/>
      <c r="AI5152" s="394" t="n"/>
      <c r="AM5152" s="48" t="n"/>
      <c r="AN5152" s="48" t="n"/>
      <c r="AO5152" s="48" t="n"/>
    </row>
    <row r="5153">
      <c r="M5153" s="25" t="n"/>
      <c r="Q5153" s="25" t="n"/>
      <c r="U5153" s="194" t="n"/>
      <c r="AA5153" s="25" t="n"/>
      <c r="AB5153" s="25" t="n"/>
      <c r="AC5153" s="195" t="n"/>
      <c r="AD5153" s="25" t="n"/>
      <c r="AE5153" s="25" t="n"/>
      <c r="AG5153" s="25" t="n"/>
      <c r="AH5153" s="25" t="n"/>
      <c r="AI5153" s="394" t="n"/>
      <c r="AM5153" s="48" t="n"/>
      <c r="AN5153" s="48" t="n"/>
      <c r="AO5153" s="48" t="n"/>
    </row>
    <row r="5154">
      <c r="M5154" s="25" t="n"/>
      <c r="Q5154" s="25" t="n"/>
      <c r="U5154" s="194" t="n"/>
      <c r="AA5154" s="25" t="n"/>
      <c r="AB5154" s="25" t="n"/>
      <c r="AC5154" s="195" t="n"/>
      <c r="AD5154" s="25" t="n"/>
      <c r="AE5154" s="25" t="n"/>
      <c r="AG5154" s="25" t="n"/>
      <c r="AH5154" s="25" t="n"/>
      <c r="AI5154" s="394" t="n"/>
      <c r="AM5154" s="48" t="n"/>
      <c r="AN5154" s="48" t="n"/>
      <c r="AO5154" s="48" t="n"/>
    </row>
    <row r="5155">
      <c r="M5155" s="25" t="n"/>
      <c r="Q5155" s="25" t="n"/>
      <c r="U5155" s="194" t="n"/>
      <c r="AA5155" s="25" t="n"/>
      <c r="AB5155" s="25" t="n"/>
      <c r="AC5155" s="195" t="n"/>
      <c r="AD5155" s="25" t="n"/>
      <c r="AE5155" s="25" t="n"/>
      <c r="AG5155" s="25" t="n"/>
      <c r="AH5155" s="25" t="n"/>
      <c r="AI5155" s="394" t="n"/>
      <c r="AM5155" s="48" t="n"/>
      <c r="AN5155" s="48" t="n"/>
      <c r="AO5155" s="48" t="n"/>
    </row>
    <row r="5156">
      <c r="M5156" s="25" t="n"/>
      <c r="Q5156" s="25" t="n"/>
      <c r="U5156" s="194" t="n"/>
      <c r="AA5156" s="25" t="n"/>
      <c r="AB5156" s="25" t="n"/>
      <c r="AC5156" s="195" t="n"/>
      <c r="AD5156" s="25" t="n"/>
      <c r="AE5156" s="25" t="n"/>
      <c r="AG5156" s="25" t="n"/>
      <c r="AH5156" s="25" t="n"/>
      <c r="AI5156" s="394" t="n"/>
      <c r="AM5156" s="48" t="n"/>
      <c r="AN5156" s="48" t="n"/>
      <c r="AO5156" s="48" t="n"/>
    </row>
    <row r="5157">
      <c r="M5157" s="25" t="n"/>
      <c r="Q5157" s="25" t="n"/>
      <c r="U5157" s="194" t="n"/>
      <c r="AA5157" s="25" t="n"/>
      <c r="AB5157" s="25" t="n"/>
      <c r="AC5157" s="195" t="n"/>
      <c r="AD5157" s="25" t="n"/>
      <c r="AE5157" s="25" t="n"/>
      <c r="AG5157" s="25" t="n"/>
      <c r="AH5157" s="25" t="n"/>
      <c r="AI5157" s="394" t="n"/>
      <c r="AM5157" s="48" t="n"/>
      <c r="AN5157" s="48" t="n"/>
      <c r="AO5157" s="48" t="n"/>
    </row>
    <row r="5158">
      <c r="M5158" s="25" t="n"/>
      <c r="Q5158" s="25" t="n"/>
      <c r="U5158" s="194" t="n"/>
      <c r="AA5158" s="25" t="n"/>
      <c r="AB5158" s="25" t="n"/>
      <c r="AC5158" s="195" t="n"/>
      <c r="AD5158" s="25" t="n"/>
      <c r="AE5158" s="25" t="n"/>
      <c r="AG5158" s="25" t="n"/>
      <c r="AH5158" s="25" t="n"/>
      <c r="AI5158" s="394" t="n"/>
      <c r="AM5158" s="48" t="n"/>
      <c r="AN5158" s="48" t="n"/>
      <c r="AO5158" s="48" t="n"/>
    </row>
    <row r="5159">
      <c r="M5159" s="25" t="n"/>
      <c r="Q5159" s="25" t="n"/>
      <c r="U5159" s="194" t="n"/>
      <c r="AA5159" s="25" t="n"/>
      <c r="AB5159" s="25" t="n"/>
      <c r="AC5159" s="195" t="n"/>
      <c r="AD5159" s="25" t="n"/>
      <c r="AE5159" s="25" t="n"/>
      <c r="AG5159" s="25" t="n"/>
      <c r="AH5159" s="25" t="n"/>
      <c r="AI5159" s="394" t="n"/>
      <c r="AM5159" s="48" t="n"/>
      <c r="AN5159" s="48" t="n"/>
      <c r="AO5159" s="48" t="n"/>
    </row>
    <row r="5160">
      <c r="M5160" s="25" t="n"/>
      <c r="Q5160" s="25" t="n"/>
      <c r="U5160" s="194" t="n"/>
      <c r="AA5160" s="25" t="n"/>
      <c r="AB5160" s="25" t="n"/>
      <c r="AC5160" s="195" t="n"/>
      <c r="AD5160" s="25" t="n"/>
      <c r="AE5160" s="25" t="n"/>
      <c r="AG5160" s="25" t="n"/>
      <c r="AH5160" s="25" t="n"/>
      <c r="AI5160" s="394" t="n"/>
      <c r="AM5160" s="48" t="n"/>
      <c r="AN5160" s="48" t="n"/>
      <c r="AO5160" s="48" t="n"/>
    </row>
    <row r="5161">
      <c r="M5161" s="25" t="n"/>
      <c r="Q5161" s="25" t="n"/>
      <c r="U5161" s="194" t="n"/>
      <c r="AA5161" s="25" t="n"/>
      <c r="AB5161" s="25" t="n"/>
      <c r="AC5161" s="195" t="n"/>
      <c r="AD5161" s="25" t="n"/>
      <c r="AE5161" s="25" t="n"/>
      <c r="AG5161" s="25" t="n"/>
      <c r="AH5161" s="25" t="n"/>
      <c r="AI5161" s="394" t="n"/>
      <c r="AM5161" s="48" t="n"/>
      <c r="AN5161" s="48" t="n"/>
      <c r="AO5161" s="48" t="n"/>
    </row>
    <row r="5162">
      <c r="M5162" s="25" t="n"/>
      <c r="Q5162" s="25" t="n"/>
      <c r="U5162" s="194" t="n"/>
      <c r="AA5162" s="25" t="n"/>
      <c r="AB5162" s="25" t="n"/>
      <c r="AC5162" s="195" t="n"/>
      <c r="AD5162" s="25" t="n"/>
      <c r="AE5162" s="25" t="n"/>
      <c r="AG5162" s="25" t="n"/>
      <c r="AH5162" s="25" t="n"/>
      <c r="AI5162" s="394" t="n"/>
      <c r="AM5162" s="48" t="n"/>
      <c r="AN5162" s="48" t="n"/>
      <c r="AO5162" s="48" t="n"/>
    </row>
    <row r="5163">
      <c r="M5163" s="25" t="n"/>
      <c r="Q5163" s="25" t="n"/>
      <c r="U5163" s="194" t="n"/>
      <c r="AA5163" s="25" t="n"/>
      <c r="AB5163" s="25" t="n"/>
      <c r="AC5163" s="195" t="n"/>
      <c r="AD5163" s="25" t="n"/>
      <c r="AE5163" s="25" t="n"/>
      <c r="AG5163" s="25" t="n"/>
      <c r="AH5163" s="25" t="n"/>
      <c r="AI5163" s="394" t="n"/>
      <c r="AM5163" s="48" t="n"/>
      <c r="AN5163" s="48" t="n"/>
      <c r="AO5163" s="48" t="n"/>
    </row>
    <row r="5164">
      <c r="M5164" s="25" t="n"/>
      <c r="Q5164" s="25" t="n"/>
      <c r="U5164" s="194" t="n"/>
      <c r="AA5164" s="25" t="n"/>
      <c r="AB5164" s="25" t="n"/>
      <c r="AC5164" s="195" t="n"/>
      <c r="AD5164" s="25" t="n"/>
      <c r="AE5164" s="25" t="n"/>
      <c r="AG5164" s="25" t="n"/>
      <c r="AH5164" s="25" t="n"/>
      <c r="AI5164" s="394" t="n"/>
      <c r="AM5164" s="48" t="n"/>
      <c r="AN5164" s="48" t="n"/>
      <c r="AO5164" s="48" t="n"/>
    </row>
    <row r="5165">
      <c r="M5165" s="25" t="n"/>
      <c r="Q5165" s="25" t="n"/>
      <c r="U5165" s="194" t="n"/>
      <c r="AA5165" s="25" t="n"/>
      <c r="AB5165" s="25" t="n"/>
      <c r="AC5165" s="195" t="n"/>
      <c r="AD5165" s="25" t="n"/>
      <c r="AE5165" s="25" t="n"/>
      <c r="AG5165" s="25" t="n"/>
      <c r="AH5165" s="25" t="n"/>
      <c r="AI5165" s="394" t="n"/>
      <c r="AM5165" s="48" t="n"/>
      <c r="AN5165" s="48" t="n"/>
      <c r="AO5165" s="48" t="n"/>
    </row>
    <row r="5166">
      <c r="M5166" s="25" t="n"/>
      <c r="Q5166" s="25" t="n"/>
      <c r="U5166" s="194" t="n"/>
      <c r="AA5166" s="25" t="n"/>
      <c r="AB5166" s="25" t="n"/>
      <c r="AC5166" s="195" t="n"/>
      <c r="AD5166" s="25" t="n"/>
      <c r="AE5166" s="25" t="n"/>
      <c r="AG5166" s="25" t="n"/>
      <c r="AH5166" s="25" t="n"/>
      <c r="AI5166" s="394" t="n"/>
      <c r="AM5166" s="48" t="n"/>
      <c r="AN5166" s="48" t="n"/>
      <c r="AO5166" s="48" t="n"/>
    </row>
    <row r="5167">
      <c r="M5167" s="25" t="n"/>
      <c r="Q5167" s="25" t="n"/>
      <c r="U5167" s="194" t="n"/>
      <c r="AA5167" s="25" t="n"/>
      <c r="AB5167" s="25" t="n"/>
      <c r="AC5167" s="195" t="n"/>
      <c r="AD5167" s="25" t="n"/>
      <c r="AE5167" s="25" t="n"/>
      <c r="AG5167" s="25" t="n"/>
      <c r="AH5167" s="25" t="n"/>
      <c r="AI5167" s="394" t="n"/>
      <c r="AM5167" s="48" t="n"/>
      <c r="AN5167" s="48" t="n"/>
      <c r="AO5167" s="48" t="n"/>
    </row>
    <row r="5168">
      <c r="M5168" s="25" t="n"/>
      <c r="Q5168" s="25" t="n"/>
      <c r="U5168" s="194" t="n"/>
      <c r="AA5168" s="25" t="n"/>
      <c r="AB5168" s="25" t="n"/>
      <c r="AC5168" s="195" t="n"/>
      <c r="AD5168" s="25" t="n"/>
      <c r="AE5168" s="25" t="n"/>
      <c r="AG5168" s="25" t="n"/>
      <c r="AH5168" s="25" t="n"/>
      <c r="AI5168" s="394" t="n"/>
      <c r="AM5168" s="48" t="n"/>
      <c r="AN5168" s="48" t="n"/>
      <c r="AO5168" s="48" t="n"/>
    </row>
    <row r="5169">
      <c r="M5169" s="25" t="n"/>
      <c r="Q5169" s="25" t="n"/>
      <c r="U5169" s="194" t="n"/>
      <c r="AA5169" s="25" t="n"/>
      <c r="AB5169" s="25" t="n"/>
      <c r="AC5169" s="195" t="n"/>
      <c r="AD5169" s="25" t="n"/>
      <c r="AE5169" s="25" t="n"/>
      <c r="AG5169" s="25" t="n"/>
      <c r="AH5169" s="25" t="n"/>
      <c r="AI5169" s="394" t="n"/>
      <c r="AM5169" s="48" t="n"/>
      <c r="AN5169" s="48" t="n"/>
      <c r="AO5169" s="48" t="n"/>
    </row>
    <row r="5170">
      <c r="M5170" s="25" t="n"/>
      <c r="Q5170" s="25" t="n"/>
      <c r="U5170" s="194" t="n"/>
      <c r="AA5170" s="25" t="n"/>
      <c r="AB5170" s="25" t="n"/>
      <c r="AC5170" s="195" t="n"/>
      <c r="AD5170" s="25" t="n"/>
      <c r="AE5170" s="25" t="n"/>
      <c r="AG5170" s="25" t="n"/>
      <c r="AH5170" s="25" t="n"/>
      <c r="AI5170" s="394" t="n"/>
      <c r="AM5170" s="48" t="n"/>
      <c r="AN5170" s="48" t="n"/>
      <c r="AO5170" s="48" t="n"/>
    </row>
    <row r="5171">
      <c r="M5171" s="25" t="n"/>
      <c r="Q5171" s="25" t="n"/>
      <c r="U5171" s="194" t="n"/>
      <c r="AA5171" s="25" t="n"/>
      <c r="AB5171" s="25" t="n"/>
      <c r="AC5171" s="195" t="n"/>
      <c r="AD5171" s="25" t="n"/>
      <c r="AE5171" s="25" t="n"/>
      <c r="AG5171" s="25" t="n"/>
      <c r="AH5171" s="25" t="n"/>
      <c r="AI5171" s="394" t="n"/>
      <c r="AM5171" s="48" t="n"/>
      <c r="AN5171" s="48" t="n"/>
      <c r="AO5171" s="48" t="n"/>
    </row>
    <row r="5172">
      <c r="M5172" s="25" t="n"/>
      <c r="Q5172" s="25" t="n"/>
      <c r="U5172" s="194" t="n"/>
      <c r="AA5172" s="25" t="n"/>
      <c r="AB5172" s="25" t="n"/>
      <c r="AC5172" s="195" t="n"/>
      <c r="AD5172" s="25" t="n"/>
      <c r="AE5172" s="25" t="n"/>
      <c r="AG5172" s="25" t="n"/>
      <c r="AH5172" s="25" t="n"/>
      <c r="AI5172" s="394" t="n"/>
      <c r="AM5172" s="48" t="n"/>
      <c r="AN5172" s="48" t="n"/>
      <c r="AO5172" s="48" t="n"/>
    </row>
    <row r="5173">
      <c r="M5173" s="25" t="n"/>
      <c r="Q5173" s="25" t="n"/>
      <c r="U5173" s="194" t="n"/>
      <c r="AA5173" s="25" t="n"/>
      <c r="AB5173" s="25" t="n"/>
      <c r="AC5173" s="195" t="n"/>
      <c r="AD5173" s="25" t="n"/>
      <c r="AE5173" s="25" t="n"/>
      <c r="AG5173" s="25" t="n"/>
      <c r="AH5173" s="25" t="n"/>
      <c r="AI5173" s="394" t="n"/>
      <c r="AM5173" s="48" t="n"/>
      <c r="AN5173" s="48" t="n"/>
      <c r="AO5173" s="48" t="n"/>
    </row>
    <row r="5174">
      <c r="M5174" s="25" t="n"/>
      <c r="Q5174" s="25" t="n"/>
      <c r="U5174" s="194" t="n"/>
      <c r="AA5174" s="25" t="n"/>
      <c r="AB5174" s="25" t="n"/>
      <c r="AC5174" s="195" t="n"/>
      <c r="AD5174" s="25" t="n"/>
      <c r="AE5174" s="25" t="n"/>
      <c r="AG5174" s="25" t="n"/>
      <c r="AH5174" s="25" t="n"/>
      <c r="AI5174" s="394" t="n"/>
      <c r="AM5174" s="48" t="n"/>
      <c r="AN5174" s="48" t="n"/>
      <c r="AO5174" s="48" t="n"/>
    </row>
    <row r="5175">
      <c r="M5175" s="25" t="n"/>
      <c r="Q5175" s="25" t="n"/>
      <c r="U5175" s="194" t="n"/>
      <c r="AA5175" s="25" t="n"/>
      <c r="AB5175" s="25" t="n"/>
      <c r="AC5175" s="195" t="n"/>
      <c r="AD5175" s="25" t="n"/>
      <c r="AE5175" s="25" t="n"/>
      <c r="AG5175" s="25" t="n"/>
      <c r="AH5175" s="25" t="n"/>
      <c r="AI5175" s="394" t="n"/>
      <c r="AM5175" s="48" t="n"/>
      <c r="AN5175" s="48" t="n"/>
      <c r="AO5175" s="48" t="n"/>
    </row>
    <row r="5176">
      <c r="M5176" s="25" t="n"/>
      <c r="Q5176" s="25" t="n"/>
      <c r="U5176" s="194" t="n"/>
      <c r="AA5176" s="25" t="n"/>
      <c r="AB5176" s="25" t="n"/>
      <c r="AC5176" s="195" t="n"/>
      <c r="AD5176" s="25" t="n"/>
      <c r="AE5176" s="25" t="n"/>
      <c r="AG5176" s="25" t="n"/>
      <c r="AH5176" s="25" t="n"/>
      <c r="AI5176" s="394" t="n"/>
      <c r="AM5176" s="48" t="n"/>
      <c r="AN5176" s="48" t="n"/>
      <c r="AO5176" s="48" t="n"/>
    </row>
    <row r="5177">
      <c r="M5177" s="25" t="n"/>
      <c r="Q5177" s="25" t="n"/>
      <c r="U5177" s="194" t="n"/>
      <c r="AA5177" s="25" t="n"/>
      <c r="AB5177" s="25" t="n"/>
      <c r="AC5177" s="195" t="n"/>
      <c r="AD5177" s="25" t="n"/>
      <c r="AE5177" s="25" t="n"/>
      <c r="AG5177" s="25" t="n"/>
      <c r="AH5177" s="25" t="n"/>
      <c r="AI5177" s="394" t="n"/>
      <c r="AM5177" s="48" t="n"/>
      <c r="AN5177" s="48" t="n"/>
      <c r="AO5177" s="48" t="n"/>
    </row>
    <row r="5178">
      <c r="M5178" s="25" t="n"/>
      <c r="Q5178" s="25" t="n"/>
      <c r="U5178" s="194" t="n"/>
      <c r="AA5178" s="25" t="n"/>
      <c r="AB5178" s="25" t="n"/>
      <c r="AC5178" s="195" t="n"/>
      <c r="AD5178" s="25" t="n"/>
      <c r="AE5178" s="25" t="n"/>
      <c r="AG5178" s="25" t="n"/>
      <c r="AH5178" s="25" t="n"/>
      <c r="AI5178" s="394" t="n"/>
      <c r="AM5178" s="48" t="n"/>
      <c r="AN5178" s="48" t="n"/>
      <c r="AO5178" s="48" t="n"/>
    </row>
    <row r="5179">
      <c r="M5179" s="25" t="n"/>
      <c r="Q5179" s="25" t="n"/>
      <c r="U5179" s="194" t="n"/>
      <c r="AA5179" s="25" t="n"/>
      <c r="AB5179" s="25" t="n"/>
      <c r="AC5179" s="195" t="n"/>
      <c r="AD5179" s="25" t="n"/>
      <c r="AE5179" s="25" t="n"/>
      <c r="AG5179" s="25" t="n"/>
      <c r="AH5179" s="25" t="n"/>
      <c r="AI5179" s="394" t="n"/>
      <c r="AM5179" s="48" t="n"/>
      <c r="AN5179" s="48" t="n"/>
      <c r="AO5179" s="48" t="n"/>
    </row>
    <row r="5180">
      <c r="M5180" s="25" t="n"/>
      <c r="Q5180" s="25" t="n"/>
      <c r="U5180" s="194" t="n"/>
      <c r="AA5180" s="25" t="n"/>
      <c r="AB5180" s="25" t="n"/>
      <c r="AC5180" s="195" t="n"/>
      <c r="AD5180" s="25" t="n"/>
      <c r="AE5180" s="25" t="n"/>
      <c r="AG5180" s="25" t="n"/>
      <c r="AH5180" s="25" t="n"/>
      <c r="AI5180" s="394" t="n"/>
      <c r="AM5180" s="48" t="n"/>
      <c r="AN5180" s="48" t="n"/>
      <c r="AO5180" s="48" t="n"/>
    </row>
    <row r="5181">
      <c r="M5181" s="25" t="n"/>
      <c r="Q5181" s="25" t="n"/>
      <c r="U5181" s="194" t="n"/>
      <c r="AA5181" s="25" t="n"/>
      <c r="AB5181" s="25" t="n"/>
      <c r="AC5181" s="195" t="n"/>
      <c r="AD5181" s="25" t="n"/>
      <c r="AE5181" s="25" t="n"/>
      <c r="AG5181" s="25" t="n"/>
      <c r="AH5181" s="25" t="n"/>
      <c r="AI5181" s="394" t="n"/>
      <c r="AM5181" s="48" t="n"/>
      <c r="AN5181" s="48" t="n"/>
      <c r="AO5181" s="48" t="n"/>
    </row>
    <row r="5182">
      <c r="M5182" s="25" t="n"/>
      <c r="Q5182" s="25" t="n"/>
      <c r="U5182" s="194" t="n"/>
      <c r="AA5182" s="25" t="n"/>
      <c r="AB5182" s="25" t="n"/>
      <c r="AC5182" s="195" t="n"/>
      <c r="AD5182" s="25" t="n"/>
      <c r="AE5182" s="25" t="n"/>
      <c r="AG5182" s="25" t="n"/>
      <c r="AH5182" s="25" t="n"/>
      <c r="AI5182" s="394" t="n"/>
      <c r="AM5182" s="48" t="n"/>
      <c r="AN5182" s="48" t="n"/>
      <c r="AO5182" s="48" t="n"/>
    </row>
    <row r="5183">
      <c r="M5183" s="25" t="n"/>
      <c r="Q5183" s="25" t="n"/>
      <c r="U5183" s="194" t="n"/>
      <c r="AA5183" s="25" t="n"/>
      <c r="AB5183" s="25" t="n"/>
      <c r="AC5183" s="195" t="n"/>
      <c r="AD5183" s="25" t="n"/>
      <c r="AE5183" s="25" t="n"/>
      <c r="AG5183" s="25" t="n"/>
      <c r="AH5183" s="25" t="n"/>
      <c r="AI5183" s="394" t="n"/>
      <c r="AM5183" s="48" t="n"/>
      <c r="AN5183" s="48" t="n"/>
      <c r="AO5183" s="48" t="n"/>
    </row>
    <row r="5184">
      <c r="M5184" s="25" t="n"/>
      <c r="Q5184" s="25" t="n"/>
      <c r="U5184" s="194" t="n"/>
      <c r="AA5184" s="25" t="n"/>
      <c r="AB5184" s="25" t="n"/>
      <c r="AC5184" s="195" t="n"/>
      <c r="AD5184" s="25" t="n"/>
      <c r="AE5184" s="25" t="n"/>
      <c r="AG5184" s="25" t="n"/>
      <c r="AH5184" s="25" t="n"/>
      <c r="AI5184" s="394" t="n"/>
      <c r="AM5184" s="48" t="n"/>
      <c r="AN5184" s="48" t="n"/>
      <c r="AO5184" s="48" t="n"/>
    </row>
    <row r="5185">
      <c r="M5185" s="25" t="n"/>
      <c r="Q5185" s="25" t="n"/>
      <c r="U5185" s="194" t="n"/>
      <c r="AA5185" s="25" t="n"/>
      <c r="AB5185" s="25" t="n"/>
      <c r="AC5185" s="195" t="n"/>
      <c r="AD5185" s="25" t="n"/>
      <c r="AE5185" s="25" t="n"/>
      <c r="AG5185" s="25" t="n"/>
      <c r="AH5185" s="25" t="n"/>
      <c r="AI5185" s="394" t="n"/>
      <c r="AM5185" s="48" t="n"/>
      <c r="AN5185" s="48" t="n"/>
      <c r="AO5185" s="48" t="n"/>
    </row>
    <row r="5186">
      <c r="M5186" s="25" t="n"/>
      <c r="Q5186" s="25" t="n"/>
      <c r="U5186" s="194" t="n"/>
      <c r="AA5186" s="25" t="n"/>
      <c r="AB5186" s="25" t="n"/>
      <c r="AC5186" s="195" t="n"/>
      <c r="AD5186" s="25" t="n"/>
      <c r="AE5186" s="25" t="n"/>
      <c r="AG5186" s="25" t="n"/>
      <c r="AH5186" s="25" t="n"/>
      <c r="AI5186" s="394" t="n"/>
      <c r="AM5186" s="48" t="n"/>
      <c r="AN5186" s="48" t="n"/>
      <c r="AO5186" s="48" t="n"/>
    </row>
    <row r="5187">
      <c r="M5187" s="25" t="n"/>
      <c r="Q5187" s="25" t="n"/>
      <c r="U5187" s="194" t="n"/>
      <c r="AA5187" s="25" t="n"/>
      <c r="AB5187" s="25" t="n"/>
      <c r="AC5187" s="195" t="n"/>
      <c r="AD5187" s="25" t="n"/>
      <c r="AE5187" s="25" t="n"/>
      <c r="AG5187" s="25" t="n"/>
      <c r="AH5187" s="25" t="n"/>
      <c r="AI5187" s="394" t="n"/>
      <c r="AM5187" s="48" t="n"/>
      <c r="AN5187" s="48" t="n"/>
      <c r="AO5187" s="48" t="n"/>
    </row>
    <row r="5188">
      <c r="M5188" s="25" t="n"/>
      <c r="Q5188" s="25" t="n"/>
      <c r="U5188" s="194" t="n"/>
      <c r="AA5188" s="25" t="n"/>
      <c r="AB5188" s="25" t="n"/>
      <c r="AC5188" s="195" t="n"/>
      <c r="AD5188" s="25" t="n"/>
      <c r="AE5188" s="25" t="n"/>
      <c r="AG5188" s="25" t="n"/>
      <c r="AH5188" s="25" t="n"/>
      <c r="AI5188" s="394" t="n"/>
      <c r="AM5188" s="48" t="n"/>
      <c r="AN5188" s="48" t="n"/>
      <c r="AO5188" s="48" t="n"/>
    </row>
    <row r="5189">
      <c r="M5189" s="25" t="n"/>
      <c r="Q5189" s="25" t="n"/>
      <c r="U5189" s="194" t="n"/>
      <c r="AA5189" s="25" t="n"/>
      <c r="AB5189" s="25" t="n"/>
      <c r="AC5189" s="195" t="n"/>
      <c r="AD5189" s="25" t="n"/>
      <c r="AE5189" s="25" t="n"/>
      <c r="AG5189" s="25" t="n"/>
      <c r="AH5189" s="25" t="n"/>
      <c r="AI5189" s="394" t="n"/>
      <c r="AM5189" s="48" t="n"/>
      <c r="AN5189" s="48" t="n"/>
      <c r="AO5189" s="48" t="n"/>
    </row>
    <row r="5190">
      <c r="M5190" s="25" t="n"/>
      <c r="Q5190" s="25" t="n"/>
      <c r="U5190" s="194" t="n"/>
      <c r="AA5190" s="25" t="n"/>
      <c r="AB5190" s="25" t="n"/>
      <c r="AC5190" s="195" t="n"/>
      <c r="AD5190" s="25" t="n"/>
      <c r="AE5190" s="25" t="n"/>
      <c r="AG5190" s="25" t="n"/>
      <c r="AH5190" s="25" t="n"/>
      <c r="AI5190" s="394" t="n"/>
      <c r="AM5190" s="48" t="n"/>
      <c r="AN5190" s="48" t="n"/>
      <c r="AO5190" s="48" t="n"/>
    </row>
    <row r="5191">
      <c r="M5191" s="25" t="n"/>
      <c r="Q5191" s="25" t="n"/>
      <c r="U5191" s="194" t="n"/>
      <c r="AA5191" s="25" t="n"/>
      <c r="AB5191" s="25" t="n"/>
      <c r="AC5191" s="195" t="n"/>
      <c r="AD5191" s="25" t="n"/>
      <c r="AE5191" s="25" t="n"/>
      <c r="AG5191" s="25" t="n"/>
      <c r="AH5191" s="25" t="n"/>
      <c r="AI5191" s="394" t="n"/>
      <c r="AM5191" s="48" t="n"/>
      <c r="AN5191" s="48" t="n"/>
      <c r="AO5191" s="48" t="n"/>
    </row>
    <row r="5192">
      <c r="M5192" s="25" t="n"/>
      <c r="Q5192" s="25" t="n"/>
      <c r="U5192" s="194" t="n"/>
      <c r="AA5192" s="25" t="n"/>
      <c r="AB5192" s="25" t="n"/>
      <c r="AC5192" s="195" t="n"/>
      <c r="AD5192" s="25" t="n"/>
      <c r="AE5192" s="25" t="n"/>
      <c r="AG5192" s="25" t="n"/>
      <c r="AH5192" s="25" t="n"/>
      <c r="AI5192" s="394" t="n"/>
      <c r="AM5192" s="48" t="n"/>
      <c r="AN5192" s="48" t="n"/>
      <c r="AO5192" s="48" t="n"/>
    </row>
    <row r="5193">
      <c r="M5193" s="25" t="n"/>
      <c r="Q5193" s="25" t="n"/>
      <c r="U5193" s="194" t="n"/>
      <c r="AA5193" s="25" t="n"/>
      <c r="AB5193" s="25" t="n"/>
      <c r="AC5193" s="195" t="n"/>
      <c r="AD5193" s="25" t="n"/>
      <c r="AE5193" s="25" t="n"/>
      <c r="AG5193" s="25" t="n"/>
      <c r="AH5193" s="25" t="n"/>
      <c r="AI5193" s="394" t="n"/>
      <c r="AM5193" s="48" t="n"/>
      <c r="AN5193" s="48" t="n"/>
      <c r="AO5193" s="48" t="n"/>
    </row>
    <row r="5194">
      <c r="M5194" s="25" t="n"/>
      <c r="Q5194" s="25" t="n"/>
      <c r="U5194" s="194" t="n"/>
      <c r="AA5194" s="25" t="n"/>
      <c r="AB5194" s="25" t="n"/>
      <c r="AC5194" s="195" t="n"/>
      <c r="AD5194" s="25" t="n"/>
      <c r="AE5194" s="25" t="n"/>
      <c r="AG5194" s="25" t="n"/>
      <c r="AH5194" s="25" t="n"/>
      <c r="AI5194" s="394" t="n"/>
      <c r="AM5194" s="48" t="n"/>
      <c r="AN5194" s="48" t="n"/>
      <c r="AO5194" s="48" t="n"/>
    </row>
    <row r="5195">
      <c r="M5195" s="25" t="n"/>
      <c r="Q5195" s="25" t="n"/>
      <c r="U5195" s="194" t="n"/>
      <c r="AA5195" s="25" t="n"/>
      <c r="AB5195" s="25" t="n"/>
      <c r="AC5195" s="195" t="n"/>
      <c r="AD5195" s="25" t="n"/>
      <c r="AE5195" s="25" t="n"/>
      <c r="AG5195" s="25" t="n"/>
      <c r="AH5195" s="25" t="n"/>
      <c r="AI5195" s="394" t="n"/>
      <c r="AM5195" s="48" t="n"/>
      <c r="AN5195" s="48" t="n"/>
      <c r="AO5195" s="48" t="n"/>
    </row>
    <row r="5196">
      <c r="M5196" s="25" t="n"/>
      <c r="Q5196" s="25" t="n"/>
      <c r="U5196" s="194" t="n"/>
      <c r="AA5196" s="25" t="n"/>
      <c r="AB5196" s="25" t="n"/>
      <c r="AC5196" s="195" t="n"/>
      <c r="AD5196" s="25" t="n"/>
      <c r="AE5196" s="25" t="n"/>
      <c r="AG5196" s="25" t="n"/>
      <c r="AH5196" s="25" t="n"/>
      <c r="AI5196" s="394" t="n"/>
      <c r="AM5196" s="48" t="n"/>
      <c r="AN5196" s="48" t="n"/>
      <c r="AO5196" s="48" t="n"/>
    </row>
    <row r="5197">
      <c r="M5197" s="25" t="n"/>
      <c r="Q5197" s="25" t="n"/>
      <c r="U5197" s="194" t="n"/>
      <c r="AA5197" s="25" t="n"/>
      <c r="AB5197" s="25" t="n"/>
      <c r="AC5197" s="195" t="n"/>
      <c r="AD5197" s="25" t="n"/>
      <c r="AE5197" s="25" t="n"/>
      <c r="AG5197" s="25" t="n"/>
      <c r="AH5197" s="25" t="n"/>
      <c r="AI5197" s="394" t="n"/>
      <c r="AM5197" s="48" t="n"/>
      <c r="AN5197" s="48" t="n"/>
      <c r="AO5197" s="48" t="n"/>
    </row>
    <row r="5198">
      <c r="M5198" s="25" t="n"/>
      <c r="Q5198" s="25" t="n"/>
      <c r="U5198" s="194" t="n"/>
      <c r="AA5198" s="25" t="n"/>
      <c r="AB5198" s="25" t="n"/>
      <c r="AC5198" s="195" t="n"/>
      <c r="AD5198" s="25" t="n"/>
      <c r="AE5198" s="25" t="n"/>
      <c r="AG5198" s="25" t="n"/>
      <c r="AH5198" s="25" t="n"/>
      <c r="AI5198" s="394" t="n"/>
      <c r="AM5198" s="48" t="n"/>
      <c r="AN5198" s="48" t="n"/>
      <c r="AO5198" s="48" t="n"/>
    </row>
    <row r="5199">
      <c r="M5199" s="25" t="n"/>
      <c r="Q5199" s="25" t="n"/>
      <c r="U5199" s="194" t="n"/>
      <c r="AA5199" s="25" t="n"/>
      <c r="AB5199" s="25" t="n"/>
      <c r="AC5199" s="195" t="n"/>
      <c r="AD5199" s="25" t="n"/>
      <c r="AE5199" s="25" t="n"/>
      <c r="AG5199" s="25" t="n"/>
      <c r="AH5199" s="25" t="n"/>
      <c r="AI5199" s="394" t="n"/>
      <c r="AM5199" s="48" t="n"/>
      <c r="AN5199" s="48" t="n"/>
      <c r="AO5199" s="48" t="n"/>
    </row>
    <row r="5200">
      <c r="M5200" s="25" t="n"/>
      <c r="Q5200" s="25" t="n"/>
      <c r="U5200" s="194" t="n"/>
      <c r="AA5200" s="25" t="n"/>
      <c r="AB5200" s="25" t="n"/>
      <c r="AC5200" s="195" t="n"/>
      <c r="AD5200" s="25" t="n"/>
      <c r="AE5200" s="25" t="n"/>
      <c r="AG5200" s="25" t="n"/>
      <c r="AH5200" s="25" t="n"/>
      <c r="AI5200" s="394" t="n"/>
      <c r="AM5200" s="48" t="n"/>
      <c r="AN5200" s="48" t="n"/>
      <c r="AO5200" s="48" t="n"/>
    </row>
    <row r="5201">
      <c r="M5201" s="25" t="n"/>
      <c r="Q5201" s="25" t="n"/>
      <c r="U5201" s="194" t="n"/>
      <c r="AA5201" s="25" t="n"/>
      <c r="AB5201" s="25" t="n"/>
      <c r="AC5201" s="195" t="n"/>
      <c r="AD5201" s="25" t="n"/>
      <c r="AE5201" s="25" t="n"/>
      <c r="AG5201" s="25" t="n"/>
      <c r="AH5201" s="25" t="n"/>
      <c r="AI5201" s="394" t="n"/>
      <c r="AM5201" s="48" t="n"/>
      <c r="AN5201" s="48" t="n"/>
      <c r="AO5201" s="48" t="n"/>
    </row>
    <row r="5202">
      <c r="M5202" s="25" t="n"/>
      <c r="Q5202" s="25" t="n"/>
      <c r="U5202" s="194" t="n"/>
      <c r="AA5202" s="25" t="n"/>
      <c r="AB5202" s="25" t="n"/>
      <c r="AC5202" s="195" t="n"/>
      <c r="AD5202" s="25" t="n"/>
      <c r="AE5202" s="25" t="n"/>
      <c r="AG5202" s="25" t="n"/>
      <c r="AH5202" s="25" t="n"/>
      <c r="AI5202" s="394" t="n"/>
      <c r="AM5202" s="48" t="n"/>
      <c r="AN5202" s="48" t="n"/>
      <c r="AO5202" s="48" t="n"/>
    </row>
    <row r="5203">
      <c r="M5203" s="25" t="n"/>
      <c r="Q5203" s="25" t="n"/>
      <c r="U5203" s="194" t="n"/>
      <c r="AA5203" s="25" t="n"/>
      <c r="AB5203" s="25" t="n"/>
      <c r="AC5203" s="195" t="n"/>
      <c r="AD5203" s="25" t="n"/>
      <c r="AE5203" s="25" t="n"/>
      <c r="AG5203" s="25" t="n"/>
      <c r="AH5203" s="25" t="n"/>
      <c r="AI5203" s="394" t="n"/>
      <c r="AM5203" s="48" t="n"/>
      <c r="AN5203" s="48" t="n"/>
      <c r="AO5203" s="48" t="n"/>
    </row>
    <row r="5204">
      <c r="M5204" s="25" t="n"/>
      <c r="Q5204" s="25" t="n"/>
      <c r="U5204" s="194" t="n"/>
      <c r="AA5204" s="25" t="n"/>
      <c r="AB5204" s="25" t="n"/>
      <c r="AC5204" s="195" t="n"/>
      <c r="AD5204" s="25" t="n"/>
      <c r="AE5204" s="25" t="n"/>
      <c r="AG5204" s="25" t="n"/>
      <c r="AH5204" s="25" t="n"/>
      <c r="AI5204" s="394" t="n"/>
      <c r="AM5204" s="48" t="n"/>
      <c r="AN5204" s="48" t="n"/>
      <c r="AO5204" s="48" t="n"/>
    </row>
    <row r="5205">
      <c r="M5205" s="25" t="n"/>
      <c r="Q5205" s="25" t="n"/>
      <c r="U5205" s="194" t="n"/>
      <c r="AA5205" s="25" t="n"/>
      <c r="AB5205" s="25" t="n"/>
      <c r="AC5205" s="195" t="n"/>
      <c r="AD5205" s="25" t="n"/>
      <c r="AE5205" s="25" t="n"/>
      <c r="AG5205" s="25" t="n"/>
      <c r="AH5205" s="25" t="n"/>
      <c r="AI5205" s="394" t="n"/>
      <c r="AM5205" s="48" t="n"/>
      <c r="AN5205" s="48" t="n"/>
      <c r="AO5205" s="48" t="n"/>
    </row>
    <row r="5206">
      <c r="M5206" s="25" t="n"/>
      <c r="Q5206" s="25" t="n"/>
      <c r="U5206" s="194" t="n"/>
      <c r="AA5206" s="25" t="n"/>
      <c r="AB5206" s="25" t="n"/>
      <c r="AC5206" s="195" t="n"/>
      <c r="AD5206" s="25" t="n"/>
      <c r="AE5206" s="25" t="n"/>
      <c r="AG5206" s="25" t="n"/>
      <c r="AH5206" s="25" t="n"/>
      <c r="AI5206" s="394" t="n"/>
      <c r="AM5206" s="48" t="n"/>
      <c r="AN5206" s="48" t="n"/>
      <c r="AO5206" s="48" t="n"/>
    </row>
    <row r="5207">
      <c r="M5207" s="25" t="n"/>
      <c r="Q5207" s="25" t="n"/>
      <c r="U5207" s="194" t="n"/>
      <c r="AA5207" s="25" t="n"/>
      <c r="AB5207" s="25" t="n"/>
      <c r="AC5207" s="195" t="n"/>
      <c r="AD5207" s="25" t="n"/>
      <c r="AE5207" s="25" t="n"/>
      <c r="AG5207" s="25" t="n"/>
      <c r="AH5207" s="25" t="n"/>
      <c r="AI5207" s="394" t="n"/>
      <c r="AM5207" s="48" t="n"/>
      <c r="AN5207" s="48" t="n"/>
      <c r="AO5207" s="48" t="n"/>
    </row>
    <row r="5208">
      <c r="M5208" s="25" t="n"/>
      <c r="Q5208" s="25" t="n"/>
      <c r="U5208" s="194" t="n"/>
      <c r="AA5208" s="25" t="n"/>
      <c r="AB5208" s="25" t="n"/>
      <c r="AC5208" s="195" t="n"/>
      <c r="AD5208" s="25" t="n"/>
      <c r="AE5208" s="25" t="n"/>
      <c r="AG5208" s="25" t="n"/>
      <c r="AH5208" s="25" t="n"/>
      <c r="AI5208" s="394" t="n"/>
      <c r="AM5208" s="48" t="n"/>
      <c r="AN5208" s="48" t="n"/>
      <c r="AO5208" s="48" t="n"/>
    </row>
    <row r="5209">
      <c r="M5209" s="25" t="n"/>
      <c r="Q5209" s="25" t="n"/>
      <c r="U5209" s="194" t="n"/>
      <c r="AA5209" s="25" t="n"/>
      <c r="AB5209" s="25" t="n"/>
      <c r="AC5209" s="195" t="n"/>
      <c r="AD5209" s="25" t="n"/>
      <c r="AE5209" s="25" t="n"/>
      <c r="AG5209" s="25" t="n"/>
      <c r="AH5209" s="25" t="n"/>
      <c r="AI5209" s="394" t="n"/>
      <c r="AM5209" s="48" t="n"/>
      <c r="AN5209" s="48" t="n"/>
      <c r="AO5209" s="48" t="n"/>
    </row>
    <row r="5210">
      <c r="M5210" s="25" t="n"/>
      <c r="Q5210" s="25" t="n"/>
      <c r="U5210" s="194" t="n"/>
      <c r="AA5210" s="25" t="n"/>
      <c r="AB5210" s="25" t="n"/>
      <c r="AC5210" s="195" t="n"/>
      <c r="AD5210" s="25" t="n"/>
      <c r="AE5210" s="25" t="n"/>
      <c r="AG5210" s="25" t="n"/>
      <c r="AH5210" s="25" t="n"/>
      <c r="AI5210" s="394" t="n"/>
      <c r="AM5210" s="48" t="n"/>
      <c r="AN5210" s="48" t="n"/>
      <c r="AO5210" s="48" t="n"/>
    </row>
    <row r="5211">
      <c r="M5211" s="25" t="n"/>
      <c r="Q5211" s="25" t="n"/>
      <c r="U5211" s="194" t="n"/>
      <c r="AA5211" s="25" t="n"/>
      <c r="AB5211" s="25" t="n"/>
      <c r="AC5211" s="195" t="n"/>
      <c r="AD5211" s="25" t="n"/>
      <c r="AE5211" s="25" t="n"/>
      <c r="AG5211" s="25" t="n"/>
      <c r="AH5211" s="25" t="n"/>
      <c r="AI5211" s="394" t="n"/>
      <c r="AM5211" s="48" t="n"/>
      <c r="AN5211" s="48" t="n"/>
      <c r="AO5211" s="48" t="n"/>
    </row>
    <row r="5212">
      <c r="M5212" s="25" t="n"/>
      <c r="Q5212" s="25" t="n"/>
      <c r="U5212" s="194" t="n"/>
      <c r="AA5212" s="25" t="n"/>
      <c r="AB5212" s="25" t="n"/>
      <c r="AC5212" s="195" t="n"/>
      <c r="AD5212" s="25" t="n"/>
      <c r="AE5212" s="25" t="n"/>
      <c r="AG5212" s="25" t="n"/>
      <c r="AH5212" s="25" t="n"/>
      <c r="AI5212" s="394" t="n"/>
      <c r="AM5212" s="48" t="n"/>
      <c r="AN5212" s="48" t="n"/>
      <c r="AO5212" s="48" t="n"/>
    </row>
    <row r="5213">
      <c r="M5213" s="25" t="n"/>
      <c r="Q5213" s="25" t="n"/>
      <c r="U5213" s="194" t="n"/>
      <c r="AA5213" s="25" t="n"/>
      <c r="AB5213" s="25" t="n"/>
      <c r="AC5213" s="195" t="n"/>
      <c r="AD5213" s="25" t="n"/>
      <c r="AE5213" s="25" t="n"/>
      <c r="AG5213" s="25" t="n"/>
      <c r="AH5213" s="25" t="n"/>
      <c r="AI5213" s="394" t="n"/>
      <c r="AM5213" s="48" t="n"/>
      <c r="AN5213" s="48" t="n"/>
      <c r="AO5213" s="48" t="n"/>
    </row>
    <row r="5214">
      <c r="M5214" s="25" t="n"/>
      <c r="Q5214" s="25" t="n"/>
      <c r="U5214" s="194" t="n"/>
      <c r="AA5214" s="25" t="n"/>
      <c r="AB5214" s="25" t="n"/>
      <c r="AC5214" s="195" t="n"/>
      <c r="AD5214" s="25" t="n"/>
      <c r="AE5214" s="25" t="n"/>
      <c r="AG5214" s="25" t="n"/>
      <c r="AH5214" s="25" t="n"/>
      <c r="AI5214" s="394" t="n"/>
      <c r="AM5214" s="48" t="n"/>
      <c r="AN5214" s="48" t="n"/>
      <c r="AO5214" s="48" t="n"/>
    </row>
    <row r="5215">
      <c r="M5215" s="25" t="n"/>
      <c r="Q5215" s="25" t="n"/>
      <c r="U5215" s="194" t="n"/>
      <c r="AA5215" s="25" t="n"/>
      <c r="AB5215" s="25" t="n"/>
      <c r="AC5215" s="195" t="n"/>
      <c r="AD5215" s="25" t="n"/>
      <c r="AE5215" s="25" t="n"/>
      <c r="AG5215" s="25" t="n"/>
      <c r="AH5215" s="25" t="n"/>
      <c r="AI5215" s="394" t="n"/>
      <c r="AM5215" s="48" t="n"/>
      <c r="AN5215" s="48" t="n"/>
      <c r="AO5215" s="48" t="n"/>
    </row>
    <row r="5216">
      <c r="M5216" s="25" t="n"/>
      <c r="Q5216" s="25" t="n"/>
      <c r="U5216" s="194" t="n"/>
      <c r="AA5216" s="25" t="n"/>
      <c r="AB5216" s="25" t="n"/>
      <c r="AC5216" s="195" t="n"/>
      <c r="AD5216" s="25" t="n"/>
      <c r="AE5216" s="25" t="n"/>
      <c r="AG5216" s="25" t="n"/>
      <c r="AH5216" s="25" t="n"/>
      <c r="AI5216" s="394" t="n"/>
      <c r="AM5216" s="48" t="n"/>
      <c r="AN5216" s="48" t="n"/>
      <c r="AO5216" s="48" t="n"/>
    </row>
    <row r="5217">
      <c r="M5217" s="25" t="n"/>
      <c r="Q5217" s="25" t="n"/>
      <c r="U5217" s="194" t="n"/>
      <c r="AA5217" s="25" t="n"/>
      <c r="AB5217" s="25" t="n"/>
      <c r="AC5217" s="195" t="n"/>
      <c r="AD5217" s="25" t="n"/>
      <c r="AE5217" s="25" t="n"/>
      <c r="AG5217" s="25" t="n"/>
      <c r="AH5217" s="25" t="n"/>
      <c r="AI5217" s="394" t="n"/>
      <c r="AM5217" s="48" t="n"/>
      <c r="AN5217" s="48" t="n"/>
      <c r="AO5217" s="48" t="n"/>
    </row>
    <row r="5218">
      <c r="M5218" s="25" t="n"/>
      <c r="Q5218" s="25" t="n"/>
      <c r="U5218" s="194" t="n"/>
      <c r="AA5218" s="25" t="n"/>
      <c r="AB5218" s="25" t="n"/>
      <c r="AC5218" s="195" t="n"/>
      <c r="AD5218" s="25" t="n"/>
      <c r="AE5218" s="25" t="n"/>
      <c r="AG5218" s="25" t="n"/>
      <c r="AH5218" s="25" t="n"/>
      <c r="AI5218" s="394" t="n"/>
      <c r="AM5218" s="48" t="n"/>
      <c r="AN5218" s="48" t="n"/>
      <c r="AO5218" s="48" t="n"/>
    </row>
    <row r="5219">
      <c r="M5219" s="25" t="n"/>
      <c r="Q5219" s="25" t="n"/>
      <c r="U5219" s="194" t="n"/>
      <c r="AA5219" s="25" t="n"/>
      <c r="AB5219" s="25" t="n"/>
      <c r="AC5219" s="195" t="n"/>
      <c r="AD5219" s="25" t="n"/>
      <c r="AE5219" s="25" t="n"/>
      <c r="AG5219" s="25" t="n"/>
      <c r="AH5219" s="25" t="n"/>
      <c r="AI5219" s="394" t="n"/>
      <c r="AM5219" s="48" t="n"/>
      <c r="AN5219" s="48" t="n"/>
      <c r="AO5219" s="48" t="n"/>
    </row>
    <row r="5220">
      <c r="M5220" s="25" t="n"/>
      <c r="Q5220" s="25" t="n"/>
      <c r="U5220" s="194" t="n"/>
      <c r="AA5220" s="25" t="n"/>
      <c r="AB5220" s="25" t="n"/>
      <c r="AC5220" s="195" t="n"/>
      <c r="AD5220" s="25" t="n"/>
      <c r="AE5220" s="25" t="n"/>
      <c r="AG5220" s="25" t="n"/>
      <c r="AH5220" s="25" t="n"/>
      <c r="AI5220" s="394" t="n"/>
      <c r="AM5220" s="48" t="n"/>
      <c r="AN5220" s="48" t="n"/>
      <c r="AO5220" s="48" t="n"/>
    </row>
    <row r="5221">
      <c r="M5221" s="25" t="n"/>
      <c r="Q5221" s="25" t="n"/>
      <c r="U5221" s="194" t="n"/>
      <c r="AA5221" s="25" t="n"/>
      <c r="AB5221" s="25" t="n"/>
      <c r="AC5221" s="195" t="n"/>
      <c r="AD5221" s="25" t="n"/>
      <c r="AE5221" s="25" t="n"/>
      <c r="AG5221" s="25" t="n"/>
      <c r="AH5221" s="25" t="n"/>
      <c r="AI5221" s="394" t="n"/>
      <c r="AM5221" s="48" t="n"/>
      <c r="AN5221" s="48" t="n"/>
      <c r="AO5221" s="48" t="n"/>
    </row>
    <row r="5222">
      <c r="M5222" s="25" t="n"/>
      <c r="Q5222" s="25" t="n"/>
      <c r="U5222" s="194" t="n"/>
      <c r="AA5222" s="25" t="n"/>
      <c r="AB5222" s="25" t="n"/>
      <c r="AC5222" s="195" t="n"/>
      <c r="AD5222" s="25" t="n"/>
      <c r="AE5222" s="25" t="n"/>
      <c r="AG5222" s="25" t="n"/>
      <c r="AH5222" s="25" t="n"/>
      <c r="AI5222" s="394" t="n"/>
      <c r="AM5222" s="48" t="n"/>
      <c r="AN5222" s="48" t="n"/>
      <c r="AO5222" s="48" t="n"/>
    </row>
    <row r="5223">
      <c r="M5223" s="25" t="n"/>
      <c r="Q5223" s="25" t="n"/>
      <c r="U5223" s="194" t="n"/>
      <c r="AA5223" s="25" t="n"/>
      <c r="AB5223" s="25" t="n"/>
      <c r="AC5223" s="195" t="n"/>
      <c r="AD5223" s="25" t="n"/>
      <c r="AE5223" s="25" t="n"/>
      <c r="AG5223" s="25" t="n"/>
      <c r="AH5223" s="25" t="n"/>
      <c r="AI5223" s="394" t="n"/>
      <c r="AM5223" s="48" t="n"/>
      <c r="AN5223" s="48" t="n"/>
      <c r="AO5223" s="48" t="n"/>
    </row>
    <row r="5224">
      <c r="M5224" s="25" t="n"/>
      <c r="Q5224" s="25" t="n"/>
      <c r="U5224" s="194" t="n"/>
      <c r="AA5224" s="25" t="n"/>
      <c r="AB5224" s="25" t="n"/>
      <c r="AC5224" s="195" t="n"/>
      <c r="AD5224" s="25" t="n"/>
      <c r="AE5224" s="25" t="n"/>
      <c r="AG5224" s="25" t="n"/>
      <c r="AH5224" s="25" t="n"/>
      <c r="AI5224" s="394" t="n"/>
      <c r="AM5224" s="48" t="n"/>
      <c r="AN5224" s="48" t="n"/>
      <c r="AO5224" s="48" t="n"/>
    </row>
    <row r="5225">
      <c r="M5225" s="25" t="n"/>
      <c r="Q5225" s="25" t="n"/>
      <c r="U5225" s="194" t="n"/>
      <c r="AA5225" s="25" t="n"/>
      <c r="AB5225" s="25" t="n"/>
      <c r="AC5225" s="195" t="n"/>
      <c r="AD5225" s="25" t="n"/>
      <c r="AE5225" s="25" t="n"/>
      <c r="AG5225" s="25" t="n"/>
      <c r="AH5225" s="25" t="n"/>
      <c r="AI5225" s="394" t="n"/>
      <c r="AM5225" s="48" t="n"/>
      <c r="AN5225" s="48" t="n"/>
      <c r="AO5225" s="48" t="n"/>
    </row>
    <row r="5226">
      <c r="M5226" s="25" t="n"/>
      <c r="Q5226" s="25" t="n"/>
      <c r="U5226" s="194" t="n"/>
      <c r="AA5226" s="25" t="n"/>
      <c r="AB5226" s="25" t="n"/>
      <c r="AC5226" s="195" t="n"/>
      <c r="AD5226" s="25" t="n"/>
      <c r="AE5226" s="25" t="n"/>
      <c r="AG5226" s="25" t="n"/>
      <c r="AH5226" s="25" t="n"/>
      <c r="AI5226" s="394" t="n"/>
      <c r="AM5226" s="48" t="n"/>
      <c r="AN5226" s="48" t="n"/>
      <c r="AO5226" s="48" t="n"/>
    </row>
    <row r="5227">
      <c r="M5227" s="25" t="n"/>
      <c r="Q5227" s="25" t="n"/>
      <c r="U5227" s="194" t="n"/>
      <c r="AA5227" s="25" t="n"/>
      <c r="AB5227" s="25" t="n"/>
      <c r="AC5227" s="195" t="n"/>
      <c r="AD5227" s="25" t="n"/>
      <c r="AE5227" s="25" t="n"/>
      <c r="AG5227" s="25" t="n"/>
      <c r="AH5227" s="25" t="n"/>
      <c r="AI5227" s="394" t="n"/>
      <c r="AM5227" s="48" t="n"/>
      <c r="AN5227" s="48" t="n"/>
      <c r="AO5227" s="48" t="n"/>
    </row>
    <row r="5228">
      <c r="M5228" s="25" t="n"/>
      <c r="Q5228" s="25" t="n"/>
      <c r="U5228" s="194" t="n"/>
      <c r="AA5228" s="25" t="n"/>
      <c r="AB5228" s="25" t="n"/>
      <c r="AC5228" s="195" t="n"/>
      <c r="AD5228" s="25" t="n"/>
      <c r="AE5228" s="25" t="n"/>
      <c r="AG5228" s="25" t="n"/>
      <c r="AH5228" s="25" t="n"/>
      <c r="AI5228" s="394" t="n"/>
      <c r="AM5228" s="48" t="n"/>
      <c r="AN5228" s="48" t="n"/>
      <c r="AO5228" s="48" t="n"/>
    </row>
    <row r="5229">
      <c r="M5229" s="25" t="n"/>
      <c r="Q5229" s="25" t="n"/>
      <c r="U5229" s="194" t="n"/>
      <c r="AA5229" s="25" t="n"/>
      <c r="AB5229" s="25" t="n"/>
      <c r="AC5229" s="195" t="n"/>
      <c r="AD5229" s="25" t="n"/>
      <c r="AE5229" s="25" t="n"/>
      <c r="AG5229" s="25" t="n"/>
      <c r="AH5229" s="25" t="n"/>
      <c r="AI5229" s="394" t="n"/>
      <c r="AM5229" s="48" t="n"/>
      <c r="AN5229" s="48" t="n"/>
      <c r="AO5229" s="48" t="n"/>
    </row>
    <row r="5230">
      <c r="M5230" s="25" t="n"/>
      <c r="Q5230" s="25" t="n"/>
      <c r="U5230" s="194" t="n"/>
      <c r="AA5230" s="25" t="n"/>
      <c r="AB5230" s="25" t="n"/>
      <c r="AC5230" s="195" t="n"/>
      <c r="AD5230" s="25" t="n"/>
      <c r="AE5230" s="25" t="n"/>
      <c r="AG5230" s="25" t="n"/>
      <c r="AH5230" s="25" t="n"/>
      <c r="AI5230" s="394" t="n"/>
      <c r="AM5230" s="48" t="n"/>
      <c r="AN5230" s="48" t="n"/>
      <c r="AO5230" s="48" t="n"/>
    </row>
    <row r="5231">
      <c r="M5231" s="25" t="n"/>
      <c r="Q5231" s="25" t="n"/>
      <c r="U5231" s="194" t="n"/>
      <c r="AA5231" s="25" t="n"/>
      <c r="AB5231" s="25" t="n"/>
      <c r="AC5231" s="195" t="n"/>
      <c r="AD5231" s="25" t="n"/>
      <c r="AE5231" s="25" t="n"/>
      <c r="AG5231" s="25" t="n"/>
      <c r="AH5231" s="25" t="n"/>
      <c r="AI5231" s="394" t="n"/>
      <c r="AM5231" s="48" t="n"/>
      <c r="AN5231" s="48" t="n"/>
      <c r="AO5231" s="48" t="n"/>
    </row>
    <row r="5232">
      <c r="M5232" s="25" t="n"/>
      <c r="Q5232" s="25" t="n"/>
      <c r="U5232" s="194" t="n"/>
      <c r="AA5232" s="25" t="n"/>
      <c r="AB5232" s="25" t="n"/>
      <c r="AC5232" s="195" t="n"/>
      <c r="AD5232" s="25" t="n"/>
      <c r="AE5232" s="25" t="n"/>
      <c r="AG5232" s="25" t="n"/>
      <c r="AH5232" s="25" t="n"/>
      <c r="AI5232" s="394" t="n"/>
      <c r="AM5232" s="48" t="n"/>
      <c r="AN5232" s="48" t="n"/>
      <c r="AO5232" s="48" t="n"/>
    </row>
    <row r="5233">
      <c r="M5233" s="25" t="n"/>
      <c r="Q5233" s="25" t="n"/>
      <c r="U5233" s="194" t="n"/>
      <c r="AA5233" s="25" t="n"/>
      <c r="AB5233" s="25" t="n"/>
      <c r="AC5233" s="195" t="n"/>
      <c r="AD5233" s="25" t="n"/>
      <c r="AE5233" s="25" t="n"/>
      <c r="AG5233" s="25" t="n"/>
      <c r="AH5233" s="25" t="n"/>
      <c r="AI5233" s="394" t="n"/>
      <c r="AM5233" s="48" t="n"/>
      <c r="AN5233" s="48" t="n"/>
      <c r="AO5233" s="48" t="n"/>
    </row>
    <row r="5234">
      <c r="M5234" s="25" t="n"/>
      <c r="Q5234" s="25" t="n"/>
      <c r="U5234" s="194" t="n"/>
      <c r="AA5234" s="25" t="n"/>
      <c r="AB5234" s="25" t="n"/>
      <c r="AC5234" s="195" t="n"/>
      <c r="AD5234" s="25" t="n"/>
      <c r="AE5234" s="25" t="n"/>
      <c r="AG5234" s="25" t="n"/>
      <c r="AH5234" s="25" t="n"/>
      <c r="AI5234" s="394" t="n"/>
      <c r="AM5234" s="48" t="n"/>
      <c r="AN5234" s="48" t="n"/>
      <c r="AO5234" s="48" t="n"/>
    </row>
    <row r="5235">
      <c r="M5235" s="25" t="n"/>
      <c r="Q5235" s="25" t="n"/>
      <c r="U5235" s="194" t="n"/>
      <c r="AA5235" s="25" t="n"/>
      <c r="AB5235" s="25" t="n"/>
      <c r="AC5235" s="195" t="n"/>
      <c r="AD5235" s="25" t="n"/>
      <c r="AE5235" s="25" t="n"/>
      <c r="AG5235" s="25" t="n"/>
      <c r="AH5235" s="25" t="n"/>
      <c r="AI5235" s="394" t="n"/>
      <c r="AM5235" s="48" t="n"/>
      <c r="AN5235" s="48" t="n"/>
      <c r="AO5235" s="48" t="n"/>
    </row>
    <row r="5236">
      <c r="M5236" s="25" t="n"/>
      <c r="Q5236" s="25" t="n"/>
      <c r="U5236" s="194" t="n"/>
      <c r="AA5236" s="25" t="n"/>
      <c r="AB5236" s="25" t="n"/>
      <c r="AC5236" s="195" t="n"/>
      <c r="AD5236" s="25" t="n"/>
      <c r="AE5236" s="25" t="n"/>
      <c r="AG5236" s="25" t="n"/>
      <c r="AH5236" s="25" t="n"/>
      <c r="AI5236" s="394" t="n"/>
      <c r="AM5236" s="48" t="n"/>
      <c r="AN5236" s="48" t="n"/>
      <c r="AO5236" s="48" t="n"/>
    </row>
    <row r="5237">
      <c r="M5237" s="25" t="n"/>
      <c r="Q5237" s="25" t="n"/>
      <c r="U5237" s="194" t="n"/>
      <c r="AA5237" s="25" t="n"/>
      <c r="AB5237" s="25" t="n"/>
      <c r="AC5237" s="195" t="n"/>
      <c r="AD5237" s="25" t="n"/>
      <c r="AE5237" s="25" t="n"/>
      <c r="AG5237" s="25" t="n"/>
      <c r="AH5237" s="25" t="n"/>
      <c r="AI5237" s="394" t="n"/>
      <c r="AM5237" s="48" t="n"/>
      <c r="AN5237" s="48" t="n"/>
      <c r="AO5237" s="48" t="n"/>
    </row>
    <row r="5238">
      <c r="M5238" s="25" t="n"/>
      <c r="Q5238" s="25" t="n"/>
      <c r="U5238" s="194" t="n"/>
      <c r="AA5238" s="25" t="n"/>
      <c r="AB5238" s="25" t="n"/>
      <c r="AC5238" s="195" t="n"/>
      <c r="AD5238" s="25" t="n"/>
      <c r="AE5238" s="25" t="n"/>
      <c r="AG5238" s="25" t="n"/>
      <c r="AH5238" s="25" t="n"/>
      <c r="AI5238" s="394" t="n"/>
      <c r="AM5238" s="48" t="n"/>
      <c r="AN5238" s="48" t="n"/>
      <c r="AO5238" s="48" t="n"/>
    </row>
    <row r="5239">
      <c r="M5239" s="25" t="n"/>
      <c r="Q5239" s="25" t="n"/>
      <c r="U5239" s="194" t="n"/>
      <c r="AA5239" s="25" t="n"/>
      <c r="AB5239" s="25" t="n"/>
      <c r="AC5239" s="195" t="n"/>
      <c r="AD5239" s="25" t="n"/>
      <c r="AE5239" s="25" t="n"/>
      <c r="AG5239" s="25" t="n"/>
      <c r="AH5239" s="25" t="n"/>
      <c r="AI5239" s="394" t="n"/>
      <c r="AM5239" s="48" t="n"/>
      <c r="AN5239" s="48" t="n"/>
      <c r="AO5239" s="48" t="n"/>
    </row>
    <row r="5240">
      <c r="M5240" s="25" t="n"/>
      <c r="Q5240" s="25" t="n"/>
      <c r="U5240" s="194" t="n"/>
      <c r="AA5240" s="25" t="n"/>
      <c r="AB5240" s="25" t="n"/>
      <c r="AC5240" s="195" t="n"/>
      <c r="AD5240" s="25" t="n"/>
      <c r="AE5240" s="25" t="n"/>
      <c r="AG5240" s="25" t="n"/>
      <c r="AH5240" s="25" t="n"/>
      <c r="AI5240" s="394" t="n"/>
      <c r="AM5240" s="48" t="n"/>
      <c r="AN5240" s="48" t="n"/>
      <c r="AO5240" s="48" t="n"/>
    </row>
    <row r="5241">
      <c r="M5241" s="25" t="n"/>
      <c r="Q5241" s="25" t="n"/>
      <c r="U5241" s="194" t="n"/>
      <c r="AA5241" s="25" t="n"/>
      <c r="AB5241" s="25" t="n"/>
      <c r="AC5241" s="195" t="n"/>
      <c r="AD5241" s="25" t="n"/>
      <c r="AE5241" s="25" t="n"/>
      <c r="AG5241" s="25" t="n"/>
      <c r="AH5241" s="25" t="n"/>
      <c r="AI5241" s="394" t="n"/>
      <c r="AM5241" s="48" t="n"/>
      <c r="AN5241" s="48" t="n"/>
      <c r="AO5241" s="48" t="n"/>
    </row>
    <row r="5242">
      <c r="M5242" s="25" t="n"/>
      <c r="Q5242" s="25" t="n"/>
      <c r="U5242" s="194" t="n"/>
      <c r="AA5242" s="25" t="n"/>
      <c r="AB5242" s="25" t="n"/>
      <c r="AC5242" s="195" t="n"/>
      <c r="AD5242" s="25" t="n"/>
      <c r="AE5242" s="25" t="n"/>
      <c r="AG5242" s="25" t="n"/>
      <c r="AH5242" s="25" t="n"/>
      <c r="AI5242" s="394" t="n"/>
      <c r="AM5242" s="48" t="n"/>
      <c r="AN5242" s="48" t="n"/>
      <c r="AO5242" s="48" t="n"/>
    </row>
    <row r="5243">
      <c r="M5243" s="25" t="n"/>
      <c r="Q5243" s="25" t="n"/>
      <c r="U5243" s="194" t="n"/>
      <c r="AA5243" s="25" t="n"/>
      <c r="AB5243" s="25" t="n"/>
      <c r="AC5243" s="195" t="n"/>
      <c r="AD5243" s="25" t="n"/>
      <c r="AE5243" s="25" t="n"/>
      <c r="AG5243" s="25" t="n"/>
      <c r="AH5243" s="25" t="n"/>
      <c r="AI5243" s="394" t="n"/>
      <c r="AM5243" s="48" t="n"/>
      <c r="AN5243" s="48" t="n"/>
      <c r="AO5243" s="48" t="n"/>
    </row>
    <row r="5244">
      <c r="M5244" s="25" t="n"/>
      <c r="Q5244" s="25" t="n"/>
      <c r="U5244" s="194" t="n"/>
      <c r="AA5244" s="25" t="n"/>
      <c r="AB5244" s="25" t="n"/>
      <c r="AC5244" s="195" t="n"/>
      <c r="AD5244" s="25" t="n"/>
      <c r="AE5244" s="25" t="n"/>
      <c r="AG5244" s="25" t="n"/>
      <c r="AH5244" s="25" t="n"/>
      <c r="AI5244" s="394" t="n"/>
      <c r="AM5244" s="48" t="n"/>
      <c r="AN5244" s="48" t="n"/>
      <c r="AO5244" s="48" t="n"/>
    </row>
    <row r="5245">
      <c r="M5245" s="25" t="n"/>
      <c r="Q5245" s="25" t="n"/>
      <c r="U5245" s="194" t="n"/>
      <c r="AA5245" s="25" t="n"/>
      <c r="AB5245" s="25" t="n"/>
      <c r="AC5245" s="195" t="n"/>
      <c r="AD5245" s="25" t="n"/>
      <c r="AE5245" s="25" t="n"/>
      <c r="AG5245" s="25" t="n"/>
      <c r="AH5245" s="25" t="n"/>
      <c r="AI5245" s="394" t="n"/>
      <c r="AM5245" s="48" t="n"/>
      <c r="AN5245" s="48" t="n"/>
      <c r="AO5245" s="48" t="n"/>
    </row>
    <row r="5246">
      <c r="M5246" s="25" t="n"/>
      <c r="Q5246" s="25" t="n"/>
      <c r="U5246" s="194" t="n"/>
      <c r="AA5246" s="25" t="n"/>
      <c r="AB5246" s="25" t="n"/>
      <c r="AC5246" s="195" t="n"/>
      <c r="AD5246" s="25" t="n"/>
      <c r="AE5246" s="25" t="n"/>
      <c r="AG5246" s="25" t="n"/>
      <c r="AH5246" s="25" t="n"/>
      <c r="AI5246" s="394" t="n"/>
      <c r="AM5246" s="48" t="n"/>
      <c r="AN5246" s="48" t="n"/>
      <c r="AO5246" s="48" t="n"/>
    </row>
    <row r="5247">
      <c r="M5247" s="25" t="n"/>
      <c r="Q5247" s="25" t="n"/>
      <c r="U5247" s="194" t="n"/>
      <c r="AA5247" s="25" t="n"/>
      <c r="AB5247" s="25" t="n"/>
      <c r="AC5247" s="195" t="n"/>
      <c r="AD5247" s="25" t="n"/>
      <c r="AE5247" s="25" t="n"/>
      <c r="AG5247" s="25" t="n"/>
      <c r="AH5247" s="25" t="n"/>
      <c r="AI5247" s="394" t="n"/>
      <c r="AM5247" s="48" t="n"/>
      <c r="AN5247" s="48" t="n"/>
      <c r="AO5247" s="48" t="n"/>
    </row>
    <row r="5248">
      <c r="M5248" s="25" t="n"/>
      <c r="Q5248" s="25" t="n"/>
      <c r="U5248" s="194" t="n"/>
      <c r="AA5248" s="25" t="n"/>
      <c r="AB5248" s="25" t="n"/>
      <c r="AC5248" s="195" t="n"/>
      <c r="AD5248" s="25" t="n"/>
      <c r="AE5248" s="25" t="n"/>
      <c r="AG5248" s="25" t="n"/>
      <c r="AH5248" s="25" t="n"/>
      <c r="AI5248" s="394" t="n"/>
      <c r="AM5248" s="48" t="n"/>
      <c r="AN5248" s="48" t="n"/>
      <c r="AO5248" s="48" t="n"/>
    </row>
    <row r="5249">
      <c r="M5249" s="25" t="n"/>
      <c r="Q5249" s="25" t="n"/>
      <c r="U5249" s="194" t="n"/>
      <c r="AA5249" s="25" t="n"/>
      <c r="AB5249" s="25" t="n"/>
      <c r="AC5249" s="195" t="n"/>
      <c r="AD5249" s="25" t="n"/>
      <c r="AE5249" s="25" t="n"/>
      <c r="AG5249" s="25" t="n"/>
      <c r="AH5249" s="25" t="n"/>
      <c r="AI5249" s="394" t="n"/>
      <c r="AM5249" s="48" t="n"/>
      <c r="AN5249" s="48" t="n"/>
      <c r="AO5249" s="48" t="n"/>
    </row>
    <row r="5250">
      <c r="M5250" s="25" t="n"/>
      <c r="Q5250" s="25" t="n"/>
      <c r="U5250" s="194" t="n"/>
      <c r="AA5250" s="25" t="n"/>
      <c r="AB5250" s="25" t="n"/>
      <c r="AC5250" s="195" t="n"/>
      <c r="AD5250" s="25" t="n"/>
      <c r="AE5250" s="25" t="n"/>
      <c r="AG5250" s="25" t="n"/>
      <c r="AH5250" s="25" t="n"/>
      <c r="AI5250" s="394" t="n"/>
      <c r="AM5250" s="48" t="n"/>
      <c r="AN5250" s="48" t="n"/>
      <c r="AO5250" s="48" t="n"/>
    </row>
    <row r="5251">
      <c r="M5251" s="25" t="n"/>
      <c r="Q5251" s="25" t="n"/>
      <c r="U5251" s="194" t="n"/>
      <c r="AA5251" s="25" t="n"/>
      <c r="AB5251" s="25" t="n"/>
      <c r="AC5251" s="195" t="n"/>
      <c r="AD5251" s="25" t="n"/>
      <c r="AE5251" s="25" t="n"/>
      <c r="AG5251" s="25" t="n"/>
      <c r="AH5251" s="25" t="n"/>
      <c r="AI5251" s="394" t="n"/>
      <c r="AM5251" s="48" t="n"/>
      <c r="AN5251" s="48" t="n"/>
      <c r="AO5251" s="48" t="n"/>
    </row>
    <row r="5252">
      <c r="M5252" s="25" t="n"/>
      <c r="Q5252" s="25" t="n"/>
      <c r="U5252" s="194" t="n"/>
      <c r="AA5252" s="25" t="n"/>
      <c r="AB5252" s="25" t="n"/>
      <c r="AC5252" s="195" t="n"/>
      <c r="AD5252" s="25" t="n"/>
      <c r="AE5252" s="25" t="n"/>
      <c r="AG5252" s="25" t="n"/>
      <c r="AH5252" s="25" t="n"/>
      <c r="AI5252" s="394" t="n"/>
      <c r="AM5252" s="48" t="n"/>
      <c r="AN5252" s="48" t="n"/>
      <c r="AO5252" s="48" t="n"/>
    </row>
    <row r="5253">
      <c r="M5253" s="25" t="n"/>
      <c r="Q5253" s="25" t="n"/>
      <c r="U5253" s="194" t="n"/>
      <c r="AA5253" s="25" t="n"/>
      <c r="AB5253" s="25" t="n"/>
      <c r="AC5253" s="195" t="n"/>
      <c r="AD5253" s="25" t="n"/>
      <c r="AE5253" s="25" t="n"/>
      <c r="AG5253" s="25" t="n"/>
      <c r="AH5253" s="25" t="n"/>
      <c r="AI5253" s="394" t="n"/>
      <c r="AM5253" s="48" t="n"/>
      <c r="AN5253" s="48" t="n"/>
      <c r="AO5253" s="48" t="n"/>
    </row>
    <row r="5254">
      <c r="M5254" s="25" t="n"/>
      <c r="Q5254" s="25" t="n"/>
      <c r="U5254" s="194" t="n"/>
      <c r="AA5254" s="25" t="n"/>
      <c r="AB5254" s="25" t="n"/>
      <c r="AC5254" s="195" t="n"/>
      <c r="AD5254" s="25" t="n"/>
      <c r="AE5254" s="25" t="n"/>
      <c r="AG5254" s="25" t="n"/>
      <c r="AH5254" s="25" t="n"/>
      <c r="AI5254" s="394" t="n"/>
      <c r="AM5254" s="48" t="n"/>
      <c r="AN5254" s="48" t="n"/>
      <c r="AO5254" s="48" t="n"/>
    </row>
    <row r="5255">
      <c r="M5255" s="25" t="n"/>
      <c r="Q5255" s="25" t="n"/>
      <c r="U5255" s="194" t="n"/>
      <c r="AA5255" s="25" t="n"/>
      <c r="AB5255" s="25" t="n"/>
      <c r="AC5255" s="195" t="n"/>
      <c r="AD5255" s="25" t="n"/>
      <c r="AE5255" s="25" t="n"/>
      <c r="AG5255" s="25" t="n"/>
      <c r="AH5255" s="25" t="n"/>
      <c r="AI5255" s="394" t="n"/>
      <c r="AM5255" s="48" t="n"/>
      <c r="AN5255" s="48" t="n"/>
      <c r="AO5255" s="48" t="n"/>
    </row>
    <row r="5256">
      <c r="M5256" s="25" t="n"/>
      <c r="Q5256" s="25" t="n"/>
      <c r="U5256" s="194" t="n"/>
      <c r="AA5256" s="25" t="n"/>
      <c r="AB5256" s="25" t="n"/>
      <c r="AC5256" s="195" t="n"/>
      <c r="AD5256" s="25" t="n"/>
      <c r="AE5256" s="25" t="n"/>
      <c r="AG5256" s="25" t="n"/>
      <c r="AH5256" s="25" t="n"/>
      <c r="AI5256" s="394" t="n"/>
      <c r="AM5256" s="48" t="n"/>
      <c r="AN5256" s="48" t="n"/>
      <c r="AO5256" s="48" t="n"/>
    </row>
    <row r="5257">
      <c r="M5257" s="25" t="n"/>
      <c r="Q5257" s="25" t="n"/>
      <c r="U5257" s="194" t="n"/>
      <c r="AA5257" s="25" t="n"/>
      <c r="AB5257" s="25" t="n"/>
      <c r="AC5257" s="195" t="n"/>
      <c r="AD5257" s="25" t="n"/>
      <c r="AE5257" s="25" t="n"/>
      <c r="AG5257" s="25" t="n"/>
      <c r="AH5257" s="25" t="n"/>
      <c r="AI5257" s="394" t="n"/>
      <c r="AM5257" s="48" t="n"/>
      <c r="AN5257" s="48" t="n"/>
      <c r="AO5257" s="48" t="n"/>
    </row>
    <row r="5258">
      <c r="M5258" s="25" t="n"/>
      <c r="Q5258" s="25" t="n"/>
      <c r="U5258" s="194" t="n"/>
      <c r="AA5258" s="25" t="n"/>
      <c r="AB5258" s="25" t="n"/>
      <c r="AC5258" s="195" t="n"/>
      <c r="AD5258" s="25" t="n"/>
      <c r="AE5258" s="25" t="n"/>
      <c r="AG5258" s="25" t="n"/>
      <c r="AH5258" s="25" t="n"/>
      <c r="AI5258" s="394" t="n"/>
      <c r="AM5258" s="48" t="n"/>
      <c r="AN5258" s="48" t="n"/>
      <c r="AO5258" s="48" t="n"/>
    </row>
    <row r="5259">
      <c r="M5259" s="25" t="n"/>
      <c r="Q5259" s="25" t="n"/>
      <c r="U5259" s="194" t="n"/>
      <c r="AA5259" s="25" t="n"/>
      <c r="AB5259" s="25" t="n"/>
      <c r="AC5259" s="195" t="n"/>
      <c r="AD5259" s="25" t="n"/>
      <c r="AE5259" s="25" t="n"/>
      <c r="AG5259" s="25" t="n"/>
      <c r="AH5259" s="25" t="n"/>
      <c r="AI5259" s="394" t="n"/>
      <c r="AM5259" s="48" t="n"/>
      <c r="AN5259" s="48" t="n"/>
      <c r="AO5259" s="48" t="n"/>
    </row>
    <row r="5260">
      <c r="M5260" s="25" t="n"/>
      <c r="Q5260" s="25" t="n"/>
      <c r="U5260" s="194" t="n"/>
      <c r="AA5260" s="25" t="n"/>
      <c r="AB5260" s="25" t="n"/>
      <c r="AC5260" s="195" t="n"/>
      <c r="AD5260" s="25" t="n"/>
      <c r="AE5260" s="25" t="n"/>
      <c r="AG5260" s="25" t="n"/>
      <c r="AH5260" s="25" t="n"/>
      <c r="AI5260" s="394" t="n"/>
      <c r="AM5260" s="48" t="n"/>
      <c r="AN5260" s="48" t="n"/>
      <c r="AO5260" s="48" t="n"/>
    </row>
    <row r="5261">
      <c r="M5261" s="25" t="n"/>
      <c r="Q5261" s="25" t="n"/>
      <c r="U5261" s="194" t="n"/>
      <c r="AA5261" s="25" t="n"/>
      <c r="AB5261" s="25" t="n"/>
      <c r="AC5261" s="195" t="n"/>
      <c r="AD5261" s="25" t="n"/>
      <c r="AE5261" s="25" t="n"/>
      <c r="AG5261" s="25" t="n"/>
      <c r="AH5261" s="25" t="n"/>
      <c r="AI5261" s="394" t="n"/>
      <c r="AM5261" s="48" t="n"/>
      <c r="AN5261" s="48" t="n"/>
      <c r="AO5261" s="48" t="n"/>
    </row>
    <row r="5262">
      <c r="M5262" s="25" t="n"/>
      <c r="Q5262" s="25" t="n"/>
      <c r="U5262" s="194" t="n"/>
      <c r="AA5262" s="25" t="n"/>
      <c r="AB5262" s="25" t="n"/>
      <c r="AC5262" s="195" t="n"/>
      <c r="AD5262" s="25" t="n"/>
      <c r="AE5262" s="25" t="n"/>
      <c r="AG5262" s="25" t="n"/>
      <c r="AH5262" s="25" t="n"/>
      <c r="AI5262" s="394" t="n"/>
      <c r="AM5262" s="48" t="n"/>
      <c r="AN5262" s="48" t="n"/>
      <c r="AO5262" s="48" t="n"/>
    </row>
    <row r="5263">
      <c r="M5263" s="25" t="n"/>
      <c r="Q5263" s="25" t="n"/>
      <c r="U5263" s="194" t="n"/>
      <c r="AA5263" s="25" t="n"/>
      <c r="AB5263" s="25" t="n"/>
      <c r="AC5263" s="195" t="n"/>
      <c r="AD5263" s="25" t="n"/>
      <c r="AE5263" s="25" t="n"/>
      <c r="AG5263" s="25" t="n"/>
      <c r="AH5263" s="25" t="n"/>
      <c r="AI5263" s="394" t="n"/>
      <c r="AM5263" s="48" t="n"/>
      <c r="AN5263" s="48" t="n"/>
      <c r="AO5263" s="48" t="n"/>
    </row>
    <row r="5264">
      <c r="M5264" s="25" t="n"/>
      <c r="Q5264" s="25" t="n"/>
      <c r="U5264" s="194" t="n"/>
      <c r="AA5264" s="25" t="n"/>
      <c r="AB5264" s="25" t="n"/>
      <c r="AC5264" s="195" t="n"/>
      <c r="AD5264" s="25" t="n"/>
      <c r="AE5264" s="25" t="n"/>
      <c r="AG5264" s="25" t="n"/>
      <c r="AH5264" s="25" t="n"/>
      <c r="AI5264" s="394" t="n"/>
      <c r="AM5264" s="48" t="n"/>
      <c r="AN5264" s="48" t="n"/>
      <c r="AO5264" s="48" t="n"/>
    </row>
    <row r="5265">
      <c r="M5265" s="25" t="n"/>
      <c r="Q5265" s="25" t="n"/>
      <c r="U5265" s="194" t="n"/>
      <c r="AA5265" s="25" t="n"/>
      <c r="AB5265" s="25" t="n"/>
      <c r="AC5265" s="195" t="n"/>
      <c r="AD5265" s="25" t="n"/>
      <c r="AE5265" s="25" t="n"/>
      <c r="AG5265" s="25" t="n"/>
      <c r="AH5265" s="25" t="n"/>
      <c r="AI5265" s="394" t="n"/>
      <c r="AM5265" s="48" t="n"/>
      <c r="AN5265" s="48" t="n"/>
      <c r="AO5265" s="48" t="n"/>
    </row>
    <row r="5266">
      <c r="M5266" s="25" t="n"/>
      <c r="Q5266" s="25" t="n"/>
      <c r="U5266" s="194" t="n"/>
      <c r="AA5266" s="25" t="n"/>
      <c r="AB5266" s="25" t="n"/>
      <c r="AC5266" s="195" t="n"/>
      <c r="AD5266" s="25" t="n"/>
      <c r="AE5266" s="25" t="n"/>
      <c r="AG5266" s="25" t="n"/>
      <c r="AH5266" s="25" t="n"/>
      <c r="AI5266" s="394" t="n"/>
      <c r="AM5266" s="48" t="n"/>
      <c r="AN5266" s="48" t="n"/>
      <c r="AO5266" s="48" t="n"/>
    </row>
    <row r="5267">
      <c r="M5267" s="25" t="n"/>
      <c r="Q5267" s="25" t="n"/>
      <c r="U5267" s="194" t="n"/>
      <c r="AA5267" s="25" t="n"/>
      <c r="AB5267" s="25" t="n"/>
      <c r="AC5267" s="195" t="n"/>
      <c r="AD5267" s="25" t="n"/>
      <c r="AE5267" s="25" t="n"/>
      <c r="AG5267" s="25" t="n"/>
      <c r="AH5267" s="25" t="n"/>
      <c r="AI5267" s="394" t="n"/>
      <c r="AM5267" s="48" t="n"/>
      <c r="AN5267" s="48" t="n"/>
      <c r="AO5267" s="48" t="n"/>
    </row>
    <row r="5268">
      <c r="M5268" s="25" t="n"/>
      <c r="Q5268" s="25" t="n"/>
      <c r="U5268" s="194" t="n"/>
      <c r="AA5268" s="25" t="n"/>
      <c r="AB5268" s="25" t="n"/>
      <c r="AC5268" s="195" t="n"/>
      <c r="AD5268" s="25" t="n"/>
      <c r="AE5268" s="25" t="n"/>
      <c r="AG5268" s="25" t="n"/>
      <c r="AH5268" s="25" t="n"/>
      <c r="AI5268" s="394" t="n"/>
      <c r="AM5268" s="48" t="n"/>
      <c r="AN5268" s="48" t="n"/>
      <c r="AO5268" s="48" t="n"/>
    </row>
    <row r="5269">
      <c r="M5269" s="25" t="n"/>
      <c r="Q5269" s="25" t="n"/>
      <c r="U5269" s="194" t="n"/>
      <c r="AA5269" s="25" t="n"/>
      <c r="AB5269" s="25" t="n"/>
      <c r="AC5269" s="195" t="n"/>
      <c r="AD5269" s="25" t="n"/>
      <c r="AE5269" s="25" t="n"/>
      <c r="AG5269" s="25" t="n"/>
      <c r="AH5269" s="25" t="n"/>
      <c r="AI5269" s="394" t="n"/>
      <c r="AM5269" s="48" t="n"/>
      <c r="AN5269" s="48" t="n"/>
      <c r="AO5269" s="48" t="n"/>
    </row>
    <row r="5270">
      <c r="M5270" s="25" t="n"/>
      <c r="Q5270" s="25" t="n"/>
      <c r="U5270" s="194" t="n"/>
      <c r="AA5270" s="25" t="n"/>
      <c r="AB5270" s="25" t="n"/>
      <c r="AC5270" s="195" t="n"/>
      <c r="AD5270" s="25" t="n"/>
      <c r="AE5270" s="25" t="n"/>
      <c r="AG5270" s="25" t="n"/>
      <c r="AH5270" s="25" t="n"/>
      <c r="AI5270" s="394" t="n"/>
      <c r="AM5270" s="48" t="n"/>
      <c r="AN5270" s="48" t="n"/>
      <c r="AO5270" s="48" t="n"/>
    </row>
    <row r="5271">
      <c r="M5271" s="25" t="n"/>
      <c r="Q5271" s="25" t="n"/>
      <c r="U5271" s="194" t="n"/>
      <c r="AA5271" s="25" t="n"/>
      <c r="AB5271" s="25" t="n"/>
      <c r="AC5271" s="195" t="n"/>
      <c r="AD5271" s="25" t="n"/>
      <c r="AE5271" s="25" t="n"/>
      <c r="AG5271" s="25" t="n"/>
      <c r="AH5271" s="25" t="n"/>
      <c r="AI5271" s="394" t="n"/>
      <c r="AM5271" s="48" t="n"/>
      <c r="AN5271" s="48" t="n"/>
      <c r="AO5271" s="48" t="n"/>
    </row>
    <row r="5272">
      <c r="M5272" s="25" t="n"/>
      <c r="Q5272" s="25" t="n"/>
      <c r="U5272" s="194" t="n"/>
      <c r="AA5272" s="25" t="n"/>
      <c r="AB5272" s="25" t="n"/>
      <c r="AC5272" s="195" t="n"/>
      <c r="AD5272" s="25" t="n"/>
      <c r="AE5272" s="25" t="n"/>
      <c r="AG5272" s="25" t="n"/>
      <c r="AH5272" s="25" t="n"/>
      <c r="AI5272" s="394" t="n"/>
      <c r="AM5272" s="48" t="n"/>
      <c r="AN5272" s="48" t="n"/>
      <c r="AO5272" s="48" t="n"/>
    </row>
    <row r="5273">
      <c r="M5273" s="25" t="n"/>
      <c r="Q5273" s="25" t="n"/>
      <c r="U5273" s="194" t="n"/>
      <c r="AA5273" s="25" t="n"/>
      <c r="AB5273" s="25" t="n"/>
      <c r="AC5273" s="195" t="n"/>
      <c r="AD5273" s="25" t="n"/>
      <c r="AE5273" s="25" t="n"/>
      <c r="AG5273" s="25" t="n"/>
      <c r="AH5273" s="25" t="n"/>
      <c r="AI5273" s="394" t="n"/>
      <c r="AM5273" s="48" t="n"/>
      <c r="AN5273" s="48" t="n"/>
      <c r="AO5273" s="48" t="n"/>
    </row>
    <row r="5274">
      <c r="M5274" s="25" t="n"/>
      <c r="Q5274" s="25" t="n"/>
      <c r="U5274" s="194" t="n"/>
      <c r="AA5274" s="25" t="n"/>
      <c r="AB5274" s="25" t="n"/>
      <c r="AC5274" s="195" t="n"/>
      <c r="AD5274" s="25" t="n"/>
      <c r="AE5274" s="25" t="n"/>
      <c r="AG5274" s="25" t="n"/>
      <c r="AH5274" s="25" t="n"/>
      <c r="AI5274" s="394" t="n"/>
      <c r="AM5274" s="48" t="n"/>
      <c r="AN5274" s="48" t="n"/>
      <c r="AO5274" s="48" t="n"/>
    </row>
    <row r="5275">
      <c r="M5275" s="25" t="n"/>
      <c r="Q5275" s="25" t="n"/>
      <c r="U5275" s="194" t="n"/>
      <c r="AA5275" s="25" t="n"/>
      <c r="AB5275" s="25" t="n"/>
      <c r="AC5275" s="195" t="n"/>
      <c r="AD5275" s="25" t="n"/>
      <c r="AE5275" s="25" t="n"/>
      <c r="AG5275" s="25" t="n"/>
      <c r="AH5275" s="25" t="n"/>
      <c r="AI5275" s="394" t="n"/>
      <c r="AM5275" s="48" t="n"/>
      <c r="AN5275" s="48" t="n"/>
      <c r="AO5275" s="48" t="n"/>
    </row>
    <row r="5276">
      <c r="M5276" s="25" t="n"/>
      <c r="Q5276" s="25" t="n"/>
      <c r="U5276" s="194" t="n"/>
      <c r="AA5276" s="25" t="n"/>
      <c r="AB5276" s="25" t="n"/>
      <c r="AC5276" s="195" t="n"/>
      <c r="AD5276" s="25" t="n"/>
      <c r="AE5276" s="25" t="n"/>
      <c r="AG5276" s="25" t="n"/>
      <c r="AH5276" s="25" t="n"/>
      <c r="AI5276" s="394" t="n"/>
      <c r="AM5276" s="48" t="n"/>
      <c r="AN5276" s="48" t="n"/>
      <c r="AO5276" s="48" t="n"/>
    </row>
    <row r="5277">
      <c r="M5277" s="25" t="n"/>
      <c r="Q5277" s="25" t="n"/>
      <c r="U5277" s="194" t="n"/>
      <c r="AA5277" s="25" t="n"/>
      <c r="AB5277" s="25" t="n"/>
      <c r="AC5277" s="195" t="n"/>
      <c r="AD5277" s="25" t="n"/>
      <c r="AE5277" s="25" t="n"/>
      <c r="AG5277" s="25" t="n"/>
      <c r="AH5277" s="25" t="n"/>
      <c r="AI5277" s="394" t="n"/>
      <c r="AM5277" s="48" t="n"/>
      <c r="AN5277" s="48" t="n"/>
      <c r="AO5277" s="48" t="n"/>
    </row>
    <row r="5278">
      <c r="M5278" s="25" t="n"/>
      <c r="Q5278" s="25" t="n"/>
      <c r="U5278" s="194" t="n"/>
      <c r="AA5278" s="25" t="n"/>
      <c r="AB5278" s="25" t="n"/>
      <c r="AC5278" s="195" t="n"/>
      <c r="AD5278" s="25" t="n"/>
      <c r="AE5278" s="25" t="n"/>
      <c r="AG5278" s="25" t="n"/>
      <c r="AH5278" s="25" t="n"/>
      <c r="AI5278" s="394" t="n"/>
      <c r="AM5278" s="48" t="n"/>
      <c r="AN5278" s="48" t="n"/>
      <c r="AO5278" s="48" t="n"/>
    </row>
    <row r="5279">
      <c r="M5279" s="25" t="n"/>
      <c r="Q5279" s="25" t="n"/>
      <c r="U5279" s="194" t="n"/>
      <c r="AA5279" s="25" t="n"/>
      <c r="AB5279" s="25" t="n"/>
      <c r="AC5279" s="195" t="n"/>
      <c r="AD5279" s="25" t="n"/>
      <c r="AE5279" s="25" t="n"/>
      <c r="AG5279" s="25" t="n"/>
      <c r="AH5279" s="25" t="n"/>
      <c r="AI5279" s="394" t="n"/>
      <c r="AM5279" s="48" t="n"/>
      <c r="AN5279" s="48" t="n"/>
      <c r="AO5279" s="48" t="n"/>
    </row>
    <row r="5280">
      <c r="M5280" s="25" t="n"/>
      <c r="Q5280" s="25" t="n"/>
      <c r="U5280" s="194" t="n"/>
      <c r="AA5280" s="25" t="n"/>
      <c r="AB5280" s="25" t="n"/>
      <c r="AC5280" s="195" t="n"/>
      <c r="AD5280" s="25" t="n"/>
      <c r="AE5280" s="25" t="n"/>
      <c r="AG5280" s="25" t="n"/>
      <c r="AH5280" s="25" t="n"/>
      <c r="AI5280" s="394" t="n"/>
      <c r="AM5280" s="48" t="n"/>
      <c r="AN5280" s="48" t="n"/>
      <c r="AO5280" s="48" t="n"/>
    </row>
    <row r="5281">
      <c r="M5281" s="25" t="n"/>
      <c r="Q5281" s="25" t="n"/>
      <c r="U5281" s="194" t="n"/>
      <c r="AA5281" s="25" t="n"/>
      <c r="AB5281" s="25" t="n"/>
      <c r="AC5281" s="195" t="n"/>
      <c r="AD5281" s="25" t="n"/>
      <c r="AE5281" s="25" t="n"/>
      <c r="AG5281" s="25" t="n"/>
      <c r="AH5281" s="25" t="n"/>
      <c r="AI5281" s="394" t="n"/>
      <c r="AM5281" s="48" t="n"/>
      <c r="AN5281" s="48" t="n"/>
      <c r="AO5281" s="48" t="n"/>
    </row>
    <row r="5282">
      <c r="M5282" s="25" t="n"/>
      <c r="Q5282" s="25" t="n"/>
      <c r="U5282" s="194" t="n"/>
      <c r="AA5282" s="25" t="n"/>
      <c r="AB5282" s="25" t="n"/>
      <c r="AC5282" s="195" t="n"/>
      <c r="AD5282" s="25" t="n"/>
      <c r="AE5282" s="25" t="n"/>
      <c r="AG5282" s="25" t="n"/>
      <c r="AH5282" s="25" t="n"/>
      <c r="AI5282" s="394" t="n"/>
      <c r="AM5282" s="48" t="n"/>
      <c r="AN5282" s="48" t="n"/>
      <c r="AO5282" s="48" t="n"/>
    </row>
    <row r="5283">
      <c r="M5283" s="25" t="n"/>
      <c r="Q5283" s="25" t="n"/>
      <c r="U5283" s="194" t="n"/>
      <c r="AA5283" s="25" t="n"/>
      <c r="AB5283" s="25" t="n"/>
      <c r="AC5283" s="195" t="n"/>
      <c r="AD5283" s="25" t="n"/>
      <c r="AE5283" s="25" t="n"/>
      <c r="AG5283" s="25" t="n"/>
      <c r="AH5283" s="25" t="n"/>
      <c r="AI5283" s="394" t="n"/>
      <c r="AM5283" s="48" t="n"/>
      <c r="AN5283" s="48" t="n"/>
      <c r="AO5283" s="48" t="n"/>
    </row>
    <row r="5284">
      <c r="M5284" s="25" t="n"/>
      <c r="Q5284" s="25" t="n"/>
      <c r="U5284" s="194" t="n"/>
      <c r="AA5284" s="25" t="n"/>
      <c r="AB5284" s="25" t="n"/>
      <c r="AC5284" s="195" t="n"/>
      <c r="AD5284" s="25" t="n"/>
      <c r="AE5284" s="25" t="n"/>
      <c r="AG5284" s="25" t="n"/>
      <c r="AH5284" s="25" t="n"/>
      <c r="AI5284" s="394" t="n"/>
      <c r="AM5284" s="48" t="n"/>
      <c r="AN5284" s="48" t="n"/>
      <c r="AO5284" s="48" t="n"/>
    </row>
    <row r="5285">
      <c r="M5285" s="25" t="n"/>
      <c r="Q5285" s="25" t="n"/>
      <c r="U5285" s="194" t="n"/>
      <c r="AA5285" s="25" t="n"/>
      <c r="AB5285" s="25" t="n"/>
      <c r="AC5285" s="195" t="n"/>
      <c r="AD5285" s="25" t="n"/>
      <c r="AE5285" s="25" t="n"/>
      <c r="AG5285" s="25" t="n"/>
      <c r="AH5285" s="25" t="n"/>
      <c r="AI5285" s="394" t="n"/>
      <c r="AM5285" s="48" t="n"/>
      <c r="AN5285" s="48" t="n"/>
      <c r="AO5285" s="48" t="n"/>
    </row>
    <row r="5286">
      <c r="M5286" s="25" t="n"/>
      <c r="Q5286" s="25" t="n"/>
      <c r="U5286" s="194" t="n"/>
      <c r="AA5286" s="25" t="n"/>
      <c r="AB5286" s="25" t="n"/>
      <c r="AC5286" s="195" t="n"/>
      <c r="AD5286" s="25" t="n"/>
      <c r="AE5286" s="25" t="n"/>
      <c r="AG5286" s="25" t="n"/>
      <c r="AH5286" s="25" t="n"/>
      <c r="AI5286" s="394" t="n"/>
      <c r="AM5286" s="48" t="n"/>
      <c r="AN5286" s="48" t="n"/>
      <c r="AO5286" s="48" t="n"/>
    </row>
    <row r="5287">
      <c r="M5287" s="25" t="n"/>
      <c r="Q5287" s="25" t="n"/>
      <c r="U5287" s="194" t="n"/>
      <c r="AA5287" s="25" t="n"/>
      <c r="AB5287" s="25" t="n"/>
      <c r="AC5287" s="195" t="n"/>
      <c r="AD5287" s="25" t="n"/>
      <c r="AE5287" s="25" t="n"/>
      <c r="AG5287" s="25" t="n"/>
      <c r="AH5287" s="25" t="n"/>
      <c r="AI5287" s="394" t="n"/>
      <c r="AM5287" s="48" t="n"/>
      <c r="AN5287" s="48" t="n"/>
      <c r="AO5287" s="48" t="n"/>
    </row>
    <row r="5288">
      <c r="M5288" s="25" t="n"/>
      <c r="Q5288" s="25" t="n"/>
      <c r="U5288" s="194" t="n"/>
      <c r="AA5288" s="25" t="n"/>
      <c r="AB5288" s="25" t="n"/>
      <c r="AC5288" s="195" t="n"/>
      <c r="AD5288" s="25" t="n"/>
      <c r="AE5288" s="25" t="n"/>
      <c r="AG5288" s="25" t="n"/>
      <c r="AH5288" s="25" t="n"/>
      <c r="AI5288" s="394" t="n"/>
      <c r="AM5288" s="48" t="n"/>
      <c r="AN5288" s="48" t="n"/>
      <c r="AO5288" s="48" t="n"/>
    </row>
    <row r="5289">
      <c r="M5289" s="25" t="n"/>
      <c r="Q5289" s="25" t="n"/>
      <c r="U5289" s="194" t="n"/>
      <c r="AA5289" s="25" t="n"/>
      <c r="AB5289" s="25" t="n"/>
      <c r="AC5289" s="195" t="n"/>
      <c r="AD5289" s="25" t="n"/>
      <c r="AE5289" s="25" t="n"/>
      <c r="AG5289" s="25" t="n"/>
      <c r="AH5289" s="25" t="n"/>
      <c r="AI5289" s="394" t="n"/>
      <c r="AM5289" s="48" t="n"/>
      <c r="AN5289" s="48" t="n"/>
      <c r="AO5289" s="48" t="n"/>
    </row>
    <row r="5290">
      <c r="M5290" s="25" t="n"/>
      <c r="Q5290" s="25" t="n"/>
      <c r="U5290" s="194" t="n"/>
      <c r="AA5290" s="25" t="n"/>
      <c r="AB5290" s="25" t="n"/>
      <c r="AC5290" s="195" t="n"/>
      <c r="AD5290" s="25" t="n"/>
      <c r="AE5290" s="25" t="n"/>
      <c r="AG5290" s="25" t="n"/>
      <c r="AH5290" s="25" t="n"/>
      <c r="AI5290" s="394" t="n"/>
      <c r="AM5290" s="48" t="n"/>
      <c r="AN5290" s="48" t="n"/>
      <c r="AO5290" s="48" t="n"/>
    </row>
    <row r="5291">
      <c r="M5291" s="25" t="n"/>
      <c r="Q5291" s="25" t="n"/>
      <c r="U5291" s="194" t="n"/>
      <c r="AA5291" s="25" t="n"/>
      <c r="AB5291" s="25" t="n"/>
      <c r="AC5291" s="195" t="n"/>
      <c r="AD5291" s="25" t="n"/>
      <c r="AE5291" s="25" t="n"/>
      <c r="AG5291" s="25" t="n"/>
      <c r="AH5291" s="25" t="n"/>
      <c r="AI5291" s="394" t="n"/>
      <c r="AM5291" s="48" t="n"/>
      <c r="AN5291" s="48" t="n"/>
      <c r="AO5291" s="48" t="n"/>
    </row>
    <row r="5292">
      <c r="M5292" s="25" t="n"/>
      <c r="Q5292" s="25" t="n"/>
      <c r="U5292" s="194" t="n"/>
      <c r="AA5292" s="25" t="n"/>
      <c r="AB5292" s="25" t="n"/>
      <c r="AC5292" s="195" t="n"/>
      <c r="AD5292" s="25" t="n"/>
      <c r="AE5292" s="25" t="n"/>
      <c r="AG5292" s="25" t="n"/>
      <c r="AH5292" s="25" t="n"/>
      <c r="AI5292" s="394" t="n"/>
      <c r="AM5292" s="48" t="n"/>
      <c r="AN5292" s="48" t="n"/>
      <c r="AO5292" s="48" t="n"/>
    </row>
    <row r="5293">
      <c r="M5293" s="25" t="n"/>
      <c r="Q5293" s="25" t="n"/>
      <c r="U5293" s="194" t="n"/>
      <c r="AA5293" s="25" t="n"/>
      <c r="AB5293" s="25" t="n"/>
      <c r="AC5293" s="195" t="n"/>
      <c r="AD5293" s="25" t="n"/>
      <c r="AE5293" s="25" t="n"/>
      <c r="AG5293" s="25" t="n"/>
      <c r="AH5293" s="25" t="n"/>
      <c r="AI5293" s="394" t="n"/>
      <c r="AM5293" s="48" t="n"/>
      <c r="AN5293" s="48" t="n"/>
      <c r="AO5293" s="48" t="n"/>
    </row>
    <row r="5294">
      <c r="M5294" s="25" t="n"/>
      <c r="Q5294" s="25" t="n"/>
      <c r="U5294" s="194" t="n"/>
      <c r="AA5294" s="25" t="n"/>
      <c r="AB5294" s="25" t="n"/>
      <c r="AC5294" s="195" t="n"/>
      <c r="AD5294" s="25" t="n"/>
      <c r="AE5294" s="25" t="n"/>
      <c r="AG5294" s="25" t="n"/>
      <c r="AH5294" s="25" t="n"/>
      <c r="AI5294" s="394" t="n"/>
      <c r="AM5294" s="48" t="n"/>
      <c r="AN5294" s="48" t="n"/>
      <c r="AO5294" s="48" t="n"/>
    </row>
    <row r="5295">
      <c r="M5295" s="25" t="n"/>
      <c r="Q5295" s="25" t="n"/>
      <c r="U5295" s="194" t="n"/>
      <c r="AA5295" s="25" t="n"/>
      <c r="AB5295" s="25" t="n"/>
      <c r="AC5295" s="195" t="n"/>
      <c r="AD5295" s="25" t="n"/>
      <c r="AE5295" s="25" t="n"/>
      <c r="AG5295" s="25" t="n"/>
      <c r="AH5295" s="25" t="n"/>
      <c r="AI5295" s="394" t="n"/>
      <c r="AM5295" s="48" t="n"/>
      <c r="AN5295" s="48" t="n"/>
      <c r="AO5295" s="48" t="n"/>
    </row>
    <row r="5296">
      <c r="M5296" s="25" t="n"/>
      <c r="Q5296" s="25" t="n"/>
      <c r="U5296" s="194" t="n"/>
      <c r="AA5296" s="25" t="n"/>
      <c r="AB5296" s="25" t="n"/>
      <c r="AC5296" s="195" t="n"/>
      <c r="AD5296" s="25" t="n"/>
      <c r="AE5296" s="25" t="n"/>
      <c r="AG5296" s="25" t="n"/>
      <c r="AH5296" s="25" t="n"/>
      <c r="AI5296" s="394" t="n"/>
      <c r="AM5296" s="48" t="n"/>
      <c r="AN5296" s="48" t="n"/>
      <c r="AO5296" s="48" t="n"/>
    </row>
    <row r="5297">
      <c r="M5297" s="25" t="n"/>
      <c r="Q5297" s="25" t="n"/>
      <c r="U5297" s="194" t="n"/>
      <c r="AA5297" s="25" t="n"/>
      <c r="AB5297" s="25" t="n"/>
      <c r="AC5297" s="195" t="n"/>
      <c r="AD5297" s="25" t="n"/>
      <c r="AE5297" s="25" t="n"/>
      <c r="AG5297" s="25" t="n"/>
      <c r="AH5297" s="25" t="n"/>
      <c r="AI5297" s="394" t="n"/>
      <c r="AM5297" s="48" t="n"/>
      <c r="AN5297" s="48" t="n"/>
      <c r="AO5297" s="48" t="n"/>
    </row>
    <row r="5298">
      <c r="M5298" s="25" t="n"/>
      <c r="Q5298" s="25" t="n"/>
      <c r="U5298" s="194" t="n"/>
      <c r="AA5298" s="25" t="n"/>
      <c r="AB5298" s="25" t="n"/>
      <c r="AC5298" s="195" t="n"/>
      <c r="AD5298" s="25" t="n"/>
      <c r="AE5298" s="25" t="n"/>
      <c r="AG5298" s="25" t="n"/>
      <c r="AH5298" s="25" t="n"/>
      <c r="AI5298" s="394" t="n"/>
      <c r="AM5298" s="48" t="n"/>
      <c r="AN5298" s="48" t="n"/>
      <c r="AO5298" s="48" t="n"/>
    </row>
    <row r="5299">
      <c r="M5299" s="25" t="n"/>
      <c r="Q5299" s="25" t="n"/>
      <c r="U5299" s="194" t="n"/>
      <c r="AA5299" s="25" t="n"/>
      <c r="AB5299" s="25" t="n"/>
      <c r="AC5299" s="195" t="n"/>
      <c r="AD5299" s="25" t="n"/>
      <c r="AE5299" s="25" t="n"/>
      <c r="AG5299" s="25" t="n"/>
      <c r="AH5299" s="25" t="n"/>
      <c r="AI5299" s="394" t="n"/>
      <c r="AM5299" s="48" t="n"/>
      <c r="AN5299" s="48" t="n"/>
      <c r="AO5299" s="48" t="n"/>
    </row>
    <row r="5300">
      <c r="M5300" s="25" t="n"/>
      <c r="Q5300" s="25" t="n"/>
      <c r="U5300" s="194" t="n"/>
      <c r="AA5300" s="25" t="n"/>
      <c r="AB5300" s="25" t="n"/>
      <c r="AC5300" s="195" t="n"/>
      <c r="AD5300" s="25" t="n"/>
      <c r="AE5300" s="25" t="n"/>
      <c r="AG5300" s="25" t="n"/>
      <c r="AH5300" s="25" t="n"/>
      <c r="AI5300" s="394" t="n"/>
      <c r="AM5300" s="48" t="n"/>
      <c r="AN5300" s="48" t="n"/>
      <c r="AO5300" s="48" t="n"/>
    </row>
    <row r="5301">
      <c r="M5301" s="25" t="n"/>
      <c r="Q5301" s="25" t="n"/>
      <c r="U5301" s="194" t="n"/>
      <c r="AA5301" s="25" t="n"/>
      <c r="AB5301" s="25" t="n"/>
      <c r="AC5301" s="195" t="n"/>
      <c r="AD5301" s="25" t="n"/>
      <c r="AE5301" s="25" t="n"/>
      <c r="AG5301" s="25" t="n"/>
      <c r="AH5301" s="25" t="n"/>
      <c r="AI5301" s="394" t="n"/>
      <c r="AM5301" s="48" t="n"/>
      <c r="AN5301" s="48" t="n"/>
      <c r="AO5301" s="48" t="n"/>
    </row>
    <row r="5302">
      <c r="M5302" s="25" t="n"/>
      <c r="Q5302" s="25" t="n"/>
      <c r="U5302" s="194" t="n"/>
      <c r="AA5302" s="25" t="n"/>
      <c r="AB5302" s="25" t="n"/>
      <c r="AC5302" s="195" t="n"/>
      <c r="AD5302" s="25" t="n"/>
      <c r="AE5302" s="25" t="n"/>
      <c r="AG5302" s="25" t="n"/>
      <c r="AH5302" s="25" t="n"/>
      <c r="AI5302" s="394" t="n"/>
      <c r="AM5302" s="48" t="n"/>
      <c r="AN5302" s="48" t="n"/>
      <c r="AO5302" s="48" t="n"/>
    </row>
    <row r="5303">
      <c r="M5303" s="25" t="n"/>
      <c r="Q5303" s="25" t="n"/>
      <c r="U5303" s="194" t="n"/>
      <c r="AA5303" s="25" t="n"/>
      <c r="AB5303" s="25" t="n"/>
      <c r="AC5303" s="195" t="n"/>
      <c r="AD5303" s="25" t="n"/>
      <c r="AE5303" s="25" t="n"/>
      <c r="AG5303" s="25" t="n"/>
      <c r="AH5303" s="25" t="n"/>
      <c r="AI5303" s="394" t="n"/>
      <c r="AM5303" s="48" t="n"/>
      <c r="AN5303" s="48" t="n"/>
      <c r="AO5303" s="48" t="n"/>
    </row>
    <row r="5304">
      <c r="M5304" s="25" t="n"/>
      <c r="Q5304" s="25" t="n"/>
      <c r="U5304" s="194" t="n"/>
      <c r="AA5304" s="25" t="n"/>
      <c r="AB5304" s="25" t="n"/>
      <c r="AC5304" s="195" t="n"/>
      <c r="AD5304" s="25" t="n"/>
      <c r="AE5304" s="25" t="n"/>
      <c r="AG5304" s="25" t="n"/>
      <c r="AH5304" s="25" t="n"/>
      <c r="AI5304" s="394" t="n"/>
      <c r="AM5304" s="48" t="n"/>
      <c r="AN5304" s="48" t="n"/>
      <c r="AO5304" s="48" t="n"/>
    </row>
    <row r="5305">
      <c r="M5305" s="25" t="n"/>
      <c r="Q5305" s="25" t="n"/>
      <c r="U5305" s="194" t="n"/>
      <c r="AA5305" s="25" t="n"/>
      <c r="AB5305" s="25" t="n"/>
      <c r="AC5305" s="195" t="n"/>
      <c r="AD5305" s="25" t="n"/>
      <c r="AE5305" s="25" t="n"/>
      <c r="AG5305" s="25" t="n"/>
      <c r="AH5305" s="25" t="n"/>
      <c r="AI5305" s="394" t="n"/>
      <c r="AM5305" s="48" t="n"/>
      <c r="AN5305" s="48" t="n"/>
      <c r="AO5305" s="48" t="n"/>
    </row>
    <row r="5306">
      <c r="M5306" s="25" t="n"/>
      <c r="Q5306" s="25" t="n"/>
      <c r="U5306" s="194" t="n"/>
      <c r="AA5306" s="25" t="n"/>
      <c r="AB5306" s="25" t="n"/>
      <c r="AC5306" s="195" t="n"/>
      <c r="AD5306" s="25" t="n"/>
      <c r="AE5306" s="25" t="n"/>
      <c r="AG5306" s="25" t="n"/>
      <c r="AH5306" s="25" t="n"/>
      <c r="AI5306" s="394" t="n"/>
      <c r="AM5306" s="48" t="n"/>
      <c r="AN5306" s="48" t="n"/>
      <c r="AO5306" s="48" t="n"/>
    </row>
    <row r="5307">
      <c r="M5307" s="25" t="n"/>
      <c r="Q5307" s="25" t="n"/>
      <c r="U5307" s="194" t="n"/>
      <c r="AA5307" s="25" t="n"/>
      <c r="AB5307" s="25" t="n"/>
      <c r="AC5307" s="195" t="n"/>
      <c r="AD5307" s="25" t="n"/>
      <c r="AE5307" s="25" t="n"/>
      <c r="AG5307" s="25" t="n"/>
      <c r="AH5307" s="25" t="n"/>
      <c r="AI5307" s="394" t="n"/>
      <c r="AM5307" s="48" t="n"/>
      <c r="AN5307" s="48" t="n"/>
      <c r="AO5307" s="48" t="n"/>
    </row>
    <row r="5308">
      <c r="M5308" s="25" t="n"/>
      <c r="Q5308" s="25" t="n"/>
      <c r="U5308" s="194" t="n"/>
      <c r="AA5308" s="25" t="n"/>
      <c r="AB5308" s="25" t="n"/>
      <c r="AC5308" s="195" t="n"/>
      <c r="AD5308" s="25" t="n"/>
      <c r="AE5308" s="25" t="n"/>
      <c r="AG5308" s="25" t="n"/>
      <c r="AH5308" s="25" t="n"/>
      <c r="AI5308" s="394" t="n"/>
      <c r="AM5308" s="48" t="n"/>
      <c r="AN5308" s="48" t="n"/>
      <c r="AO5308" s="48" t="n"/>
    </row>
    <row r="5309">
      <c r="M5309" s="25" t="n"/>
      <c r="Q5309" s="25" t="n"/>
      <c r="U5309" s="194" t="n"/>
      <c r="AA5309" s="25" t="n"/>
      <c r="AB5309" s="25" t="n"/>
      <c r="AC5309" s="195" t="n"/>
      <c r="AD5309" s="25" t="n"/>
      <c r="AE5309" s="25" t="n"/>
      <c r="AG5309" s="25" t="n"/>
      <c r="AH5309" s="25" t="n"/>
      <c r="AI5309" s="394" t="n"/>
      <c r="AM5309" s="48" t="n"/>
      <c r="AN5309" s="48" t="n"/>
      <c r="AO5309" s="48" t="n"/>
    </row>
    <row r="5310">
      <c r="M5310" s="25" t="n"/>
      <c r="Q5310" s="25" t="n"/>
      <c r="U5310" s="194" t="n"/>
      <c r="AA5310" s="25" t="n"/>
      <c r="AB5310" s="25" t="n"/>
      <c r="AC5310" s="195" t="n"/>
      <c r="AD5310" s="25" t="n"/>
      <c r="AE5310" s="25" t="n"/>
      <c r="AG5310" s="25" t="n"/>
      <c r="AH5310" s="25" t="n"/>
      <c r="AI5310" s="394" t="n"/>
      <c r="AM5310" s="48" t="n"/>
      <c r="AN5310" s="48" t="n"/>
      <c r="AO5310" s="48" t="n"/>
    </row>
    <row r="5311">
      <c r="M5311" s="25" t="n"/>
      <c r="Q5311" s="25" t="n"/>
      <c r="U5311" s="194" t="n"/>
      <c r="AA5311" s="25" t="n"/>
      <c r="AB5311" s="25" t="n"/>
      <c r="AC5311" s="195" t="n"/>
      <c r="AD5311" s="25" t="n"/>
      <c r="AE5311" s="25" t="n"/>
      <c r="AG5311" s="25" t="n"/>
      <c r="AH5311" s="25" t="n"/>
      <c r="AI5311" s="394" t="n"/>
      <c r="AM5311" s="48" t="n"/>
      <c r="AN5311" s="48" t="n"/>
      <c r="AO5311" s="48" t="n"/>
    </row>
    <row r="5312">
      <c r="M5312" s="25" t="n"/>
      <c r="Q5312" s="25" t="n"/>
      <c r="U5312" s="194" t="n"/>
      <c r="AA5312" s="25" t="n"/>
      <c r="AB5312" s="25" t="n"/>
      <c r="AC5312" s="195" t="n"/>
      <c r="AD5312" s="25" t="n"/>
      <c r="AE5312" s="25" t="n"/>
      <c r="AG5312" s="25" t="n"/>
      <c r="AH5312" s="25" t="n"/>
      <c r="AI5312" s="394" t="n"/>
      <c r="AM5312" s="48" t="n"/>
      <c r="AN5312" s="48" t="n"/>
      <c r="AO5312" s="48" t="n"/>
    </row>
    <row r="5313">
      <c r="M5313" s="25" t="n"/>
      <c r="Q5313" s="25" t="n"/>
      <c r="U5313" s="194" t="n"/>
      <c r="AA5313" s="25" t="n"/>
      <c r="AB5313" s="25" t="n"/>
      <c r="AC5313" s="195" t="n"/>
      <c r="AD5313" s="25" t="n"/>
      <c r="AE5313" s="25" t="n"/>
      <c r="AG5313" s="25" t="n"/>
      <c r="AH5313" s="25" t="n"/>
      <c r="AI5313" s="394" t="n"/>
      <c r="AM5313" s="48" t="n"/>
      <c r="AN5313" s="48" t="n"/>
      <c r="AO5313" s="48" t="n"/>
    </row>
    <row r="5314">
      <c r="M5314" s="25" t="n"/>
      <c r="Q5314" s="25" t="n"/>
      <c r="U5314" s="194" t="n"/>
      <c r="AA5314" s="25" t="n"/>
      <c r="AB5314" s="25" t="n"/>
      <c r="AC5314" s="195" t="n"/>
      <c r="AD5314" s="25" t="n"/>
      <c r="AE5314" s="25" t="n"/>
      <c r="AG5314" s="25" t="n"/>
      <c r="AH5314" s="25" t="n"/>
      <c r="AI5314" s="394" t="n"/>
      <c r="AM5314" s="48" t="n"/>
      <c r="AN5314" s="48" t="n"/>
      <c r="AO5314" s="48" t="n"/>
    </row>
    <row r="5315">
      <c r="M5315" s="25" t="n"/>
      <c r="Q5315" s="25" t="n"/>
      <c r="U5315" s="194" t="n"/>
      <c r="AA5315" s="25" t="n"/>
      <c r="AB5315" s="25" t="n"/>
      <c r="AC5315" s="195" t="n"/>
      <c r="AD5315" s="25" t="n"/>
      <c r="AE5315" s="25" t="n"/>
      <c r="AG5315" s="25" t="n"/>
      <c r="AH5315" s="25" t="n"/>
      <c r="AI5315" s="394" t="n"/>
      <c r="AM5315" s="48" t="n"/>
      <c r="AN5315" s="48" t="n"/>
      <c r="AO5315" s="48" t="n"/>
    </row>
    <row r="5316">
      <c r="M5316" s="25" t="n"/>
      <c r="Q5316" s="25" t="n"/>
      <c r="U5316" s="194" t="n"/>
      <c r="AA5316" s="25" t="n"/>
      <c r="AB5316" s="25" t="n"/>
      <c r="AC5316" s="195" t="n"/>
      <c r="AD5316" s="25" t="n"/>
      <c r="AE5316" s="25" t="n"/>
      <c r="AG5316" s="25" t="n"/>
      <c r="AH5316" s="25" t="n"/>
      <c r="AI5316" s="394" t="n"/>
      <c r="AM5316" s="48" t="n"/>
      <c r="AN5316" s="48" t="n"/>
      <c r="AO5316" s="48" t="n"/>
    </row>
    <row r="5317">
      <c r="M5317" s="25" t="n"/>
      <c r="Q5317" s="25" t="n"/>
      <c r="U5317" s="194" t="n"/>
      <c r="AA5317" s="25" t="n"/>
      <c r="AB5317" s="25" t="n"/>
      <c r="AC5317" s="195" t="n"/>
      <c r="AD5317" s="25" t="n"/>
      <c r="AE5317" s="25" t="n"/>
      <c r="AG5317" s="25" t="n"/>
      <c r="AH5317" s="25" t="n"/>
      <c r="AI5317" s="394" t="n"/>
      <c r="AM5317" s="48" t="n"/>
      <c r="AN5317" s="48" t="n"/>
      <c r="AO5317" s="48" t="n"/>
    </row>
    <row r="5318">
      <c r="M5318" s="25" t="n"/>
      <c r="Q5318" s="25" t="n"/>
      <c r="U5318" s="194" t="n"/>
      <c r="AA5318" s="25" t="n"/>
      <c r="AB5318" s="25" t="n"/>
      <c r="AC5318" s="195" t="n"/>
      <c r="AD5318" s="25" t="n"/>
      <c r="AE5318" s="25" t="n"/>
      <c r="AG5318" s="25" t="n"/>
      <c r="AH5318" s="25" t="n"/>
      <c r="AI5318" s="394" t="n"/>
      <c r="AM5318" s="48" t="n"/>
      <c r="AN5318" s="48" t="n"/>
      <c r="AO5318" s="48" t="n"/>
    </row>
    <row r="5319">
      <c r="M5319" s="25" t="n"/>
      <c r="Q5319" s="25" t="n"/>
      <c r="U5319" s="194" t="n"/>
      <c r="AA5319" s="25" t="n"/>
      <c r="AB5319" s="25" t="n"/>
      <c r="AC5319" s="195" t="n"/>
      <c r="AD5319" s="25" t="n"/>
      <c r="AE5319" s="25" t="n"/>
      <c r="AG5319" s="25" t="n"/>
      <c r="AH5319" s="25" t="n"/>
      <c r="AI5319" s="394" t="n"/>
      <c r="AM5319" s="48" t="n"/>
      <c r="AN5319" s="48" t="n"/>
      <c r="AO5319" s="48" t="n"/>
    </row>
    <row r="5320">
      <c r="M5320" s="25" t="n"/>
      <c r="Q5320" s="25" t="n"/>
      <c r="U5320" s="194" t="n"/>
      <c r="AA5320" s="25" t="n"/>
      <c r="AB5320" s="25" t="n"/>
      <c r="AC5320" s="195" t="n"/>
      <c r="AD5320" s="25" t="n"/>
      <c r="AE5320" s="25" t="n"/>
      <c r="AG5320" s="25" t="n"/>
      <c r="AH5320" s="25" t="n"/>
      <c r="AI5320" s="394" t="n"/>
      <c r="AM5320" s="48" t="n"/>
      <c r="AN5320" s="48" t="n"/>
      <c r="AO5320" s="48" t="n"/>
    </row>
    <row r="5321">
      <c r="M5321" s="25" t="n"/>
      <c r="Q5321" s="25" t="n"/>
      <c r="U5321" s="194" t="n"/>
      <c r="AA5321" s="25" t="n"/>
      <c r="AB5321" s="25" t="n"/>
      <c r="AC5321" s="195" t="n"/>
      <c r="AD5321" s="25" t="n"/>
      <c r="AE5321" s="25" t="n"/>
      <c r="AG5321" s="25" t="n"/>
      <c r="AH5321" s="25" t="n"/>
      <c r="AI5321" s="394" t="n"/>
      <c r="AM5321" s="48" t="n"/>
      <c r="AN5321" s="48" t="n"/>
      <c r="AO5321" s="48" t="n"/>
    </row>
    <row r="5322">
      <c r="M5322" s="25" t="n"/>
      <c r="Q5322" s="25" t="n"/>
      <c r="U5322" s="194" t="n"/>
      <c r="AA5322" s="25" t="n"/>
      <c r="AB5322" s="25" t="n"/>
      <c r="AC5322" s="195" t="n"/>
      <c r="AD5322" s="25" t="n"/>
      <c r="AE5322" s="25" t="n"/>
      <c r="AG5322" s="25" t="n"/>
      <c r="AH5322" s="25" t="n"/>
      <c r="AI5322" s="394" t="n"/>
      <c r="AM5322" s="48" t="n"/>
      <c r="AN5322" s="48" t="n"/>
      <c r="AO5322" s="48" t="n"/>
    </row>
    <row r="5323">
      <c r="M5323" s="25" t="n"/>
      <c r="Q5323" s="25" t="n"/>
      <c r="U5323" s="194" t="n"/>
      <c r="AA5323" s="25" t="n"/>
      <c r="AB5323" s="25" t="n"/>
      <c r="AC5323" s="195" t="n"/>
      <c r="AD5323" s="25" t="n"/>
      <c r="AE5323" s="25" t="n"/>
      <c r="AG5323" s="25" t="n"/>
      <c r="AH5323" s="25" t="n"/>
      <c r="AI5323" s="394" t="n"/>
      <c r="AM5323" s="48" t="n"/>
      <c r="AN5323" s="48" t="n"/>
      <c r="AO5323" s="48" t="n"/>
    </row>
    <row r="5324">
      <c r="M5324" s="25" t="n"/>
      <c r="Q5324" s="25" t="n"/>
      <c r="U5324" s="194" t="n"/>
      <c r="AA5324" s="25" t="n"/>
      <c r="AB5324" s="25" t="n"/>
      <c r="AC5324" s="195" t="n"/>
      <c r="AD5324" s="25" t="n"/>
      <c r="AE5324" s="25" t="n"/>
      <c r="AG5324" s="25" t="n"/>
      <c r="AH5324" s="25" t="n"/>
      <c r="AI5324" s="394" t="n"/>
      <c r="AM5324" s="48" t="n"/>
      <c r="AN5324" s="48" t="n"/>
      <c r="AO5324" s="48" t="n"/>
    </row>
    <row r="5325">
      <c r="M5325" s="25" t="n"/>
      <c r="Q5325" s="25" t="n"/>
      <c r="U5325" s="194" t="n"/>
      <c r="AA5325" s="25" t="n"/>
      <c r="AB5325" s="25" t="n"/>
      <c r="AC5325" s="195" t="n"/>
      <c r="AD5325" s="25" t="n"/>
      <c r="AE5325" s="25" t="n"/>
      <c r="AG5325" s="25" t="n"/>
      <c r="AH5325" s="25" t="n"/>
      <c r="AI5325" s="394" t="n"/>
      <c r="AM5325" s="48" t="n"/>
      <c r="AN5325" s="48" t="n"/>
      <c r="AO5325" s="48" t="n"/>
    </row>
    <row r="5326">
      <c r="M5326" s="25" t="n"/>
      <c r="Q5326" s="25" t="n"/>
      <c r="U5326" s="194" t="n"/>
      <c r="AA5326" s="25" t="n"/>
      <c r="AB5326" s="25" t="n"/>
      <c r="AC5326" s="195" t="n"/>
      <c r="AD5326" s="25" t="n"/>
      <c r="AE5326" s="25" t="n"/>
      <c r="AG5326" s="25" t="n"/>
      <c r="AH5326" s="25" t="n"/>
      <c r="AI5326" s="394" t="n"/>
      <c r="AM5326" s="48" t="n"/>
      <c r="AN5326" s="48" t="n"/>
      <c r="AO5326" s="48" t="n"/>
    </row>
    <row r="5327">
      <c r="M5327" s="25" t="n"/>
      <c r="Q5327" s="25" t="n"/>
      <c r="U5327" s="194" t="n"/>
      <c r="AA5327" s="25" t="n"/>
      <c r="AB5327" s="25" t="n"/>
      <c r="AC5327" s="195" t="n"/>
      <c r="AD5327" s="25" t="n"/>
      <c r="AE5327" s="25" t="n"/>
      <c r="AG5327" s="25" t="n"/>
      <c r="AH5327" s="25" t="n"/>
      <c r="AI5327" s="394" t="n"/>
      <c r="AM5327" s="48" t="n"/>
      <c r="AN5327" s="48" t="n"/>
      <c r="AO5327" s="48" t="n"/>
    </row>
    <row r="5328">
      <c r="M5328" s="25" t="n"/>
      <c r="Q5328" s="25" t="n"/>
      <c r="U5328" s="194" t="n"/>
      <c r="AA5328" s="25" t="n"/>
      <c r="AB5328" s="25" t="n"/>
      <c r="AC5328" s="195" t="n"/>
      <c r="AD5328" s="25" t="n"/>
      <c r="AE5328" s="25" t="n"/>
      <c r="AG5328" s="25" t="n"/>
      <c r="AH5328" s="25" t="n"/>
      <c r="AI5328" s="394" t="n"/>
      <c r="AM5328" s="48" t="n"/>
      <c r="AN5328" s="48" t="n"/>
      <c r="AO5328" s="48" t="n"/>
    </row>
    <row r="5329">
      <c r="M5329" s="25" t="n"/>
      <c r="Q5329" s="25" t="n"/>
      <c r="U5329" s="194" t="n"/>
      <c r="AA5329" s="25" t="n"/>
      <c r="AB5329" s="25" t="n"/>
      <c r="AC5329" s="195" t="n"/>
      <c r="AD5329" s="25" t="n"/>
      <c r="AE5329" s="25" t="n"/>
      <c r="AG5329" s="25" t="n"/>
      <c r="AH5329" s="25" t="n"/>
      <c r="AI5329" s="394" t="n"/>
      <c r="AM5329" s="48" t="n"/>
      <c r="AN5329" s="48" t="n"/>
      <c r="AO5329" s="48" t="n"/>
    </row>
    <row r="5330">
      <c r="M5330" s="25" t="n"/>
      <c r="Q5330" s="25" t="n"/>
      <c r="U5330" s="194" t="n"/>
      <c r="AA5330" s="25" t="n"/>
      <c r="AB5330" s="25" t="n"/>
      <c r="AC5330" s="195" t="n"/>
      <c r="AD5330" s="25" t="n"/>
      <c r="AE5330" s="25" t="n"/>
      <c r="AG5330" s="25" t="n"/>
      <c r="AH5330" s="25" t="n"/>
      <c r="AI5330" s="394" t="n"/>
      <c r="AM5330" s="48" t="n"/>
      <c r="AN5330" s="48" t="n"/>
      <c r="AO5330" s="48" t="n"/>
    </row>
    <row r="5331">
      <c r="M5331" s="25" t="n"/>
      <c r="Q5331" s="25" t="n"/>
      <c r="U5331" s="194" t="n"/>
      <c r="AA5331" s="25" t="n"/>
      <c r="AB5331" s="25" t="n"/>
      <c r="AC5331" s="195" t="n"/>
      <c r="AD5331" s="25" t="n"/>
      <c r="AE5331" s="25" t="n"/>
      <c r="AG5331" s="25" t="n"/>
      <c r="AH5331" s="25" t="n"/>
      <c r="AI5331" s="394" t="n"/>
      <c r="AM5331" s="48" t="n"/>
      <c r="AN5331" s="48" t="n"/>
      <c r="AO5331" s="48" t="n"/>
    </row>
    <row r="5332">
      <c r="M5332" s="25" t="n"/>
      <c r="Q5332" s="25" t="n"/>
      <c r="U5332" s="194" t="n"/>
      <c r="AA5332" s="25" t="n"/>
      <c r="AB5332" s="25" t="n"/>
      <c r="AC5332" s="195" t="n"/>
      <c r="AD5332" s="25" t="n"/>
      <c r="AE5332" s="25" t="n"/>
      <c r="AG5332" s="25" t="n"/>
      <c r="AH5332" s="25" t="n"/>
      <c r="AI5332" s="394" t="n"/>
      <c r="AM5332" s="48" t="n"/>
      <c r="AN5332" s="48" t="n"/>
      <c r="AO5332" s="48" t="n"/>
    </row>
    <row r="5333">
      <c r="M5333" s="25" t="n"/>
      <c r="Q5333" s="25" t="n"/>
      <c r="U5333" s="194" t="n"/>
      <c r="AA5333" s="25" t="n"/>
      <c r="AB5333" s="25" t="n"/>
      <c r="AC5333" s="195" t="n"/>
      <c r="AD5333" s="25" t="n"/>
      <c r="AE5333" s="25" t="n"/>
      <c r="AG5333" s="25" t="n"/>
      <c r="AH5333" s="25" t="n"/>
      <c r="AI5333" s="394" t="n"/>
      <c r="AM5333" s="48" t="n"/>
      <c r="AN5333" s="48" t="n"/>
      <c r="AO5333" s="48" t="n"/>
    </row>
    <row r="5334">
      <c r="M5334" s="25" t="n"/>
      <c r="Q5334" s="25" t="n"/>
      <c r="U5334" s="194" t="n"/>
      <c r="AA5334" s="25" t="n"/>
      <c r="AB5334" s="25" t="n"/>
      <c r="AC5334" s="195" t="n"/>
      <c r="AD5334" s="25" t="n"/>
      <c r="AE5334" s="25" t="n"/>
      <c r="AG5334" s="25" t="n"/>
      <c r="AH5334" s="25" t="n"/>
      <c r="AI5334" s="394" t="n"/>
      <c r="AM5334" s="48" t="n"/>
      <c r="AN5334" s="48" t="n"/>
      <c r="AO5334" s="48" t="n"/>
    </row>
    <row r="5335">
      <c r="M5335" s="25" t="n"/>
      <c r="Q5335" s="25" t="n"/>
      <c r="U5335" s="194" t="n"/>
      <c r="AA5335" s="25" t="n"/>
      <c r="AB5335" s="25" t="n"/>
      <c r="AC5335" s="195" t="n"/>
      <c r="AD5335" s="25" t="n"/>
      <c r="AE5335" s="25" t="n"/>
      <c r="AG5335" s="25" t="n"/>
      <c r="AH5335" s="25" t="n"/>
      <c r="AI5335" s="394" t="n"/>
      <c r="AM5335" s="48" t="n"/>
      <c r="AN5335" s="48" t="n"/>
      <c r="AO5335" s="48" t="n"/>
    </row>
    <row r="5336">
      <c r="M5336" s="25" t="n"/>
      <c r="Q5336" s="25" t="n"/>
      <c r="U5336" s="194" t="n"/>
      <c r="AA5336" s="25" t="n"/>
      <c r="AB5336" s="25" t="n"/>
      <c r="AC5336" s="195" t="n"/>
      <c r="AD5336" s="25" t="n"/>
      <c r="AE5336" s="25" t="n"/>
      <c r="AG5336" s="25" t="n"/>
      <c r="AH5336" s="25" t="n"/>
      <c r="AI5336" s="394" t="n"/>
      <c r="AM5336" s="48" t="n"/>
      <c r="AN5336" s="48" t="n"/>
      <c r="AO5336" s="48" t="n"/>
    </row>
    <row r="5337">
      <c r="M5337" s="25" t="n"/>
      <c r="Q5337" s="25" t="n"/>
      <c r="U5337" s="194" t="n"/>
      <c r="AA5337" s="25" t="n"/>
      <c r="AB5337" s="25" t="n"/>
      <c r="AC5337" s="195" t="n"/>
      <c r="AD5337" s="25" t="n"/>
      <c r="AE5337" s="25" t="n"/>
      <c r="AG5337" s="25" t="n"/>
      <c r="AH5337" s="25" t="n"/>
      <c r="AI5337" s="394" t="n"/>
      <c r="AM5337" s="48" t="n"/>
      <c r="AN5337" s="48" t="n"/>
      <c r="AO5337" s="48" t="n"/>
    </row>
    <row r="5338">
      <c r="M5338" s="25" t="n"/>
      <c r="Q5338" s="25" t="n"/>
      <c r="U5338" s="194" t="n"/>
      <c r="AA5338" s="25" t="n"/>
      <c r="AB5338" s="25" t="n"/>
      <c r="AC5338" s="195" t="n"/>
      <c r="AD5338" s="25" t="n"/>
      <c r="AE5338" s="25" t="n"/>
      <c r="AG5338" s="25" t="n"/>
      <c r="AH5338" s="25" t="n"/>
      <c r="AI5338" s="394" t="n"/>
      <c r="AM5338" s="48" t="n"/>
      <c r="AN5338" s="48" t="n"/>
      <c r="AO5338" s="48" t="n"/>
    </row>
    <row r="5339">
      <c r="M5339" s="25" t="n"/>
      <c r="Q5339" s="25" t="n"/>
      <c r="U5339" s="194" t="n"/>
      <c r="AA5339" s="25" t="n"/>
      <c r="AB5339" s="25" t="n"/>
      <c r="AC5339" s="195" t="n"/>
      <c r="AD5339" s="25" t="n"/>
      <c r="AE5339" s="25" t="n"/>
      <c r="AG5339" s="25" t="n"/>
      <c r="AH5339" s="25" t="n"/>
      <c r="AI5339" s="394" t="n"/>
      <c r="AM5339" s="48" t="n"/>
      <c r="AN5339" s="48" t="n"/>
      <c r="AO5339" s="48" t="n"/>
    </row>
    <row r="5340">
      <c r="M5340" s="25" t="n"/>
      <c r="Q5340" s="25" t="n"/>
      <c r="U5340" s="194" t="n"/>
      <c r="AA5340" s="25" t="n"/>
      <c r="AB5340" s="25" t="n"/>
      <c r="AC5340" s="195" t="n"/>
      <c r="AD5340" s="25" t="n"/>
      <c r="AE5340" s="25" t="n"/>
      <c r="AG5340" s="25" t="n"/>
      <c r="AH5340" s="25" t="n"/>
      <c r="AI5340" s="394" t="n"/>
      <c r="AM5340" s="48" t="n"/>
      <c r="AN5340" s="48" t="n"/>
      <c r="AO5340" s="48" t="n"/>
    </row>
    <row r="5341">
      <c r="M5341" s="25" t="n"/>
      <c r="Q5341" s="25" t="n"/>
      <c r="U5341" s="194" t="n"/>
      <c r="AA5341" s="25" t="n"/>
      <c r="AB5341" s="25" t="n"/>
      <c r="AC5341" s="195" t="n"/>
      <c r="AD5341" s="25" t="n"/>
      <c r="AE5341" s="25" t="n"/>
      <c r="AG5341" s="25" t="n"/>
      <c r="AH5341" s="25" t="n"/>
      <c r="AI5341" s="394" t="n"/>
      <c r="AM5341" s="48" t="n"/>
      <c r="AN5341" s="48" t="n"/>
      <c r="AO5341" s="48" t="n"/>
    </row>
    <row r="5342">
      <c r="M5342" s="25" t="n"/>
      <c r="Q5342" s="25" t="n"/>
      <c r="U5342" s="194" t="n"/>
      <c r="AA5342" s="25" t="n"/>
      <c r="AB5342" s="25" t="n"/>
      <c r="AC5342" s="195" t="n"/>
      <c r="AD5342" s="25" t="n"/>
      <c r="AE5342" s="25" t="n"/>
      <c r="AG5342" s="25" t="n"/>
      <c r="AH5342" s="25" t="n"/>
      <c r="AI5342" s="394" t="n"/>
      <c r="AM5342" s="48" t="n"/>
      <c r="AN5342" s="48" t="n"/>
      <c r="AO5342" s="48" t="n"/>
    </row>
    <row r="5343">
      <c r="M5343" s="25" t="n"/>
      <c r="Q5343" s="25" t="n"/>
      <c r="U5343" s="194" t="n"/>
      <c r="AA5343" s="25" t="n"/>
      <c r="AB5343" s="25" t="n"/>
      <c r="AC5343" s="195" t="n"/>
      <c r="AD5343" s="25" t="n"/>
      <c r="AE5343" s="25" t="n"/>
      <c r="AG5343" s="25" t="n"/>
      <c r="AH5343" s="25" t="n"/>
      <c r="AI5343" s="394" t="n"/>
      <c r="AM5343" s="48" t="n"/>
      <c r="AN5343" s="48" t="n"/>
      <c r="AO5343" s="48" t="n"/>
    </row>
    <row r="5344">
      <c r="M5344" s="25" t="n"/>
      <c r="Q5344" s="25" t="n"/>
      <c r="U5344" s="194" t="n"/>
      <c r="AA5344" s="25" t="n"/>
      <c r="AB5344" s="25" t="n"/>
      <c r="AC5344" s="195" t="n"/>
      <c r="AD5344" s="25" t="n"/>
      <c r="AE5344" s="25" t="n"/>
      <c r="AG5344" s="25" t="n"/>
      <c r="AH5344" s="25" t="n"/>
      <c r="AI5344" s="394" t="n"/>
      <c r="AM5344" s="48" t="n"/>
      <c r="AN5344" s="48" t="n"/>
      <c r="AO5344" s="48" t="n"/>
    </row>
    <row r="5345">
      <c r="M5345" s="25" t="n"/>
      <c r="Q5345" s="25" t="n"/>
      <c r="U5345" s="194" t="n"/>
      <c r="AA5345" s="25" t="n"/>
      <c r="AB5345" s="25" t="n"/>
      <c r="AC5345" s="195" t="n"/>
      <c r="AD5345" s="25" t="n"/>
      <c r="AE5345" s="25" t="n"/>
      <c r="AG5345" s="25" t="n"/>
      <c r="AH5345" s="25" t="n"/>
      <c r="AI5345" s="394" t="n"/>
      <c r="AM5345" s="48" t="n"/>
      <c r="AN5345" s="48" t="n"/>
      <c r="AO5345" s="48" t="n"/>
    </row>
    <row r="5346">
      <c r="M5346" s="25" t="n"/>
      <c r="Q5346" s="25" t="n"/>
      <c r="U5346" s="194" t="n"/>
      <c r="AA5346" s="25" t="n"/>
      <c r="AB5346" s="25" t="n"/>
      <c r="AC5346" s="195" t="n"/>
      <c r="AD5346" s="25" t="n"/>
      <c r="AE5346" s="25" t="n"/>
      <c r="AG5346" s="25" t="n"/>
      <c r="AH5346" s="25" t="n"/>
      <c r="AI5346" s="394" t="n"/>
      <c r="AM5346" s="48" t="n"/>
      <c r="AN5346" s="48" t="n"/>
      <c r="AO5346" s="48" t="n"/>
    </row>
    <row r="5347">
      <c r="M5347" s="25" t="n"/>
      <c r="Q5347" s="25" t="n"/>
      <c r="U5347" s="194" t="n"/>
      <c r="AA5347" s="25" t="n"/>
      <c r="AB5347" s="25" t="n"/>
      <c r="AC5347" s="195" t="n"/>
      <c r="AD5347" s="25" t="n"/>
      <c r="AE5347" s="25" t="n"/>
      <c r="AG5347" s="25" t="n"/>
      <c r="AH5347" s="25" t="n"/>
      <c r="AI5347" s="394" t="n"/>
      <c r="AM5347" s="48" t="n"/>
      <c r="AN5347" s="48" t="n"/>
      <c r="AO5347" s="48" t="n"/>
    </row>
    <row r="5348">
      <c r="M5348" s="25" t="n"/>
      <c r="Q5348" s="25" t="n"/>
      <c r="U5348" s="194" t="n"/>
      <c r="AA5348" s="25" t="n"/>
      <c r="AB5348" s="25" t="n"/>
      <c r="AC5348" s="195" t="n"/>
      <c r="AD5348" s="25" t="n"/>
      <c r="AE5348" s="25" t="n"/>
      <c r="AG5348" s="25" t="n"/>
      <c r="AH5348" s="25" t="n"/>
      <c r="AI5348" s="394" t="n"/>
      <c r="AM5348" s="48" t="n"/>
      <c r="AN5348" s="48" t="n"/>
      <c r="AO5348" s="48" t="n"/>
    </row>
    <row r="5349">
      <c r="M5349" s="25" t="n"/>
      <c r="Q5349" s="25" t="n"/>
      <c r="U5349" s="194" t="n"/>
      <c r="AA5349" s="25" t="n"/>
      <c r="AB5349" s="25" t="n"/>
      <c r="AC5349" s="195" t="n"/>
      <c r="AD5349" s="25" t="n"/>
      <c r="AE5349" s="25" t="n"/>
      <c r="AG5349" s="25" t="n"/>
      <c r="AH5349" s="25" t="n"/>
      <c r="AI5349" s="394" t="n"/>
      <c r="AM5349" s="48" t="n"/>
      <c r="AN5349" s="48" t="n"/>
      <c r="AO5349" s="48" t="n"/>
    </row>
    <row r="5350">
      <c r="M5350" s="25" t="n"/>
      <c r="Q5350" s="25" t="n"/>
      <c r="U5350" s="194" t="n"/>
      <c r="AA5350" s="25" t="n"/>
      <c r="AB5350" s="25" t="n"/>
      <c r="AC5350" s="195" t="n"/>
      <c r="AD5350" s="25" t="n"/>
      <c r="AE5350" s="25" t="n"/>
      <c r="AG5350" s="25" t="n"/>
      <c r="AH5350" s="25" t="n"/>
      <c r="AI5350" s="394" t="n"/>
      <c r="AM5350" s="48" t="n"/>
      <c r="AN5350" s="48" t="n"/>
      <c r="AO5350" s="48" t="n"/>
    </row>
    <row r="5351">
      <c r="M5351" s="25" t="n"/>
      <c r="Q5351" s="25" t="n"/>
      <c r="U5351" s="194" t="n"/>
      <c r="AA5351" s="25" t="n"/>
      <c r="AB5351" s="25" t="n"/>
      <c r="AC5351" s="195" t="n"/>
      <c r="AD5351" s="25" t="n"/>
      <c r="AE5351" s="25" t="n"/>
      <c r="AG5351" s="25" t="n"/>
      <c r="AH5351" s="25" t="n"/>
      <c r="AI5351" s="394" t="n"/>
      <c r="AM5351" s="48" t="n"/>
      <c r="AN5351" s="48" t="n"/>
      <c r="AO5351" s="48" t="n"/>
    </row>
    <row r="5352">
      <c r="M5352" s="25" t="n"/>
      <c r="Q5352" s="25" t="n"/>
      <c r="U5352" s="194" t="n"/>
      <c r="AA5352" s="25" t="n"/>
      <c r="AB5352" s="25" t="n"/>
      <c r="AC5352" s="195" t="n"/>
      <c r="AD5352" s="25" t="n"/>
      <c r="AE5352" s="25" t="n"/>
      <c r="AG5352" s="25" t="n"/>
      <c r="AH5352" s="25" t="n"/>
      <c r="AI5352" s="394" t="n"/>
      <c r="AM5352" s="48" t="n"/>
      <c r="AN5352" s="48" t="n"/>
      <c r="AO5352" s="48" t="n"/>
    </row>
    <row r="5353">
      <c r="M5353" s="25" t="n"/>
      <c r="Q5353" s="25" t="n"/>
      <c r="U5353" s="194" t="n"/>
      <c r="AA5353" s="25" t="n"/>
      <c r="AB5353" s="25" t="n"/>
      <c r="AC5353" s="195" t="n"/>
      <c r="AD5353" s="25" t="n"/>
      <c r="AE5353" s="25" t="n"/>
      <c r="AG5353" s="25" t="n"/>
      <c r="AH5353" s="25" t="n"/>
      <c r="AI5353" s="394" t="n"/>
      <c r="AM5353" s="48" t="n"/>
      <c r="AN5353" s="48" t="n"/>
      <c r="AO5353" s="48" t="n"/>
    </row>
    <row r="5354">
      <c r="M5354" s="25" t="n"/>
      <c r="Q5354" s="25" t="n"/>
      <c r="U5354" s="194" t="n"/>
      <c r="AA5354" s="25" t="n"/>
      <c r="AB5354" s="25" t="n"/>
      <c r="AC5354" s="195" t="n"/>
      <c r="AD5354" s="25" t="n"/>
      <c r="AE5354" s="25" t="n"/>
      <c r="AG5354" s="25" t="n"/>
      <c r="AH5354" s="25" t="n"/>
      <c r="AI5354" s="394" t="n"/>
      <c r="AM5354" s="48" t="n"/>
      <c r="AN5354" s="48" t="n"/>
      <c r="AO5354" s="48" t="n"/>
    </row>
    <row r="5355">
      <c r="M5355" s="25" t="n"/>
      <c r="Q5355" s="25" t="n"/>
      <c r="U5355" s="194" t="n"/>
      <c r="AA5355" s="25" t="n"/>
      <c r="AB5355" s="25" t="n"/>
      <c r="AC5355" s="195" t="n"/>
      <c r="AD5355" s="25" t="n"/>
      <c r="AE5355" s="25" t="n"/>
      <c r="AG5355" s="25" t="n"/>
      <c r="AH5355" s="25" t="n"/>
      <c r="AI5355" s="394" t="n"/>
      <c r="AM5355" s="48" t="n"/>
      <c r="AN5355" s="48" t="n"/>
      <c r="AO5355" s="48" t="n"/>
    </row>
    <row r="5356">
      <c r="M5356" s="25" t="n"/>
      <c r="Q5356" s="25" t="n"/>
      <c r="U5356" s="194" t="n"/>
      <c r="AA5356" s="25" t="n"/>
      <c r="AB5356" s="25" t="n"/>
      <c r="AC5356" s="195" t="n"/>
      <c r="AD5356" s="25" t="n"/>
      <c r="AE5356" s="25" t="n"/>
      <c r="AG5356" s="25" t="n"/>
      <c r="AH5356" s="25" t="n"/>
      <c r="AI5356" s="394" t="n"/>
      <c r="AM5356" s="48" t="n"/>
      <c r="AN5356" s="48" t="n"/>
      <c r="AO5356" s="48" t="n"/>
    </row>
    <row r="5357">
      <c r="M5357" s="25" t="n"/>
      <c r="Q5357" s="25" t="n"/>
      <c r="U5357" s="194" t="n"/>
      <c r="AA5357" s="25" t="n"/>
      <c r="AB5357" s="25" t="n"/>
      <c r="AC5357" s="195" t="n"/>
      <c r="AD5357" s="25" t="n"/>
      <c r="AE5357" s="25" t="n"/>
      <c r="AG5357" s="25" t="n"/>
      <c r="AH5357" s="25" t="n"/>
      <c r="AI5357" s="394" t="n"/>
      <c r="AM5357" s="48" t="n"/>
      <c r="AN5357" s="48" t="n"/>
      <c r="AO5357" s="48" t="n"/>
    </row>
    <row r="5358">
      <c r="M5358" s="25" t="n"/>
      <c r="Q5358" s="25" t="n"/>
      <c r="U5358" s="194" t="n"/>
      <c r="AA5358" s="25" t="n"/>
      <c r="AB5358" s="25" t="n"/>
      <c r="AC5358" s="195" t="n"/>
      <c r="AD5358" s="25" t="n"/>
      <c r="AE5358" s="25" t="n"/>
      <c r="AG5358" s="25" t="n"/>
      <c r="AH5358" s="25" t="n"/>
      <c r="AI5358" s="394" t="n"/>
      <c r="AM5358" s="48" t="n"/>
      <c r="AN5358" s="48" t="n"/>
      <c r="AO5358" s="48" t="n"/>
    </row>
    <row r="5359">
      <c r="M5359" s="25" t="n"/>
      <c r="Q5359" s="25" t="n"/>
      <c r="U5359" s="194" t="n"/>
      <c r="AA5359" s="25" t="n"/>
      <c r="AB5359" s="25" t="n"/>
      <c r="AC5359" s="195" t="n"/>
      <c r="AD5359" s="25" t="n"/>
      <c r="AE5359" s="25" t="n"/>
      <c r="AG5359" s="25" t="n"/>
      <c r="AH5359" s="25" t="n"/>
      <c r="AI5359" s="394" t="n"/>
      <c r="AM5359" s="48" t="n"/>
      <c r="AN5359" s="48" t="n"/>
      <c r="AO5359" s="48" t="n"/>
    </row>
    <row r="5360">
      <c r="M5360" s="25" t="n"/>
      <c r="Q5360" s="25" t="n"/>
      <c r="U5360" s="194" t="n"/>
      <c r="AA5360" s="25" t="n"/>
      <c r="AB5360" s="25" t="n"/>
      <c r="AC5360" s="195" t="n"/>
      <c r="AD5360" s="25" t="n"/>
      <c r="AE5360" s="25" t="n"/>
      <c r="AG5360" s="25" t="n"/>
      <c r="AH5360" s="25" t="n"/>
      <c r="AI5360" s="394" t="n"/>
      <c r="AM5360" s="48" t="n"/>
      <c r="AN5360" s="48" t="n"/>
      <c r="AO5360" s="48" t="n"/>
    </row>
    <row r="5361">
      <c r="M5361" s="25" t="n"/>
      <c r="Q5361" s="25" t="n"/>
      <c r="U5361" s="194" t="n"/>
      <c r="AA5361" s="25" t="n"/>
      <c r="AB5361" s="25" t="n"/>
      <c r="AC5361" s="195" t="n"/>
      <c r="AD5361" s="25" t="n"/>
      <c r="AE5361" s="25" t="n"/>
      <c r="AG5361" s="25" t="n"/>
      <c r="AH5361" s="25" t="n"/>
      <c r="AI5361" s="394" t="n"/>
      <c r="AM5361" s="48" t="n"/>
      <c r="AN5361" s="48" t="n"/>
      <c r="AO5361" s="48" t="n"/>
    </row>
    <row r="5362">
      <c r="M5362" s="25" t="n"/>
      <c r="Q5362" s="25" t="n"/>
      <c r="U5362" s="194" t="n"/>
      <c r="AA5362" s="25" t="n"/>
      <c r="AB5362" s="25" t="n"/>
      <c r="AC5362" s="195" t="n"/>
      <c r="AD5362" s="25" t="n"/>
      <c r="AE5362" s="25" t="n"/>
      <c r="AG5362" s="25" t="n"/>
      <c r="AH5362" s="25" t="n"/>
      <c r="AI5362" s="394" t="n"/>
      <c r="AM5362" s="48" t="n"/>
      <c r="AN5362" s="48" t="n"/>
      <c r="AO5362" s="48" t="n"/>
    </row>
    <row r="5363">
      <c r="M5363" s="25" t="n"/>
      <c r="Q5363" s="25" t="n"/>
      <c r="U5363" s="194" t="n"/>
      <c r="AA5363" s="25" t="n"/>
      <c r="AB5363" s="25" t="n"/>
      <c r="AC5363" s="195" t="n"/>
      <c r="AD5363" s="25" t="n"/>
      <c r="AE5363" s="25" t="n"/>
      <c r="AG5363" s="25" t="n"/>
      <c r="AH5363" s="25" t="n"/>
      <c r="AI5363" s="394" t="n"/>
      <c r="AM5363" s="48" t="n"/>
      <c r="AN5363" s="48" t="n"/>
      <c r="AO5363" s="48" t="n"/>
    </row>
    <row r="5364">
      <c r="M5364" s="25" t="n"/>
      <c r="Q5364" s="25" t="n"/>
      <c r="U5364" s="194" t="n"/>
      <c r="AA5364" s="25" t="n"/>
      <c r="AB5364" s="25" t="n"/>
      <c r="AC5364" s="195" t="n"/>
      <c r="AD5364" s="25" t="n"/>
      <c r="AE5364" s="25" t="n"/>
      <c r="AG5364" s="25" t="n"/>
      <c r="AH5364" s="25" t="n"/>
      <c r="AI5364" s="394" t="n"/>
      <c r="AM5364" s="48" t="n"/>
      <c r="AN5364" s="48" t="n"/>
      <c r="AO5364" s="48" t="n"/>
    </row>
    <row r="5365">
      <c r="M5365" s="25" t="n"/>
      <c r="Q5365" s="25" t="n"/>
      <c r="U5365" s="194" t="n"/>
      <c r="AA5365" s="25" t="n"/>
      <c r="AB5365" s="25" t="n"/>
      <c r="AC5365" s="195" t="n"/>
      <c r="AD5365" s="25" t="n"/>
      <c r="AE5365" s="25" t="n"/>
      <c r="AG5365" s="25" t="n"/>
      <c r="AH5365" s="25" t="n"/>
      <c r="AI5365" s="394" t="n"/>
      <c r="AM5365" s="48" t="n"/>
      <c r="AN5365" s="48" t="n"/>
      <c r="AO5365" s="48" t="n"/>
    </row>
    <row r="5366">
      <c r="M5366" s="25" t="n"/>
      <c r="Q5366" s="25" t="n"/>
      <c r="U5366" s="194" t="n"/>
      <c r="AA5366" s="25" t="n"/>
      <c r="AB5366" s="25" t="n"/>
      <c r="AC5366" s="195" t="n"/>
      <c r="AD5366" s="25" t="n"/>
      <c r="AE5366" s="25" t="n"/>
      <c r="AG5366" s="25" t="n"/>
      <c r="AH5366" s="25" t="n"/>
      <c r="AI5366" s="394" t="n"/>
      <c r="AM5366" s="48" t="n"/>
      <c r="AN5366" s="48" t="n"/>
      <c r="AO5366" s="48" t="n"/>
    </row>
    <row r="5367">
      <c r="M5367" s="25" t="n"/>
      <c r="Q5367" s="25" t="n"/>
      <c r="U5367" s="194" t="n"/>
      <c r="AA5367" s="25" t="n"/>
      <c r="AB5367" s="25" t="n"/>
      <c r="AC5367" s="195" t="n"/>
      <c r="AD5367" s="25" t="n"/>
      <c r="AE5367" s="25" t="n"/>
      <c r="AG5367" s="25" t="n"/>
      <c r="AH5367" s="25" t="n"/>
      <c r="AI5367" s="394" t="n"/>
      <c r="AM5367" s="48" t="n"/>
      <c r="AN5367" s="48" t="n"/>
      <c r="AO5367" s="48" t="n"/>
    </row>
    <row r="5368">
      <c r="M5368" s="25" t="n"/>
      <c r="Q5368" s="25" t="n"/>
      <c r="U5368" s="194" t="n"/>
      <c r="AA5368" s="25" t="n"/>
      <c r="AB5368" s="25" t="n"/>
      <c r="AC5368" s="195" t="n"/>
      <c r="AD5368" s="25" t="n"/>
      <c r="AE5368" s="25" t="n"/>
      <c r="AG5368" s="25" t="n"/>
      <c r="AH5368" s="25" t="n"/>
      <c r="AI5368" s="394" t="n"/>
      <c r="AM5368" s="48" t="n"/>
      <c r="AN5368" s="48" t="n"/>
      <c r="AO5368" s="48" t="n"/>
    </row>
    <row r="5369">
      <c r="M5369" s="25" t="n"/>
      <c r="Q5369" s="25" t="n"/>
      <c r="U5369" s="194" t="n"/>
      <c r="AA5369" s="25" t="n"/>
      <c r="AB5369" s="25" t="n"/>
      <c r="AC5369" s="195" t="n"/>
      <c r="AD5369" s="25" t="n"/>
      <c r="AE5369" s="25" t="n"/>
      <c r="AG5369" s="25" t="n"/>
      <c r="AH5369" s="25" t="n"/>
      <c r="AI5369" s="394" t="n"/>
      <c r="AM5369" s="48" t="n"/>
      <c r="AN5369" s="48" t="n"/>
      <c r="AO5369" s="48" t="n"/>
    </row>
    <row r="5370">
      <c r="M5370" s="25" t="n"/>
      <c r="Q5370" s="25" t="n"/>
      <c r="U5370" s="194" t="n"/>
      <c r="AA5370" s="25" t="n"/>
      <c r="AB5370" s="25" t="n"/>
      <c r="AC5370" s="195" t="n"/>
      <c r="AD5370" s="25" t="n"/>
      <c r="AE5370" s="25" t="n"/>
      <c r="AG5370" s="25" t="n"/>
      <c r="AH5370" s="25" t="n"/>
      <c r="AI5370" s="394" t="n"/>
      <c r="AM5370" s="48" t="n"/>
      <c r="AN5370" s="48" t="n"/>
      <c r="AO5370" s="48" t="n"/>
    </row>
    <row r="5371">
      <c r="M5371" s="25" t="n"/>
      <c r="Q5371" s="25" t="n"/>
      <c r="U5371" s="194" t="n"/>
      <c r="AA5371" s="25" t="n"/>
      <c r="AB5371" s="25" t="n"/>
      <c r="AC5371" s="195" t="n"/>
      <c r="AD5371" s="25" t="n"/>
      <c r="AE5371" s="25" t="n"/>
      <c r="AG5371" s="25" t="n"/>
      <c r="AH5371" s="25" t="n"/>
      <c r="AI5371" s="394" t="n"/>
      <c r="AM5371" s="48" t="n"/>
      <c r="AN5371" s="48" t="n"/>
      <c r="AO5371" s="48" t="n"/>
    </row>
    <row r="5372">
      <c r="M5372" s="25" t="n"/>
      <c r="Q5372" s="25" t="n"/>
      <c r="U5372" s="194" t="n"/>
      <c r="AA5372" s="25" t="n"/>
      <c r="AB5372" s="25" t="n"/>
      <c r="AC5372" s="195" t="n"/>
      <c r="AD5372" s="25" t="n"/>
      <c r="AE5372" s="25" t="n"/>
      <c r="AG5372" s="25" t="n"/>
      <c r="AH5372" s="25" t="n"/>
      <c r="AI5372" s="394" t="n"/>
      <c r="AM5372" s="48" t="n"/>
      <c r="AN5372" s="48" t="n"/>
      <c r="AO5372" s="48" t="n"/>
    </row>
    <row r="5373">
      <c r="M5373" s="25" t="n"/>
      <c r="Q5373" s="25" t="n"/>
      <c r="U5373" s="194" t="n"/>
      <c r="AA5373" s="25" t="n"/>
      <c r="AB5373" s="25" t="n"/>
      <c r="AC5373" s="195" t="n"/>
      <c r="AD5373" s="25" t="n"/>
      <c r="AE5373" s="25" t="n"/>
      <c r="AG5373" s="25" t="n"/>
      <c r="AH5373" s="25" t="n"/>
      <c r="AI5373" s="394" t="n"/>
      <c r="AM5373" s="48" t="n"/>
      <c r="AN5373" s="48" t="n"/>
      <c r="AO5373" s="48" t="n"/>
    </row>
    <row r="5374">
      <c r="M5374" s="25" t="n"/>
      <c r="Q5374" s="25" t="n"/>
      <c r="U5374" s="194" t="n"/>
      <c r="AA5374" s="25" t="n"/>
      <c r="AB5374" s="25" t="n"/>
      <c r="AC5374" s="195" t="n"/>
      <c r="AD5374" s="25" t="n"/>
      <c r="AE5374" s="25" t="n"/>
      <c r="AG5374" s="25" t="n"/>
      <c r="AH5374" s="25" t="n"/>
      <c r="AI5374" s="394" t="n"/>
      <c r="AM5374" s="48" t="n"/>
      <c r="AN5374" s="48" t="n"/>
      <c r="AO5374" s="48" t="n"/>
    </row>
    <row r="5375">
      <c r="M5375" s="25" t="n"/>
      <c r="Q5375" s="25" t="n"/>
      <c r="U5375" s="194" t="n"/>
      <c r="AA5375" s="25" t="n"/>
      <c r="AB5375" s="25" t="n"/>
      <c r="AC5375" s="195" t="n"/>
      <c r="AD5375" s="25" t="n"/>
      <c r="AE5375" s="25" t="n"/>
      <c r="AG5375" s="25" t="n"/>
      <c r="AH5375" s="25" t="n"/>
      <c r="AI5375" s="394" t="n"/>
      <c r="AM5375" s="48" t="n"/>
      <c r="AN5375" s="48" t="n"/>
      <c r="AO5375" s="48" t="n"/>
    </row>
    <row r="5376">
      <c r="M5376" s="25" t="n"/>
      <c r="Q5376" s="25" t="n"/>
      <c r="U5376" s="194" t="n"/>
      <c r="AA5376" s="25" t="n"/>
      <c r="AB5376" s="25" t="n"/>
      <c r="AC5376" s="195" t="n"/>
      <c r="AD5376" s="25" t="n"/>
      <c r="AE5376" s="25" t="n"/>
      <c r="AG5376" s="25" t="n"/>
      <c r="AH5376" s="25" t="n"/>
      <c r="AI5376" s="394" t="n"/>
      <c r="AM5376" s="48" t="n"/>
      <c r="AN5376" s="48" t="n"/>
      <c r="AO5376" s="48" t="n"/>
    </row>
    <row r="5377">
      <c r="M5377" s="25" t="n"/>
      <c r="Q5377" s="25" t="n"/>
      <c r="U5377" s="194" t="n"/>
      <c r="AA5377" s="25" t="n"/>
      <c r="AB5377" s="25" t="n"/>
      <c r="AC5377" s="195" t="n"/>
      <c r="AD5377" s="25" t="n"/>
      <c r="AE5377" s="25" t="n"/>
      <c r="AG5377" s="25" t="n"/>
      <c r="AH5377" s="25" t="n"/>
      <c r="AI5377" s="394" t="n"/>
      <c r="AM5377" s="48" t="n"/>
      <c r="AN5377" s="48" t="n"/>
      <c r="AO5377" s="48" t="n"/>
    </row>
    <row r="5378">
      <c r="M5378" s="25" t="n"/>
      <c r="Q5378" s="25" t="n"/>
      <c r="U5378" s="194" t="n"/>
      <c r="AA5378" s="25" t="n"/>
      <c r="AB5378" s="25" t="n"/>
      <c r="AC5378" s="195" t="n"/>
      <c r="AD5378" s="25" t="n"/>
      <c r="AE5378" s="25" t="n"/>
      <c r="AG5378" s="25" t="n"/>
      <c r="AH5378" s="25" t="n"/>
      <c r="AI5378" s="394" t="n"/>
      <c r="AM5378" s="48" t="n"/>
      <c r="AN5378" s="48" t="n"/>
      <c r="AO5378" s="48" t="n"/>
    </row>
    <row r="5379">
      <c r="M5379" s="25" t="n"/>
      <c r="Q5379" s="25" t="n"/>
      <c r="U5379" s="194" t="n"/>
      <c r="AA5379" s="25" t="n"/>
      <c r="AB5379" s="25" t="n"/>
      <c r="AC5379" s="195" t="n"/>
      <c r="AD5379" s="25" t="n"/>
      <c r="AE5379" s="25" t="n"/>
      <c r="AG5379" s="25" t="n"/>
      <c r="AH5379" s="25" t="n"/>
      <c r="AI5379" s="394" t="n"/>
      <c r="AM5379" s="48" t="n"/>
      <c r="AN5379" s="48" t="n"/>
      <c r="AO5379" s="48" t="n"/>
    </row>
    <row r="5380">
      <c r="M5380" s="25" t="n"/>
      <c r="Q5380" s="25" t="n"/>
      <c r="U5380" s="194" t="n"/>
      <c r="AA5380" s="25" t="n"/>
      <c r="AB5380" s="25" t="n"/>
      <c r="AC5380" s="195" t="n"/>
      <c r="AD5380" s="25" t="n"/>
      <c r="AE5380" s="25" t="n"/>
      <c r="AG5380" s="25" t="n"/>
      <c r="AH5380" s="25" t="n"/>
      <c r="AI5380" s="394" t="n"/>
      <c r="AM5380" s="48" t="n"/>
      <c r="AN5380" s="48" t="n"/>
      <c r="AO5380" s="48" t="n"/>
    </row>
    <row r="5381">
      <c r="M5381" s="25" t="n"/>
      <c r="Q5381" s="25" t="n"/>
      <c r="U5381" s="194" t="n"/>
      <c r="AA5381" s="25" t="n"/>
      <c r="AB5381" s="25" t="n"/>
      <c r="AC5381" s="195" t="n"/>
      <c r="AD5381" s="25" t="n"/>
      <c r="AE5381" s="25" t="n"/>
      <c r="AG5381" s="25" t="n"/>
      <c r="AH5381" s="25" t="n"/>
      <c r="AI5381" s="394" t="n"/>
      <c r="AM5381" s="48" t="n"/>
      <c r="AN5381" s="48" t="n"/>
      <c r="AO5381" s="48" t="n"/>
    </row>
    <row r="5382">
      <c r="M5382" s="25" t="n"/>
      <c r="Q5382" s="25" t="n"/>
      <c r="U5382" s="194" t="n"/>
      <c r="AA5382" s="25" t="n"/>
      <c r="AB5382" s="25" t="n"/>
      <c r="AC5382" s="195" t="n"/>
      <c r="AD5382" s="25" t="n"/>
      <c r="AE5382" s="25" t="n"/>
      <c r="AG5382" s="25" t="n"/>
      <c r="AH5382" s="25" t="n"/>
      <c r="AI5382" s="394" t="n"/>
      <c r="AM5382" s="48" t="n"/>
      <c r="AN5382" s="48" t="n"/>
      <c r="AO5382" s="48" t="n"/>
    </row>
    <row r="5383">
      <c r="M5383" s="25" t="n"/>
      <c r="Q5383" s="25" t="n"/>
      <c r="U5383" s="194" t="n"/>
      <c r="AA5383" s="25" t="n"/>
      <c r="AB5383" s="25" t="n"/>
      <c r="AC5383" s="195" t="n"/>
      <c r="AD5383" s="25" t="n"/>
      <c r="AE5383" s="25" t="n"/>
      <c r="AG5383" s="25" t="n"/>
      <c r="AH5383" s="25" t="n"/>
      <c r="AI5383" s="394" t="n"/>
      <c r="AM5383" s="48" t="n"/>
      <c r="AN5383" s="48" t="n"/>
      <c r="AO5383" s="48" t="n"/>
    </row>
    <row r="5384">
      <c r="M5384" s="25" t="n"/>
      <c r="Q5384" s="25" t="n"/>
      <c r="U5384" s="194" t="n"/>
      <c r="AA5384" s="25" t="n"/>
      <c r="AB5384" s="25" t="n"/>
      <c r="AC5384" s="195" t="n"/>
      <c r="AD5384" s="25" t="n"/>
      <c r="AE5384" s="25" t="n"/>
      <c r="AG5384" s="25" t="n"/>
      <c r="AH5384" s="25" t="n"/>
      <c r="AI5384" s="394" t="n"/>
      <c r="AM5384" s="48" t="n"/>
      <c r="AN5384" s="48" t="n"/>
      <c r="AO5384" s="48" t="n"/>
    </row>
    <row r="5385">
      <c r="M5385" s="25" t="n"/>
      <c r="Q5385" s="25" t="n"/>
      <c r="U5385" s="194" t="n"/>
      <c r="AA5385" s="25" t="n"/>
      <c r="AB5385" s="25" t="n"/>
      <c r="AC5385" s="195" t="n"/>
      <c r="AD5385" s="25" t="n"/>
      <c r="AE5385" s="25" t="n"/>
      <c r="AG5385" s="25" t="n"/>
      <c r="AH5385" s="25" t="n"/>
      <c r="AI5385" s="394" t="n"/>
      <c r="AM5385" s="48" t="n"/>
      <c r="AN5385" s="48" t="n"/>
      <c r="AO5385" s="48" t="n"/>
    </row>
    <row r="5386">
      <c r="M5386" s="25" t="n"/>
      <c r="Q5386" s="25" t="n"/>
      <c r="U5386" s="194" t="n"/>
      <c r="AA5386" s="25" t="n"/>
      <c r="AB5386" s="25" t="n"/>
      <c r="AC5386" s="195" t="n"/>
      <c r="AD5386" s="25" t="n"/>
      <c r="AE5386" s="25" t="n"/>
      <c r="AG5386" s="25" t="n"/>
      <c r="AH5386" s="25" t="n"/>
      <c r="AI5386" s="394" t="n"/>
      <c r="AM5386" s="48" t="n"/>
      <c r="AN5386" s="48" t="n"/>
      <c r="AO5386" s="48" t="n"/>
    </row>
    <row r="5387">
      <c r="M5387" s="25" t="n"/>
      <c r="Q5387" s="25" t="n"/>
      <c r="U5387" s="194" t="n"/>
      <c r="AA5387" s="25" t="n"/>
      <c r="AB5387" s="25" t="n"/>
      <c r="AC5387" s="195" t="n"/>
      <c r="AD5387" s="25" t="n"/>
      <c r="AE5387" s="25" t="n"/>
      <c r="AG5387" s="25" t="n"/>
      <c r="AH5387" s="25" t="n"/>
      <c r="AI5387" s="394" t="n"/>
      <c r="AM5387" s="48" t="n"/>
      <c r="AN5387" s="48" t="n"/>
      <c r="AO5387" s="48" t="n"/>
    </row>
    <row r="5388">
      <c r="M5388" s="25" t="n"/>
      <c r="Q5388" s="25" t="n"/>
      <c r="U5388" s="194" t="n"/>
      <c r="AA5388" s="25" t="n"/>
      <c r="AB5388" s="25" t="n"/>
      <c r="AC5388" s="195" t="n"/>
      <c r="AD5388" s="25" t="n"/>
      <c r="AE5388" s="25" t="n"/>
      <c r="AG5388" s="25" t="n"/>
      <c r="AH5388" s="25" t="n"/>
      <c r="AI5388" s="394" t="n"/>
      <c r="AM5388" s="48" t="n"/>
      <c r="AN5388" s="48" t="n"/>
      <c r="AO5388" s="48" t="n"/>
    </row>
    <row r="5389">
      <c r="M5389" s="25" t="n"/>
      <c r="Q5389" s="25" t="n"/>
      <c r="U5389" s="194" t="n"/>
      <c r="AA5389" s="25" t="n"/>
      <c r="AB5389" s="25" t="n"/>
      <c r="AC5389" s="195" t="n"/>
      <c r="AD5389" s="25" t="n"/>
      <c r="AE5389" s="25" t="n"/>
      <c r="AG5389" s="25" t="n"/>
      <c r="AH5389" s="25" t="n"/>
      <c r="AI5389" s="394" t="n"/>
      <c r="AM5389" s="48" t="n"/>
      <c r="AN5389" s="48" t="n"/>
      <c r="AO5389" s="48" t="n"/>
    </row>
    <row r="5390">
      <c r="M5390" s="25" t="n"/>
      <c r="Q5390" s="25" t="n"/>
      <c r="U5390" s="194" t="n"/>
      <c r="AA5390" s="25" t="n"/>
      <c r="AB5390" s="25" t="n"/>
      <c r="AC5390" s="195" t="n"/>
      <c r="AD5390" s="25" t="n"/>
      <c r="AE5390" s="25" t="n"/>
      <c r="AG5390" s="25" t="n"/>
      <c r="AH5390" s="25" t="n"/>
      <c r="AI5390" s="394" t="n"/>
      <c r="AM5390" s="48" t="n"/>
      <c r="AN5390" s="48" t="n"/>
      <c r="AO5390" s="48" t="n"/>
    </row>
    <row r="5391">
      <c r="M5391" s="25" t="n"/>
      <c r="Q5391" s="25" t="n"/>
      <c r="U5391" s="194" t="n"/>
      <c r="AA5391" s="25" t="n"/>
      <c r="AB5391" s="25" t="n"/>
      <c r="AC5391" s="195" t="n"/>
      <c r="AD5391" s="25" t="n"/>
      <c r="AE5391" s="25" t="n"/>
      <c r="AG5391" s="25" t="n"/>
      <c r="AH5391" s="25" t="n"/>
      <c r="AI5391" s="394" t="n"/>
      <c r="AM5391" s="48" t="n"/>
      <c r="AN5391" s="48" t="n"/>
      <c r="AO5391" s="48" t="n"/>
    </row>
    <row r="5392">
      <c r="M5392" s="25" t="n"/>
      <c r="Q5392" s="25" t="n"/>
      <c r="U5392" s="194" t="n"/>
      <c r="AA5392" s="25" t="n"/>
      <c r="AB5392" s="25" t="n"/>
      <c r="AC5392" s="195" t="n"/>
      <c r="AD5392" s="25" t="n"/>
      <c r="AE5392" s="25" t="n"/>
      <c r="AG5392" s="25" t="n"/>
      <c r="AH5392" s="25" t="n"/>
      <c r="AI5392" s="394" t="n"/>
      <c r="AM5392" s="48" t="n"/>
      <c r="AN5392" s="48" t="n"/>
      <c r="AO5392" s="48" t="n"/>
    </row>
    <row r="5393">
      <c r="M5393" s="25" t="n"/>
      <c r="Q5393" s="25" t="n"/>
      <c r="U5393" s="194" t="n"/>
      <c r="AA5393" s="25" t="n"/>
      <c r="AB5393" s="25" t="n"/>
      <c r="AC5393" s="195" t="n"/>
      <c r="AD5393" s="25" t="n"/>
      <c r="AE5393" s="25" t="n"/>
      <c r="AG5393" s="25" t="n"/>
      <c r="AH5393" s="25" t="n"/>
      <c r="AI5393" s="394" t="n"/>
      <c r="AM5393" s="48" t="n"/>
      <c r="AN5393" s="48" t="n"/>
      <c r="AO5393" s="48" t="n"/>
    </row>
    <row r="5394">
      <c r="M5394" s="25" t="n"/>
      <c r="Q5394" s="25" t="n"/>
      <c r="U5394" s="194" t="n"/>
      <c r="AA5394" s="25" t="n"/>
      <c r="AB5394" s="25" t="n"/>
      <c r="AC5394" s="195" t="n"/>
      <c r="AD5394" s="25" t="n"/>
      <c r="AE5394" s="25" t="n"/>
      <c r="AG5394" s="25" t="n"/>
      <c r="AH5394" s="25" t="n"/>
      <c r="AI5394" s="394" t="n"/>
      <c r="AM5394" s="48" t="n"/>
      <c r="AN5394" s="48" t="n"/>
      <c r="AO5394" s="48" t="n"/>
    </row>
    <row r="5395">
      <c r="M5395" s="25" t="n"/>
      <c r="Q5395" s="25" t="n"/>
      <c r="U5395" s="194" t="n"/>
      <c r="AA5395" s="25" t="n"/>
      <c r="AB5395" s="25" t="n"/>
      <c r="AC5395" s="195" t="n"/>
      <c r="AD5395" s="25" t="n"/>
      <c r="AE5395" s="25" t="n"/>
      <c r="AG5395" s="25" t="n"/>
      <c r="AH5395" s="25" t="n"/>
      <c r="AI5395" s="394" t="n"/>
      <c r="AM5395" s="48" t="n"/>
      <c r="AN5395" s="48" t="n"/>
      <c r="AO5395" s="48" t="n"/>
    </row>
    <row r="5396">
      <c r="M5396" s="25" t="n"/>
      <c r="Q5396" s="25" t="n"/>
      <c r="U5396" s="194" t="n"/>
      <c r="AA5396" s="25" t="n"/>
      <c r="AB5396" s="25" t="n"/>
      <c r="AC5396" s="195" t="n"/>
      <c r="AD5396" s="25" t="n"/>
      <c r="AE5396" s="25" t="n"/>
      <c r="AG5396" s="25" t="n"/>
      <c r="AH5396" s="25" t="n"/>
      <c r="AI5396" s="394" t="n"/>
      <c r="AM5396" s="48" t="n"/>
      <c r="AN5396" s="48" t="n"/>
      <c r="AO5396" s="48" t="n"/>
    </row>
    <row r="5397">
      <c r="M5397" s="25" t="n"/>
      <c r="Q5397" s="25" t="n"/>
      <c r="U5397" s="194" t="n"/>
      <c r="AA5397" s="25" t="n"/>
      <c r="AB5397" s="25" t="n"/>
      <c r="AC5397" s="195" t="n"/>
      <c r="AD5397" s="25" t="n"/>
      <c r="AE5397" s="25" t="n"/>
      <c r="AG5397" s="25" t="n"/>
      <c r="AH5397" s="25" t="n"/>
      <c r="AI5397" s="394" t="n"/>
      <c r="AM5397" s="48" t="n"/>
      <c r="AN5397" s="48" t="n"/>
      <c r="AO5397" s="48" t="n"/>
    </row>
    <row r="5398">
      <c r="M5398" s="25" t="n"/>
      <c r="Q5398" s="25" t="n"/>
      <c r="U5398" s="194" t="n"/>
      <c r="AA5398" s="25" t="n"/>
      <c r="AB5398" s="25" t="n"/>
      <c r="AC5398" s="195" t="n"/>
      <c r="AD5398" s="25" t="n"/>
      <c r="AE5398" s="25" t="n"/>
      <c r="AG5398" s="25" t="n"/>
      <c r="AH5398" s="25" t="n"/>
      <c r="AI5398" s="394" t="n"/>
      <c r="AM5398" s="48" t="n"/>
      <c r="AN5398" s="48" t="n"/>
      <c r="AO5398" s="48" t="n"/>
    </row>
    <row r="5399">
      <c r="M5399" s="25" t="n"/>
      <c r="Q5399" s="25" t="n"/>
      <c r="U5399" s="194" t="n"/>
      <c r="AA5399" s="25" t="n"/>
      <c r="AB5399" s="25" t="n"/>
      <c r="AC5399" s="195" t="n"/>
      <c r="AD5399" s="25" t="n"/>
      <c r="AE5399" s="25" t="n"/>
      <c r="AG5399" s="25" t="n"/>
      <c r="AH5399" s="25" t="n"/>
      <c r="AI5399" s="394" t="n"/>
      <c r="AM5399" s="48" t="n"/>
      <c r="AN5399" s="48" t="n"/>
      <c r="AO5399" s="48" t="n"/>
    </row>
    <row r="5400">
      <c r="M5400" s="25" t="n"/>
      <c r="Q5400" s="25" t="n"/>
      <c r="U5400" s="194" t="n"/>
      <c r="AA5400" s="25" t="n"/>
      <c r="AB5400" s="25" t="n"/>
      <c r="AC5400" s="195" t="n"/>
      <c r="AD5400" s="25" t="n"/>
      <c r="AE5400" s="25" t="n"/>
      <c r="AG5400" s="25" t="n"/>
      <c r="AH5400" s="25" t="n"/>
      <c r="AI5400" s="394" t="n"/>
      <c r="AM5400" s="48" t="n"/>
      <c r="AN5400" s="48" t="n"/>
      <c r="AO5400" s="48" t="n"/>
    </row>
    <row r="5401">
      <c r="M5401" s="25" t="n"/>
      <c r="Q5401" s="25" t="n"/>
      <c r="U5401" s="194" t="n"/>
      <c r="AA5401" s="25" t="n"/>
      <c r="AB5401" s="25" t="n"/>
      <c r="AC5401" s="195" t="n"/>
      <c r="AD5401" s="25" t="n"/>
      <c r="AE5401" s="25" t="n"/>
      <c r="AG5401" s="25" t="n"/>
      <c r="AH5401" s="25" t="n"/>
      <c r="AI5401" s="394" t="n"/>
      <c r="AM5401" s="48" t="n"/>
      <c r="AN5401" s="48" t="n"/>
      <c r="AO5401" s="48" t="n"/>
    </row>
    <row r="5402">
      <c r="M5402" s="25" t="n"/>
      <c r="Q5402" s="25" t="n"/>
      <c r="U5402" s="194" t="n"/>
      <c r="AA5402" s="25" t="n"/>
      <c r="AB5402" s="25" t="n"/>
      <c r="AC5402" s="195" t="n"/>
      <c r="AD5402" s="25" t="n"/>
      <c r="AE5402" s="25" t="n"/>
      <c r="AG5402" s="25" t="n"/>
      <c r="AH5402" s="25" t="n"/>
      <c r="AI5402" s="394" t="n"/>
      <c r="AM5402" s="48" t="n"/>
      <c r="AN5402" s="48" t="n"/>
      <c r="AO5402" s="48" t="n"/>
    </row>
    <row r="5403">
      <c r="M5403" s="25" t="n"/>
      <c r="Q5403" s="25" t="n"/>
      <c r="U5403" s="194" t="n"/>
      <c r="AA5403" s="25" t="n"/>
      <c r="AB5403" s="25" t="n"/>
      <c r="AC5403" s="195" t="n"/>
      <c r="AD5403" s="25" t="n"/>
      <c r="AE5403" s="25" t="n"/>
      <c r="AG5403" s="25" t="n"/>
      <c r="AH5403" s="25" t="n"/>
      <c r="AI5403" s="394" t="n"/>
      <c r="AM5403" s="48" t="n"/>
      <c r="AN5403" s="48" t="n"/>
      <c r="AO5403" s="48" t="n"/>
    </row>
    <row r="5404">
      <c r="M5404" s="25" t="n"/>
      <c r="Q5404" s="25" t="n"/>
      <c r="U5404" s="194" t="n"/>
      <c r="AA5404" s="25" t="n"/>
      <c r="AB5404" s="25" t="n"/>
      <c r="AC5404" s="195" t="n"/>
      <c r="AD5404" s="25" t="n"/>
      <c r="AE5404" s="25" t="n"/>
      <c r="AG5404" s="25" t="n"/>
      <c r="AH5404" s="25" t="n"/>
      <c r="AI5404" s="394" t="n"/>
      <c r="AM5404" s="48" t="n"/>
      <c r="AN5404" s="48" t="n"/>
      <c r="AO5404" s="48" t="n"/>
    </row>
    <row r="5405">
      <c r="M5405" s="25" t="n"/>
      <c r="Q5405" s="25" t="n"/>
      <c r="U5405" s="194" t="n"/>
      <c r="AA5405" s="25" t="n"/>
      <c r="AB5405" s="25" t="n"/>
      <c r="AC5405" s="195" t="n"/>
      <c r="AD5405" s="25" t="n"/>
      <c r="AE5405" s="25" t="n"/>
      <c r="AG5405" s="25" t="n"/>
      <c r="AH5405" s="25" t="n"/>
      <c r="AI5405" s="394" t="n"/>
      <c r="AM5405" s="48" t="n"/>
      <c r="AN5405" s="48" t="n"/>
      <c r="AO5405" s="48" t="n"/>
    </row>
    <row r="5406">
      <c r="M5406" s="25" t="n"/>
      <c r="Q5406" s="25" t="n"/>
      <c r="U5406" s="194" t="n"/>
      <c r="AA5406" s="25" t="n"/>
      <c r="AB5406" s="25" t="n"/>
      <c r="AC5406" s="195" t="n"/>
      <c r="AD5406" s="25" t="n"/>
      <c r="AE5406" s="25" t="n"/>
      <c r="AG5406" s="25" t="n"/>
      <c r="AH5406" s="25" t="n"/>
      <c r="AI5406" s="394" t="n"/>
      <c r="AM5406" s="48" t="n"/>
      <c r="AN5406" s="48" t="n"/>
      <c r="AO5406" s="48" t="n"/>
    </row>
    <row r="5407">
      <c r="M5407" s="25" t="n"/>
      <c r="Q5407" s="25" t="n"/>
      <c r="U5407" s="194" t="n"/>
      <c r="AA5407" s="25" t="n"/>
      <c r="AB5407" s="25" t="n"/>
      <c r="AC5407" s="195" t="n"/>
      <c r="AD5407" s="25" t="n"/>
      <c r="AE5407" s="25" t="n"/>
      <c r="AG5407" s="25" t="n"/>
      <c r="AH5407" s="25" t="n"/>
      <c r="AI5407" s="394" t="n"/>
      <c r="AM5407" s="48" t="n"/>
      <c r="AN5407" s="48" t="n"/>
      <c r="AO5407" s="48" t="n"/>
    </row>
    <row r="5408">
      <c r="M5408" s="25" t="n"/>
      <c r="Q5408" s="25" t="n"/>
      <c r="U5408" s="194" t="n"/>
      <c r="AA5408" s="25" t="n"/>
      <c r="AB5408" s="25" t="n"/>
      <c r="AC5408" s="195" t="n"/>
      <c r="AD5408" s="25" t="n"/>
      <c r="AE5408" s="25" t="n"/>
      <c r="AG5408" s="25" t="n"/>
      <c r="AH5408" s="25" t="n"/>
      <c r="AI5408" s="394" t="n"/>
      <c r="AM5408" s="48" t="n"/>
      <c r="AN5408" s="48" t="n"/>
      <c r="AO5408" s="48" t="n"/>
    </row>
    <row r="5409">
      <c r="M5409" s="25" t="n"/>
      <c r="Q5409" s="25" t="n"/>
      <c r="U5409" s="194" t="n"/>
      <c r="AA5409" s="25" t="n"/>
      <c r="AB5409" s="25" t="n"/>
      <c r="AC5409" s="195" t="n"/>
      <c r="AD5409" s="25" t="n"/>
      <c r="AE5409" s="25" t="n"/>
      <c r="AG5409" s="25" t="n"/>
      <c r="AH5409" s="25" t="n"/>
      <c r="AI5409" s="394" t="n"/>
      <c r="AM5409" s="48" t="n"/>
      <c r="AN5409" s="48" t="n"/>
      <c r="AO5409" s="48" t="n"/>
    </row>
    <row r="5410">
      <c r="M5410" s="25" t="n"/>
      <c r="Q5410" s="25" t="n"/>
      <c r="U5410" s="194" t="n"/>
      <c r="AA5410" s="25" t="n"/>
      <c r="AB5410" s="25" t="n"/>
      <c r="AC5410" s="195" t="n"/>
      <c r="AD5410" s="25" t="n"/>
      <c r="AE5410" s="25" t="n"/>
      <c r="AG5410" s="25" t="n"/>
      <c r="AH5410" s="25" t="n"/>
      <c r="AI5410" s="394" t="n"/>
      <c r="AM5410" s="48" t="n"/>
      <c r="AN5410" s="48" t="n"/>
      <c r="AO5410" s="48" t="n"/>
    </row>
    <row r="5411">
      <c r="M5411" s="25" t="n"/>
      <c r="Q5411" s="25" t="n"/>
      <c r="U5411" s="194" t="n"/>
      <c r="AA5411" s="25" t="n"/>
      <c r="AB5411" s="25" t="n"/>
      <c r="AC5411" s="195" t="n"/>
      <c r="AD5411" s="25" t="n"/>
      <c r="AE5411" s="25" t="n"/>
      <c r="AG5411" s="25" t="n"/>
      <c r="AH5411" s="25" t="n"/>
      <c r="AI5411" s="394" t="n"/>
      <c r="AM5411" s="48" t="n"/>
      <c r="AN5411" s="48" t="n"/>
      <c r="AO5411" s="48" t="n"/>
    </row>
    <row r="5412">
      <c r="M5412" s="25" t="n"/>
      <c r="Q5412" s="25" t="n"/>
      <c r="U5412" s="194" t="n"/>
      <c r="AA5412" s="25" t="n"/>
      <c r="AB5412" s="25" t="n"/>
      <c r="AC5412" s="195" t="n"/>
      <c r="AD5412" s="25" t="n"/>
      <c r="AE5412" s="25" t="n"/>
      <c r="AG5412" s="25" t="n"/>
      <c r="AH5412" s="25" t="n"/>
      <c r="AI5412" s="394" t="n"/>
      <c r="AM5412" s="48" t="n"/>
      <c r="AN5412" s="48" t="n"/>
      <c r="AO5412" s="48" t="n"/>
    </row>
    <row r="5413">
      <c r="M5413" s="25" t="n"/>
      <c r="Q5413" s="25" t="n"/>
      <c r="U5413" s="194" t="n"/>
      <c r="AA5413" s="25" t="n"/>
      <c r="AB5413" s="25" t="n"/>
      <c r="AC5413" s="195" t="n"/>
      <c r="AD5413" s="25" t="n"/>
      <c r="AE5413" s="25" t="n"/>
      <c r="AG5413" s="25" t="n"/>
      <c r="AH5413" s="25" t="n"/>
      <c r="AI5413" s="394" t="n"/>
      <c r="AM5413" s="48" t="n"/>
      <c r="AN5413" s="48" t="n"/>
      <c r="AO5413" s="48" t="n"/>
    </row>
    <row r="5414">
      <c r="M5414" s="25" t="n"/>
      <c r="Q5414" s="25" t="n"/>
      <c r="U5414" s="194" t="n"/>
      <c r="AA5414" s="25" t="n"/>
      <c r="AB5414" s="25" t="n"/>
      <c r="AC5414" s="195" t="n"/>
      <c r="AD5414" s="25" t="n"/>
      <c r="AE5414" s="25" t="n"/>
      <c r="AG5414" s="25" t="n"/>
      <c r="AH5414" s="25" t="n"/>
      <c r="AI5414" s="394" t="n"/>
      <c r="AM5414" s="48" t="n"/>
      <c r="AN5414" s="48" t="n"/>
      <c r="AO5414" s="48" t="n"/>
    </row>
    <row r="5415">
      <c r="M5415" s="25" t="n"/>
      <c r="Q5415" s="25" t="n"/>
      <c r="U5415" s="194" t="n"/>
      <c r="AA5415" s="25" t="n"/>
      <c r="AB5415" s="25" t="n"/>
      <c r="AC5415" s="195" t="n"/>
      <c r="AD5415" s="25" t="n"/>
      <c r="AE5415" s="25" t="n"/>
      <c r="AG5415" s="25" t="n"/>
      <c r="AH5415" s="25" t="n"/>
      <c r="AI5415" s="394" t="n"/>
      <c r="AM5415" s="48" t="n"/>
      <c r="AN5415" s="48" t="n"/>
      <c r="AO5415" s="48" t="n"/>
    </row>
    <row r="5416">
      <c r="M5416" s="25" t="n"/>
      <c r="Q5416" s="25" t="n"/>
      <c r="U5416" s="194" t="n"/>
      <c r="AA5416" s="25" t="n"/>
      <c r="AB5416" s="25" t="n"/>
      <c r="AC5416" s="195" t="n"/>
      <c r="AD5416" s="25" t="n"/>
      <c r="AE5416" s="25" t="n"/>
      <c r="AG5416" s="25" t="n"/>
      <c r="AH5416" s="25" t="n"/>
      <c r="AI5416" s="394" t="n"/>
      <c r="AM5416" s="48" t="n"/>
      <c r="AN5416" s="48" t="n"/>
      <c r="AO5416" s="48" t="n"/>
    </row>
    <row r="5417">
      <c r="M5417" s="25" t="n"/>
      <c r="Q5417" s="25" t="n"/>
      <c r="U5417" s="194" t="n"/>
      <c r="AA5417" s="25" t="n"/>
      <c r="AB5417" s="25" t="n"/>
      <c r="AC5417" s="195" t="n"/>
      <c r="AD5417" s="25" t="n"/>
      <c r="AE5417" s="25" t="n"/>
      <c r="AG5417" s="25" t="n"/>
      <c r="AH5417" s="25" t="n"/>
      <c r="AI5417" s="394" t="n"/>
      <c r="AM5417" s="48" t="n"/>
      <c r="AN5417" s="48" t="n"/>
      <c r="AO5417" s="48" t="n"/>
    </row>
    <row r="5418">
      <c r="M5418" s="25" t="n"/>
      <c r="Q5418" s="25" t="n"/>
      <c r="U5418" s="194" t="n"/>
      <c r="AA5418" s="25" t="n"/>
      <c r="AB5418" s="25" t="n"/>
      <c r="AC5418" s="195" t="n"/>
      <c r="AD5418" s="25" t="n"/>
      <c r="AE5418" s="25" t="n"/>
      <c r="AG5418" s="25" t="n"/>
      <c r="AH5418" s="25" t="n"/>
      <c r="AI5418" s="394" t="n"/>
      <c r="AM5418" s="48" t="n"/>
      <c r="AN5418" s="48" t="n"/>
      <c r="AO5418" s="48" t="n"/>
    </row>
    <row r="5419">
      <c r="M5419" s="25" t="n"/>
      <c r="Q5419" s="25" t="n"/>
      <c r="U5419" s="194" t="n"/>
      <c r="AA5419" s="25" t="n"/>
      <c r="AB5419" s="25" t="n"/>
      <c r="AC5419" s="195" t="n"/>
      <c r="AD5419" s="25" t="n"/>
      <c r="AE5419" s="25" t="n"/>
      <c r="AG5419" s="25" t="n"/>
      <c r="AH5419" s="25" t="n"/>
      <c r="AI5419" s="394" t="n"/>
      <c r="AM5419" s="48" t="n"/>
      <c r="AN5419" s="48" t="n"/>
      <c r="AO5419" s="48" t="n"/>
    </row>
    <row r="5420">
      <c r="M5420" s="25" t="n"/>
      <c r="Q5420" s="25" t="n"/>
      <c r="U5420" s="194" t="n"/>
      <c r="AA5420" s="25" t="n"/>
      <c r="AB5420" s="25" t="n"/>
      <c r="AC5420" s="195" t="n"/>
      <c r="AD5420" s="25" t="n"/>
      <c r="AE5420" s="25" t="n"/>
      <c r="AG5420" s="25" t="n"/>
      <c r="AH5420" s="25" t="n"/>
      <c r="AI5420" s="394" t="n"/>
      <c r="AM5420" s="48" t="n"/>
      <c r="AN5420" s="48" t="n"/>
      <c r="AO5420" s="48" t="n"/>
    </row>
    <row r="5421">
      <c r="M5421" s="25" t="n"/>
      <c r="Q5421" s="25" t="n"/>
      <c r="U5421" s="194" t="n"/>
      <c r="AA5421" s="25" t="n"/>
      <c r="AB5421" s="25" t="n"/>
      <c r="AC5421" s="195" t="n"/>
      <c r="AD5421" s="25" t="n"/>
      <c r="AE5421" s="25" t="n"/>
      <c r="AG5421" s="25" t="n"/>
      <c r="AH5421" s="25" t="n"/>
      <c r="AI5421" s="394" t="n"/>
      <c r="AM5421" s="48" t="n"/>
      <c r="AN5421" s="48" t="n"/>
      <c r="AO5421" s="48" t="n"/>
    </row>
    <row r="5422">
      <c r="M5422" s="25" t="n"/>
      <c r="Q5422" s="25" t="n"/>
      <c r="U5422" s="194" t="n"/>
      <c r="AA5422" s="25" t="n"/>
      <c r="AB5422" s="25" t="n"/>
      <c r="AC5422" s="195" t="n"/>
      <c r="AD5422" s="25" t="n"/>
      <c r="AE5422" s="25" t="n"/>
      <c r="AG5422" s="25" t="n"/>
      <c r="AH5422" s="25" t="n"/>
      <c r="AI5422" s="394" t="n"/>
      <c r="AM5422" s="48" t="n"/>
      <c r="AN5422" s="48" t="n"/>
      <c r="AO5422" s="48" t="n"/>
    </row>
    <row r="5423">
      <c r="M5423" s="25" t="n"/>
      <c r="Q5423" s="25" t="n"/>
      <c r="U5423" s="194" t="n"/>
      <c r="AA5423" s="25" t="n"/>
      <c r="AB5423" s="25" t="n"/>
      <c r="AC5423" s="195" t="n"/>
      <c r="AD5423" s="25" t="n"/>
      <c r="AE5423" s="25" t="n"/>
      <c r="AG5423" s="25" t="n"/>
      <c r="AH5423" s="25" t="n"/>
      <c r="AI5423" s="394" t="n"/>
      <c r="AM5423" s="48" t="n"/>
      <c r="AN5423" s="48" t="n"/>
      <c r="AO5423" s="48" t="n"/>
    </row>
    <row r="5424">
      <c r="M5424" s="25" t="n"/>
      <c r="Q5424" s="25" t="n"/>
      <c r="U5424" s="194" t="n"/>
      <c r="AA5424" s="25" t="n"/>
      <c r="AB5424" s="25" t="n"/>
      <c r="AC5424" s="195" t="n"/>
      <c r="AD5424" s="25" t="n"/>
      <c r="AE5424" s="25" t="n"/>
      <c r="AG5424" s="25" t="n"/>
      <c r="AH5424" s="25" t="n"/>
      <c r="AI5424" s="394" t="n"/>
      <c r="AM5424" s="48" t="n"/>
      <c r="AN5424" s="48" t="n"/>
      <c r="AO5424" s="48" t="n"/>
    </row>
    <row r="5425">
      <c r="M5425" s="25" t="n"/>
      <c r="Q5425" s="25" t="n"/>
      <c r="U5425" s="194" t="n"/>
      <c r="AA5425" s="25" t="n"/>
      <c r="AB5425" s="25" t="n"/>
      <c r="AC5425" s="195" t="n"/>
      <c r="AD5425" s="25" t="n"/>
      <c r="AE5425" s="25" t="n"/>
      <c r="AG5425" s="25" t="n"/>
      <c r="AH5425" s="25" t="n"/>
      <c r="AI5425" s="394" t="n"/>
      <c r="AM5425" s="48" t="n"/>
      <c r="AN5425" s="48" t="n"/>
      <c r="AO5425" s="48" t="n"/>
    </row>
    <row r="5426">
      <c r="M5426" s="25" t="n"/>
      <c r="Q5426" s="25" t="n"/>
      <c r="U5426" s="194" t="n"/>
      <c r="AA5426" s="25" t="n"/>
      <c r="AB5426" s="25" t="n"/>
      <c r="AC5426" s="195" t="n"/>
      <c r="AD5426" s="25" t="n"/>
      <c r="AE5426" s="25" t="n"/>
      <c r="AG5426" s="25" t="n"/>
      <c r="AH5426" s="25" t="n"/>
      <c r="AI5426" s="394" t="n"/>
      <c r="AM5426" s="48" t="n"/>
      <c r="AN5426" s="48" t="n"/>
      <c r="AO5426" s="48" t="n"/>
    </row>
    <row r="5427">
      <c r="M5427" s="25" t="n"/>
      <c r="Q5427" s="25" t="n"/>
      <c r="U5427" s="194" t="n"/>
      <c r="AA5427" s="25" t="n"/>
      <c r="AB5427" s="25" t="n"/>
      <c r="AC5427" s="195" t="n"/>
      <c r="AD5427" s="25" t="n"/>
      <c r="AE5427" s="25" t="n"/>
      <c r="AG5427" s="25" t="n"/>
      <c r="AH5427" s="25" t="n"/>
      <c r="AI5427" s="394" t="n"/>
      <c r="AM5427" s="48" t="n"/>
      <c r="AN5427" s="48" t="n"/>
      <c r="AO5427" s="48" t="n"/>
    </row>
    <row r="5428">
      <c r="M5428" s="25" t="n"/>
      <c r="Q5428" s="25" t="n"/>
      <c r="U5428" s="194" t="n"/>
      <c r="AA5428" s="25" t="n"/>
      <c r="AB5428" s="25" t="n"/>
      <c r="AC5428" s="195" t="n"/>
      <c r="AD5428" s="25" t="n"/>
      <c r="AE5428" s="25" t="n"/>
      <c r="AG5428" s="25" t="n"/>
      <c r="AH5428" s="25" t="n"/>
      <c r="AI5428" s="394" t="n"/>
      <c r="AM5428" s="48" t="n"/>
      <c r="AN5428" s="48" t="n"/>
      <c r="AO5428" s="48" t="n"/>
    </row>
    <row r="5429">
      <c r="M5429" s="25" t="n"/>
      <c r="Q5429" s="25" t="n"/>
      <c r="U5429" s="194" t="n"/>
      <c r="AA5429" s="25" t="n"/>
      <c r="AB5429" s="25" t="n"/>
      <c r="AC5429" s="195" t="n"/>
      <c r="AD5429" s="25" t="n"/>
      <c r="AE5429" s="25" t="n"/>
      <c r="AG5429" s="25" t="n"/>
      <c r="AH5429" s="25" t="n"/>
      <c r="AI5429" s="394" t="n"/>
      <c r="AM5429" s="48" t="n"/>
      <c r="AN5429" s="48" t="n"/>
      <c r="AO5429" s="48" t="n"/>
    </row>
    <row r="5430">
      <c r="M5430" s="25" t="n"/>
      <c r="Q5430" s="25" t="n"/>
      <c r="U5430" s="194" t="n"/>
      <c r="AA5430" s="25" t="n"/>
      <c r="AB5430" s="25" t="n"/>
      <c r="AC5430" s="195" t="n"/>
      <c r="AD5430" s="25" t="n"/>
      <c r="AE5430" s="25" t="n"/>
      <c r="AG5430" s="25" t="n"/>
      <c r="AH5430" s="25" t="n"/>
      <c r="AI5430" s="394" t="n"/>
      <c r="AM5430" s="48" t="n"/>
      <c r="AN5430" s="48" t="n"/>
      <c r="AO5430" s="48" t="n"/>
    </row>
    <row r="5431">
      <c r="M5431" s="25" t="n"/>
      <c r="Q5431" s="25" t="n"/>
      <c r="U5431" s="194" t="n"/>
      <c r="AA5431" s="25" t="n"/>
      <c r="AB5431" s="25" t="n"/>
      <c r="AC5431" s="195" t="n"/>
      <c r="AD5431" s="25" t="n"/>
      <c r="AE5431" s="25" t="n"/>
      <c r="AG5431" s="25" t="n"/>
      <c r="AH5431" s="25" t="n"/>
      <c r="AI5431" s="394" t="n"/>
      <c r="AM5431" s="48" t="n"/>
      <c r="AN5431" s="48" t="n"/>
      <c r="AO5431" s="48" t="n"/>
    </row>
    <row r="5432">
      <c r="M5432" s="25" t="n"/>
      <c r="Q5432" s="25" t="n"/>
      <c r="U5432" s="194" t="n"/>
      <c r="AA5432" s="25" t="n"/>
      <c r="AB5432" s="25" t="n"/>
      <c r="AC5432" s="195" t="n"/>
      <c r="AD5432" s="25" t="n"/>
      <c r="AE5432" s="25" t="n"/>
      <c r="AG5432" s="25" t="n"/>
      <c r="AH5432" s="25" t="n"/>
      <c r="AI5432" s="394" t="n"/>
      <c r="AM5432" s="48" t="n"/>
      <c r="AN5432" s="48" t="n"/>
      <c r="AO5432" s="48" t="n"/>
    </row>
    <row r="5433">
      <c r="M5433" s="25" t="n"/>
      <c r="Q5433" s="25" t="n"/>
      <c r="U5433" s="194" t="n"/>
      <c r="AA5433" s="25" t="n"/>
      <c r="AB5433" s="25" t="n"/>
      <c r="AC5433" s="195" t="n"/>
      <c r="AD5433" s="25" t="n"/>
      <c r="AE5433" s="25" t="n"/>
      <c r="AG5433" s="25" t="n"/>
      <c r="AH5433" s="25" t="n"/>
      <c r="AI5433" s="394" t="n"/>
      <c r="AM5433" s="48" t="n"/>
      <c r="AN5433" s="48" t="n"/>
      <c r="AO5433" s="48" t="n"/>
    </row>
    <row r="5434">
      <c r="M5434" s="25" t="n"/>
      <c r="Q5434" s="25" t="n"/>
      <c r="U5434" s="194" t="n"/>
      <c r="AA5434" s="25" t="n"/>
      <c r="AB5434" s="25" t="n"/>
      <c r="AC5434" s="195" t="n"/>
      <c r="AD5434" s="25" t="n"/>
      <c r="AE5434" s="25" t="n"/>
      <c r="AG5434" s="25" t="n"/>
      <c r="AH5434" s="25" t="n"/>
      <c r="AI5434" s="394" t="n"/>
      <c r="AM5434" s="48" t="n"/>
      <c r="AN5434" s="48" t="n"/>
      <c r="AO5434" s="48" t="n"/>
    </row>
    <row r="5435">
      <c r="M5435" s="25" t="n"/>
      <c r="Q5435" s="25" t="n"/>
      <c r="U5435" s="194" t="n"/>
      <c r="AA5435" s="25" t="n"/>
      <c r="AB5435" s="25" t="n"/>
      <c r="AC5435" s="195" t="n"/>
      <c r="AD5435" s="25" t="n"/>
      <c r="AE5435" s="25" t="n"/>
      <c r="AG5435" s="25" t="n"/>
      <c r="AH5435" s="25" t="n"/>
      <c r="AI5435" s="394" t="n"/>
      <c r="AM5435" s="48" t="n"/>
      <c r="AN5435" s="48" t="n"/>
      <c r="AO5435" s="48" t="n"/>
    </row>
    <row r="5436">
      <c r="M5436" s="25" t="n"/>
      <c r="Q5436" s="25" t="n"/>
      <c r="U5436" s="194" t="n"/>
      <c r="AA5436" s="25" t="n"/>
      <c r="AB5436" s="25" t="n"/>
      <c r="AC5436" s="195" t="n"/>
      <c r="AD5436" s="25" t="n"/>
      <c r="AE5436" s="25" t="n"/>
      <c r="AG5436" s="25" t="n"/>
      <c r="AH5436" s="25" t="n"/>
      <c r="AI5436" s="394" t="n"/>
      <c r="AM5436" s="48" t="n"/>
      <c r="AN5436" s="48" t="n"/>
      <c r="AO5436" s="48" t="n"/>
    </row>
    <row r="5437">
      <c r="M5437" s="25" t="n"/>
      <c r="Q5437" s="25" t="n"/>
      <c r="U5437" s="194" t="n"/>
      <c r="AA5437" s="25" t="n"/>
      <c r="AB5437" s="25" t="n"/>
      <c r="AC5437" s="195" t="n"/>
      <c r="AD5437" s="25" t="n"/>
      <c r="AE5437" s="25" t="n"/>
      <c r="AG5437" s="25" t="n"/>
      <c r="AH5437" s="25" t="n"/>
      <c r="AI5437" s="394" t="n"/>
      <c r="AM5437" s="48" t="n"/>
      <c r="AN5437" s="48" t="n"/>
      <c r="AO5437" s="48" t="n"/>
    </row>
    <row r="5438">
      <c r="M5438" s="25" t="n"/>
      <c r="Q5438" s="25" t="n"/>
      <c r="U5438" s="194" t="n"/>
      <c r="AA5438" s="25" t="n"/>
      <c r="AB5438" s="25" t="n"/>
      <c r="AC5438" s="195" t="n"/>
      <c r="AD5438" s="25" t="n"/>
      <c r="AE5438" s="25" t="n"/>
      <c r="AG5438" s="25" t="n"/>
      <c r="AH5438" s="25" t="n"/>
      <c r="AI5438" s="394" t="n"/>
      <c r="AM5438" s="48" t="n"/>
      <c r="AN5438" s="48" t="n"/>
      <c r="AO5438" s="48" t="n"/>
    </row>
    <row r="5439">
      <c r="M5439" s="25" t="n"/>
      <c r="Q5439" s="25" t="n"/>
      <c r="U5439" s="194" t="n"/>
      <c r="AA5439" s="25" t="n"/>
      <c r="AB5439" s="25" t="n"/>
      <c r="AC5439" s="195" t="n"/>
      <c r="AD5439" s="25" t="n"/>
      <c r="AE5439" s="25" t="n"/>
      <c r="AG5439" s="25" t="n"/>
      <c r="AH5439" s="25" t="n"/>
      <c r="AI5439" s="394" t="n"/>
      <c r="AM5439" s="48" t="n"/>
      <c r="AN5439" s="48" t="n"/>
      <c r="AO5439" s="48" t="n"/>
    </row>
    <row r="5440">
      <c r="M5440" s="25" t="n"/>
      <c r="Q5440" s="25" t="n"/>
      <c r="U5440" s="194" t="n"/>
      <c r="AA5440" s="25" t="n"/>
      <c r="AB5440" s="25" t="n"/>
      <c r="AC5440" s="195" t="n"/>
      <c r="AD5440" s="25" t="n"/>
      <c r="AE5440" s="25" t="n"/>
      <c r="AG5440" s="25" t="n"/>
      <c r="AH5440" s="25" t="n"/>
      <c r="AI5440" s="394" t="n"/>
      <c r="AM5440" s="48" t="n"/>
      <c r="AN5440" s="48" t="n"/>
      <c r="AO5440" s="48" t="n"/>
    </row>
    <row r="5441">
      <c r="M5441" s="25" t="n"/>
      <c r="Q5441" s="25" t="n"/>
      <c r="U5441" s="194" t="n"/>
      <c r="AA5441" s="25" t="n"/>
      <c r="AB5441" s="25" t="n"/>
      <c r="AC5441" s="195" t="n"/>
      <c r="AD5441" s="25" t="n"/>
      <c r="AE5441" s="25" t="n"/>
      <c r="AG5441" s="25" t="n"/>
      <c r="AH5441" s="25" t="n"/>
      <c r="AI5441" s="394" t="n"/>
      <c r="AM5441" s="48" t="n"/>
      <c r="AN5441" s="48" t="n"/>
      <c r="AO5441" s="48" t="n"/>
    </row>
    <row r="5442">
      <c r="M5442" s="25" t="n"/>
      <c r="Q5442" s="25" t="n"/>
      <c r="U5442" s="194" t="n"/>
      <c r="AA5442" s="25" t="n"/>
      <c r="AB5442" s="25" t="n"/>
      <c r="AC5442" s="195" t="n"/>
      <c r="AD5442" s="25" t="n"/>
      <c r="AE5442" s="25" t="n"/>
      <c r="AG5442" s="25" t="n"/>
      <c r="AH5442" s="25" t="n"/>
      <c r="AI5442" s="394" t="n"/>
      <c r="AM5442" s="48" t="n"/>
      <c r="AN5442" s="48" t="n"/>
      <c r="AO5442" s="48" t="n"/>
    </row>
    <row r="5443">
      <c r="M5443" s="25" t="n"/>
      <c r="Q5443" s="25" t="n"/>
      <c r="U5443" s="194" t="n"/>
      <c r="AA5443" s="25" t="n"/>
      <c r="AB5443" s="25" t="n"/>
      <c r="AC5443" s="195" t="n"/>
      <c r="AD5443" s="25" t="n"/>
      <c r="AE5443" s="25" t="n"/>
      <c r="AG5443" s="25" t="n"/>
      <c r="AH5443" s="25" t="n"/>
      <c r="AI5443" s="394" t="n"/>
      <c r="AM5443" s="48" t="n"/>
      <c r="AN5443" s="48" t="n"/>
      <c r="AO5443" s="48" t="n"/>
    </row>
    <row r="5444">
      <c r="M5444" s="25" t="n"/>
      <c r="Q5444" s="25" t="n"/>
      <c r="U5444" s="194" t="n"/>
      <c r="AA5444" s="25" t="n"/>
      <c r="AB5444" s="25" t="n"/>
      <c r="AC5444" s="195" t="n"/>
      <c r="AD5444" s="25" t="n"/>
      <c r="AE5444" s="25" t="n"/>
      <c r="AG5444" s="25" t="n"/>
      <c r="AH5444" s="25" t="n"/>
      <c r="AI5444" s="394" t="n"/>
      <c r="AM5444" s="48" t="n"/>
      <c r="AN5444" s="48" t="n"/>
      <c r="AO5444" s="48" t="n"/>
    </row>
    <row r="5445">
      <c r="M5445" s="25" t="n"/>
      <c r="Q5445" s="25" t="n"/>
      <c r="U5445" s="194" t="n"/>
      <c r="AA5445" s="25" t="n"/>
      <c r="AB5445" s="25" t="n"/>
      <c r="AC5445" s="195" t="n"/>
      <c r="AD5445" s="25" t="n"/>
      <c r="AE5445" s="25" t="n"/>
      <c r="AG5445" s="25" t="n"/>
      <c r="AH5445" s="25" t="n"/>
      <c r="AI5445" s="394" t="n"/>
      <c r="AM5445" s="48" t="n"/>
      <c r="AN5445" s="48" t="n"/>
      <c r="AO5445" s="48" t="n"/>
    </row>
    <row r="5446">
      <c r="M5446" s="25" t="n"/>
      <c r="Q5446" s="25" t="n"/>
      <c r="U5446" s="194" t="n"/>
      <c r="AA5446" s="25" t="n"/>
      <c r="AB5446" s="25" t="n"/>
      <c r="AC5446" s="195" t="n"/>
      <c r="AD5446" s="25" t="n"/>
      <c r="AE5446" s="25" t="n"/>
      <c r="AG5446" s="25" t="n"/>
      <c r="AH5446" s="25" t="n"/>
      <c r="AI5446" s="394" t="n"/>
      <c r="AM5446" s="48" t="n"/>
      <c r="AN5446" s="48" t="n"/>
      <c r="AO5446" s="48" t="n"/>
    </row>
    <row r="5447">
      <c r="M5447" s="25" t="n"/>
      <c r="Q5447" s="25" t="n"/>
      <c r="U5447" s="194" t="n"/>
      <c r="AA5447" s="25" t="n"/>
      <c r="AB5447" s="25" t="n"/>
      <c r="AC5447" s="195" t="n"/>
      <c r="AD5447" s="25" t="n"/>
      <c r="AE5447" s="25" t="n"/>
      <c r="AG5447" s="25" t="n"/>
      <c r="AH5447" s="25" t="n"/>
      <c r="AI5447" s="394" t="n"/>
      <c r="AM5447" s="48" t="n"/>
      <c r="AN5447" s="48" t="n"/>
      <c r="AO5447" s="48" t="n"/>
    </row>
    <row r="5448">
      <c r="M5448" s="25" t="n"/>
      <c r="Q5448" s="25" t="n"/>
      <c r="U5448" s="194" t="n"/>
      <c r="AA5448" s="25" t="n"/>
      <c r="AB5448" s="25" t="n"/>
      <c r="AC5448" s="195" t="n"/>
      <c r="AD5448" s="25" t="n"/>
      <c r="AE5448" s="25" t="n"/>
      <c r="AG5448" s="25" t="n"/>
      <c r="AH5448" s="25" t="n"/>
      <c r="AI5448" s="394" t="n"/>
      <c r="AM5448" s="48" t="n"/>
      <c r="AN5448" s="48" t="n"/>
      <c r="AO5448" s="48" t="n"/>
    </row>
    <row r="5449">
      <c r="M5449" s="25" t="n"/>
      <c r="Q5449" s="25" t="n"/>
      <c r="U5449" s="194" t="n"/>
      <c r="AA5449" s="25" t="n"/>
      <c r="AB5449" s="25" t="n"/>
      <c r="AC5449" s="195" t="n"/>
      <c r="AD5449" s="25" t="n"/>
      <c r="AE5449" s="25" t="n"/>
      <c r="AG5449" s="25" t="n"/>
      <c r="AH5449" s="25" t="n"/>
      <c r="AI5449" s="394" t="n"/>
      <c r="AM5449" s="48" t="n"/>
      <c r="AN5449" s="48" t="n"/>
      <c r="AO5449" s="48" t="n"/>
    </row>
    <row r="5450">
      <c r="M5450" s="25" t="n"/>
      <c r="Q5450" s="25" t="n"/>
      <c r="U5450" s="194" t="n"/>
      <c r="AA5450" s="25" t="n"/>
      <c r="AB5450" s="25" t="n"/>
      <c r="AC5450" s="195" t="n"/>
      <c r="AD5450" s="25" t="n"/>
      <c r="AE5450" s="25" t="n"/>
      <c r="AG5450" s="25" t="n"/>
      <c r="AH5450" s="25" t="n"/>
      <c r="AI5450" s="394" t="n"/>
      <c r="AM5450" s="48" t="n"/>
      <c r="AN5450" s="48" t="n"/>
      <c r="AO5450" s="48" t="n"/>
    </row>
    <row r="5451">
      <c r="M5451" s="25" t="n"/>
      <c r="Q5451" s="25" t="n"/>
      <c r="U5451" s="194" t="n"/>
      <c r="AA5451" s="25" t="n"/>
      <c r="AB5451" s="25" t="n"/>
      <c r="AC5451" s="195" t="n"/>
      <c r="AD5451" s="25" t="n"/>
      <c r="AE5451" s="25" t="n"/>
      <c r="AG5451" s="25" t="n"/>
      <c r="AH5451" s="25" t="n"/>
      <c r="AI5451" s="394" t="n"/>
      <c r="AM5451" s="48" t="n"/>
      <c r="AN5451" s="48" t="n"/>
      <c r="AO5451" s="48" t="n"/>
    </row>
    <row r="5452">
      <c r="M5452" s="25" t="n"/>
      <c r="Q5452" s="25" t="n"/>
      <c r="U5452" s="194" t="n"/>
      <c r="AA5452" s="25" t="n"/>
      <c r="AB5452" s="25" t="n"/>
      <c r="AC5452" s="195" t="n"/>
      <c r="AD5452" s="25" t="n"/>
      <c r="AE5452" s="25" t="n"/>
      <c r="AG5452" s="25" t="n"/>
      <c r="AH5452" s="25" t="n"/>
      <c r="AI5452" s="394" t="n"/>
      <c r="AM5452" s="48" t="n"/>
      <c r="AN5452" s="48" t="n"/>
      <c r="AO5452" s="48" t="n"/>
    </row>
    <row r="5453">
      <c r="M5453" s="25" t="n"/>
      <c r="Q5453" s="25" t="n"/>
      <c r="U5453" s="194" t="n"/>
      <c r="AA5453" s="25" t="n"/>
      <c r="AB5453" s="25" t="n"/>
      <c r="AC5453" s="195" t="n"/>
      <c r="AD5453" s="25" t="n"/>
      <c r="AE5453" s="25" t="n"/>
      <c r="AG5453" s="25" t="n"/>
      <c r="AH5453" s="25" t="n"/>
      <c r="AI5453" s="394" t="n"/>
      <c r="AM5453" s="48" t="n"/>
      <c r="AN5453" s="48" t="n"/>
      <c r="AO5453" s="48" t="n"/>
    </row>
    <row r="5454">
      <c r="M5454" s="25" t="n"/>
      <c r="Q5454" s="25" t="n"/>
      <c r="U5454" s="194" t="n"/>
      <c r="AA5454" s="25" t="n"/>
      <c r="AB5454" s="25" t="n"/>
      <c r="AC5454" s="195" t="n"/>
      <c r="AD5454" s="25" t="n"/>
      <c r="AE5454" s="25" t="n"/>
      <c r="AG5454" s="25" t="n"/>
      <c r="AH5454" s="25" t="n"/>
      <c r="AI5454" s="394" t="n"/>
      <c r="AM5454" s="48" t="n"/>
      <c r="AN5454" s="48" t="n"/>
      <c r="AO5454" s="48" t="n"/>
    </row>
    <row r="5455">
      <c r="M5455" s="25" t="n"/>
      <c r="Q5455" s="25" t="n"/>
      <c r="U5455" s="194" t="n"/>
      <c r="AA5455" s="25" t="n"/>
      <c r="AB5455" s="25" t="n"/>
      <c r="AC5455" s="195" t="n"/>
      <c r="AD5455" s="25" t="n"/>
      <c r="AE5455" s="25" t="n"/>
      <c r="AG5455" s="25" t="n"/>
      <c r="AH5455" s="25" t="n"/>
      <c r="AI5455" s="394" t="n"/>
      <c r="AM5455" s="48" t="n"/>
      <c r="AN5455" s="48" t="n"/>
      <c r="AO5455" s="48" t="n"/>
    </row>
    <row r="5456">
      <c r="M5456" s="25" t="n"/>
      <c r="Q5456" s="25" t="n"/>
      <c r="U5456" s="194" t="n"/>
      <c r="AA5456" s="25" t="n"/>
      <c r="AB5456" s="25" t="n"/>
      <c r="AC5456" s="195" t="n"/>
      <c r="AD5456" s="25" t="n"/>
      <c r="AE5456" s="25" t="n"/>
      <c r="AG5456" s="25" t="n"/>
      <c r="AH5456" s="25" t="n"/>
      <c r="AI5456" s="394" t="n"/>
      <c r="AM5456" s="48" t="n"/>
      <c r="AN5456" s="48" t="n"/>
      <c r="AO5456" s="48" t="n"/>
    </row>
    <row r="5457">
      <c r="M5457" s="25" t="n"/>
      <c r="Q5457" s="25" t="n"/>
      <c r="U5457" s="194" t="n"/>
      <c r="AA5457" s="25" t="n"/>
      <c r="AB5457" s="25" t="n"/>
      <c r="AC5457" s="195" t="n"/>
      <c r="AD5457" s="25" t="n"/>
      <c r="AE5457" s="25" t="n"/>
      <c r="AG5457" s="25" t="n"/>
      <c r="AH5457" s="25" t="n"/>
      <c r="AI5457" s="394" t="n"/>
      <c r="AM5457" s="48" t="n"/>
      <c r="AN5457" s="48" t="n"/>
      <c r="AO5457" s="48" t="n"/>
    </row>
    <row r="5458">
      <c r="M5458" s="25" t="n"/>
      <c r="Q5458" s="25" t="n"/>
      <c r="U5458" s="194" t="n"/>
      <c r="AA5458" s="25" t="n"/>
      <c r="AB5458" s="25" t="n"/>
      <c r="AC5458" s="195" t="n"/>
      <c r="AD5458" s="25" t="n"/>
      <c r="AE5458" s="25" t="n"/>
      <c r="AG5458" s="25" t="n"/>
      <c r="AH5458" s="25" t="n"/>
      <c r="AI5458" s="394" t="n"/>
      <c r="AM5458" s="48" t="n"/>
      <c r="AN5458" s="48" t="n"/>
      <c r="AO5458" s="48" t="n"/>
    </row>
    <row r="5459">
      <c r="M5459" s="25" t="n"/>
      <c r="Q5459" s="25" t="n"/>
      <c r="U5459" s="194" t="n"/>
      <c r="AA5459" s="25" t="n"/>
      <c r="AB5459" s="25" t="n"/>
      <c r="AC5459" s="195" t="n"/>
      <c r="AD5459" s="25" t="n"/>
      <c r="AE5459" s="25" t="n"/>
      <c r="AG5459" s="25" t="n"/>
      <c r="AH5459" s="25" t="n"/>
      <c r="AI5459" s="394" t="n"/>
      <c r="AM5459" s="48" t="n"/>
      <c r="AN5459" s="48" t="n"/>
      <c r="AO5459" s="48" t="n"/>
    </row>
    <row r="5460">
      <c r="M5460" s="25" t="n"/>
      <c r="Q5460" s="25" t="n"/>
      <c r="U5460" s="194" t="n"/>
      <c r="AA5460" s="25" t="n"/>
      <c r="AB5460" s="25" t="n"/>
      <c r="AC5460" s="195" t="n"/>
      <c r="AD5460" s="25" t="n"/>
      <c r="AE5460" s="25" t="n"/>
      <c r="AG5460" s="25" t="n"/>
      <c r="AH5460" s="25" t="n"/>
      <c r="AI5460" s="394" t="n"/>
      <c r="AM5460" s="48" t="n"/>
      <c r="AN5460" s="48" t="n"/>
      <c r="AO5460" s="48" t="n"/>
    </row>
    <row r="5461">
      <c r="M5461" s="25" t="n"/>
      <c r="Q5461" s="25" t="n"/>
      <c r="U5461" s="194" t="n"/>
      <c r="AA5461" s="25" t="n"/>
      <c r="AB5461" s="25" t="n"/>
      <c r="AC5461" s="195" t="n"/>
      <c r="AD5461" s="25" t="n"/>
      <c r="AE5461" s="25" t="n"/>
      <c r="AG5461" s="25" t="n"/>
      <c r="AH5461" s="25" t="n"/>
      <c r="AI5461" s="394" t="n"/>
      <c r="AM5461" s="48" t="n"/>
      <c r="AN5461" s="48" t="n"/>
      <c r="AO5461" s="48" t="n"/>
    </row>
    <row r="5462">
      <c r="M5462" s="25" t="n"/>
      <c r="Q5462" s="25" t="n"/>
      <c r="U5462" s="194" t="n"/>
      <c r="AA5462" s="25" t="n"/>
      <c r="AB5462" s="25" t="n"/>
      <c r="AC5462" s="195" t="n"/>
      <c r="AD5462" s="25" t="n"/>
      <c r="AE5462" s="25" t="n"/>
      <c r="AG5462" s="25" t="n"/>
      <c r="AH5462" s="25" t="n"/>
      <c r="AI5462" s="394" t="n"/>
      <c r="AM5462" s="48" t="n"/>
      <c r="AN5462" s="48" t="n"/>
      <c r="AO5462" s="48" t="n"/>
    </row>
    <row r="5463">
      <c r="M5463" s="25" t="n"/>
      <c r="Q5463" s="25" t="n"/>
      <c r="U5463" s="194" t="n"/>
      <c r="AA5463" s="25" t="n"/>
      <c r="AB5463" s="25" t="n"/>
      <c r="AC5463" s="195" t="n"/>
      <c r="AD5463" s="25" t="n"/>
      <c r="AE5463" s="25" t="n"/>
      <c r="AG5463" s="25" t="n"/>
      <c r="AH5463" s="25" t="n"/>
      <c r="AI5463" s="394" t="n"/>
      <c r="AM5463" s="48" t="n"/>
      <c r="AN5463" s="48" t="n"/>
      <c r="AO5463" s="48" t="n"/>
    </row>
    <row r="5464">
      <c r="M5464" s="25" t="n"/>
      <c r="Q5464" s="25" t="n"/>
      <c r="U5464" s="194" t="n"/>
      <c r="AA5464" s="25" t="n"/>
      <c r="AB5464" s="25" t="n"/>
      <c r="AC5464" s="195" t="n"/>
      <c r="AD5464" s="25" t="n"/>
      <c r="AE5464" s="25" t="n"/>
      <c r="AG5464" s="25" t="n"/>
      <c r="AH5464" s="25" t="n"/>
      <c r="AI5464" s="394" t="n"/>
      <c r="AM5464" s="48" t="n"/>
      <c r="AN5464" s="48" t="n"/>
      <c r="AO5464" s="48" t="n"/>
    </row>
    <row r="5465">
      <c r="M5465" s="25" t="n"/>
      <c r="Q5465" s="25" t="n"/>
      <c r="U5465" s="194" t="n"/>
      <c r="AA5465" s="25" t="n"/>
      <c r="AB5465" s="25" t="n"/>
      <c r="AC5465" s="195" t="n"/>
      <c r="AD5465" s="25" t="n"/>
      <c r="AE5465" s="25" t="n"/>
      <c r="AG5465" s="25" t="n"/>
      <c r="AH5465" s="25" t="n"/>
      <c r="AI5465" s="394" t="n"/>
      <c r="AM5465" s="48" t="n"/>
      <c r="AN5465" s="48" t="n"/>
      <c r="AO5465" s="48" t="n"/>
    </row>
    <row r="5466">
      <c r="M5466" s="25" t="n"/>
      <c r="Q5466" s="25" t="n"/>
      <c r="U5466" s="194" t="n"/>
      <c r="AA5466" s="25" t="n"/>
      <c r="AB5466" s="25" t="n"/>
      <c r="AC5466" s="195" t="n"/>
      <c r="AD5466" s="25" t="n"/>
      <c r="AE5466" s="25" t="n"/>
      <c r="AG5466" s="25" t="n"/>
      <c r="AH5466" s="25" t="n"/>
      <c r="AI5466" s="394" t="n"/>
      <c r="AM5466" s="48" t="n"/>
      <c r="AN5466" s="48" t="n"/>
      <c r="AO5466" s="48" t="n"/>
    </row>
    <row r="5467">
      <c r="M5467" s="25" t="n"/>
      <c r="Q5467" s="25" t="n"/>
      <c r="U5467" s="194" t="n"/>
      <c r="AA5467" s="25" t="n"/>
      <c r="AB5467" s="25" t="n"/>
      <c r="AC5467" s="195" t="n"/>
      <c r="AD5467" s="25" t="n"/>
      <c r="AE5467" s="25" t="n"/>
      <c r="AG5467" s="25" t="n"/>
      <c r="AH5467" s="25" t="n"/>
      <c r="AI5467" s="394" t="n"/>
      <c r="AM5467" s="48" t="n"/>
      <c r="AN5467" s="48" t="n"/>
      <c r="AO5467" s="48" t="n"/>
    </row>
    <row r="5468">
      <c r="M5468" s="25" t="n"/>
      <c r="Q5468" s="25" t="n"/>
      <c r="U5468" s="194" t="n"/>
      <c r="AA5468" s="25" t="n"/>
      <c r="AB5468" s="25" t="n"/>
      <c r="AC5468" s="195" t="n"/>
      <c r="AD5468" s="25" t="n"/>
      <c r="AE5468" s="25" t="n"/>
      <c r="AG5468" s="25" t="n"/>
      <c r="AH5468" s="25" t="n"/>
      <c r="AI5468" s="394" t="n"/>
      <c r="AM5468" s="48" t="n"/>
      <c r="AN5468" s="48" t="n"/>
      <c r="AO5468" s="48" t="n"/>
    </row>
    <row r="5469">
      <c r="M5469" s="25" t="n"/>
      <c r="Q5469" s="25" t="n"/>
      <c r="U5469" s="194" t="n"/>
      <c r="AA5469" s="25" t="n"/>
      <c r="AB5469" s="25" t="n"/>
      <c r="AC5469" s="195" t="n"/>
      <c r="AD5469" s="25" t="n"/>
      <c r="AE5469" s="25" t="n"/>
      <c r="AG5469" s="25" t="n"/>
      <c r="AH5469" s="25" t="n"/>
      <c r="AI5469" s="394" t="n"/>
      <c r="AM5469" s="48" t="n"/>
      <c r="AN5469" s="48" t="n"/>
      <c r="AO5469" s="48" t="n"/>
    </row>
    <row r="5470">
      <c r="M5470" s="25" t="n"/>
      <c r="Q5470" s="25" t="n"/>
      <c r="U5470" s="194" t="n"/>
      <c r="AA5470" s="25" t="n"/>
      <c r="AB5470" s="25" t="n"/>
      <c r="AC5470" s="195" t="n"/>
      <c r="AD5470" s="25" t="n"/>
      <c r="AE5470" s="25" t="n"/>
      <c r="AG5470" s="25" t="n"/>
      <c r="AH5470" s="25" t="n"/>
      <c r="AI5470" s="394" t="n"/>
      <c r="AM5470" s="48" t="n"/>
      <c r="AN5470" s="48" t="n"/>
      <c r="AO5470" s="48" t="n"/>
    </row>
    <row r="5471">
      <c r="M5471" s="25" t="n"/>
      <c r="Q5471" s="25" t="n"/>
      <c r="U5471" s="194" t="n"/>
      <c r="AA5471" s="25" t="n"/>
      <c r="AB5471" s="25" t="n"/>
      <c r="AC5471" s="195" t="n"/>
      <c r="AD5471" s="25" t="n"/>
      <c r="AE5471" s="25" t="n"/>
      <c r="AG5471" s="25" t="n"/>
      <c r="AH5471" s="25" t="n"/>
      <c r="AI5471" s="394" t="n"/>
      <c r="AM5471" s="48" t="n"/>
      <c r="AN5471" s="48" t="n"/>
      <c r="AO5471" s="48" t="n"/>
    </row>
    <row r="5472">
      <c r="M5472" s="25" t="n"/>
      <c r="Q5472" s="25" t="n"/>
      <c r="U5472" s="194" t="n"/>
      <c r="AA5472" s="25" t="n"/>
      <c r="AB5472" s="25" t="n"/>
      <c r="AC5472" s="195" t="n"/>
      <c r="AD5472" s="25" t="n"/>
      <c r="AE5472" s="25" t="n"/>
      <c r="AG5472" s="25" t="n"/>
      <c r="AH5472" s="25" t="n"/>
      <c r="AI5472" s="394" t="n"/>
      <c r="AM5472" s="48" t="n"/>
      <c r="AN5472" s="48" t="n"/>
      <c r="AO5472" s="48" t="n"/>
    </row>
    <row r="5473">
      <c r="M5473" s="25" t="n"/>
      <c r="Q5473" s="25" t="n"/>
      <c r="U5473" s="194" t="n"/>
      <c r="AA5473" s="25" t="n"/>
      <c r="AB5473" s="25" t="n"/>
      <c r="AC5473" s="195" t="n"/>
      <c r="AD5473" s="25" t="n"/>
      <c r="AE5473" s="25" t="n"/>
      <c r="AG5473" s="25" t="n"/>
      <c r="AH5473" s="25" t="n"/>
      <c r="AI5473" s="394" t="n"/>
      <c r="AM5473" s="48" t="n"/>
      <c r="AN5473" s="48" t="n"/>
      <c r="AO5473" s="48" t="n"/>
    </row>
    <row r="5474">
      <c r="M5474" s="25" t="n"/>
      <c r="Q5474" s="25" t="n"/>
      <c r="U5474" s="194" t="n"/>
      <c r="AA5474" s="25" t="n"/>
      <c r="AB5474" s="25" t="n"/>
      <c r="AC5474" s="195" t="n"/>
      <c r="AD5474" s="25" t="n"/>
      <c r="AE5474" s="25" t="n"/>
      <c r="AG5474" s="25" t="n"/>
      <c r="AH5474" s="25" t="n"/>
      <c r="AI5474" s="394" t="n"/>
      <c r="AM5474" s="48" t="n"/>
      <c r="AN5474" s="48" t="n"/>
      <c r="AO5474" s="48" t="n"/>
    </row>
    <row r="5475">
      <c r="M5475" s="25" t="n"/>
      <c r="Q5475" s="25" t="n"/>
      <c r="U5475" s="194" t="n"/>
      <c r="AA5475" s="25" t="n"/>
      <c r="AB5475" s="25" t="n"/>
      <c r="AC5475" s="195" t="n"/>
      <c r="AD5475" s="25" t="n"/>
      <c r="AE5475" s="25" t="n"/>
      <c r="AG5475" s="25" t="n"/>
      <c r="AH5475" s="25" t="n"/>
      <c r="AI5475" s="394" t="n"/>
      <c r="AM5475" s="48" t="n"/>
      <c r="AN5475" s="48" t="n"/>
      <c r="AO5475" s="48" t="n"/>
    </row>
    <row r="5476">
      <c r="M5476" s="25" t="n"/>
      <c r="Q5476" s="25" t="n"/>
      <c r="U5476" s="194" t="n"/>
      <c r="AA5476" s="25" t="n"/>
      <c r="AB5476" s="25" t="n"/>
      <c r="AC5476" s="195" t="n"/>
      <c r="AD5476" s="25" t="n"/>
      <c r="AE5476" s="25" t="n"/>
      <c r="AG5476" s="25" t="n"/>
      <c r="AH5476" s="25" t="n"/>
      <c r="AI5476" s="394" t="n"/>
      <c r="AM5476" s="48" t="n"/>
      <c r="AN5476" s="48" t="n"/>
      <c r="AO5476" s="48" t="n"/>
    </row>
    <row r="5477">
      <c r="M5477" s="25" t="n"/>
      <c r="Q5477" s="25" t="n"/>
      <c r="U5477" s="194" t="n"/>
      <c r="AA5477" s="25" t="n"/>
      <c r="AB5477" s="25" t="n"/>
      <c r="AC5477" s="195" t="n"/>
      <c r="AD5477" s="25" t="n"/>
      <c r="AE5477" s="25" t="n"/>
      <c r="AG5477" s="25" t="n"/>
      <c r="AH5477" s="25" t="n"/>
      <c r="AI5477" s="394" t="n"/>
      <c r="AM5477" s="48" t="n"/>
      <c r="AN5477" s="48" t="n"/>
      <c r="AO5477" s="48" t="n"/>
    </row>
    <row r="5478">
      <c r="M5478" s="25" t="n"/>
      <c r="Q5478" s="25" t="n"/>
      <c r="U5478" s="194" t="n"/>
      <c r="AA5478" s="25" t="n"/>
      <c r="AB5478" s="25" t="n"/>
      <c r="AC5478" s="195" t="n"/>
      <c r="AD5478" s="25" t="n"/>
      <c r="AE5478" s="25" t="n"/>
      <c r="AG5478" s="25" t="n"/>
      <c r="AH5478" s="25" t="n"/>
      <c r="AI5478" s="394" t="n"/>
      <c r="AM5478" s="48" t="n"/>
      <c r="AN5478" s="48" t="n"/>
      <c r="AO5478" s="48" t="n"/>
    </row>
    <row r="5479">
      <c r="M5479" s="25" t="n"/>
      <c r="Q5479" s="25" t="n"/>
      <c r="U5479" s="194" t="n"/>
      <c r="AA5479" s="25" t="n"/>
      <c r="AB5479" s="25" t="n"/>
      <c r="AC5479" s="195" t="n"/>
      <c r="AD5479" s="25" t="n"/>
      <c r="AE5479" s="25" t="n"/>
      <c r="AG5479" s="25" t="n"/>
      <c r="AH5479" s="25" t="n"/>
      <c r="AI5479" s="394" t="n"/>
      <c r="AM5479" s="48" t="n"/>
      <c r="AN5479" s="48" t="n"/>
      <c r="AO5479" s="48" t="n"/>
    </row>
    <row r="5480">
      <c r="M5480" s="25" t="n"/>
      <c r="Q5480" s="25" t="n"/>
      <c r="U5480" s="194" t="n"/>
      <c r="AA5480" s="25" t="n"/>
      <c r="AB5480" s="25" t="n"/>
      <c r="AC5480" s="195" t="n"/>
      <c r="AD5480" s="25" t="n"/>
      <c r="AE5480" s="25" t="n"/>
      <c r="AG5480" s="25" t="n"/>
      <c r="AH5480" s="25" t="n"/>
      <c r="AI5480" s="394" t="n"/>
      <c r="AM5480" s="48" t="n"/>
      <c r="AN5480" s="48" t="n"/>
      <c r="AO5480" s="48" t="n"/>
    </row>
    <row r="5481">
      <c r="M5481" s="25" t="n"/>
      <c r="Q5481" s="25" t="n"/>
      <c r="U5481" s="194" t="n"/>
      <c r="AA5481" s="25" t="n"/>
      <c r="AB5481" s="25" t="n"/>
      <c r="AC5481" s="195" t="n"/>
      <c r="AD5481" s="25" t="n"/>
      <c r="AE5481" s="25" t="n"/>
      <c r="AG5481" s="25" t="n"/>
      <c r="AH5481" s="25" t="n"/>
      <c r="AI5481" s="394" t="n"/>
      <c r="AM5481" s="48" t="n"/>
      <c r="AN5481" s="48" t="n"/>
      <c r="AO5481" s="48" t="n"/>
    </row>
    <row r="5482">
      <c r="M5482" s="25" t="n"/>
      <c r="Q5482" s="25" t="n"/>
      <c r="U5482" s="194" t="n"/>
      <c r="AA5482" s="25" t="n"/>
      <c r="AB5482" s="25" t="n"/>
      <c r="AC5482" s="195" t="n"/>
      <c r="AD5482" s="25" t="n"/>
      <c r="AE5482" s="25" t="n"/>
      <c r="AG5482" s="25" t="n"/>
      <c r="AH5482" s="25" t="n"/>
      <c r="AI5482" s="394" t="n"/>
      <c r="AM5482" s="48" t="n"/>
      <c r="AN5482" s="48" t="n"/>
      <c r="AO5482" s="48" t="n"/>
    </row>
    <row r="5483">
      <c r="M5483" s="25" t="n"/>
      <c r="Q5483" s="25" t="n"/>
      <c r="U5483" s="194" t="n"/>
      <c r="AA5483" s="25" t="n"/>
      <c r="AB5483" s="25" t="n"/>
      <c r="AC5483" s="195" t="n"/>
      <c r="AD5483" s="25" t="n"/>
      <c r="AE5483" s="25" t="n"/>
      <c r="AG5483" s="25" t="n"/>
      <c r="AH5483" s="25" t="n"/>
      <c r="AI5483" s="394" t="n"/>
      <c r="AM5483" s="48" t="n"/>
      <c r="AN5483" s="48" t="n"/>
      <c r="AO5483" s="48" t="n"/>
    </row>
    <row r="5484">
      <c r="M5484" s="25" t="n"/>
      <c r="Q5484" s="25" t="n"/>
      <c r="U5484" s="194" t="n"/>
      <c r="AA5484" s="25" t="n"/>
      <c r="AB5484" s="25" t="n"/>
      <c r="AC5484" s="195" t="n"/>
      <c r="AD5484" s="25" t="n"/>
      <c r="AE5484" s="25" t="n"/>
      <c r="AG5484" s="25" t="n"/>
      <c r="AH5484" s="25" t="n"/>
      <c r="AI5484" s="394" t="n"/>
      <c r="AM5484" s="48" t="n"/>
      <c r="AN5484" s="48" t="n"/>
      <c r="AO5484" s="48" t="n"/>
    </row>
    <row r="5485">
      <c r="M5485" s="25" t="n"/>
      <c r="Q5485" s="25" t="n"/>
      <c r="U5485" s="194" t="n"/>
      <c r="AA5485" s="25" t="n"/>
      <c r="AB5485" s="25" t="n"/>
      <c r="AC5485" s="195" t="n"/>
      <c r="AD5485" s="25" t="n"/>
      <c r="AE5485" s="25" t="n"/>
      <c r="AG5485" s="25" t="n"/>
      <c r="AH5485" s="25" t="n"/>
      <c r="AI5485" s="394" t="n"/>
      <c r="AM5485" s="48" t="n"/>
      <c r="AN5485" s="48" t="n"/>
      <c r="AO5485" s="48" t="n"/>
    </row>
    <row r="5486">
      <c r="M5486" s="25" t="n"/>
      <c r="Q5486" s="25" t="n"/>
      <c r="U5486" s="194" t="n"/>
      <c r="AA5486" s="25" t="n"/>
      <c r="AB5486" s="25" t="n"/>
      <c r="AC5486" s="195" t="n"/>
      <c r="AD5486" s="25" t="n"/>
      <c r="AE5486" s="25" t="n"/>
      <c r="AG5486" s="25" t="n"/>
      <c r="AH5486" s="25" t="n"/>
      <c r="AI5486" s="394" t="n"/>
      <c r="AM5486" s="48" t="n"/>
      <c r="AN5486" s="48" t="n"/>
      <c r="AO5486" s="48" t="n"/>
    </row>
    <row r="5487">
      <c r="M5487" s="25" t="n"/>
      <c r="Q5487" s="25" t="n"/>
      <c r="U5487" s="194" t="n"/>
      <c r="AA5487" s="25" t="n"/>
      <c r="AB5487" s="25" t="n"/>
      <c r="AC5487" s="195" t="n"/>
      <c r="AD5487" s="25" t="n"/>
      <c r="AE5487" s="25" t="n"/>
      <c r="AG5487" s="25" t="n"/>
      <c r="AH5487" s="25" t="n"/>
      <c r="AI5487" s="394" t="n"/>
      <c r="AM5487" s="48" t="n"/>
      <c r="AN5487" s="48" t="n"/>
      <c r="AO5487" s="48" t="n"/>
    </row>
    <row r="5488">
      <c r="M5488" s="25" t="n"/>
      <c r="Q5488" s="25" t="n"/>
      <c r="U5488" s="194" t="n"/>
      <c r="AA5488" s="25" t="n"/>
      <c r="AB5488" s="25" t="n"/>
      <c r="AC5488" s="195" t="n"/>
      <c r="AD5488" s="25" t="n"/>
      <c r="AE5488" s="25" t="n"/>
      <c r="AG5488" s="25" t="n"/>
      <c r="AH5488" s="25" t="n"/>
      <c r="AI5488" s="394" t="n"/>
      <c r="AM5488" s="48" t="n"/>
      <c r="AN5488" s="48" t="n"/>
      <c r="AO5488" s="48" t="n"/>
    </row>
    <row r="5489">
      <c r="M5489" s="25" t="n"/>
      <c r="Q5489" s="25" t="n"/>
      <c r="U5489" s="194" t="n"/>
      <c r="AA5489" s="25" t="n"/>
      <c r="AB5489" s="25" t="n"/>
      <c r="AC5489" s="195" t="n"/>
      <c r="AD5489" s="25" t="n"/>
      <c r="AE5489" s="25" t="n"/>
      <c r="AG5489" s="25" t="n"/>
      <c r="AH5489" s="25" t="n"/>
      <c r="AI5489" s="394" t="n"/>
      <c r="AM5489" s="48" t="n"/>
      <c r="AN5489" s="48" t="n"/>
      <c r="AO5489" s="48" t="n"/>
    </row>
    <row r="5490">
      <c r="M5490" s="25" t="n"/>
      <c r="Q5490" s="25" t="n"/>
      <c r="U5490" s="194" t="n"/>
      <c r="AA5490" s="25" t="n"/>
      <c r="AB5490" s="25" t="n"/>
      <c r="AC5490" s="195" t="n"/>
      <c r="AD5490" s="25" t="n"/>
      <c r="AE5490" s="25" t="n"/>
      <c r="AG5490" s="25" t="n"/>
      <c r="AH5490" s="25" t="n"/>
      <c r="AI5490" s="394" t="n"/>
      <c r="AM5490" s="48" t="n"/>
      <c r="AN5490" s="48" t="n"/>
      <c r="AO5490" s="48" t="n"/>
    </row>
    <row r="5491">
      <c r="M5491" s="25" t="n"/>
      <c r="Q5491" s="25" t="n"/>
      <c r="U5491" s="194" t="n"/>
      <c r="AA5491" s="25" t="n"/>
      <c r="AB5491" s="25" t="n"/>
      <c r="AC5491" s="195" t="n"/>
      <c r="AD5491" s="25" t="n"/>
      <c r="AE5491" s="25" t="n"/>
      <c r="AG5491" s="25" t="n"/>
      <c r="AH5491" s="25" t="n"/>
      <c r="AI5491" s="394" t="n"/>
      <c r="AM5491" s="48" t="n"/>
      <c r="AN5491" s="48" t="n"/>
      <c r="AO5491" s="48" t="n"/>
    </row>
    <row r="5492">
      <c r="M5492" s="25" t="n"/>
      <c r="Q5492" s="25" t="n"/>
      <c r="U5492" s="194" t="n"/>
      <c r="AA5492" s="25" t="n"/>
      <c r="AB5492" s="25" t="n"/>
      <c r="AC5492" s="195" t="n"/>
      <c r="AD5492" s="25" t="n"/>
      <c r="AE5492" s="25" t="n"/>
      <c r="AG5492" s="25" t="n"/>
      <c r="AH5492" s="25" t="n"/>
      <c r="AI5492" s="394" t="n"/>
      <c r="AM5492" s="48" t="n"/>
      <c r="AN5492" s="48" t="n"/>
      <c r="AO5492" s="48" t="n"/>
    </row>
    <row r="5493">
      <c r="M5493" s="25" t="n"/>
      <c r="Q5493" s="25" t="n"/>
      <c r="U5493" s="194" t="n"/>
      <c r="AA5493" s="25" t="n"/>
      <c r="AB5493" s="25" t="n"/>
      <c r="AC5493" s="195" t="n"/>
      <c r="AD5493" s="25" t="n"/>
      <c r="AE5493" s="25" t="n"/>
      <c r="AG5493" s="25" t="n"/>
      <c r="AH5493" s="25" t="n"/>
      <c r="AI5493" s="394" t="n"/>
      <c r="AM5493" s="48" t="n"/>
      <c r="AN5493" s="48" t="n"/>
      <c r="AO5493" s="48" t="n"/>
    </row>
    <row r="5494">
      <c r="M5494" s="25" t="n"/>
      <c r="Q5494" s="25" t="n"/>
      <c r="U5494" s="194" t="n"/>
      <c r="AA5494" s="25" t="n"/>
      <c r="AB5494" s="25" t="n"/>
      <c r="AC5494" s="195" t="n"/>
      <c r="AD5494" s="25" t="n"/>
      <c r="AE5494" s="25" t="n"/>
      <c r="AG5494" s="25" t="n"/>
      <c r="AH5494" s="25" t="n"/>
      <c r="AI5494" s="394" t="n"/>
      <c r="AM5494" s="48" t="n"/>
      <c r="AN5494" s="48" t="n"/>
      <c r="AO5494" s="48" t="n"/>
    </row>
    <row r="5495">
      <c r="M5495" s="25" t="n"/>
      <c r="Q5495" s="25" t="n"/>
      <c r="U5495" s="194" t="n"/>
      <c r="AA5495" s="25" t="n"/>
      <c r="AB5495" s="25" t="n"/>
      <c r="AC5495" s="195" t="n"/>
      <c r="AD5495" s="25" t="n"/>
      <c r="AE5495" s="25" t="n"/>
      <c r="AG5495" s="25" t="n"/>
      <c r="AH5495" s="25" t="n"/>
      <c r="AI5495" s="394" t="n"/>
      <c r="AM5495" s="48" t="n"/>
      <c r="AN5495" s="48" t="n"/>
      <c r="AO5495" s="48" t="n"/>
    </row>
    <row r="5496">
      <c r="M5496" s="25" t="n"/>
      <c r="Q5496" s="25" t="n"/>
      <c r="U5496" s="194" t="n"/>
      <c r="AA5496" s="25" t="n"/>
      <c r="AB5496" s="25" t="n"/>
      <c r="AC5496" s="195" t="n"/>
      <c r="AD5496" s="25" t="n"/>
      <c r="AE5496" s="25" t="n"/>
      <c r="AG5496" s="25" t="n"/>
      <c r="AH5496" s="25" t="n"/>
      <c r="AI5496" s="394" t="n"/>
      <c r="AM5496" s="48" t="n"/>
      <c r="AN5496" s="48" t="n"/>
      <c r="AO5496" s="48" t="n"/>
    </row>
    <row r="5497">
      <c r="M5497" s="25" t="n"/>
      <c r="Q5497" s="25" t="n"/>
      <c r="U5497" s="194" t="n"/>
      <c r="AA5497" s="25" t="n"/>
      <c r="AB5497" s="25" t="n"/>
      <c r="AC5497" s="195" t="n"/>
      <c r="AD5497" s="25" t="n"/>
      <c r="AE5497" s="25" t="n"/>
      <c r="AG5497" s="25" t="n"/>
      <c r="AH5497" s="25" t="n"/>
      <c r="AI5497" s="394" t="n"/>
      <c r="AM5497" s="48" t="n"/>
      <c r="AN5497" s="48" t="n"/>
      <c r="AO5497" s="48" t="n"/>
    </row>
    <row r="5498">
      <c r="M5498" s="25" t="n"/>
      <c r="Q5498" s="25" t="n"/>
      <c r="U5498" s="194" t="n"/>
      <c r="AA5498" s="25" t="n"/>
      <c r="AB5498" s="25" t="n"/>
      <c r="AC5498" s="195" t="n"/>
      <c r="AD5498" s="25" t="n"/>
      <c r="AE5498" s="25" t="n"/>
      <c r="AG5498" s="25" t="n"/>
      <c r="AH5498" s="25" t="n"/>
      <c r="AI5498" s="394" t="n"/>
      <c r="AM5498" s="48" t="n"/>
      <c r="AN5498" s="48" t="n"/>
      <c r="AO5498" s="48" t="n"/>
    </row>
    <row r="5499">
      <c r="M5499" s="25" t="n"/>
      <c r="Q5499" s="25" t="n"/>
      <c r="U5499" s="194" t="n"/>
      <c r="AA5499" s="25" t="n"/>
      <c r="AB5499" s="25" t="n"/>
      <c r="AC5499" s="195" t="n"/>
      <c r="AD5499" s="25" t="n"/>
      <c r="AE5499" s="25" t="n"/>
      <c r="AG5499" s="25" t="n"/>
      <c r="AH5499" s="25" t="n"/>
      <c r="AI5499" s="394" t="n"/>
      <c r="AM5499" s="48" t="n"/>
      <c r="AN5499" s="48" t="n"/>
      <c r="AO5499" s="48" t="n"/>
    </row>
    <row r="5500">
      <c r="M5500" s="25" t="n"/>
      <c r="Q5500" s="25" t="n"/>
      <c r="U5500" s="194" t="n"/>
      <c r="AA5500" s="25" t="n"/>
      <c r="AB5500" s="25" t="n"/>
      <c r="AC5500" s="195" t="n"/>
      <c r="AD5500" s="25" t="n"/>
      <c r="AE5500" s="25" t="n"/>
      <c r="AG5500" s="25" t="n"/>
      <c r="AH5500" s="25" t="n"/>
      <c r="AI5500" s="394" t="n"/>
      <c r="AM5500" s="48" t="n"/>
      <c r="AN5500" s="48" t="n"/>
      <c r="AO5500" s="48" t="n"/>
    </row>
    <row r="5501">
      <c r="M5501" s="25" t="n"/>
      <c r="Q5501" s="25" t="n"/>
      <c r="U5501" s="194" t="n"/>
      <c r="AA5501" s="25" t="n"/>
      <c r="AB5501" s="25" t="n"/>
      <c r="AC5501" s="195" t="n"/>
      <c r="AD5501" s="25" t="n"/>
      <c r="AE5501" s="25" t="n"/>
      <c r="AG5501" s="25" t="n"/>
      <c r="AH5501" s="25" t="n"/>
      <c r="AI5501" s="394" t="n"/>
      <c r="AM5501" s="48" t="n"/>
      <c r="AN5501" s="48" t="n"/>
      <c r="AO5501" s="48" t="n"/>
    </row>
    <row r="5502">
      <c r="M5502" s="25" t="n"/>
      <c r="Q5502" s="25" t="n"/>
      <c r="U5502" s="194" t="n"/>
      <c r="AA5502" s="25" t="n"/>
      <c r="AB5502" s="25" t="n"/>
      <c r="AC5502" s="195" t="n"/>
      <c r="AD5502" s="25" t="n"/>
      <c r="AE5502" s="25" t="n"/>
      <c r="AG5502" s="25" t="n"/>
      <c r="AH5502" s="25" t="n"/>
      <c r="AI5502" s="394" t="n"/>
      <c r="AM5502" s="48" t="n"/>
      <c r="AN5502" s="48" t="n"/>
      <c r="AO5502" s="48" t="n"/>
    </row>
    <row r="5503">
      <c r="M5503" s="25" t="n"/>
      <c r="Q5503" s="25" t="n"/>
      <c r="U5503" s="194" t="n"/>
      <c r="AA5503" s="25" t="n"/>
      <c r="AB5503" s="25" t="n"/>
      <c r="AC5503" s="195" t="n"/>
      <c r="AD5503" s="25" t="n"/>
      <c r="AE5503" s="25" t="n"/>
      <c r="AG5503" s="25" t="n"/>
      <c r="AH5503" s="25" t="n"/>
      <c r="AI5503" s="394" t="n"/>
      <c r="AM5503" s="48" t="n"/>
      <c r="AN5503" s="48" t="n"/>
      <c r="AO5503" s="48" t="n"/>
    </row>
    <row r="5504">
      <c r="M5504" s="25" t="n"/>
      <c r="Q5504" s="25" t="n"/>
      <c r="U5504" s="194" t="n"/>
      <c r="AA5504" s="25" t="n"/>
      <c r="AB5504" s="25" t="n"/>
      <c r="AC5504" s="195" t="n"/>
      <c r="AD5504" s="25" t="n"/>
      <c r="AE5504" s="25" t="n"/>
      <c r="AG5504" s="25" t="n"/>
      <c r="AH5504" s="25" t="n"/>
      <c r="AI5504" s="394" t="n"/>
      <c r="AM5504" s="48" t="n"/>
      <c r="AN5504" s="48" t="n"/>
      <c r="AO5504" s="48" t="n"/>
    </row>
    <row r="5505">
      <c r="M5505" s="25" t="n"/>
      <c r="Q5505" s="25" t="n"/>
      <c r="U5505" s="194" t="n"/>
      <c r="AA5505" s="25" t="n"/>
      <c r="AB5505" s="25" t="n"/>
      <c r="AC5505" s="195" t="n"/>
      <c r="AD5505" s="25" t="n"/>
      <c r="AE5505" s="25" t="n"/>
      <c r="AG5505" s="25" t="n"/>
      <c r="AH5505" s="25" t="n"/>
      <c r="AI5505" s="394" t="n"/>
      <c r="AM5505" s="48" t="n"/>
      <c r="AN5505" s="48" t="n"/>
      <c r="AO5505" s="48" t="n"/>
    </row>
    <row r="5506">
      <c r="M5506" s="25" t="n"/>
      <c r="Q5506" s="25" t="n"/>
      <c r="U5506" s="194" t="n"/>
      <c r="AA5506" s="25" t="n"/>
      <c r="AB5506" s="25" t="n"/>
      <c r="AC5506" s="195" t="n"/>
      <c r="AD5506" s="25" t="n"/>
      <c r="AE5506" s="25" t="n"/>
      <c r="AG5506" s="25" t="n"/>
      <c r="AH5506" s="25" t="n"/>
      <c r="AI5506" s="394" t="n"/>
      <c r="AM5506" s="48" t="n"/>
      <c r="AN5506" s="48" t="n"/>
      <c r="AO5506" s="48" t="n"/>
    </row>
    <row r="5507">
      <c r="M5507" s="25" t="n"/>
      <c r="Q5507" s="25" t="n"/>
      <c r="U5507" s="194" t="n"/>
      <c r="AA5507" s="25" t="n"/>
      <c r="AB5507" s="25" t="n"/>
      <c r="AC5507" s="195" t="n"/>
      <c r="AD5507" s="25" t="n"/>
      <c r="AE5507" s="25" t="n"/>
      <c r="AG5507" s="25" t="n"/>
      <c r="AH5507" s="25" t="n"/>
      <c r="AI5507" s="394" t="n"/>
      <c r="AM5507" s="48" t="n"/>
      <c r="AN5507" s="48" t="n"/>
      <c r="AO5507" s="48" t="n"/>
    </row>
    <row r="5508">
      <c r="M5508" s="25" t="n"/>
      <c r="Q5508" s="25" t="n"/>
      <c r="U5508" s="194" t="n"/>
      <c r="AA5508" s="25" t="n"/>
      <c r="AB5508" s="25" t="n"/>
      <c r="AC5508" s="195" t="n"/>
      <c r="AD5508" s="25" t="n"/>
      <c r="AE5508" s="25" t="n"/>
      <c r="AG5508" s="25" t="n"/>
      <c r="AH5508" s="25" t="n"/>
      <c r="AI5508" s="394" t="n"/>
      <c r="AM5508" s="48" t="n"/>
      <c r="AN5508" s="48" t="n"/>
      <c r="AO5508" s="48" t="n"/>
    </row>
    <row r="5509">
      <c r="M5509" s="25" t="n"/>
      <c r="Q5509" s="25" t="n"/>
      <c r="U5509" s="194" t="n"/>
      <c r="AA5509" s="25" t="n"/>
      <c r="AB5509" s="25" t="n"/>
      <c r="AC5509" s="195" t="n"/>
      <c r="AD5509" s="25" t="n"/>
      <c r="AE5509" s="25" t="n"/>
      <c r="AG5509" s="25" t="n"/>
      <c r="AH5509" s="25" t="n"/>
      <c r="AI5509" s="394" t="n"/>
      <c r="AM5509" s="48" t="n"/>
      <c r="AN5509" s="48" t="n"/>
      <c r="AO5509" s="48" t="n"/>
    </row>
    <row r="5510">
      <c r="M5510" s="25" t="n"/>
      <c r="Q5510" s="25" t="n"/>
      <c r="U5510" s="194" t="n"/>
      <c r="AA5510" s="25" t="n"/>
      <c r="AB5510" s="25" t="n"/>
      <c r="AC5510" s="195" t="n"/>
      <c r="AD5510" s="25" t="n"/>
      <c r="AE5510" s="25" t="n"/>
      <c r="AG5510" s="25" t="n"/>
      <c r="AH5510" s="25" t="n"/>
      <c r="AI5510" s="394" t="n"/>
      <c r="AM5510" s="48" t="n"/>
      <c r="AN5510" s="48" t="n"/>
      <c r="AO5510" s="48" t="n"/>
    </row>
    <row r="5511">
      <c r="M5511" s="25" t="n"/>
      <c r="Q5511" s="25" t="n"/>
      <c r="U5511" s="194" t="n"/>
      <c r="AA5511" s="25" t="n"/>
      <c r="AB5511" s="25" t="n"/>
      <c r="AC5511" s="195" t="n"/>
      <c r="AD5511" s="25" t="n"/>
      <c r="AE5511" s="25" t="n"/>
      <c r="AG5511" s="25" t="n"/>
      <c r="AH5511" s="25" t="n"/>
      <c r="AI5511" s="394" t="n"/>
      <c r="AM5511" s="48" t="n"/>
      <c r="AN5511" s="48" t="n"/>
      <c r="AO5511" s="48" t="n"/>
    </row>
    <row r="5512">
      <c r="M5512" s="25" t="n"/>
      <c r="Q5512" s="25" t="n"/>
      <c r="U5512" s="194" t="n"/>
      <c r="AA5512" s="25" t="n"/>
      <c r="AB5512" s="25" t="n"/>
      <c r="AC5512" s="195" t="n"/>
      <c r="AD5512" s="25" t="n"/>
      <c r="AE5512" s="25" t="n"/>
      <c r="AG5512" s="25" t="n"/>
      <c r="AH5512" s="25" t="n"/>
      <c r="AI5512" s="394" t="n"/>
      <c r="AM5512" s="48" t="n"/>
      <c r="AN5512" s="48" t="n"/>
      <c r="AO5512" s="48" t="n"/>
    </row>
    <row r="5513">
      <c r="M5513" s="25" t="n"/>
      <c r="Q5513" s="25" t="n"/>
      <c r="U5513" s="194" t="n"/>
      <c r="AA5513" s="25" t="n"/>
      <c r="AB5513" s="25" t="n"/>
      <c r="AC5513" s="195" t="n"/>
      <c r="AD5513" s="25" t="n"/>
      <c r="AE5513" s="25" t="n"/>
      <c r="AG5513" s="25" t="n"/>
      <c r="AH5513" s="25" t="n"/>
      <c r="AI5513" s="394" t="n"/>
      <c r="AM5513" s="48" t="n"/>
      <c r="AN5513" s="48" t="n"/>
      <c r="AO5513" s="48" t="n"/>
    </row>
    <row r="5514">
      <c r="M5514" s="25" t="n"/>
      <c r="Q5514" s="25" t="n"/>
      <c r="U5514" s="194" t="n"/>
      <c r="AA5514" s="25" t="n"/>
      <c r="AB5514" s="25" t="n"/>
      <c r="AC5514" s="195" t="n"/>
      <c r="AD5514" s="25" t="n"/>
      <c r="AE5514" s="25" t="n"/>
      <c r="AG5514" s="25" t="n"/>
      <c r="AH5514" s="25" t="n"/>
      <c r="AI5514" s="394" t="n"/>
      <c r="AM5514" s="48" t="n"/>
      <c r="AN5514" s="48" t="n"/>
      <c r="AO5514" s="48" t="n"/>
    </row>
    <row r="5515">
      <c r="M5515" s="25" t="n"/>
      <c r="Q5515" s="25" t="n"/>
      <c r="U5515" s="194" t="n"/>
      <c r="AA5515" s="25" t="n"/>
      <c r="AB5515" s="25" t="n"/>
      <c r="AC5515" s="195" t="n"/>
      <c r="AD5515" s="25" t="n"/>
      <c r="AE5515" s="25" t="n"/>
      <c r="AG5515" s="25" t="n"/>
      <c r="AH5515" s="25" t="n"/>
      <c r="AI5515" s="394" t="n"/>
      <c r="AM5515" s="48" t="n"/>
      <c r="AN5515" s="48" t="n"/>
      <c r="AO5515" s="48" t="n"/>
    </row>
    <row r="5516">
      <c r="M5516" s="25" t="n"/>
      <c r="Q5516" s="25" t="n"/>
      <c r="U5516" s="194" t="n"/>
      <c r="AA5516" s="25" t="n"/>
      <c r="AB5516" s="25" t="n"/>
      <c r="AC5516" s="195" t="n"/>
      <c r="AD5516" s="25" t="n"/>
      <c r="AE5516" s="25" t="n"/>
      <c r="AG5516" s="25" t="n"/>
      <c r="AH5516" s="25" t="n"/>
      <c r="AI5516" s="394" t="n"/>
      <c r="AM5516" s="48" t="n"/>
      <c r="AN5516" s="48" t="n"/>
      <c r="AO5516" s="48" t="n"/>
    </row>
    <row r="5517">
      <c r="M5517" s="25" t="n"/>
      <c r="Q5517" s="25" t="n"/>
      <c r="U5517" s="194" t="n"/>
      <c r="AA5517" s="25" t="n"/>
      <c r="AB5517" s="25" t="n"/>
      <c r="AC5517" s="195" t="n"/>
      <c r="AD5517" s="25" t="n"/>
      <c r="AE5517" s="25" t="n"/>
      <c r="AG5517" s="25" t="n"/>
      <c r="AH5517" s="25" t="n"/>
      <c r="AI5517" s="394" t="n"/>
      <c r="AM5517" s="48" t="n"/>
      <c r="AN5517" s="48" t="n"/>
      <c r="AO5517" s="48" t="n"/>
    </row>
    <row r="5518">
      <c r="M5518" s="25" t="n"/>
      <c r="Q5518" s="25" t="n"/>
      <c r="U5518" s="194" t="n"/>
      <c r="AA5518" s="25" t="n"/>
      <c r="AB5518" s="25" t="n"/>
      <c r="AC5518" s="195" t="n"/>
      <c r="AD5518" s="25" t="n"/>
      <c r="AE5518" s="25" t="n"/>
      <c r="AG5518" s="25" t="n"/>
      <c r="AH5518" s="25" t="n"/>
      <c r="AI5518" s="394" t="n"/>
      <c r="AM5518" s="48" t="n"/>
      <c r="AN5518" s="48" t="n"/>
      <c r="AO5518" s="48" t="n"/>
    </row>
    <row r="5519">
      <c r="M5519" s="25" t="n"/>
      <c r="Q5519" s="25" t="n"/>
      <c r="U5519" s="194" t="n"/>
      <c r="AA5519" s="25" t="n"/>
      <c r="AB5519" s="25" t="n"/>
      <c r="AC5519" s="195" t="n"/>
      <c r="AD5519" s="25" t="n"/>
      <c r="AE5519" s="25" t="n"/>
      <c r="AG5519" s="25" t="n"/>
      <c r="AH5519" s="25" t="n"/>
      <c r="AI5519" s="394" t="n"/>
      <c r="AM5519" s="48" t="n"/>
      <c r="AN5519" s="48" t="n"/>
      <c r="AO5519" s="48" t="n"/>
    </row>
    <row r="5520">
      <c r="M5520" s="25" t="n"/>
      <c r="Q5520" s="25" t="n"/>
      <c r="U5520" s="194" t="n"/>
      <c r="AA5520" s="25" t="n"/>
      <c r="AB5520" s="25" t="n"/>
      <c r="AC5520" s="195" t="n"/>
      <c r="AD5520" s="25" t="n"/>
      <c r="AE5520" s="25" t="n"/>
      <c r="AG5520" s="25" t="n"/>
      <c r="AH5520" s="25" t="n"/>
      <c r="AI5520" s="394" t="n"/>
      <c r="AM5520" s="48" t="n"/>
      <c r="AN5520" s="48" t="n"/>
      <c r="AO5520" s="48" t="n"/>
    </row>
    <row r="5521">
      <c r="M5521" s="25" t="n"/>
      <c r="Q5521" s="25" t="n"/>
      <c r="U5521" s="194" t="n"/>
      <c r="AA5521" s="25" t="n"/>
      <c r="AB5521" s="25" t="n"/>
      <c r="AC5521" s="195" t="n"/>
      <c r="AD5521" s="25" t="n"/>
      <c r="AE5521" s="25" t="n"/>
      <c r="AG5521" s="25" t="n"/>
      <c r="AH5521" s="25" t="n"/>
      <c r="AI5521" s="394" t="n"/>
      <c r="AM5521" s="48" t="n"/>
      <c r="AN5521" s="48" t="n"/>
      <c r="AO5521" s="48" t="n"/>
    </row>
    <row r="5522">
      <c r="M5522" s="25" t="n"/>
      <c r="Q5522" s="25" t="n"/>
      <c r="U5522" s="194" t="n"/>
      <c r="AA5522" s="25" t="n"/>
      <c r="AB5522" s="25" t="n"/>
      <c r="AC5522" s="195" t="n"/>
      <c r="AD5522" s="25" t="n"/>
      <c r="AE5522" s="25" t="n"/>
      <c r="AG5522" s="25" t="n"/>
      <c r="AH5522" s="25" t="n"/>
      <c r="AI5522" s="394" t="n"/>
      <c r="AM5522" s="48" t="n"/>
      <c r="AN5522" s="48" t="n"/>
      <c r="AO5522" s="48" t="n"/>
    </row>
    <row r="5523">
      <c r="M5523" s="25" t="n"/>
      <c r="Q5523" s="25" t="n"/>
      <c r="U5523" s="194" t="n"/>
      <c r="AA5523" s="25" t="n"/>
      <c r="AB5523" s="25" t="n"/>
      <c r="AC5523" s="195" t="n"/>
      <c r="AD5523" s="25" t="n"/>
      <c r="AE5523" s="25" t="n"/>
      <c r="AG5523" s="25" t="n"/>
      <c r="AH5523" s="25" t="n"/>
      <c r="AI5523" s="394" t="n"/>
      <c r="AM5523" s="48" t="n"/>
      <c r="AN5523" s="48" t="n"/>
      <c r="AO5523" s="48" t="n"/>
    </row>
    <row r="5524">
      <c r="M5524" s="25" t="n"/>
      <c r="Q5524" s="25" t="n"/>
      <c r="U5524" s="194" t="n"/>
      <c r="AA5524" s="25" t="n"/>
      <c r="AB5524" s="25" t="n"/>
      <c r="AC5524" s="195" t="n"/>
      <c r="AD5524" s="25" t="n"/>
      <c r="AE5524" s="25" t="n"/>
      <c r="AG5524" s="25" t="n"/>
      <c r="AH5524" s="25" t="n"/>
      <c r="AI5524" s="394" t="n"/>
      <c r="AM5524" s="48" t="n"/>
      <c r="AN5524" s="48" t="n"/>
      <c r="AO5524" s="48" t="n"/>
    </row>
    <row r="5525">
      <c r="M5525" s="25" t="n"/>
      <c r="Q5525" s="25" t="n"/>
      <c r="U5525" s="194" t="n"/>
      <c r="AA5525" s="25" t="n"/>
      <c r="AB5525" s="25" t="n"/>
      <c r="AC5525" s="195" t="n"/>
      <c r="AD5525" s="25" t="n"/>
      <c r="AE5525" s="25" t="n"/>
      <c r="AG5525" s="25" t="n"/>
      <c r="AH5525" s="25" t="n"/>
      <c r="AI5525" s="394" t="n"/>
      <c r="AM5525" s="48" t="n"/>
      <c r="AN5525" s="48" t="n"/>
      <c r="AO5525" s="48" t="n"/>
    </row>
    <row r="5526">
      <c r="M5526" s="25" t="n"/>
      <c r="Q5526" s="25" t="n"/>
      <c r="U5526" s="194" t="n"/>
      <c r="AA5526" s="25" t="n"/>
      <c r="AB5526" s="25" t="n"/>
      <c r="AC5526" s="195" t="n"/>
      <c r="AD5526" s="25" t="n"/>
      <c r="AE5526" s="25" t="n"/>
      <c r="AG5526" s="25" t="n"/>
      <c r="AH5526" s="25" t="n"/>
      <c r="AI5526" s="394" t="n"/>
      <c r="AM5526" s="48" t="n"/>
      <c r="AN5526" s="48" t="n"/>
      <c r="AO5526" s="48" t="n"/>
    </row>
    <row r="5527">
      <c r="M5527" s="25" t="n"/>
      <c r="Q5527" s="25" t="n"/>
      <c r="U5527" s="194" t="n"/>
      <c r="AA5527" s="25" t="n"/>
      <c r="AB5527" s="25" t="n"/>
      <c r="AC5527" s="195" t="n"/>
      <c r="AD5527" s="25" t="n"/>
      <c r="AE5527" s="25" t="n"/>
      <c r="AG5527" s="25" t="n"/>
      <c r="AH5527" s="25" t="n"/>
      <c r="AI5527" s="394" t="n"/>
      <c r="AM5527" s="48" t="n"/>
      <c r="AN5527" s="48" t="n"/>
      <c r="AO5527" s="48" t="n"/>
    </row>
    <row r="5528">
      <c r="M5528" s="25" t="n"/>
      <c r="Q5528" s="25" t="n"/>
      <c r="U5528" s="194" t="n"/>
      <c r="AA5528" s="25" t="n"/>
      <c r="AB5528" s="25" t="n"/>
      <c r="AC5528" s="195" t="n"/>
      <c r="AD5528" s="25" t="n"/>
      <c r="AE5528" s="25" t="n"/>
      <c r="AG5528" s="25" t="n"/>
      <c r="AH5528" s="25" t="n"/>
      <c r="AI5528" s="394" t="n"/>
      <c r="AM5528" s="48" t="n"/>
      <c r="AN5528" s="48" t="n"/>
      <c r="AO5528" s="48" t="n"/>
    </row>
    <row r="5529">
      <c r="M5529" s="25" t="n"/>
      <c r="Q5529" s="25" t="n"/>
      <c r="U5529" s="194" t="n"/>
      <c r="AA5529" s="25" t="n"/>
      <c r="AB5529" s="25" t="n"/>
      <c r="AC5529" s="195" t="n"/>
      <c r="AD5529" s="25" t="n"/>
      <c r="AE5529" s="25" t="n"/>
      <c r="AG5529" s="25" t="n"/>
      <c r="AH5529" s="25" t="n"/>
      <c r="AI5529" s="394" t="n"/>
      <c r="AM5529" s="48" t="n"/>
      <c r="AN5529" s="48" t="n"/>
      <c r="AO5529" s="48" t="n"/>
    </row>
    <row r="5530">
      <c r="M5530" s="25" t="n"/>
      <c r="Q5530" s="25" t="n"/>
      <c r="U5530" s="194" t="n"/>
      <c r="AA5530" s="25" t="n"/>
      <c r="AB5530" s="25" t="n"/>
      <c r="AC5530" s="195" t="n"/>
      <c r="AD5530" s="25" t="n"/>
      <c r="AE5530" s="25" t="n"/>
      <c r="AG5530" s="25" t="n"/>
      <c r="AH5530" s="25" t="n"/>
      <c r="AI5530" s="394" t="n"/>
      <c r="AM5530" s="48" t="n"/>
      <c r="AN5530" s="48" t="n"/>
      <c r="AO5530" s="48" t="n"/>
    </row>
    <row r="5531">
      <c r="M5531" s="25" t="n"/>
      <c r="Q5531" s="25" t="n"/>
      <c r="U5531" s="194" t="n"/>
      <c r="AA5531" s="25" t="n"/>
      <c r="AB5531" s="25" t="n"/>
      <c r="AC5531" s="195" t="n"/>
      <c r="AD5531" s="25" t="n"/>
      <c r="AE5531" s="25" t="n"/>
      <c r="AG5531" s="25" t="n"/>
      <c r="AH5531" s="25" t="n"/>
      <c r="AI5531" s="394" t="n"/>
      <c r="AM5531" s="48" t="n"/>
      <c r="AN5531" s="48" t="n"/>
      <c r="AO5531" s="48" t="n"/>
    </row>
    <row r="5532">
      <c r="M5532" s="25" t="n"/>
      <c r="Q5532" s="25" t="n"/>
      <c r="U5532" s="194" t="n"/>
      <c r="AA5532" s="25" t="n"/>
      <c r="AB5532" s="25" t="n"/>
      <c r="AC5532" s="195" t="n"/>
      <c r="AD5532" s="25" t="n"/>
      <c r="AE5532" s="25" t="n"/>
      <c r="AG5532" s="25" t="n"/>
      <c r="AH5532" s="25" t="n"/>
      <c r="AI5532" s="394" t="n"/>
      <c r="AM5532" s="48" t="n"/>
      <c r="AN5532" s="48" t="n"/>
      <c r="AO5532" s="48" t="n"/>
    </row>
    <row r="5533">
      <c r="M5533" s="25" t="n"/>
      <c r="Q5533" s="25" t="n"/>
      <c r="U5533" s="194" t="n"/>
      <c r="AA5533" s="25" t="n"/>
      <c r="AB5533" s="25" t="n"/>
      <c r="AC5533" s="195" t="n"/>
      <c r="AD5533" s="25" t="n"/>
      <c r="AE5533" s="25" t="n"/>
      <c r="AG5533" s="25" t="n"/>
      <c r="AH5533" s="25" t="n"/>
      <c r="AI5533" s="394" t="n"/>
      <c r="AM5533" s="48" t="n"/>
      <c r="AN5533" s="48" t="n"/>
      <c r="AO5533" s="48" t="n"/>
    </row>
    <row r="5534">
      <c r="M5534" s="25" t="n"/>
      <c r="Q5534" s="25" t="n"/>
      <c r="U5534" s="194" t="n"/>
      <c r="AA5534" s="25" t="n"/>
      <c r="AB5534" s="25" t="n"/>
      <c r="AC5534" s="195" t="n"/>
      <c r="AD5534" s="25" t="n"/>
      <c r="AE5534" s="25" t="n"/>
      <c r="AG5534" s="25" t="n"/>
      <c r="AH5534" s="25" t="n"/>
      <c r="AI5534" s="394" t="n"/>
      <c r="AM5534" s="48" t="n"/>
      <c r="AN5534" s="48" t="n"/>
      <c r="AO5534" s="48" t="n"/>
    </row>
    <row r="5535">
      <c r="M5535" s="25" t="n"/>
      <c r="Q5535" s="25" t="n"/>
      <c r="U5535" s="194" t="n"/>
      <c r="AA5535" s="25" t="n"/>
      <c r="AB5535" s="25" t="n"/>
      <c r="AC5535" s="195" t="n"/>
      <c r="AD5535" s="25" t="n"/>
      <c r="AE5535" s="25" t="n"/>
      <c r="AG5535" s="25" t="n"/>
      <c r="AH5535" s="25" t="n"/>
      <c r="AI5535" s="394" t="n"/>
      <c r="AM5535" s="48" t="n"/>
      <c r="AN5535" s="48" t="n"/>
      <c r="AO5535" s="48" t="n"/>
    </row>
    <row r="5536">
      <c r="M5536" s="25" t="n"/>
      <c r="Q5536" s="25" t="n"/>
      <c r="U5536" s="194" t="n"/>
      <c r="AA5536" s="25" t="n"/>
      <c r="AB5536" s="25" t="n"/>
      <c r="AC5536" s="195" t="n"/>
      <c r="AD5536" s="25" t="n"/>
      <c r="AE5536" s="25" t="n"/>
      <c r="AG5536" s="25" t="n"/>
      <c r="AH5536" s="25" t="n"/>
      <c r="AI5536" s="394" t="n"/>
      <c r="AM5536" s="48" t="n"/>
      <c r="AN5536" s="48" t="n"/>
      <c r="AO5536" s="48" t="n"/>
    </row>
    <row r="5537">
      <c r="M5537" s="25" t="n"/>
      <c r="Q5537" s="25" t="n"/>
      <c r="U5537" s="194" t="n"/>
      <c r="AA5537" s="25" t="n"/>
      <c r="AB5537" s="25" t="n"/>
      <c r="AC5537" s="195" t="n"/>
      <c r="AD5537" s="25" t="n"/>
      <c r="AE5537" s="25" t="n"/>
      <c r="AG5537" s="25" t="n"/>
      <c r="AH5537" s="25" t="n"/>
      <c r="AI5537" s="394" t="n"/>
      <c r="AM5537" s="48" t="n"/>
      <c r="AN5537" s="48" t="n"/>
      <c r="AO5537" s="48" t="n"/>
    </row>
    <row r="5538">
      <c r="M5538" s="25" t="n"/>
      <c r="Q5538" s="25" t="n"/>
      <c r="U5538" s="194" t="n"/>
      <c r="AA5538" s="25" t="n"/>
      <c r="AB5538" s="25" t="n"/>
      <c r="AC5538" s="195" t="n"/>
      <c r="AD5538" s="25" t="n"/>
      <c r="AE5538" s="25" t="n"/>
      <c r="AG5538" s="25" t="n"/>
      <c r="AH5538" s="25" t="n"/>
      <c r="AI5538" s="394" t="n"/>
      <c r="AM5538" s="48" t="n"/>
      <c r="AN5538" s="48" t="n"/>
      <c r="AO5538" s="48" t="n"/>
    </row>
    <row r="5539">
      <c r="M5539" s="25" t="n"/>
      <c r="Q5539" s="25" t="n"/>
      <c r="U5539" s="194" t="n"/>
      <c r="AA5539" s="25" t="n"/>
      <c r="AB5539" s="25" t="n"/>
      <c r="AC5539" s="195" t="n"/>
      <c r="AD5539" s="25" t="n"/>
      <c r="AE5539" s="25" t="n"/>
      <c r="AG5539" s="25" t="n"/>
      <c r="AH5539" s="25" t="n"/>
      <c r="AI5539" s="394" t="n"/>
      <c r="AM5539" s="48" t="n"/>
      <c r="AN5539" s="48" t="n"/>
      <c r="AO5539" s="48" t="n"/>
    </row>
    <row r="5540">
      <c r="M5540" s="25" t="n"/>
      <c r="Q5540" s="25" t="n"/>
      <c r="U5540" s="194" t="n"/>
      <c r="AA5540" s="25" t="n"/>
      <c r="AB5540" s="25" t="n"/>
      <c r="AC5540" s="195" t="n"/>
      <c r="AD5540" s="25" t="n"/>
      <c r="AE5540" s="25" t="n"/>
      <c r="AG5540" s="25" t="n"/>
      <c r="AH5540" s="25" t="n"/>
      <c r="AI5540" s="394" t="n"/>
      <c r="AM5540" s="48" t="n"/>
      <c r="AN5540" s="48" t="n"/>
      <c r="AO5540" s="48" t="n"/>
    </row>
    <row r="5541">
      <c r="M5541" s="25" t="n"/>
      <c r="Q5541" s="25" t="n"/>
      <c r="U5541" s="194" t="n"/>
      <c r="AA5541" s="25" t="n"/>
      <c r="AB5541" s="25" t="n"/>
      <c r="AC5541" s="195" t="n"/>
      <c r="AD5541" s="25" t="n"/>
      <c r="AE5541" s="25" t="n"/>
      <c r="AG5541" s="25" t="n"/>
      <c r="AH5541" s="25" t="n"/>
      <c r="AI5541" s="394" t="n"/>
      <c r="AM5541" s="48" t="n"/>
      <c r="AN5541" s="48" t="n"/>
      <c r="AO5541" s="48" t="n"/>
    </row>
    <row r="5542">
      <c r="M5542" s="25" t="n"/>
      <c r="Q5542" s="25" t="n"/>
      <c r="U5542" s="194" t="n"/>
      <c r="AA5542" s="25" t="n"/>
      <c r="AB5542" s="25" t="n"/>
      <c r="AC5542" s="195" t="n"/>
      <c r="AD5542" s="25" t="n"/>
      <c r="AE5542" s="25" t="n"/>
      <c r="AG5542" s="25" t="n"/>
      <c r="AH5542" s="25" t="n"/>
      <c r="AI5542" s="394" t="n"/>
      <c r="AM5542" s="48" t="n"/>
      <c r="AN5542" s="48" t="n"/>
      <c r="AO5542" s="48" t="n"/>
    </row>
    <row r="5543">
      <c r="M5543" s="25" t="n"/>
      <c r="Q5543" s="25" t="n"/>
      <c r="U5543" s="194" t="n"/>
      <c r="AA5543" s="25" t="n"/>
      <c r="AB5543" s="25" t="n"/>
      <c r="AC5543" s="195" t="n"/>
      <c r="AD5543" s="25" t="n"/>
      <c r="AE5543" s="25" t="n"/>
      <c r="AG5543" s="25" t="n"/>
      <c r="AH5543" s="25" t="n"/>
      <c r="AI5543" s="394" t="n"/>
      <c r="AM5543" s="48" t="n"/>
      <c r="AN5543" s="48" t="n"/>
      <c r="AO5543" s="48" t="n"/>
    </row>
    <row r="5544">
      <c r="M5544" s="25" t="n"/>
      <c r="Q5544" s="25" t="n"/>
      <c r="U5544" s="194" t="n"/>
      <c r="AA5544" s="25" t="n"/>
      <c r="AB5544" s="25" t="n"/>
      <c r="AC5544" s="195" t="n"/>
      <c r="AD5544" s="25" t="n"/>
      <c r="AE5544" s="25" t="n"/>
      <c r="AG5544" s="25" t="n"/>
      <c r="AH5544" s="25" t="n"/>
      <c r="AI5544" s="394" t="n"/>
      <c r="AM5544" s="48" t="n"/>
      <c r="AN5544" s="48" t="n"/>
      <c r="AO5544" s="48" t="n"/>
    </row>
    <row r="5545">
      <c r="M5545" s="25" t="n"/>
      <c r="Q5545" s="25" t="n"/>
      <c r="U5545" s="194" t="n"/>
      <c r="AA5545" s="25" t="n"/>
      <c r="AB5545" s="25" t="n"/>
      <c r="AC5545" s="195" t="n"/>
      <c r="AD5545" s="25" t="n"/>
      <c r="AE5545" s="25" t="n"/>
      <c r="AG5545" s="25" t="n"/>
      <c r="AH5545" s="25" t="n"/>
      <c r="AI5545" s="394" t="n"/>
      <c r="AM5545" s="48" t="n"/>
      <c r="AN5545" s="48" t="n"/>
      <c r="AO5545" s="48" t="n"/>
    </row>
    <row r="5546">
      <c r="M5546" s="25" t="n"/>
      <c r="Q5546" s="25" t="n"/>
      <c r="U5546" s="194" t="n"/>
      <c r="AA5546" s="25" t="n"/>
      <c r="AB5546" s="25" t="n"/>
      <c r="AC5546" s="195" t="n"/>
      <c r="AD5546" s="25" t="n"/>
      <c r="AE5546" s="25" t="n"/>
      <c r="AG5546" s="25" t="n"/>
      <c r="AH5546" s="25" t="n"/>
      <c r="AI5546" s="394" t="n"/>
      <c r="AM5546" s="48" t="n"/>
      <c r="AN5546" s="48" t="n"/>
      <c r="AO5546" s="48" t="n"/>
    </row>
    <row r="5547">
      <c r="M5547" s="25" t="n"/>
      <c r="Q5547" s="25" t="n"/>
      <c r="U5547" s="194" t="n"/>
      <c r="AA5547" s="25" t="n"/>
      <c r="AB5547" s="25" t="n"/>
      <c r="AC5547" s="195" t="n"/>
      <c r="AD5547" s="25" t="n"/>
      <c r="AE5547" s="25" t="n"/>
      <c r="AG5547" s="25" t="n"/>
      <c r="AH5547" s="25" t="n"/>
      <c r="AI5547" s="394" t="n"/>
      <c r="AM5547" s="48" t="n"/>
      <c r="AN5547" s="48" t="n"/>
      <c r="AO5547" s="48" t="n"/>
    </row>
    <row r="5548">
      <c r="M5548" s="25" t="n"/>
      <c r="Q5548" s="25" t="n"/>
      <c r="U5548" s="194" t="n"/>
      <c r="AA5548" s="25" t="n"/>
      <c r="AB5548" s="25" t="n"/>
      <c r="AC5548" s="195" t="n"/>
      <c r="AD5548" s="25" t="n"/>
      <c r="AE5548" s="25" t="n"/>
      <c r="AG5548" s="25" t="n"/>
      <c r="AH5548" s="25" t="n"/>
      <c r="AI5548" s="394" t="n"/>
      <c r="AM5548" s="48" t="n"/>
      <c r="AN5548" s="48" t="n"/>
      <c r="AO5548" s="48" t="n"/>
    </row>
    <row r="5549">
      <c r="M5549" s="25" t="n"/>
      <c r="Q5549" s="25" t="n"/>
      <c r="U5549" s="194" t="n"/>
      <c r="AA5549" s="25" t="n"/>
      <c r="AB5549" s="25" t="n"/>
      <c r="AC5549" s="195" t="n"/>
      <c r="AD5549" s="25" t="n"/>
      <c r="AE5549" s="25" t="n"/>
      <c r="AG5549" s="25" t="n"/>
      <c r="AH5549" s="25" t="n"/>
      <c r="AI5549" s="394" t="n"/>
      <c r="AM5549" s="48" t="n"/>
      <c r="AN5549" s="48" t="n"/>
      <c r="AO5549" s="48" t="n"/>
    </row>
    <row r="5550">
      <c r="M5550" s="25" t="n"/>
      <c r="Q5550" s="25" t="n"/>
      <c r="U5550" s="194" t="n"/>
      <c r="AA5550" s="25" t="n"/>
      <c r="AB5550" s="25" t="n"/>
      <c r="AC5550" s="195" t="n"/>
      <c r="AD5550" s="25" t="n"/>
      <c r="AE5550" s="25" t="n"/>
      <c r="AG5550" s="25" t="n"/>
      <c r="AH5550" s="25" t="n"/>
      <c r="AI5550" s="394" t="n"/>
      <c r="AM5550" s="48" t="n"/>
      <c r="AN5550" s="48" t="n"/>
      <c r="AO5550" s="48" t="n"/>
    </row>
    <row r="5551">
      <c r="M5551" s="25" t="n"/>
      <c r="Q5551" s="25" t="n"/>
      <c r="U5551" s="194" t="n"/>
      <c r="AA5551" s="25" t="n"/>
      <c r="AB5551" s="25" t="n"/>
      <c r="AC5551" s="195" t="n"/>
      <c r="AD5551" s="25" t="n"/>
      <c r="AE5551" s="25" t="n"/>
      <c r="AG5551" s="25" t="n"/>
      <c r="AH5551" s="25" t="n"/>
      <c r="AI5551" s="394" t="n"/>
      <c r="AM5551" s="48" t="n"/>
      <c r="AN5551" s="48" t="n"/>
      <c r="AO5551" s="48" t="n"/>
    </row>
    <row r="5552">
      <c r="M5552" s="25" t="n"/>
      <c r="Q5552" s="25" t="n"/>
      <c r="U5552" s="194" t="n"/>
      <c r="AA5552" s="25" t="n"/>
      <c r="AB5552" s="25" t="n"/>
      <c r="AC5552" s="195" t="n"/>
      <c r="AD5552" s="25" t="n"/>
      <c r="AE5552" s="25" t="n"/>
      <c r="AG5552" s="25" t="n"/>
      <c r="AH5552" s="25" t="n"/>
      <c r="AI5552" s="394" t="n"/>
      <c r="AM5552" s="48" t="n"/>
      <c r="AN5552" s="48" t="n"/>
      <c r="AO5552" s="48" t="n"/>
    </row>
    <row r="5553">
      <c r="M5553" s="25" t="n"/>
      <c r="Q5553" s="25" t="n"/>
      <c r="U5553" s="194" t="n"/>
      <c r="AA5553" s="25" t="n"/>
      <c r="AB5553" s="25" t="n"/>
      <c r="AC5553" s="195" t="n"/>
      <c r="AD5553" s="25" t="n"/>
      <c r="AE5553" s="25" t="n"/>
      <c r="AG5553" s="25" t="n"/>
      <c r="AH5553" s="25" t="n"/>
      <c r="AI5553" s="394" t="n"/>
      <c r="AM5553" s="48" t="n"/>
      <c r="AN5553" s="48" t="n"/>
      <c r="AO5553" s="48" t="n"/>
    </row>
    <row r="5554">
      <c r="M5554" s="25" t="n"/>
      <c r="Q5554" s="25" t="n"/>
      <c r="U5554" s="194" t="n"/>
      <c r="AA5554" s="25" t="n"/>
      <c r="AB5554" s="25" t="n"/>
      <c r="AC5554" s="195" t="n"/>
      <c r="AD5554" s="25" t="n"/>
      <c r="AE5554" s="25" t="n"/>
      <c r="AG5554" s="25" t="n"/>
      <c r="AH5554" s="25" t="n"/>
      <c r="AI5554" s="394" t="n"/>
      <c r="AM5554" s="48" t="n"/>
      <c r="AN5554" s="48" t="n"/>
      <c r="AO5554" s="48" t="n"/>
    </row>
    <row r="5555">
      <c r="M5555" s="25" t="n"/>
      <c r="Q5555" s="25" t="n"/>
      <c r="U5555" s="194" t="n"/>
      <c r="AA5555" s="25" t="n"/>
      <c r="AB5555" s="25" t="n"/>
      <c r="AC5555" s="195" t="n"/>
      <c r="AD5555" s="25" t="n"/>
      <c r="AE5555" s="25" t="n"/>
      <c r="AG5555" s="25" t="n"/>
      <c r="AH5555" s="25" t="n"/>
      <c r="AI5555" s="394" t="n"/>
      <c r="AM5555" s="48" t="n"/>
      <c r="AN5555" s="48" t="n"/>
      <c r="AO5555" s="48" t="n"/>
    </row>
    <row r="5556">
      <c r="M5556" s="25" t="n"/>
      <c r="Q5556" s="25" t="n"/>
      <c r="U5556" s="194" t="n"/>
      <c r="AA5556" s="25" t="n"/>
      <c r="AB5556" s="25" t="n"/>
      <c r="AC5556" s="195" t="n"/>
      <c r="AD5556" s="25" t="n"/>
      <c r="AE5556" s="25" t="n"/>
      <c r="AG5556" s="25" t="n"/>
      <c r="AH5556" s="25" t="n"/>
      <c r="AI5556" s="394" t="n"/>
      <c r="AM5556" s="48" t="n"/>
      <c r="AN5556" s="48" t="n"/>
      <c r="AO5556" s="48" t="n"/>
    </row>
    <row r="5557">
      <c r="M5557" s="25" t="n"/>
      <c r="Q5557" s="25" t="n"/>
      <c r="U5557" s="194" t="n"/>
      <c r="AA5557" s="25" t="n"/>
      <c r="AB5557" s="25" t="n"/>
      <c r="AC5557" s="195" t="n"/>
      <c r="AD5557" s="25" t="n"/>
      <c r="AE5557" s="25" t="n"/>
      <c r="AG5557" s="25" t="n"/>
      <c r="AH5557" s="25" t="n"/>
      <c r="AI5557" s="394" t="n"/>
      <c r="AM5557" s="48" t="n"/>
      <c r="AN5557" s="48" t="n"/>
      <c r="AO5557" s="48" t="n"/>
    </row>
    <row r="5558">
      <c r="M5558" s="25" t="n"/>
      <c r="Q5558" s="25" t="n"/>
      <c r="U5558" s="194" t="n"/>
      <c r="AA5558" s="25" t="n"/>
      <c r="AB5558" s="25" t="n"/>
      <c r="AC5558" s="195" t="n"/>
      <c r="AD5558" s="25" t="n"/>
      <c r="AE5558" s="25" t="n"/>
      <c r="AG5558" s="25" t="n"/>
      <c r="AH5558" s="25" t="n"/>
      <c r="AI5558" s="394" t="n"/>
      <c r="AM5558" s="48" t="n"/>
      <c r="AN5558" s="48" t="n"/>
      <c r="AO5558" s="48" t="n"/>
    </row>
    <row r="5559">
      <c r="M5559" s="25" t="n"/>
      <c r="Q5559" s="25" t="n"/>
      <c r="U5559" s="194" t="n"/>
      <c r="AA5559" s="25" t="n"/>
      <c r="AB5559" s="25" t="n"/>
      <c r="AC5559" s="195" t="n"/>
      <c r="AD5559" s="25" t="n"/>
      <c r="AE5559" s="25" t="n"/>
      <c r="AG5559" s="25" t="n"/>
      <c r="AH5559" s="25" t="n"/>
      <c r="AI5559" s="394" t="n"/>
      <c r="AM5559" s="48" t="n"/>
      <c r="AN5559" s="48" t="n"/>
      <c r="AO5559" s="48" t="n"/>
    </row>
    <row r="5560">
      <c r="M5560" s="25" t="n"/>
      <c r="Q5560" s="25" t="n"/>
      <c r="U5560" s="194" t="n"/>
      <c r="AA5560" s="25" t="n"/>
      <c r="AB5560" s="25" t="n"/>
      <c r="AC5560" s="195" t="n"/>
      <c r="AD5560" s="25" t="n"/>
      <c r="AE5560" s="25" t="n"/>
      <c r="AG5560" s="25" t="n"/>
      <c r="AH5560" s="25" t="n"/>
      <c r="AI5560" s="394" t="n"/>
      <c r="AM5560" s="48" t="n"/>
      <c r="AN5560" s="48" t="n"/>
      <c r="AO5560" s="48" t="n"/>
    </row>
    <row r="5561">
      <c r="M5561" s="25" t="n"/>
      <c r="Q5561" s="25" t="n"/>
      <c r="U5561" s="194" t="n"/>
      <c r="AA5561" s="25" t="n"/>
      <c r="AB5561" s="25" t="n"/>
      <c r="AC5561" s="195" t="n"/>
      <c r="AD5561" s="25" t="n"/>
      <c r="AE5561" s="25" t="n"/>
      <c r="AG5561" s="25" t="n"/>
      <c r="AH5561" s="25" t="n"/>
      <c r="AI5561" s="394" t="n"/>
      <c r="AM5561" s="48" t="n"/>
      <c r="AN5561" s="48" t="n"/>
      <c r="AO5561" s="48" t="n"/>
    </row>
    <row r="5562">
      <c r="M5562" s="25" t="n"/>
      <c r="Q5562" s="25" t="n"/>
      <c r="U5562" s="194" t="n"/>
      <c r="AA5562" s="25" t="n"/>
      <c r="AB5562" s="25" t="n"/>
      <c r="AC5562" s="195" t="n"/>
      <c r="AD5562" s="25" t="n"/>
      <c r="AE5562" s="25" t="n"/>
      <c r="AG5562" s="25" t="n"/>
      <c r="AH5562" s="25" t="n"/>
      <c r="AI5562" s="394" t="n"/>
      <c r="AM5562" s="48" t="n"/>
      <c r="AN5562" s="48" t="n"/>
      <c r="AO5562" s="48" t="n"/>
    </row>
    <row r="5563">
      <c r="M5563" s="25" t="n"/>
      <c r="Q5563" s="25" t="n"/>
      <c r="U5563" s="194" t="n"/>
      <c r="AA5563" s="25" t="n"/>
      <c r="AB5563" s="25" t="n"/>
      <c r="AC5563" s="195" t="n"/>
      <c r="AD5563" s="25" t="n"/>
      <c r="AE5563" s="25" t="n"/>
      <c r="AG5563" s="25" t="n"/>
      <c r="AH5563" s="25" t="n"/>
      <c r="AI5563" s="394" t="n"/>
      <c r="AM5563" s="48" t="n"/>
      <c r="AN5563" s="48" t="n"/>
      <c r="AO5563" s="48" t="n"/>
    </row>
    <row r="5564">
      <c r="M5564" s="25" t="n"/>
      <c r="Q5564" s="25" t="n"/>
      <c r="U5564" s="194" t="n"/>
      <c r="AA5564" s="25" t="n"/>
      <c r="AB5564" s="25" t="n"/>
      <c r="AC5564" s="195" t="n"/>
      <c r="AD5564" s="25" t="n"/>
      <c r="AE5564" s="25" t="n"/>
      <c r="AG5564" s="25" t="n"/>
      <c r="AH5564" s="25" t="n"/>
      <c r="AI5564" s="394" t="n"/>
      <c r="AM5564" s="48" t="n"/>
      <c r="AN5564" s="48" t="n"/>
      <c r="AO5564" s="48" t="n"/>
    </row>
    <row r="5565">
      <c r="M5565" s="25" t="n"/>
      <c r="Q5565" s="25" t="n"/>
      <c r="U5565" s="194" t="n"/>
      <c r="AA5565" s="25" t="n"/>
      <c r="AB5565" s="25" t="n"/>
      <c r="AC5565" s="195" t="n"/>
      <c r="AD5565" s="25" t="n"/>
      <c r="AE5565" s="25" t="n"/>
      <c r="AG5565" s="25" t="n"/>
      <c r="AH5565" s="25" t="n"/>
      <c r="AI5565" s="394" t="n"/>
      <c r="AM5565" s="48" t="n"/>
      <c r="AN5565" s="48" t="n"/>
      <c r="AO5565" s="48" t="n"/>
    </row>
    <row r="5566">
      <c r="M5566" s="25" t="n"/>
      <c r="Q5566" s="25" t="n"/>
      <c r="U5566" s="194" t="n"/>
      <c r="AA5566" s="25" t="n"/>
      <c r="AB5566" s="25" t="n"/>
      <c r="AC5566" s="195" t="n"/>
      <c r="AD5566" s="25" t="n"/>
      <c r="AE5566" s="25" t="n"/>
      <c r="AG5566" s="25" t="n"/>
      <c r="AH5566" s="25" t="n"/>
      <c r="AI5566" s="394" t="n"/>
      <c r="AM5566" s="48" t="n"/>
      <c r="AN5566" s="48" t="n"/>
      <c r="AO5566" s="48" t="n"/>
    </row>
    <row r="5567">
      <c r="M5567" s="25" t="n"/>
      <c r="Q5567" s="25" t="n"/>
      <c r="U5567" s="194" t="n"/>
      <c r="AA5567" s="25" t="n"/>
      <c r="AB5567" s="25" t="n"/>
      <c r="AC5567" s="195" t="n"/>
      <c r="AD5567" s="25" t="n"/>
      <c r="AE5567" s="25" t="n"/>
      <c r="AG5567" s="25" t="n"/>
      <c r="AH5567" s="25" t="n"/>
      <c r="AI5567" s="394" t="n"/>
      <c r="AM5567" s="48" t="n"/>
      <c r="AN5567" s="48" t="n"/>
      <c r="AO5567" s="48" t="n"/>
    </row>
    <row r="5568">
      <c r="M5568" s="25" t="n"/>
      <c r="Q5568" s="25" t="n"/>
      <c r="U5568" s="194" t="n"/>
      <c r="AA5568" s="25" t="n"/>
      <c r="AB5568" s="25" t="n"/>
      <c r="AC5568" s="195" t="n"/>
      <c r="AD5568" s="25" t="n"/>
      <c r="AE5568" s="25" t="n"/>
      <c r="AG5568" s="25" t="n"/>
      <c r="AH5568" s="25" t="n"/>
      <c r="AI5568" s="394" t="n"/>
      <c r="AM5568" s="48" t="n"/>
      <c r="AN5568" s="48" t="n"/>
      <c r="AO5568" s="48" t="n"/>
    </row>
    <row r="5569">
      <c r="M5569" s="25" t="n"/>
      <c r="Q5569" s="25" t="n"/>
      <c r="U5569" s="194" t="n"/>
      <c r="AA5569" s="25" t="n"/>
      <c r="AB5569" s="25" t="n"/>
      <c r="AC5569" s="195" t="n"/>
      <c r="AD5569" s="25" t="n"/>
      <c r="AE5569" s="25" t="n"/>
      <c r="AG5569" s="25" t="n"/>
      <c r="AH5569" s="25" t="n"/>
      <c r="AI5569" s="394" t="n"/>
      <c r="AM5569" s="48" t="n"/>
      <c r="AN5569" s="48" t="n"/>
      <c r="AO5569" s="48" t="n"/>
    </row>
    <row r="5570">
      <c r="M5570" s="25" t="n"/>
      <c r="Q5570" s="25" t="n"/>
      <c r="U5570" s="194" t="n"/>
      <c r="AA5570" s="25" t="n"/>
      <c r="AB5570" s="25" t="n"/>
      <c r="AC5570" s="195" t="n"/>
      <c r="AD5570" s="25" t="n"/>
      <c r="AE5570" s="25" t="n"/>
      <c r="AG5570" s="25" t="n"/>
      <c r="AH5570" s="25" t="n"/>
      <c r="AI5570" s="394" t="n"/>
      <c r="AM5570" s="48" t="n"/>
      <c r="AN5570" s="48" t="n"/>
      <c r="AO5570" s="48" t="n"/>
    </row>
    <row r="5571">
      <c r="M5571" s="25" t="n"/>
      <c r="Q5571" s="25" t="n"/>
      <c r="U5571" s="194" t="n"/>
      <c r="AA5571" s="25" t="n"/>
      <c r="AB5571" s="25" t="n"/>
      <c r="AC5571" s="195" t="n"/>
      <c r="AD5571" s="25" t="n"/>
      <c r="AE5571" s="25" t="n"/>
      <c r="AG5571" s="25" t="n"/>
      <c r="AH5571" s="25" t="n"/>
      <c r="AI5571" s="394" t="n"/>
      <c r="AM5571" s="48" t="n"/>
      <c r="AN5571" s="48" t="n"/>
      <c r="AO5571" s="48" t="n"/>
    </row>
    <row r="5572">
      <c r="M5572" s="25" t="n"/>
      <c r="Q5572" s="25" t="n"/>
      <c r="U5572" s="194" t="n"/>
      <c r="AA5572" s="25" t="n"/>
      <c r="AB5572" s="25" t="n"/>
      <c r="AC5572" s="195" t="n"/>
      <c r="AD5572" s="25" t="n"/>
      <c r="AE5572" s="25" t="n"/>
      <c r="AG5572" s="25" t="n"/>
      <c r="AH5572" s="25" t="n"/>
      <c r="AI5572" s="394" t="n"/>
      <c r="AM5572" s="48" t="n"/>
      <c r="AN5572" s="48" t="n"/>
      <c r="AO5572" s="48" t="n"/>
    </row>
    <row r="5573">
      <c r="M5573" s="25" t="n"/>
      <c r="Q5573" s="25" t="n"/>
      <c r="U5573" s="194" t="n"/>
      <c r="AA5573" s="25" t="n"/>
      <c r="AB5573" s="25" t="n"/>
      <c r="AC5573" s="195" t="n"/>
      <c r="AD5573" s="25" t="n"/>
      <c r="AE5573" s="25" t="n"/>
      <c r="AG5573" s="25" t="n"/>
      <c r="AH5573" s="25" t="n"/>
      <c r="AI5573" s="394" t="n"/>
      <c r="AM5573" s="48" t="n"/>
      <c r="AN5573" s="48" t="n"/>
      <c r="AO5573" s="48" t="n"/>
    </row>
    <row r="5574">
      <c r="M5574" s="25" t="n"/>
      <c r="Q5574" s="25" t="n"/>
      <c r="U5574" s="194" t="n"/>
      <c r="AA5574" s="25" t="n"/>
      <c r="AB5574" s="25" t="n"/>
      <c r="AC5574" s="195" t="n"/>
      <c r="AD5574" s="25" t="n"/>
      <c r="AE5574" s="25" t="n"/>
      <c r="AG5574" s="25" t="n"/>
      <c r="AH5574" s="25" t="n"/>
      <c r="AI5574" s="394" t="n"/>
      <c r="AM5574" s="48" t="n"/>
      <c r="AN5574" s="48" t="n"/>
      <c r="AO5574" s="48" t="n"/>
    </row>
    <row r="5575">
      <c r="M5575" s="25" t="n"/>
      <c r="Q5575" s="25" t="n"/>
      <c r="U5575" s="194" t="n"/>
      <c r="AA5575" s="25" t="n"/>
      <c r="AB5575" s="25" t="n"/>
      <c r="AC5575" s="195" t="n"/>
      <c r="AD5575" s="25" t="n"/>
      <c r="AE5575" s="25" t="n"/>
      <c r="AG5575" s="25" t="n"/>
      <c r="AH5575" s="25" t="n"/>
      <c r="AI5575" s="394" t="n"/>
      <c r="AM5575" s="48" t="n"/>
      <c r="AN5575" s="48" t="n"/>
      <c r="AO5575" s="48" t="n"/>
    </row>
    <row r="5576">
      <c r="M5576" s="25" t="n"/>
      <c r="Q5576" s="25" t="n"/>
      <c r="U5576" s="194" t="n"/>
      <c r="AA5576" s="25" t="n"/>
      <c r="AB5576" s="25" t="n"/>
      <c r="AC5576" s="195" t="n"/>
      <c r="AD5576" s="25" t="n"/>
      <c r="AE5576" s="25" t="n"/>
      <c r="AG5576" s="25" t="n"/>
      <c r="AH5576" s="25" t="n"/>
      <c r="AI5576" s="394" t="n"/>
      <c r="AM5576" s="48" t="n"/>
      <c r="AN5576" s="48" t="n"/>
      <c r="AO5576" s="48" t="n"/>
    </row>
    <row r="5577">
      <c r="M5577" s="25" t="n"/>
      <c r="Q5577" s="25" t="n"/>
      <c r="U5577" s="194" t="n"/>
      <c r="AA5577" s="25" t="n"/>
      <c r="AB5577" s="25" t="n"/>
      <c r="AC5577" s="195" t="n"/>
      <c r="AD5577" s="25" t="n"/>
      <c r="AE5577" s="25" t="n"/>
      <c r="AG5577" s="25" t="n"/>
      <c r="AH5577" s="25" t="n"/>
      <c r="AI5577" s="394" t="n"/>
      <c r="AM5577" s="48" t="n"/>
      <c r="AN5577" s="48" t="n"/>
      <c r="AO5577" s="48" t="n"/>
    </row>
    <row r="5578">
      <c r="M5578" s="25" t="n"/>
      <c r="Q5578" s="25" t="n"/>
      <c r="U5578" s="194" t="n"/>
      <c r="AA5578" s="25" t="n"/>
      <c r="AB5578" s="25" t="n"/>
      <c r="AC5578" s="195" t="n"/>
      <c r="AD5578" s="25" t="n"/>
      <c r="AE5578" s="25" t="n"/>
      <c r="AG5578" s="25" t="n"/>
      <c r="AH5578" s="25" t="n"/>
      <c r="AI5578" s="394" t="n"/>
      <c r="AM5578" s="48" t="n"/>
      <c r="AN5578" s="48" t="n"/>
      <c r="AO5578" s="48" t="n"/>
    </row>
    <row r="5579">
      <c r="M5579" s="25" t="n"/>
      <c r="Q5579" s="25" t="n"/>
      <c r="U5579" s="194" t="n"/>
      <c r="AA5579" s="25" t="n"/>
      <c r="AB5579" s="25" t="n"/>
      <c r="AC5579" s="195" t="n"/>
      <c r="AD5579" s="25" t="n"/>
      <c r="AE5579" s="25" t="n"/>
      <c r="AG5579" s="25" t="n"/>
      <c r="AH5579" s="25" t="n"/>
      <c r="AI5579" s="394" t="n"/>
      <c r="AM5579" s="48" t="n"/>
      <c r="AN5579" s="48" t="n"/>
      <c r="AO5579" s="48" t="n"/>
    </row>
    <row r="5580">
      <c r="M5580" s="25" t="n"/>
      <c r="Q5580" s="25" t="n"/>
      <c r="U5580" s="194" t="n"/>
      <c r="AA5580" s="25" t="n"/>
      <c r="AB5580" s="25" t="n"/>
      <c r="AC5580" s="195" t="n"/>
      <c r="AD5580" s="25" t="n"/>
      <c r="AE5580" s="25" t="n"/>
      <c r="AG5580" s="25" t="n"/>
      <c r="AH5580" s="25" t="n"/>
      <c r="AI5580" s="394" t="n"/>
      <c r="AM5580" s="48" t="n"/>
      <c r="AN5580" s="48" t="n"/>
      <c r="AO5580" s="48" t="n"/>
    </row>
    <row r="5581">
      <c r="M5581" s="25" t="n"/>
      <c r="Q5581" s="25" t="n"/>
      <c r="U5581" s="194" t="n"/>
      <c r="AA5581" s="25" t="n"/>
      <c r="AB5581" s="25" t="n"/>
      <c r="AC5581" s="195" t="n"/>
      <c r="AD5581" s="25" t="n"/>
      <c r="AE5581" s="25" t="n"/>
      <c r="AG5581" s="25" t="n"/>
      <c r="AH5581" s="25" t="n"/>
      <c r="AI5581" s="394" t="n"/>
      <c r="AM5581" s="48" t="n"/>
      <c r="AN5581" s="48" t="n"/>
      <c r="AO5581" s="48" t="n"/>
    </row>
    <row r="5582">
      <c r="M5582" s="25" t="n"/>
      <c r="Q5582" s="25" t="n"/>
      <c r="U5582" s="194" t="n"/>
      <c r="AA5582" s="25" t="n"/>
      <c r="AB5582" s="25" t="n"/>
      <c r="AC5582" s="195" t="n"/>
      <c r="AD5582" s="25" t="n"/>
      <c r="AE5582" s="25" t="n"/>
      <c r="AG5582" s="25" t="n"/>
      <c r="AH5582" s="25" t="n"/>
      <c r="AI5582" s="394" t="n"/>
      <c r="AM5582" s="48" t="n"/>
      <c r="AN5582" s="48" t="n"/>
      <c r="AO5582" s="48" t="n"/>
    </row>
    <row r="5583">
      <c r="M5583" s="25" t="n"/>
      <c r="Q5583" s="25" t="n"/>
      <c r="U5583" s="194" t="n"/>
      <c r="AA5583" s="25" t="n"/>
      <c r="AB5583" s="25" t="n"/>
      <c r="AC5583" s="195" t="n"/>
      <c r="AD5583" s="25" t="n"/>
      <c r="AE5583" s="25" t="n"/>
      <c r="AG5583" s="25" t="n"/>
      <c r="AH5583" s="25" t="n"/>
      <c r="AI5583" s="394" t="n"/>
      <c r="AM5583" s="48" t="n"/>
      <c r="AN5583" s="48" t="n"/>
      <c r="AO5583" s="48" t="n"/>
    </row>
    <row r="5584">
      <c r="M5584" s="25" t="n"/>
      <c r="Q5584" s="25" t="n"/>
      <c r="U5584" s="194" t="n"/>
      <c r="AA5584" s="25" t="n"/>
      <c r="AB5584" s="25" t="n"/>
      <c r="AC5584" s="195" t="n"/>
      <c r="AD5584" s="25" t="n"/>
      <c r="AE5584" s="25" t="n"/>
      <c r="AG5584" s="25" t="n"/>
      <c r="AH5584" s="25" t="n"/>
      <c r="AI5584" s="394" t="n"/>
      <c r="AM5584" s="48" t="n"/>
      <c r="AN5584" s="48" t="n"/>
      <c r="AO5584" s="48" t="n"/>
    </row>
    <row r="5585">
      <c r="M5585" s="25" t="n"/>
      <c r="Q5585" s="25" t="n"/>
      <c r="U5585" s="194" t="n"/>
      <c r="AA5585" s="25" t="n"/>
      <c r="AB5585" s="25" t="n"/>
      <c r="AC5585" s="195" t="n"/>
      <c r="AD5585" s="25" t="n"/>
      <c r="AE5585" s="25" t="n"/>
      <c r="AG5585" s="25" t="n"/>
      <c r="AH5585" s="25" t="n"/>
      <c r="AI5585" s="394" t="n"/>
      <c r="AM5585" s="48" t="n"/>
      <c r="AN5585" s="48" t="n"/>
      <c r="AO5585" s="48" t="n"/>
    </row>
    <row r="5586">
      <c r="M5586" s="25" t="n"/>
      <c r="Q5586" s="25" t="n"/>
      <c r="U5586" s="194" t="n"/>
      <c r="AA5586" s="25" t="n"/>
      <c r="AB5586" s="25" t="n"/>
      <c r="AC5586" s="195" t="n"/>
      <c r="AD5586" s="25" t="n"/>
      <c r="AE5586" s="25" t="n"/>
      <c r="AG5586" s="25" t="n"/>
      <c r="AH5586" s="25" t="n"/>
      <c r="AI5586" s="394" t="n"/>
      <c r="AM5586" s="48" t="n"/>
      <c r="AN5586" s="48" t="n"/>
      <c r="AO5586" s="48" t="n"/>
    </row>
    <row r="5587">
      <c r="M5587" s="25" t="n"/>
      <c r="Q5587" s="25" t="n"/>
      <c r="U5587" s="194" t="n"/>
      <c r="AA5587" s="25" t="n"/>
      <c r="AB5587" s="25" t="n"/>
      <c r="AC5587" s="195" t="n"/>
      <c r="AD5587" s="25" t="n"/>
      <c r="AE5587" s="25" t="n"/>
      <c r="AG5587" s="25" t="n"/>
      <c r="AH5587" s="25" t="n"/>
      <c r="AI5587" s="394" t="n"/>
      <c r="AM5587" s="48" t="n"/>
      <c r="AN5587" s="48" t="n"/>
      <c r="AO5587" s="48" t="n"/>
    </row>
    <row r="5588">
      <c r="M5588" s="25" t="n"/>
      <c r="Q5588" s="25" t="n"/>
      <c r="U5588" s="194" t="n"/>
      <c r="AA5588" s="25" t="n"/>
      <c r="AB5588" s="25" t="n"/>
      <c r="AC5588" s="195" t="n"/>
      <c r="AD5588" s="25" t="n"/>
      <c r="AE5588" s="25" t="n"/>
      <c r="AG5588" s="25" t="n"/>
      <c r="AH5588" s="25" t="n"/>
      <c r="AI5588" s="394" t="n"/>
      <c r="AM5588" s="48" t="n"/>
      <c r="AN5588" s="48" t="n"/>
      <c r="AO5588" s="48" t="n"/>
    </row>
    <row r="5589">
      <c r="M5589" s="25" t="n"/>
      <c r="Q5589" s="25" t="n"/>
      <c r="U5589" s="194" t="n"/>
      <c r="AA5589" s="25" t="n"/>
      <c r="AB5589" s="25" t="n"/>
      <c r="AC5589" s="195" t="n"/>
      <c r="AD5589" s="25" t="n"/>
      <c r="AE5589" s="25" t="n"/>
      <c r="AG5589" s="25" t="n"/>
      <c r="AH5589" s="25" t="n"/>
      <c r="AI5589" s="394" t="n"/>
      <c r="AM5589" s="48" t="n"/>
      <c r="AN5589" s="48" t="n"/>
      <c r="AO5589" s="48" t="n"/>
    </row>
    <row r="5590">
      <c r="M5590" s="25" t="n"/>
      <c r="Q5590" s="25" t="n"/>
      <c r="U5590" s="194" t="n"/>
      <c r="AA5590" s="25" t="n"/>
      <c r="AB5590" s="25" t="n"/>
      <c r="AC5590" s="195" t="n"/>
      <c r="AD5590" s="25" t="n"/>
      <c r="AE5590" s="25" t="n"/>
      <c r="AG5590" s="25" t="n"/>
      <c r="AH5590" s="25" t="n"/>
      <c r="AI5590" s="394" t="n"/>
      <c r="AM5590" s="48" t="n"/>
      <c r="AN5590" s="48" t="n"/>
      <c r="AO5590" s="48" t="n"/>
    </row>
    <row r="5591">
      <c r="M5591" s="25" t="n"/>
      <c r="Q5591" s="25" t="n"/>
      <c r="U5591" s="194" t="n"/>
      <c r="AA5591" s="25" t="n"/>
      <c r="AB5591" s="25" t="n"/>
      <c r="AC5591" s="195" t="n"/>
      <c r="AD5591" s="25" t="n"/>
      <c r="AE5591" s="25" t="n"/>
      <c r="AG5591" s="25" t="n"/>
      <c r="AH5591" s="25" t="n"/>
      <c r="AI5591" s="394" t="n"/>
      <c r="AM5591" s="48" t="n"/>
      <c r="AN5591" s="48" t="n"/>
      <c r="AO5591" s="48" t="n"/>
    </row>
    <row r="5592">
      <c r="M5592" s="25" t="n"/>
      <c r="Q5592" s="25" t="n"/>
      <c r="U5592" s="194" t="n"/>
      <c r="AA5592" s="25" t="n"/>
      <c r="AB5592" s="25" t="n"/>
      <c r="AC5592" s="195" t="n"/>
      <c r="AD5592" s="25" t="n"/>
      <c r="AE5592" s="25" t="n"/>
      <c r="AG5592" s="25" t="n"/>
      <c r="AH5592" s="25" t="n"/>
      <c r="AI5592" s="394" t="n"/>
      <c r="AM5592" s="48" t="n"/>
      <c r="AN5592" s="48" t="n"/>
      <c r="AO5592" s="48" t="n"/>
    </row>
    <row r="5593">
      <c r="M5593" s="25" t="n"/>
      <c r="Q5593" s="25" t="n"/>
      <c r="U5593" s="194" t="n"/>
      <c r="AA5593" s="25" t="n"/>
      <c r="AB5593" s="25" t="n"/>
      <c r="AC5593" s="195" t="n"/>
      <c r="AD5593" s="25" t="n"/>
      <c r="AE5593" s="25" t="n"/>
      <c r="AG5593" s="25" t="n"/>
      <c r="AH5593" s="25" t="n"/>
      <c r="AI5593" s="394" t="n"/>
      <c r="AM5593" s="48" t="n"/>
      <c r="AN5593" s="48" t="n"/>
      <c r="AO5593" s="48" t="n"/>
    </row>
    <row r="5594">
      <c r="M5594" s="25" t="n"/>
      <c r="Q5594" s="25" t="n"/>
      <c r="U5594" s="194" t="n"/>
      <c r="AA5594" s="25" t="n"/>
      <c r="AB5594" s="25" t="n"/>
      <c r="AC5594" s="195" t="n"/>
      <c r="AD5594" s="25" t="n"/>
      <c r="AE5594" s="25" t="n"/>
      <c r="AG5594" s="25" t="n"/>
      <c r="AH5594" s="25" t="n"/>
      <c r="AI5594" s="394" t="n"/>
      <c r="AM5594" s="48" t="n"/>
      <c r="AN5594" s="48" t="n"/>
      <c r="AO5594" s="48" t="n"/>
    </row>
    <row r="5595">
      <c r="M5595" s="25" t="n"/>
      <c r="Q5595" s="25" t="n"/>
      <c r="U5595" s="194" t="n"/>
      <c r="AA5595" s="25" t="n"/>
      <c r="AB5595" s="25" t="n"/>
      <c r="AC5595" s="195" t="n"/>
      <c r="AD5595" s="25" t="n"/>
      <c r="AE5595" s="25" t="n"/>
      <c r="AG5595" s="25" t="n"/>
      <c r="AH5595" s="25" t="n"/>
      <c r="AI5595" s="394" t="n"/>
      <c r="AM5595" s="48" t="n"/>
      <c r="AN5595" s="48" t="n"/>
      <c r="AO5595" s="48" t="n"/>
    </row>
    <row r="5596">
      <c r="M5596" s="25" t="n"/>
      <c r="Q5596" s="25" t="n"/>
      <c r="U5596" s="194" t="n"/>
      <c r="AA5596" s="25" t="n"/>
      <c r="AB5596" s="25" t="n"/>
      <c r="AC5596" s="195" t="n"/>
      <c r="AD5596" s="25" t="n"/>
      <c r="AE5596" s="25" t="n"/>
      <c r="AG5596" s="25" t="n"/>
      <c r="AH5596" s="25" t="n"/>
      <c r="AI5596" s="394" t="n"/>
      <c r="AM5596" s="48" t="n"/>
      <c r="AN5596" s="48" t="n"/>
      <c r="AO5596" s="48" t="n"/>
    </row>
    <row r="5597">
      <c r="M5597" s="25" t="n"/>
      <c r="Q5597" s="25" t="n"/>
      <c r="U5597" s="194" t="n"/>
      <c r="AA5597" s="25" t="n"/>
      <c r="AB5597" s="25" t="n"/>
      <c r="AC5597" s="195" t="n"/>
      <c r="AD5597" s="25" t="n"/>
      <c r="AE5597" s="25" t="n"/>
      <c r="AG5597" s="25" t="n"/>
      <c r="AH5597" s="25" t="n"/>
      <c r="AI5597" s="394" t="n"/>
      <c r="AM5597" s="48" t="n"/>
      <c r="AN5597" s="48" t="n"/>
      <c r="AO5597" s="48" t="n"/>
    </row>
    <row r="5598">
      <c r="M5598" s="25" t="n"/>
      <c r="Q5598" s="25" t="n"/>
      <c r="U5598" s="194" t="n"/>
      <c r="AA5598" s="25" t="n"/>
      <c r="AB5598" s="25" t="n"/>
      <c r="AC5598" s="195" t="n"/>
      <c r="AD5598" s="25" t="n"/>
      <c r="AE5598" s="25" t="n"/>
      <c r="AG5598" s="25" t="n"/>
      <c r="AH5598" s="25" t="n"/>
      <c r="AI5598" s="394" t="n"/>
      <c r="AM5598" s="48" t="n"/>
      <c r="AN5598" s="48" t="n"/>
      <c r="AO5598" s="48" t="n"/>
    </row>
    <row r="5599">
      <c r="M5599" s="25" t="n"/>
      <c r="Q5599" s="25" t="n"/>
      <c r="U5599" s="194" t="n"/>
      <c r="AA5599" s="25" t="n"/>
      <c r="AB5599" s="25" t="n"/>
      <c r="AC5599" s="195" t="n"/>
      <c r="AD5599" s="25" t="n"/>
      <c r="AE5599" s="25" t="n"/>
      <c r="AG5599" s="25" t="n"/>
      <c r="AH5599" s="25" t="n"/>
      <c r="AI5599" s="394" t="n"/>
      <c r="AM5599" s="48" t="n"/>
      <c r="AN5599" s="48" t="n"/>
      <c r="AO5599" s="48" t="n"/>
    </row>
    <row r="5600">
      <c r="M5600" s="25" t="n"/>
      <c r="Q5600" s="25" t="n"/>
      <c r="U5600" s="194" t="n"/>
      <c r="AA5600" s="25" t="n"/>
      <c r="AB5600" s="25" t="n"/>
      <c r="AC5600" s="195" t="n"/>
      <c r="AD5600" s="25" t="n"/>
      <c r="AE5600" s="25" t="n"/>
      <c r="AG5600" s="25" t="n"/>
      <c r="AH5600" s="25" t="n"/>
      <c r="AI5600" s="394" t="n"/>
      <c r="AM5600" s="48" t="n"/>
      <c r="AN5600" s="48" t="n"/>
      <c r="AO5600" s="48" t="n"/>
    </row>
    <row r="5601">
      <c r="M5601" s="25" t="n"/>
      <c r="Q5601" s="25" t="n"/>
      <c r="U5601" s="194" t="n"/>
      <c r="AA5601" s="25" t="n"/>
      <c r="AB5601" s="25" t="n"/>
      <c r="AC5601" s="195" t="n"/>
      <c r="AD5601" s="25" t="n"/>
      <c r="AE5601" s="25" t="n"/>
      <c r="AG5601" s="25" t="n"/>
      <c r="AH5601" s="25" t="n"/>
      <c r="AI5601" s="394" t="n"/>
      <c r="AM5601" s="48" t="n"/>
      <c r="AN5601" s="48" t="n"/>
      <c r="AO5601" s="48" t="n"/>
    </row>
    <row r="5602">
      <c r="M5602" s="25" t="n"/>
      <c r="Q5602" s="25" t="n"/>
      <c r="U5602" s="194" t="n"/>
      <c r="AA5602" s="25" t="n"/>
      <c r="AB5602" s="25" t="n"/>
      <c r="AC5602" s="195" t="n"/>
      <c r="AD5602" s="25" t="n"/>
      <c r="AE5602" s="25" t="n"/>
      <c r="AG5602" s="25" t="n"/>
      <c r="AH5602" s="25" t="n"/>
      <c r="AI5602" s="394" t="n"/>
      <c r="AM5602" s="48" t="n"/>
      <c r="AN5602" s="48" t="n"/>
      <c r="AO5602" s="48" t="n"/>
    </row>
    <row r="5603">
      <c r="M5603" s="25" t="n"/>
      <c r="Q5603" s="25" t="n"/>
      <c r="U5603" s="194" t="n"/>
      <c r="AA5603" s="25" t="n"/>
      <c r="AB5603" s="25" t="n"/>
      <c r="AC5603" s="195" t="n"/>
      <c r="AD5603" s="25" t="n"/>
      <c r="AE5603" s="25" t="n"/>
      <c r="AG5603" s="25" t="n"/>
      <c r="AH5603" s="25" t="n"/>
      <c r="AI5603" s="394" t="n"/>
      <c r="AM5603" s="48" t="n"/>
      <c r="AN5603" s="48" t="n"/>
      <c r="AO5603" s="48" t="n"/>
    </row>
    <row r="5604">
      <c r="M5604" s="25" t="n"/>
      <c r="Q5604" s="25" t="n"/>
      <c r="U5604" s="194" t="n"/>
      <c r="AA5604" s="25" t="n"/>
      <c r="AB5604" s="25" t="n"/>
      <c r="AC5604" s="195" t="n"/>
      <c r="AD5604" s="25" t="n"/>
      <c r="AE5604" s="25" t="n"/>
      <c r="AG5604" s="25" t="n"/>
      <c r="AH5604" s="25" t="n"/>
      <c r="AI5604" s="394" t="n"/>
      <c r="AM5604" s="48" t="n"/>
      <c r="AN5604" s="48" t="n"/>
      <c r="AO5604" s="48" t="n"/>
    </row>
    <row r="5605">
      <c r="M5605" s="25" t="n"/>
      <c r="Q5605" s="25" t="n"/>
      <c r="U5605" s="194" t="n"/>
      <c r="AA5605" s="25" t="n"/>
      <c r="AB5605" s="25" t="n"/>
      <c r="AC5605" s="195" t="n"/>
      <c r="AD5605" s="25" t="n"/>
      <c r="AE5605" s="25" t="n"/>
      <c r="AG5605" s="25" t="n"/>
      <c r="AH5605" s="25" t="n"/>
      <c r="AI5605" s="394" t="n"/>
      <c r="AM5605" s="48" t="n"/>
      <c r="AN5605" s="48" t="n"/>
      <c r="AO5605" s="48" t="n"/>
    </row>
    <row r="5606">
      <c r="M5606" s="25" t="n"/>
      <c r="Q5606" s="25" t="n"/>
      <c r="U5606" s="194" t="n"/>
      <c r="AA5606" s="25" t="n"/>
      <c r="AB5606" s="25" t="n"/>
      <c r="AC5606" s="195" t="n"/>
      <c r="AD5606" s="25" t="n"/>
      <c r="AE5606" s="25" t="n"/>
      <c r="AG5606" s="25" t="n"/>
      <c r="AH5606" s="25" t="n"/>
      <c r="AI5606" s="394" t="n"/>
      <c r="AM5606" s="48" t="n"/>
      <c r="AN5606" s="48" t="n"/>
      <c r="AO5606" s="48" t="n"/>
    </row>
    <row r="5607">
      <c r="M5607" s="25" t="n"/>
      <c r="Q5607" s="25" t="n"/>
      <c r="U5607" s="194" t="n"/>
      <c r="AA5607" s="25" t="n"/>
      <c r="AB5607" s="25" t="n"/>
      <c r="AC5607" s="195" t="n"/>
      <c r="AD5607" s="25" t="n"/>
      <c r="AE5607" s="25" t="n"/>
      <c r="AG5607" s="25" t="n"/>
      <c r="AH5607" s="25" t="n"/>
      <c r="AI5607" s="394" t="n"/>
      <c r="AM5607" s="48" t="n"/>
      <c r="AN5607" s="48" t="n"/>
      <c r="AO5607" s="48" t="n"/>
    </row>
    <row r="5608">
      <c r="M5608" s="25" t="n"/>
      <c r="Q5608" s="25" t="n"/>
      <c r="U5608" s="194" t="n"/>
      <c r="AA5608" s="25" t="n"/>
      <c r="AB5608" s="25" t="n"/>
      <c r="AC5608" s="195" t="n"/>
      <c r="AD5608" s="25" t="n"/>
      <c r="AE5608" s="25" t="n"/>
      <c r="AG5608" s="25" t="n"/>
      <c r="AH5608" s="25" t="n"/>
      <c r="AI5608" s="394" t="n"/>
      <c r="AM5608" s="48" t="n"/>
      <c r="AN5608" s="48" t="n"/>
      <c r="AO5608" s="48" t="n"/>
    </row>
    <row r="5609">
      <c r="M5609" s="25" t="n"/>
      <c r="Q5609" s="25" t="n"/>
      <c r="U5609" s="194" t="n"/>
      <c r="AA5609" s="25" t="n"/>
      <c r="AB5609" s="25" t="n"/>
      <c r="AC5609" s="195" t="n"/>
      <c r="AD5609" s="25" t="n"/>
      <c r="AE5609" s="25" t="n"/>
      <c r="AG5609" s="25" t="n"/>
      <c r="AH5609" s="25" t="n"/>
      <c r="AI5609" s="394" t="n"/>
      <c r="AM5609" s="48" t="n"/>
      <c r="AN5609" s="48" t="n"/>
      <c r="AO5609" s="48" t="n"/>
    </row>
    <row r="5610">
      <c r="M5610" s="25" t="n"/>
      <c r="Q5610" s="25" t="n"/>
      <c r="U5610" s="194" t="n"/>
      <c r="AA5610" s="25" t="n"/>
      <c r="AB5610" s="25" t="n"/>
      <c r="AC5610" s="195" t="n"/>
      <c r="AD5610" s="25" t="n"/>
      <c r="AE5610" s="25" t="n"/>
      <c r="AG5610" s="25" t="n"/>
      <c r="AH5610" s="25" t="n"/>
      <c r="AI5610" s="394" t="n"/>
      <c r="AM5610" s="48" t="n"/>
      <c r="AN5610" s="48" t="n"/>
      <c r="AO5610" s="48" t="n"/>
    </row>
    <row r="5611">
      <c r="M5611" s="25" t="n"/>
      <c r="Q5611" s="25" t="n"/>
      <c r="U5611" s="194" t="n"/>
      <c r="AA5611" s="25" t="n"/>
      <c r="AB5611" s="25" t="n"/>
      <c r="AC5611" s="195" t="n"/>
      <c r="AD5611" s="25" t="n"/>
      <c r="AE5611" s="25" t="n"/>
      <c r="AG5611" s="25" t="n"/>
      <c r="AH5611" s="25" t="n"/>
      <c r="AI5611" s="394" t="n"/>
      <c r="AM5611" s="48" t="n"/>
      <c r="AN5611" s="48" t="n"/>
      <c r="AO5611" s="48" t="n"/>
    </row>
    <row r="5612">
      <c r="M5612" s="25" t="n"/>
      <c r="Q5612" s="25" t="n"/>
      <c r="U5612" s="194" t="n"/>
      <c r="AA5612" s="25" t="n"/>
      <c r="AB5612" s="25" t="n"/>
      <c r="AC5612" s="195" t="n"/>
      <c r="AD5612" s="25" t="n"/>
      <c r="AE5612" s="25" t="n"/>
      <c r="AG5612" s="25" t="n"/>
      <c r="AH5612" s="25" t="n"/>
      <c r="AI5612" s="394" t="n"/>
      <c r="AM5612" s="48" t="n"/>
      <c r="AN5612" s="48" t="n"/>
      <c r="AO5612" s="48" t="n"/>
    </row>
    <row r="5613">
      <c r="M5613" s="25" t="n"/>
      <c r="Q5613" s="25" t="n"/>
      <c r="U5613" s="194" t="n"/>
      <c r="AA5613" s="25" t="n"/>
      <c r="AB5613" s="25" t="n"/>
      <c r="AC5613" s="195" t="n"/>
      <c r="AD5613" s="25" t="n"/>
      <c r="AE5613" s="25" t="n"/>
      <c r="AG5613" s="25" t="n"/>
      <c r="AH5613" s="25" t="n"/>
      <c r="AI5613" s="394" t="n"/>
      <c r="AM5613" s="48" t="n"/>
      <c r="AN5613" s="48" t="n"/>
      <c r="AO5613" s="48" t="n"/>
    </row>
    <row r="5614">
      <c r="M5614" s="25" t="n"/>
      <c r="Q5614" s="25" t="n"/>
      <c r="U5614" s="194" t="n"/>
      <c r="AA5614" s="25" t="n"/>
      <c r="AB5614" s="25" t="n"/>
      <c r="AC5614" s="195" t="n"/>
      <c r="AD5614" s="25" t="n"/>
      <c r="AE5614" s="25" t="n"/>
      <c r="AG5614" s="25" t="n"/>
      <c r="AH5614" s="25" t="n"/>
      <c r="AI5614" s="394" t="n"/>
      <c r="AM5614" s="48" t="n"/>
      <c r="AN5614" s="48" t="n"/>
      <c r="AO5614" s="48" t="n"/>
    </row>
    <row r="5615">
      <c r="M5615" s="25" t="n"/>
      <c r="Q5615" s="25" t="n"/>
      <c r="U5615" s="194" t="n"/>
      <c r="AA5615" s="25" t="n"/>
      <c r="AB5615" s="25" t="n"/>
      <c r="AC5615" s="195" t="n"/>
      <c r="AD5615" s="25" t="n"/>
      <c r="AE5615" s="25" t="n"/>
      <c r="AG5615" s="25" t="n"/>
      <c r="AH5615" s="25" t="n"/>
      <c r="AI5615" s="394" t="n"/>
      <c r="AM5615" s="48" t="n"/>
      <c r="AN5615" s="48" t="n"/>
      <c r="AO5615" s="48" t="n"/>
    </row>
    <row r="5616">
      <c r="M5616" s="25" t="n"/>
      <c r="Q5616" s="25" t="n"/>
      <c r="U5616" s="194" t="n"/>
      <c r="AA5616" s="25" t="n"/>
      <c r="AB5616" s="25" t="n"/>
      <c r="AC5616" s="195" t="n"/>
      <c r="AD5616" s="25" t="n"/>
      <c r="AE5616" s="25" t="n"/>
      <c r="AG5616" s="25" t="n"/>
      <c r="AH5616" s="25" t="n"/>
      <c r="AI5616" s="394" t="n"/>
      <c r="AM5616" s="48" t="n"/>
      <c r="AN5616" s="48" t="n"/>
      <c r="AO5616" s="48" t="n"/>
    </row>
    <row r="5617">
      <c r="M5617" s="25" t="n"/>
      <c r="Q5617" s="25" t="n"/>
      <c r="U5617" s="194" t="n"/>
      <c r="AA5617" s="25" t="n"/>
      <c r="AB5617" s="25" t="n"/>
      <c r="AC5617" s="195" t="n"/>
      <c r="AD5617" s="25" t="n"/>
      <c r="AE5617" s="25" t="n"/>
      <c r="AG5617" s="25" t="n"/>
      <c r="AH5617" s="25" t="n"/>
      <c r="AI5617" s="394" t="n"/>
      <c r="AM5617" s="48" t="n"/>
      <c r="AN5617" s="48" t="n"/>
      <c r="AO5617" s="48" t="n"/>
    </row>
    <row r="5618">
      <c r="M5618" s="25" t="n"/>
      <c r="Q5618" s="25" t="n"/>
      <c r="U5618" s="194" t="n"/>
      <c r="AA5618" s="25" t="n"/>
      <c r="AB5618" s="25" t="n"/>
      <c r="AC5618" s="195" t="n"/>
      <c r="AD5618" s="25" t="n"/>
      <c r="AE5618" s="25" t="n"/>
      <c r="AG5618" s="25" t="n"/>
      <c r="AH5618" s="25" t="n"/>
      <c r="AI5618" s="394" t="n"/>
      <c r="AM5618" s="48" t="n"/>
      <c r="AN5618" s="48" t="n"/>
      <c r="AO5618" s="48" t="n"/>
    </row>
    <row r="5619">
      <c r="M5619" s="25" t="n"/>
      <c r="Q5619" s="25" t="n"/>
      <c r="U5619" s="194" t="n"/>
      <c r="AA5619" s="25" t="n"/>
      <c r="AB5619" s="25" t="n"/>
      <c r="AC5619" s="195" t="n"/>
      <c r="AD5619" s="25" t="n"/>
      <c r="AE5619" s="25" t="n"/>
      <c r="AG5619" s="25" t="n"/>
      <c r="AH5619" s="25" t="n"/>
      <c r="AI5619" s="394" t="n"/>
      <c r="AM5619" s="48" t="n"/>
      <c r="AN5619" s="48" t="n"/>
      <c r="AO5619" s="48" t="n"/>
    </row>
    <row r="5620">
      <c r="M5620" s="25" t="n"/>
      <c r="Q5620" s="25" t="n"/>
      <c r="U5620" s="194" t="n"/>
      <c r="AA5620" s="25" t="n"/>
      <c r="AB5620" s="25" t="n"/>
      <c r="AC5620" s="195" t="n"/>
      <c r="AD5620" s="25" t="n"/>
      <c r="AE5620" s="25" t="n"/>
      <c r="AG5620" s="25" t="n"/>
      <c r="AH5620" s="25" t="n"/>
      <c r="AI5620" s="394" t="n"/>
      <c r="AM5620" s="48" t="n"/>
      <c r="AN5620" s="48" t="n"/>
      <c r="AO5620" s="48" t="n"/>
    </row>
    <row r="5621">
      <c r="M5621" s="25" t="n"/>
      <c r="Q5621" s="25" t="n"/>
      <c r="U5621" s="194" t="n"/>
      <c r="AA5621" s="25" t="n"/>
      <c r="AB5621" s="25" t="n"/>
      <c r="AC5621" s="195" t="n"/>
      <c r="AD5621" s="25" t="n"/>
      <c r="AE5621" s="25" t="n"/>
      <c r="AG5621" s="25" t="n"/>
      <c r="AH5621" s="25" t="n"/>
      <c r="AI5621" s="394" t="n"/>
      <c r="AM5621" s="48" t="n"/>
      <c r="AN5621" s="48" t="n"/>
      <c r="AO5621" s="48" t="n"/>
    </row>
    <row r="5622">
      <c r="M5622" s="25" t="n"/>
      <c r="Q5622" s="25" t="n"/>
      <c r="U5622" s="194" t="n"/>
      <c r="AA5622" s="25" t="n"/>
      <c r="AB5622" s="25" t="n"/>
      <c r="AC5622" s="195" t="n"/>
      <c r="AD5622" s="25" t="n"/>
      <c r="AE5622" s="25" t="n"/>
      <c r="AG5622" s="25" t="n"/>
      <c r="AH5622" s="25" t="n"/>
      <c r="AI5622" s="394" t="n"/>
      <c r="AM5622" s="48" t="n"/>
      <c r="AN5622" s="48" t="n"/>
      <c r="AO5622" s="48" t="n"/>
    </row>
    <row r="5623">
      <c r="M5623" s="25" t="n"/>
      <c r="Q5623" s="25" t="n"/>
      <c r="U5623" s="194" t="n"/>
      <c r="AA5623" s="25" t="n"/>
      <c r="AB5623" s="25" t="n"/>
      <c r="AC5623" s="195" t="n"/>
      <c r="AD5623" s="25" t="n"/>
      <c r="AE5623" s="25" t="n"/>
      <c r="AG5623" s="25" t="n"/>
      <c r="AH5623" s="25" t="n"/>
      <c r="AI5623" s="394" t="n"/>
      <c r="AM5623" s="48" t="n"/>
      <c r="AN5623" s="48" t="n"/>
      <c r="AO5623" s="48" t="n"/>
    </row>
    <row r="5624">
      <c r="M5624" s="25" t="n"/>
      <c r="Q5624" s="25" t="n"/>
      <c r="U5624" s="194" t="n"/>
      <c r="AA5624" s="25" t="n"/>
      <c r="AB5624" s="25" t="n"/>
      <c r="AC5624" s="195" t="n"/>
      <c r="AD5624" s="25" t="n"/>
      <c r="AE5624" s="25" t="n"/>
      <c r="AG5624" s="25" t="n"/>
      <c r="AH5624" s="25" t="n"/>
      <c r="AI5624" s="394" t="n"/>
      <c r="AM5624" s="48" t="n"/>
      <c r="AN5624" s="48" t="n"/>
      <c r="AO5624" s="48" t="n"/>
    </row>
    <row r="5625">
      <c r="M5625" s="25" t="n"/>
      <c r="Q5625" s="25" t="n"/>
      <c r="U5625" s="194" t="n"/>
      <c r="AA5625" s="25" t="n"/>
      <c r="AB5625" s="25" t="n"/>
      <c r="AC5625" s="195" t="n"/>
      <c r="AD5625" s="25" t="n"/>
      <c r="AE5625" s="25" t="n"/>
      <c r="AG5625" s="25" t="n"/>
      <c r="AH5625" s="25" t="n"/>
      <c r="AI5625" s="394" t="n"/>
      <c r="AM5625" s="48" t="n"/>
      <c r="AN5625" s="48" t="n"/>
      <c r="AO5625" s="48" t="n"/>
    </row>
    <row r="5626">
      <c r="M5626" s="25" t="n"/>
      <c r="Q5626" s="25" t="n"/>
      <c r="U5626" s="194" t="n"/>
      <c r="AA5626" s="25" t="n"/>
      <c r="AB5626" s="25" t="n"/>
      <c r="AC5626" s="195" t="n"/>
      <c r="AD5626" s="25" t="n"/>
      <c r="AE5626" s="25" t="n"/>
      <c r="AG5626" s="25" t="n"/>
      <c r="AH5626" s="25" t="n"/>
      <c r="AI5626" s="394" t="n"/>
      <c r="AM5626" s="48" t="n"/>
      <c r="AN5626" s="48" t="n"/>
      <c r="AO5626" s="48" t="n"/>
    </row>
    <row r="5627">
      <c r="M5627" s="25" t="n"/>
      <c r="Q5627" s="25" t="n"/>
      <c r="U5627" s="194" t="n"/>
      <c r="AA5627" s="25" t="n"/>
      <c r="AB5627" s="25" t="n"/>
      <c r="AC5627" s="195" t="n"/>
      <c r="AD5627" s="25" t="n"/>
      <c r="AE5627" s="25" t="n"/>
      <c r="AG5627" s="25" t="n"/>
      <c r="AH5627" s="25" t="n"/>
      <c r="AI5627" s="394" t="n"/>
      <c r="AM5627" s="48" t="n"/>
      <c r="AN5627" s="48" t="n"/>
      <c r="AO5627" s="48" t="n"/>
    </row>
    <row r="5628">
      <c r="M5628" s="25" t="n"/>
      <c r="Q5628" s="25" t="n"/>
      <c r="U5628" s="194" t="n"/>
      <c r="AA5628" s="25" t="n"/>
      <c r="AB5628" s="25" t="n"/>
      <c r="AC5628" s="195" t="n"/>
      <c r="AD5628" s="25" t="n"/>
      <c r="AE5628" s="25" t="n"/>
      <c r="AG5628" s="25" t="n"/>
      <c r="AH5628" s="25" t="n"/>
      <c r="AI5628" s="394" t="n"/>
      <c r="AM5628" s="48" t="n"/>
      <c r="AN5628" s="48" t="n"/>
      <c r="AO5628" s="48" t="n"/>
    </row>
    <row r="5629">
      <c r="M5629" s="25" t="n"/>
      <c r="Q5629" s="25" t="n"/>
      <c r="U5629" s="194" t="n"/>
      <c r="AA5629" s="25" t="n"/>
      <c r="AB5629" s="25" t="n"/>
      <c r="AC5629" s="195" t="n"/>
      <c r="AD5629" s="25" t="n"/>
      <c r="AE5629" s="25" t="n"/>
      <c r="AG5629" s="25" t="n"/>
      <c r="AH5629" s="25" t="n"/>
      <c r="AI5629" s="394" t="n"/>
      <c r="AM5629" s="48" t="n"/>
      <c r="AN5629" s="48" t="n"/>
      <c r="AO5629" s="48" t="n"/>
    </row>
    <row r="5630">
      <c r="M5630" s="25" t="n"/>
      <c r="Q5630" s="25" t="n"/>
      <c r="U5630" s="194" t="n"/>
      <c r="AA5630" s="25" t="n"/>
      <c r="AB5630" s="25" t="n"/>
      <c r="AC5630" s="195" t="n"/>
      <c r="AD5630" s="25" t="n"/>
      <c r="AE5630" s="25" t="n"/>
      <c r="AG5630" s="25" t="n"/>
      <c r="AH5630" s="25" t="n"/>
      <c r="AI5630" s="394" t="n"/>
      <c r="AM5630" s="48" t="n"/>
      <c r="AN5630" s="48" t="n"/>
      <c r="AO5630" s="48" t="n"/>
    </row>
    <row r="5631">
      <c r="M5631" s="25" t="n"/>
      <c r="Q5631" s="25" t="n"/>
      <c r="U5631" s="194" t="n"/>
      <c r="AA5631" s="25" t="n"/>
      <c r="AB5631" s="25" t="n"/>
      <c r="AC5631" s="195" t="n"/>
      <c r="AD5631" s="25" t="n"/>
      <c r="AE5631" s="25" t="n"/>
      <c r="AG5631" s="25" t="n"/>
      <c r="AH5631" s="25" t="n"/>
      <c r="AI5631" s="394" t="n"/>
      <c r="AM5631" s="48" t="n"/>
      <c r="AN5631" s="48" t="n"/>
      <c r="AO5631" s="48" t="n"/>
    </row>
    <row r="5632">
      <c r="M5632" s="25" t="n"/>
      <c r="Q5632" s="25" t="n"/>
      <c r="U5632" s="194" t="n"/>
      <c r="AA5632" s="25" t="n"/>
      <c r="AB5632" s="25" t="n"/>
      <c r="AC5632" s="195" t="n"/>
      <c r="AD5632" s="25" t="n"/>
      <c r="AE5632" s="25" t="n"/>
      <c r="AG5632" s="25" t="n"/>
      <c r="AH5632" s="25" t="n"/>
      <c r="AI5632" s="394" t="n"/>
      <c r="AM5632" s="48" t="n"/>
      <c r="AN5632" s="48" t="n"/>
      <c r="AO5632" s="48" t="n"/>
    </row>
    <row r="5633">
      <c r="M5633" s="25" t="n"/>
      <c r="Q5633" s="25" t="n"/>
      <c r="U5633" s="194" t="n"/>
      <c r="AA5633" s="25" t="n"/>
      <c r="AB5633" s="25" t="n"/>
      <c r="AC5633" s="195" t="n"/>
      <c r="AD5633" s="25" t="n"/>
      <c r="AE5633" s="25" t="n"/>
      <c r="AG5633" s="25" t="n"/>
      <c r="AH5633" s="25" t="n"/>
      <c r="AI5633" s="394" t="n"/>
      <c r="AM5633" s="48" t="n"/>
      <c r="AN5633" s="48" t="n"/>
      <c r="AO5633" s="48" t="n"/>
    </row>
    <row r="5634">
      <c r="M5634" s="25" t="n"/>
      <c r="Q5634" s="25" t="n"/>
      <c r="U5634" s="194" t="n"/>
      <c r="AA5634" s="25" t="n"/>
      <c r="AB5634" s="25" t="n"/>
      <c r="AC5634" s="195" t="n"/>
      <c r="AD5634" s="25" t="n"/>
      <c r="AE5634" s="25" t="n"/>
      <c r="AG5634" s="25" t="n"/>
      <c r="AH5634" s="25" t="n"/>
      <c r="AI5634" s="394" t="n"/>
      <c r="AM5634" s="48" t="n"/>
      <c r="AN5634" s="48" t="n"/>
      <c r="AO5634" s="48" t="n"/>
    </row>
    <row r="5635">
      <c r="M5635" s="25" t="n"/>
      <c r="Q5635" s="25" t="n"/>
      <c r="U5635" s="194" t="n"/>
      <c r="AA5635" s="25" t="n"/>
      <c r="AB5635" s="25" t="n"/>
      <c r="AC5635" s="195" t="n"/>
      <c r="AD5635" s="25" t="n"/>
      <c r="AE5635" s="25" t="n"/>
      <c r="AG5635" s="25" t="n"/>
      <c r="AH5635" s="25" t="n"/>
      <c r="AI5635" s="394" t="n"/>
      <c r="AM5635" s="48" t="n"/>
      <c r="AN5635" s="48" t="n"/>
      <c r="AO5635" s="48" t="n"/>
    </row>
    <row r="5636">
      <c r="M5636" s="25" t="n"/>
      <c r="Q5636" s="25" t="n"/>
      <c r="U5636" s="194" t="n"/>
      <c r="AA5636" s="25" t="n"/>
      <c r="AB5636" s="25" t="n"/>
      <c r="AC5636" s="195" t="n"/>
      <c r="AD5636" s="25" t="n"/>
      <c r="AE5636" s="25" t="n"/>
      <c r="AG5636" s="25" t="n"/>
      <c r="AH5636" s="25" t="n"/>
      <c r="AI5636" s="394" t="n"/>
      <c r="AM5636" s="48" t="n"/>
      <c r="AN5636" s="48" t="n"/>
      <c r="AO5636" s="48" t="n"/>
    </row>
    <row r="5637">
      <c r="M5637" s="25" t="n"/>
      <c r="Q5637" s="25" t="n"/>
      <c r="U5637" s="194" t="n"/>
      <c r="AA5637" s="25" t="n"/>
      <c r="AB5637" s="25" t="n"/>
      <c r="AC5637" s="195" t="n"/>
      <c r="AD5637" s="25" t="n"/>
      <c r="AE5637" s="25" t="n"/>
      <c r="AG5637" s="25" t="n"/>
      <c r="AH5637" s="25" t="n"/>
      <c r="AI5637" s="394" t="n"/>
      <c r="AM5637" s="48" t="n"/>
      <c r="AN5637" s="48" t="n"/>
      <c r="AO5637" s="48" t="n"/>
    </row>
    <row r="5638">
      <c r="M5638" s="25" t="n"/>
      <c r="Q5638" s="25" t="n"/>
      <c r="U5638" s="194" t="n"/>
      <c r="AA5638" s="25" t="n"/>
      <c r="AB5638" s="25" t="n"/>
      <c r="AC5638" s="195" t="n"/>
      <c r="AD5638" s="25" t="n"/>
      <c r="AE5638" s="25" t="n"/>
      <c r="AG5638" s="25" t="n"/>
      <c r="AH5638" s="25" t="n"/>
      <c r="AI5638" s="394" t="n"/>
      <c r="AM5638" s="48" t="n"/>
      <c r="AN5638" s="48" t="n"/>
      <c r="AO5638" s="48" t="n"/>
    </row>
    <row r="5639">
      <c r="M5639" s="25" t="n"/>
      <c r="Q5639" s="25" t="n"/>
      <c r="U5639" s="194" t="n"/>
      <c r="AA5639" s="25" t="n"/>
      <c r="AB5639" s="25" t="n"/>
      <c r="AC5639" s="195" t="n"/>
      <c r="AD5639" s="25" t="n"/>
      <c r="AE5639" s="25" t="n"/>
      <c r="AG5639" s="25" t="n"/>
      <c r="AH5639" s="25" t="n"/>
      <c r="AI5639" s="394" t="n"/>
      <c r="AM5639" s="48" t="n"/>
      <c r="AN5639" s="48" t="n"/>
      <c r="AO5639" s="48" t="n"/>
    </row>
    <row r="5640">
      <c r="M5640" s="25" t="n"/>
      <c r="Q5640" s="25" t="n"/>
      <c r="U5640" s="194" t="n"/>
      <c r="AA5640" s="25" t="n"/>
      <c r="AB5640" s="25" t="n"/>
      <c r="AC5640" s="195" t="n"/>
      <c r="AD5640" s="25" t="n"/>
      <c r="AE5640" s="25" t="n"/>
      <c r="AG5640" s="25" t="n"/>
      <c r="AH5640" s="25" t="n"/>
      <c r="AI5640" s="394" t="n"/>
      <c r="AM5640" s="48" t="n"/>
      <c r="AN5640" s="48" t="n"/>
      <c r="AO5640" s="48" t="n"/>
    </row>
    <row r="5641">
      <c r="M5641" s="25" t="n"/>
      <c r="Q5641" s="25" t="n"/>
      <c r="U5641" s="194" t="n"/>
      <c r="AA5641" s="25" t="n"/>
      <c r="AB5641" s="25" t="n"/>
      <c r="AC5641" s="195" t="n"/>
      <c r="AD5641" s="25" t="n"/>
      <c r="AE5641" s="25" t="n"/>
      <c r="AG5641" s="25" t="n"/>
      <c r="AH5641" s="25" t="n"/>
      <c r="AI5641" s="394" t="n"/>
      <c r="AM5641" s="48" t="n"/>
      <c r="AN5641" s="48" t="n"/>
      <c r="AO5641" s="48" t="n"/>
    </row>
    <row r="5642">
      <c r="M5642" s="25" t="n"/>
      <c r="Q5642" s="25" t="n"/>
      <c r="U5642" s="194" t="n"/>
      <c r="AA5642" s="25" t="n"/>
      <c r="AB5642" s="25" t="n"/>
      <c r="AC5642" s="195" t="n"/>
      <c r="AD5642" s="25" t="n"/>
      <c r="AE5642" s="25" t="n"/>
      <c r="AG5642" s="25" t="n"/>
      <c r="AH5642" s="25" t="n"/>
      <c r="AI5642" s="394" t="n"/>
      <c r="AM5642" s="48" t="n"/>
      <c r="AN5642" s="48" t="n"/>
      <c r="AO5642" s="48" t="n"/>
    </row>
    <row r="5643">
      <c r="M5643" s="25" t="n"/>
      <c r="Q5643" s="25" t="n"/>
      <c r="U5643" s="194" t="n"/>
      <c r="AA5643" s="25" t="n"/>
      <c r="AB5643" s="25" t="n"/>
      <c r="AC5643" s="195" t="n"/>
      <c r="AD5643" s="25" t="n"/>
      <c r="AE5643" s="25" t="n"/>
      <c r="AG5643" s="25" t="n"/>
      <c r="AH5643" s="25" t="n"/>
      <c r="AI5643" s="394" t="n"/>
      <c r="AM5643" s="48" t="n"/>
      <c r="AN5643" s="48" t="n"/>
      <c r="AO5643" s="48" t="n"/>
    </row>
    <row r="5644">
      <c r="M5644" s="25" t="n"/>
      <c r="Q5644" s="25" t="n"/>
      <c r="U5644" s="194" t="n"/>
      <c r="AA5644" s="25" t="n"/>
      <c r="AB5644" s="25" t="n"/>
      <c r="AC5644" s="195" t="n"/>
      <c r="AD5644" s="25" t="n"/>
      <c r="AE5644" s="25" t="n"/>
      <c r="AG5644" s="25" t="n"/>
      <c r="AH5644" s="25" t="n"/>
      <c r="AI5644" s="394" t="n"/>
      <c r="AM5644" s="48" t="n"/>
      <c r="AN5644" s="48" t="n"/>
      <c r="AO5644" s="48" t="n"/>
    </row>
    <row r="5645">
      <c r="M5645" s="25" t="n"/>
      <c r="Q5645" s="25" t="n"/>
      <c r="U5645" s="194" t="n"/>
      <c r="AA5645" s="25" t="n"/>
      <c r="AB5645" s="25" t="n"/>
      <c r="AC5645" s="195" t="n"/>
      <c r="AD5645" s="25" t="n"/>
      <c r="AE5645" s="25" t="n"/>
      <c r="AG5645" s="25" t="n"/>
      <c r="AH5645" s="25" t="n"/>
      <c r="AI5645" s="394" t="n"/>
      <c r="AM5645" s="48" t="n"/>
      <c r="AN5645" s="48" t="n"/>
      <c r="AO5645" s="48" t="n"/>
    </row>
    <row r="5646">
      <c r="M5646" s="25" t="n"/>
      <c r="Q5646" s="25" t="n"/>
      <c r="U5646" s="194" t="n"/>
      <c r="AA5646" s="25" t="n"/>
      <c r="AB5646" s="25" t="n"/>
      <c r="AC5646" s="195" t="n"/>
      <c r="AD5646" s="25" t="n"/>
      <c r="AE5646" s="25" t="n"/>
      <c r="AG5646" s="25" t="n"/>
      <c r="AH5646" s="25" t="n"/>
      <c r="AI5646" s="394" t="n"/>
      <c r="AM5646" s="48" t="n"/>
      <c r="AN5646" s="48" t="n"/>
      <c r="AO5646" s="48" t="n"/>
    </row>
    <row r="5647">
      <c r="M5647" s="25" t="n"/>
      <c r="Q5647" s="25" t="n"/>
      <c r="U5647" s="194" t="n"/>
      <c r="AA5647" s="25" t="n"/>
      <c r="AB5647" s="25" t="n"/>
      <c r="AC5647" s="195" t="n"/>
      <c r="AD5647" s="25" t="n"/>
      <c r="AE5647" s="25" t="n"/>
      <c r="AG5647" s="25" t="n"/>
      <c r="AH5647" s="25" t="n"/>
      <c r="AI5647" s="394" t="n"/>
      <c r="AM5647" s="48" t="n"/>
      <c r="AN5647" s="48" t="n"/>
      <c r="AO5647" s="48" t="n"/>
    </row>
    <row r="5648">
      <c r="M5648" s="25" t="n"/>
      <c r="Q5648" s="25" t="n"/>
      <c r="U5648" s="194" t="n"/>
      <c r="AA5648" s="25" t="n"/>
      <c r="AB5648" s="25" t="n"/>
      <c r="AC5648" s="195" t="n"/>
      <c r="AD5648" s="25" t="n"/>
      <c r="AE5648" s="25" t="n"/>
      <c r="AG5648" s="25" t="n"/>
      <c r="AH5648" s="25" t="n"/>
      <c r="AI5648" s="394" t="n"/>
      <c r="AM5648" s="48" t="n"/>
      <c r="AN5648" s="48" t="n"/>
      <c r="AO5648" s="48" t="n"/>
    </row>
    <row r="5649">
      <c r="M5649" s="25" t="n"/>
      <c r="Q5649" s="25" t="n"/>
      <c r="U5649" s="194" t="n"/>
      <c r="AA5649" s="25" t="n"/>
      <c r="AB5649" s="25" t="n"/>
      <c r="AC5649" s="195" t="n"/>
      <c r="AD5649" s="25" t="n"/>
      <c r="AE5649" s="25" t="n"/>
      <c r="AG5649" s="25" t="n"/>
      <c r="AH5649" s="25" t="n"/>
      <c r="AI5649" s="394" t="n"/>
      <c r="AM5649" s="48" t="n"/>
      <c r="AN5649" s="48" t="n"/>
      <c r="AO5649" s="48" t="n"/>
    </row>
    <row r="5650">
      <c r="M5650" s="25" t="n"/>
      <c r="Q5650" s="25" t="n"/>
      <c r="U5650" s="194" t="n"/>
      <c r="AA5650" s="25" t="n"/>
      <c r="AB5650" s="25" t="n"/>
      <c r="AC5650" s="195" t="n"/>
      <c r="AD5650" s="25" t="n"/>
      <c r="AE5650" s="25" t="n"/>
      <c r="AG5650" s="25" t="n"/>
      <c r="AH5650" s="25" t="n"/>
      <c r="AI5650" s="394" t="n"/>
      <c r="AM5650" s="48" t="n"/>
      <c r="AN5650" s="48" t="n"/>
      <c r="AO5650" s="48" t="n"/>
    </row>
    <row r="5651">
      <c r="M5651" s="25" t="n"/>
      <c r="Q5651" s="25" t="n"/>
      <c r="U5651" s="194" t="n"/>
      <c r="AA5651" s="25" t="n"/>
      <c r="AB5651" s="25" t="n"/>
      <c r="AC5651" s="195" t="n"/>
      <c r="AD5651" s="25" t="n"/>
      <c r="AE5651" s="25" t="n"/>
      <c r="AG5651" s="25" t="n"/>
      <c r="AH5651" s="25" t="n"/>
      <c r="AI5651" s="394" t="n"/>
      <c r="AM5651" s="48" t="n"/>
      <c r="AN5651" s="48" t="n"/>
      <c r="AO5651" s="48" t="n"/>
    </row>
    <row r="5652">
      <c r="M5652" s="25" t="n"/>
      <c r="Q5652" s="25" t="n"/>
      <c r="U5652" s="194" t="n"/>
      <c r="AA5652" s="25" t="n"/>
      <c r="AB5652" s="25" t="n"/>
      <c r="AC5652" s="195" t="n"/>
      <c r="AD5652" s="25" t="n"/>
      <c r="AE5652" s="25" t="n"/>
      <c r="AG5652" s="25" t="n"/>
      <c r="AH5652" s="25" t="n"/>
      <c r="AI5652" s="394" t="n"/>
      <c r="AM5652" s="48" t="n"/>
      <c r="AN5652" s="48" t="n"/>
      <c r="AO5652" s="48" t="n"/>
    </row>
    <row r="5653">
      <c r="M5653" s="25" t="n"/>
      <c r="Q5653" s="25" t="n"/>
      <c r="U5653" s="194" t="n"/>
      <c r="AA5653" s="25" t="n"/>
      <c r="AB5653" s="25" t="n"/>
      <c r="AC5653" s="195" t="n"/>
      <c r="AD5653" s="25" t="n"/>
      <c r="AE5653" s="25" t="n"/>
      <c r="AG5653" s="25" t="n"/>
      <c r="AH5653" s="25" t="n"/>
      <c r="AI5653" s="394" t="n"/>
      <c r="AM5653" s="48" t="n"/>
      <c r="AN5653" s="48" t="n"/>
      <c r="AO5653" s="48" t="n"/>
    </row>
    <row r="5654">
      <c r="M5654" s="25" t="n"/>
      <c r="Q5654" s="25" t="n"/>
      <c r="U5654" s="194" t="n"/>
      <c r="AA5654" s="25" t="n"/>
      <c r="AB5654" s="25" t="n"/>
      <c r="AC5654" s="195" t="n"/>
      <c r="AD5654" s="25" t="n"/>
      <c r="AE5654" s="25" t="n"/>
      <c r="AG5654" s="25" t="n"/>
      <c r="AH5654" s="25" t="n"/>
      <c r="AI5654" s="394" t="n"/>
      <c r="AM5654" s="48" t="n"/>
      <c r="AN5654" s="48" t="n"/>
      <c r="AO5654" s="48" t="n"/>
    </row>
    <row r="5655">
      <c r="M5655" s="25" t="n"/>
      <c r="Q5655" s="25" t="n"/>
      <c r="U5655" s="194" t="n"/>
      <c r="AA5655" s="25" t="n"/>
      <c r="AB5655" s="25" t="n"/>
      <c r="AC5655" s="195" t="n"/>
      <c r="AD5655" s="25" t="n"/>
      <c r="AE5655" s="25" t="n"/>
      <c r="AG5655" s="25" t="n"/>
      <c r="AH5655" s="25" t="n"/>
      <c r="AI5655" s="394" t="n"/>
      <c r="AM5655" s="48" t="n"/>
      <c r="AN5655" s="48" t="n"/>
      <c r="AO5655" s="48" t="n"/>
    </row>
    <row r="5656">
      <c r="M5656" s="25" t="n"/>
      <c r="Q5656" s="25" t="n"/>
      <c r="U5656" s="194" t="n"/>
      <c r="AA5656" s="25" t="n"/>
      <c r="AB5656" s="25" t="n"/>
      <c r="AC5656" s="195" t="n"/>
      <c r="AD5656" s="25" t="n"/>
      <c r="AE5656" s="25" t="n"/>
      <c r="AG5656" s="25" t="n"/>
      <c r="AH5656" s="25" t="n"/>
      <c r="AI5656" s="394" t="n"/>
      <c r="AM5656" s="48" t="n"/>
      <c r="AN5656" s="48" t="n"/>
      <c r="AO5656" s="48" t="n"/>
    </row>
    <row r="5657">
      <c r="M5657" s="25" t="n"/>
      <c r="Q5657" s="25" t="n"/>
      <c r="U5657" s="194" t="n"/>
      <c r="AA5657" s="25" t="n"/>
      <c r="AB5657" s="25" t="n"/>
      <c r="AC5657" s="195" t="n"/>
      <c r="AD5657" s="25" t="n"/>
      <c r="AE5657" s="25" t="n"/>
      <c r="AG5657" s="25" t="n"/>
      <c r="AH5657" s="25" t="n"/>
      <c r="AI5657" s="394" t="n"/>
      <c r="AM5657" s="48" t="n"/>
      <c r="AN5657" s="48" t="n"/>
      <c r="AO5657" s="48" t="n"/>
    </row>
    <row r="5658">
      <c r="M5658" s="25" t="n"/>
      <c r="Q5658" s="25" t="n"/>
      <c r="U5658" s="194" t="n"/>
      <c r="AA5658" s="25" t="n"/>
      <c r="AB5658" s="25" t="n"/>
      <c r="AC5658" s="195" t="n"/>
      <c r="AD5658" s="25" t="n"/>
      <c r="AE5658" s="25" t="n"/>
      <c r="AG5658" s="25" t="n"/>
      <c r="AH5658" s="25" t="n"/>
      <c r="AI5658" s="394" t="n"/>
      <c r="AM5658" s="48" t="n"/>
      <c r="AN5658" s="48" t="n"/>
      <c r="AO5658" s="48" t="n"/>
    </row>
    <row r="5659">
      <c r="M5659" s="25" t="n"/>
      <c r="Q5659" s="25" t="n"/>
      <c r="U5659" s="194" t="n"/>
      <c r="AA5659" s="25" t="n"/>
      <c r="AB5659" s="25" t="n"/>
      <c r="AC5659" s="195" t="n"/>
      <c r="AD5659" s="25" t="n"/>
      <c r="AE5659" s="25" t="n"/>
      <c r="AG5659" s="25" t="n"/>
      <c r="AH5659" s="25" t="n"/>
      <c r="AI5659" s="394" t="n"/>
      <c r="AM5659" s="48" t="n"/>
      <c r="AN5659" s="48" t="n"/>
      <c r="AO5659" s="48" t="n"/>
    </row>
    <row r="5660">
      <c r="M5660" s="25" t="n"/>
      <c r="Q5660" s="25" t="n"/>
      <c r="U5660" s="194" t="n"/>
      <c r="AA5660" s="25" t="n"/>
      <c r="AB5660" s="25" t="n"/>
      <c r="AC5660" s="195" t="n"/>
      <c r="AD5660" s="25" t="n"/>
      <c r="AE5660" s="25" t="n"/>
      <c r="AG5660" s="25" t="n"/>
      <c r="AH5660" s="25" t="n"/>
      <c r="AI5660" s="394" t="n"/>
      <c r="AM5660" s="48" t="n"/>
      <c r="AN5660" s="48" t="n"/>
      <c r="AO5660" s="48" t="n"/>
    </row>
    <row r="5661">
      <c r="M5661" s="25" t="n"/>
      <c r="Q5661" s="25" t="n"/>
      <c r="U5661" s="194" t="n"/>
      <c r="AA5661" s="25" t="n"/>
      <c r="AB5661" s="25" t="n"/>
      <c r="AC5661" s="195" t="n"/>
      <c r="AD5661" s="25" t="n"/>
      <c r="AE5661" s="25" t="n"/>
      <c r="AG5661" s="25" t="n"/>
      <c r="AH5661" s="25" t="n"/>
      <c r="AI5661" s="394" t="n"/>
      <c r="AM5661" s="48" t="n"/>
      <c r="AN5661" s="48" t="n"/>
      <c r="AO5661" s="48" t="n"/>
    </row>
    <row r="5662">
      <c r="M5662" s="25" t="n"/>
      <c r="Q5662" s="25" t="n"/>
      <c r="U5662" s="194" t="n"/>
      <c r="AA5662" s="25" t="n"/>
      <c r="AB5662" s="25" t="n"/>
      <c r="AC5662" s="195" t="n"/>
      <c r="AD5662" s="25" t="n"/>
      <c r="AE5662" s="25" t="n"/>
      <c r="AG5662" s="25" t="n"/>
      <c r="AH5662" s="25" t="n"/>
      <c r="AI5662" s="394" t="n"/>
      <c r="AM5662" s="48" t="n"/>
      <c r="AN5662" s="48" t="n"/>
      <c r="AO5662" s="48" t="n"/>
    </row>
    <row r="5663">
      <c r="M5663" s="25" t="n"/>
      <c r="Q5663" s="25" t="n"/>
      <c r="U5663" s="194" t="n"/>
      <c r="AA5663" s="25" t="n"/>
      <c r="AB5663" s="25" t="n"/>
      <c r="AC5663" s="195" t="n"/>
      <c r="AD5663" s="25" t="n"/>
      <c r="AE5663" s="25" t="n"/>
      <c r="AG5663" s="25" t="n"/>
      <c r="AH5663" s="25" t="n"/>
      <c r="AI5663" s="394" t="n"/>
      <c r="AM5663" s="48" t="n"/>
      <c r="AN5663" s="48" t="n"/>
      <c r="AO5663" s="48" t="n"/>
    </row>
    <row r="5664">
      <c r="M5664" s="25" t="n"/>
      <c r="Q5664" s="25" t="n"/>
      <c r="U5664" s="194" t="n"/>
      <c r="AA5664" s="25" t="n"/>
      <c r="AB5664" s="25" t="n"/>
      <c r="AC5664" s="195" t="n"/>
      <c r="AD5664" s="25" t="n"/>
      <c r="AE5664" s="25" t="n"/>
      <c r="AG5664" s="25" t="n"/>
      <c r="AH5664" s="25" t="n"/>
      <c r="AI5664" s="394" t="n"/>
      <c r="AM5664" s="48" t="n"/>
      <c r="AN5664" s="48" t="n"/>
      <c r="AO5664" s="48" t="n"/>
    </row>
    <row r="5665">
      <c r="M5665" s="25" t="n"/>
      <c r="Q5665" s="25" t="n"/>
      <c r="U5665" s="194" t="n"/>
      <c r="AA5665" s="25" t="n"/>
      <c r="AB5665" s="25" t="n"/>
      <c r="AC5665" s="195" t="n"/>
      <c r="AD5665" s="25" t="n"/>
      <c r="AE5665" s="25" t="n"/>
      <c r="AG5665" s="25" t="n"/>
      <c r="AH5665" s="25" t="n"/>
      <c r="AI5665" s="394" t="n"/>
      <c r="AM5665" s="48" t="n"/>
      <c r="AN5665" s="48" t="n"/>
      <c r="AO5665" s="48" t="n"/>
    </row>
    <row r="5666">
      <c r="M5666" s="25" t="n"/>
      <c r="Q5666" s="25" t="n"/>
      <c r="U5666" s="194" t="n"/>
      <c r="AA5666" s="25" t="n"/>
      <c r="AB5666" s="25" t="n"/>
      <c r="AC5666" s="195" t="n"/>
      <c r="AD5666" s="25" t="n"/>
      <c r="AE5666" s="25" t="n"/>
      <c r="AG5666" s="25" t="n"/>
      <c r="AH5666" s="25" t="n"/>
      <c r="AI5666" s="394" t="n"/>
      <c r="AM5666" s="48" t="n"/>
      <c r="AN5666" s="48" t="n"/>
      <c r="AO5666" s="48" t="n"/>
    </row>
    <row r="5667">
      <c r="M5667" s="25" t="n"/>
      <c r="Q5667" s="25" t="n"/>
      <c r="U5667" s="194" t="n"/>
      <c r="AA5667" s="25" t="n"/>
      <c r="AB5667" s="25" t="n"/>
      <c r="AC5667" s="195" t="n"/>
      <c r="AD5667" s="25" t="n"/>
      <c r="AE5667" s="25" t="n"/>
      <c r="AG5667" s="25" t="n"/>
      <c r="AH5667" s="25" t="n"/>
      <c r="AI5667" s="394" t="n"/>
      <c r="AM5667" s="48" t="n"/>
      <c r="AN5667" s="48" t="n"/>
      <c r="AO5667" s="48" t="n"/>
    </row>
    <row r="5668">
      <c r="M5668" s="25" t="n"/>
      <c r="Q5668" s="25" t="n"/>
      <c r="U5668" s="194" t="n"/>
      <c r="AA5668" s="25" t="n"/>
      <c r="AB5668" s="25" t="n"/>
      <c r="AC5668" s="195" t="n"/>
      <c r="AD5668" s="25" t="n"/>
      <c r="AE5668" s="25" t="n"/>
      <c r="AG5668" s="25" t="n"/>
      <c r="AH5668" s="25" t="n"/>
      <c r="AI5668" s="394" t="n"/>
      <c r="AM5668" s="48" t="n"/>
      <c r="AN5668" s="48" t="n"/>
      <c r="AO5668" s="48" t="n"/>
    </row>
    <row r="5669">
      <c r="M5669" s="25" t="n"/>
      <c r="Q5669" s="25" t="n"/>
      <c r="U5669" s="194" t="n"/>
      <c r="AA5669" s="25" t="n"/>
      <c r="AB5669" s="25" t="n"/>
      <c r="AC5669" s="195" t="n"/>
      <c r="AD5669" s="25" t="n"/>
      <c r="AE5669" s="25" t="n"/>
      <c r="AG5669" s="25" t="n"/>
      <c r="AH5669" s="25" t="n"/>
      <c r="AI5669" s="394" t="n"/>
      <c r="AM5669" s="48" t="n"/>
      <c r="AN5669" s="48" t="n"/>
      <c r="AO5669" s="48" t="n"/>
    </row>
    <row r="5670">
      <c r="M5670" s="25" t="n"/>
      <c r="Q5670" s="25" t="n"/>
      <c r="U5670" s="194" t="n"/>
      <c r="AA5670" s="25" t="n"/>
      <c r="AB5670" s="25" t="n"/>
      <c r="AC5670" s="195" t="n"/>
      <c r="AD5670" s="25" t="n"/>
      <c r="AE5670" s="25" t="n"/>
      <c r="AG5670" s="25" t="n"/>
      <c r="AH5670" s="25" t="n"/>
      <c r="AI5670" s="394" t="n"/>
      <c r="AM5670" s="48" t="n"/>
      <c r="AN5670" s="48" t="n"/>
      <c r="AO5670" s="48" t="n"/>
    </row>
    <row r="5671">
      <c r="M5671" s="25" t="n"/>
      <c r="Q5671" s="25" t="n"/>
      <c r="U5671" s="194" t="n"/>
      <c r="AA5671" s="25" t="n"/>
      <c r="AB5671" s="25" t="n"/>
      <c r="AC5671" s="195" t="n"/>
      <c r="AD5671" s="25" t="n"/>
      <c r="AE5671" s="25" t="n"/>
      <c r="AG5671" s="25" t="n"/>
      <c r="AH5671" s="25" t="n"/>
      <c r="AI5671" s="394" t="n"/>
      <c r="AM5671" s="48" t="n"/>
      <c r="AN5671" s="48" t="n"/>
      <c r="AO5671" s="48" t="n"/>
    </row>
    <row r="5672">
      <c r="M5672" s="25" t="n"/>
      <c r="Q5672" s="25" t="n"/>
      <c r="U5672" s="194" t="n"/>
      <c r="AA5672" s="25" t="n"/>
      <c r="AB5672" s="25" t="n"/>
      <c r="AC5672" s="195" t="n"/>
      <c r="AD5672" s="25" t="n"/>
      <c r="AE5672" s="25" t="n"/>
      <c r="AG5672" s="25" t="n"/>
      <c r="AH5672" s="25" t="n"/>
      <c r="AI5672" s="394" t="n"/>
      <c r="AM5672" s="48" t="n"/>
      <c r="AN5672" s="48" t="n"/>
      <c r="AO5672" s="48" t="n"/>
    </row>
    <row r="5673">
      <c r="M5673" s="25" t="n"/>
      <c r="Q5673" s="25" t="n"/>
      <c r="U5673" s="194" t="n"/>
      <c r="AA5673" s="25" t="n"/>
      <c r="AB5673" s="25" t="n"/>
      <c r="AC5673" s="195" t="n"/>
      <c r="AD5673" s="25" t="n"/>
      <c r="AE5673" s="25" t="n"/>
      <c r="AG5673" s="25" t="n"/>
      <c r="AH5673" s="25" t="n"/>
      <c r="AI5673" s="394" t="n"/>
      <c r="AM5673" s="48" t="n"/>
      <c r="AN5673" s="48" t="n"/>
      <c r="AO5673" s="48" t="n"/>
    </row>
    <row r="5674">
      <c r="M5674" s="25" t="n"/>
      <c r="Q5674" s="25" t="n"/>
      <c r="U5674" s="194" t="n"/>
      <c r="AA5674" s="25" t="n"/>
      <c r="AB5674" s="25" t="n"/>
      <c r="AC5674" s="195" t="n"/>
      <c r="AD5674" s="25" t="n"/>
      <c r="AE5674" s="25" t="n"/>
      <c r="AG5674" s="25" t="n"/>
      <c r="AH5674" s="25" t="n"/>
      <c r="AI5674" s="394" t="n"/>
      <c r="AM5674" s="48" t="n"/>
      <c r="AN5674" s="48" t="n"/>
      <c r="AO5674" s="48" t="n"/>
    </row>
    <row r="5675">
      <c r="M5675" s="25" t="n"/>
      <c r="Q5675" s="25" t="n"/>
      <c r="U5675" s="194" t="n"/>
      <c r="AA5675" s="25" t="n"/>
      <c r="AB5675" s="25" t="n"/>
      <c r="AC5675" s="195" t="n"/>
      <c r="AD5675" s="25" t="n"/>
      <c r="AE5675" s="25" t="n"/>
      <c r="AG5675" s="25" t="n"/>
      <c r="AH5675" s="25" t="n"/>
      <c r="AI5675" s="394" t="n"/>
      <c r="AM5675" s="48" t="n"/>
      <c r="AN5675" s="48" t="n"/>
      <c r="AO5675" s="48" t="n"/>
    </row>
    <row r="5676">
      <c r="M5676" s="25" t="n"/>
      <c r="Q5676" s="25" t="n"/>
      <c r="U5676" s="194" t="n"/>
      <c r="AA5676" s="25" t="n"/>
      <c r="AB5676" s="25" t="n"/>
      <c r="AC5676" s="195" t="n"/>
      <c r="AD5676" s="25" t="n"/>
      <c r="AE5676" s="25" t="n"/>
      <c r="AG5676" s="25" t="n"/>
      <c r="AH5676" s="25" t="n"/>
      <c r="AI5676" s="394" t="n"/>
      <c r="AM5676" s="48" t="n"/>
      <c r="AN5676" s="48" t="n"/>
      <c r="AO5676" s="48" t="n"/>
    </row>
    <row r="5677">
      <c r="M5677" s="25" t="n"/>
      <c r="Q5677" s="25" t="n"/>
      <c r="U5677" s="194" t="n"/>
      <c r="AA5677" s="25" t="n"/>
      <c r="AB5677" s="25" t="n"/>
      <c r="AC5677" s="195" t="n"/>
      <c r="AD5677" s="25" t="n"/>
      <c r="AE5677" s="25" t="n"/>
      <c r="AG5677" s="25" t="n"/>
      <c r="AH5677" s="25" t="n"/>
      <c r="AI5677" s="394" t="n"/>
      <c r="AM5677" s="48" t="n"/>
      <c r="AN5677" s="48" t="n"/>
      <c r="AO5677" s="48" t="n"/>
    </row>
    <row r="5678">
      <c r="M5678" s="25" t="n"/>
      <c r="Q5678" s="25" t="n"/>
      <c r="U5678" s="194" t="n"/>
      <c r="AA5678" s="25" t="n"/>
      <c r="AB5678" s="25" t="n"/>
      <c r="AC5678" s="195" t="n"/>
      <c r="AD5678" s="25" t="n"/>
      <c r="AE5678" s="25" t="n"/>
      <c r="AG5678" s="25" t="n"/>
      <c r="AH5678" s="25" t="n"/>
      <c r="AI5678" s="394" t="n"/>
      <c r="AM5678" s="48" t="n"/>
      <c r="AN5678" s="48" t="n"/>
      <c r="AO5678" s="48" t="n"/>
    </row>
    <row r="5679">
      <c r="M5679" s="25" t="n"/>
      <c r="Q5679" s="25" t="n"/>
      <c r="U5679" s="194" t="n"/>
      <c r="AA5679" s="25" t="n"/>
      <c r="AB5679" s="25" t="n"/>
      <c r="AC5679" s="195" t="n"/>
      <c r="AD5679" s="25" t="n"/>
      <c r="AE5679" s="25" t="n"/>
      <c r="AG5679" s="25" t="n"/>
      <c r="AH5679" s="25" t="n"/>
      <c r="AI5679" s="394" t="n"/>
      <c r="AM5679" s="48" t="n"/>
      <c r="AN5679" s="48" t="n"/>
      <c r="AO5679" s="48" t="n"/>
    </row>
    <row r="5680">
      <c r="M5680" s="25" t="n"/>
      <c r="Q5680" s="25" t="n"/>
      <c r="U5680" s="194" t="n"/>
      <c r="AA5680" s="25" t="n"/>
      <c r="AB5680" s="25" t="n"/>
      <c r="AC5680" s="195" t="n"/>
      <c r="AD5680" s="25" t="n"/>
      <c r="AE5680" s="25" t="n"/>
      <c r="AG5680" s="25" t="n"/>
      <c r="AH5680" s="25" t="n"/>
      <c r="AI5680" s="394" t="n"/>
      <c r="AM5680" s="48" t="n"/>
      <c r="AN5680" s="48" t="n"/>
      <c r="AO5680" s="48" t="n"/>
    </row>
    <row r="5681">
      <c r="M5681" s="25" t="n"/>
      <c r="Q5681" s="25" t="n"/>
      <c r="U5681" s="194" t="n"/>
      <c r="AA5681" s="25" t="n"/>
      <c r="AB5681" s="25" t="n"/>
      <c r="AC5681" s="195" t="n"/>
      <c r="AD5681" s="25" t="n"/>
      <c r="AE5681" s="25" t="n"/>
      <c r="AG5681" s="25" t="n"/>
      <c r="AH5681" s="25" t="n"/>
      <c r="AI5681" s="394" t="n"/>
      <c r="AM5681" s="48" t="n"/>
      <c r="AN5681" s="48" t="n"/>
      <c r="AO5681" s="48" t="n"/>
    </row>
    <row r="5682">
      <c r="M5682" s="25" t="n"/>
      <c r="Q5682" s="25" t="n"/>
      <c r="U5682" s="194" t="n"/>
      <c r="AA5682" s="25" t="n"/>
      <c r="AB5682" s="25" t="n"/>
      <c r="AC5682" s="195" t="n"/>
      <c r="AD5682" s="25" t="n"/>
      <c r="AE5682" s="25" t="n"/>
      <c r="AG5682" s="25" t="n"/>
      <c r="AH5682" s="25" t="n"/>
      <c r="AI5682" s="394" t="n"/>
      <c r="AM5682" s="48" t="n"/>
      <c r="AN5682" s="48" t="n"/>
      <c r="AO5682" s="48" t="n"/>
    </row>
    <row r="5683">
      <c r="M5683" s="25" t="n"/>
      <c r="Q5683" s="25" t="n"/>
      <c r="U5683" s="194" t="n"/>
      <c r="AA5683" s="25" t="n"/>
      <c r="AB5683" s="25" t="n"/>
      <c r="AC5683" s="195" t="n"/>
      <c r="AD5683" s="25" t="n"/>
      <c r="AE5683" s="25" t="n"/>
      <c r="AG5683" s="25" t="n"/>
      <c r="AH5683" s="25" t="n"/>
      <c r="AI5683" s="394" t="n"/>
      <c r="AM5683" s="48" t="n"/>
      <c r="AN5683" s="48" t="n"/>
      <c r="AO5683" s="48" t="n"/>
    </row>
    <row r="5684">
      <c r="M5684" s="25" t="n"/>
      <c r="Q5684" s="25" t="n"/>
      <c r="U5684" s="194" t="n"/>
      <c r="AA5684" s="25" t="n"/>
      <c r="AB5684" s="25" t="n"/>
      <c r="AC5684" s="195" t="n"/>
      <c r="AD5684" s="25" t="n"/>
      <c r="AE5684" s="25" t="n"/>
      <c r="AG5684" s="25" t="n"/>
      <c r="AH5684" s="25" t="n"/>
      <c r="AI5684" s="394" t="n"/>
      <c r="AM5684" s="48" t="n"/>
      <c r="AN5684" s="48" t="n"/>
      <c r="AO5684" s="48" t="n"/>
    </row>
    <row r="5685">
      <c r="M5685" s="25" t="n"/>
      <c r="Q5685" s="25" t="n"/>
      <c r="U5685" s="194" t="n"/>
      <c r="AA5685" s="25" t="n"/>
      <c r="AB5685" s="25" t="n"/>
      <c r="AC5685" s="195" t="n"/>
      <c r="AD5685" s="25" t="n"/>
      <c r="AE5685" s="25" t="n"/>
      <c r="AG5685" s="25" t="n"/>
      <c r="AH5685" s="25" t="n"/>
      <c r="AI5685" s="394" t="n"/>
      <c r="AM5685" s="48" t="n"/>
      <c r="AN5685" s="48" t="n"/>
      <c r="AO5685" s="48" t="n"/>
    </row>
    <row r="5686">
      <c r="M5686" s="25" t="n"/>
      <c r="Q5686" s="25" t="n"/>
      <c r="U5686" s="194" t="n"/>
      <c r="AA5686" s="25" t="n"/>
      <c r="AB5686" s="25" t="n"/>
      <c r="AC5686" s="195" t="n"/>
      <c r="AD5686" s="25" t="n"/>
      <c r="AE5686" s="25" t="n"/>
      <c r="AG5686" s="25" t="n"/>
      <c r="AH5686" s="25" t="n"/>
      <c r="AI5686" s="394" t="n"/>
      <c r="AM5686" s="48" t="n"/>
      <c r="AN5686" s="48" t="n"/>
      <c r="AO5686" s="48" t="n"/>
    </row>
    <row r="5687">
      <c r="M5687" s="25" t="n"/>
      <c r="Q5687" s="25" t="n"/>
      <c r="U5687" s="194" t="n"/>
      <c r="AA5687" s="25" t="n"/>
      <c r="AB5687" s="25" t="n"/>
      <c r="AC5687" s="195" t="n"/>
      <c r="AD5687" s="25" t="n"/>
      <c r="AE5687" s="25" t="n"/>
      <c r="AG5687" s="25" t="n"/>
      <c r="AH5687" s="25" t="n"/>
      <c r="AI5687" s="394" t="n"/>
      <c r="AM5687" s="48" t="n"/>
      <c r="AN5687" s="48" t="n"/>
      <c r="AO5687" s="48" t="n"/>
    </row>
    <row r="5688">
      <c r="M5688" s="25" t="n"/>
      <c r="Q5688" s="25" t="n"/>
      <c r="U5688" s="194" t="n"/>
      <c r="AA5688" s="25" t="n"/>
      <c r="AB5688" s="25" t="n"/>
      <c r="AC5688" s="195" t="n"/>
      <c r="AD5688" s="25" t="n"/>
      <c r="AE5688" s="25" t="n"/>
      <c r="AG5688" s="25" t="n"/>
      <c r="AH5688" s="25" t="n"/>
      <c r="AI5688" s="394" t="n"/>
      <c r="AM5688" s="48" t="n"/>
      <c r="AN5688" s="48" t="n"/>
      <c r="AO5688" s="48" t="n"/>
    </row>
    <row r="5689">
      <c r="M5689" s="25" t="n"/>
      <c r="Q5689" s="25" t="n"/>
      <c r="U5689" s="194" t="n"/>
      <c r="AA5689" s="25" t="n"/>
      <c r="AB5689" s="25" t="n"/>
      <c r="AC5689" s="195" t="n"/>
      <c r="AD5689" s="25" t="n"/>
      <c r="AE5689" s="25" t="n"/>
      <c r="AG5689" s="25" t="n"/>
      <c r="AH5689" s="25" t="n"/>
      <c r="AI5689" s="394" t="n"/>
      <c r="AM5689" s="48" t="n"/>
      <c r="AN5689" s="48" t="n"/>
      <c r="AO5689" s="48" t="n"/>
    </row>
    <row r="5690">
      <c r="M5690" s="25" t="n"/>
      <c r="Q5690" s="25" t="n"/>
      <c r="U5690" s="194" t="n"/>
      <c r="AA5690" s="25" t="n"/>
      <c r="AB5690" s="25" t="n"/>
      <c r="AC5690" s="195" t="n"/>
      <c r="AD5690" s="25" t="n"/>
      <c r="AE5690" s="25" t="n"/>
      <c r="AG5690" s="25" t="n"/>
      <c r="AH5690" s="25" t="n"/>
      <c r="AI5690" s="394" t="n"/>
      <c r="AM5690" s="48" t="n"/>
      <c r="AN5690" s="48" t="n"/>
      <c r="AO5690" s="48" t="n"/>
    </row>
    <row r="5691">
      <c r="M5691" s="25" t="n"/>
      <c r="Q5691" s="25" t="n"/>
      <c r="U5691" s="194" t="n"/>
      <c r="AA5691" s="25" t="n"/>
      <c r="AB5691" s="25" t="n"/>
      <c r="AC5691" s="195" t="n"/>
      <c r="AD5691" s="25" t="n"/>
      <c r="AE5691" s="25" t="n"/>
      <c r="AG5691" s="25" t="n"/>
      <c r="AH5691" s="25" t="n"/>
      <c r="AI5691" s="394" t="n"/>
      <c r="AM5691" s="48" t="n"/>
      <c r="AN5691" s="48" t="n"/>
      <c r="AO5691" s="48" t="n"/>
    </row>
    <row r="5692">
      <c r="M5692" s="25" t="n"/>
      <c r="Q5692" s="25" t="n"/>
      <c r="U5692" s="194" t="n"/>
      <c r="AA5692" s="25" t="n"/>
      <c r="AB5692" s="25" t="n"/>
      <c r="AC5692" s="195" t="n"/>
      <c r="AD5692" s="25" t="n"/>
      <c r="AE5692" s="25" t="n"/>
      <c r="AG5692" s="25" t="n"/>
      <c r="AH5692" s="25" t="n"/>
      <c r="AI5692" s="394" t="n"/>
      <c r="AM5692" s="48" t="n"/>
      <c r="AN5692" s="48" t="n"/>
      <c r="AO5692" s="48" t="n"/>
    </row>
    <row r="5693">
      <c r="M5693" s="25" t="n"/>
      <c r="Q5693" s="25" t="n"/>
      <c r="U5693" s="194" t="n"/>
      <c r="AA5693" s="25" t="n"/>
      <c r="AB5693" s="25" t="n"/>
      <c r="AC5693" s="195" t="n"/>
      <c r="AD5693" s="25" t="n"/>
      <c r="AE5693" s="25" t="n"/>
      <c r="AG5693" s="25" t="n"/>
      <c r="AH5693" s="25" t="n"/>
      <c r="AI5693" s="394" t="n"/>
      <c r="AM5693" s="48" t="n"/>
      <c r="AN5693" s="48" t="n"/>
      <c r="AO5693" s="48" t="n"/>
    </row>
    <row r="5694">
      <c r="M5694" s="25" t="n"/>
      <c r="Q5694" s="25" t="n"/>
      <c r="U5694" s="194" t="n"/>
      <c r="AA5694" s="25" t="n"/>
      <c r="AB5694" s="25" t="n"/>
      <c r="AC5694" s="195" t="n"/>
      <c r="AD5694" s="25" t="n"/>
      <c r="AE5694" s="25" t="n"/>
      <c r="AG5694" s="25" t="n"/>
      <c r="AH5694" s="25" t="n"/>
      <c r="AI5694" s="394" t="n"/>
      <c r="AM5694" s="48" t="n"/>
      <c r="AN5694" s="48" t="n"/>
      <c r="AO5694" s="48" t="n"/>
    </row>
    <row r="5695">
      <c r="M5695" s="25" t="n"/>
      <c r="Q5695" s="25" t="n"/>
      <c r="U5695" s="194" t="n"/>
      <c r="AA5695" s="25" t="n"/>
      <c r="AB5695" s="25" t="n"/>
      <c r="AC5695" s="195" t="n"/>
      <c r="AD5695" s="25" t="n"/>
      <c r="AE5695" s="25" t="n"/>
      <c r="AG5695" s="25" t="n"/>
      <c r="AH5695" s="25" t="n"/>
      <c r="AI5695" s="394" t="n"/>
      <c r="AM5695" s="48" t="n"/>
      <c r="AN5695" s="48" t="n"/>
      <c r="AO5695" s="48" t="n"/>
    </row>
    <row r="5696">
      <c r="M5696" s="25" t="n"/>
      <c r="Q5696" s="25" t="n"/>
      <c r="U5696" s="194" t="n"/>
      <c r="AA5696" s="25" t="n"/>
      <c r="AB5696" s="25" t="n"/>
      <c r="AC5696" s="195" t="n"/>
      <c r="AD5696" s="25" t="n"/>
      <c r="AE5696" s="25" t="n"/>
      <c r="AG5696" s="25" t="n"/>
      <c r="AH5696" s="25" t="n"/>
      <c r="AI5696" s="394" t="n"/>
      <c r="AM5696" s="48" t="n"/>
      <c r="AN5696" s="48" t="n"/>
      <c r="AO5696" s="48" t="n"/>
    </row>
    <row r="5697">
      <c r="M5697" s="25" t="n"/>
      <c r="Q5697" s="25" t="n"/>
      <c r="U5697" s="194" t="n"/>
      <c r="AA5697" s="25" t="n"/>
      <c r="AB5697" s="25" t="n"/>
      <c r="AC5697" s="195" t="n"/>
      <c r="AD5697" s="25" t="n"/>
      <c r="AE5697" s="25" t="n"/>
      <c r="AG5697" s="25" t="n"/>
      <c r="AH5697" s="25" t="n"/>
      <c r="AI5697" s="394" t="n"/>
      <c r="AM5697" s="48" t="n"/>
      <c r="AN5697" s="48" t="n"/>
      <c r="AO5697" s="48" t="n"/>
    </row>
    <row r="5698">
      <c r="M5698" s="25" t="n"/>
      <c r="Q5698" s="25" t="n"/>
      <c r="U5698" s="194" t="n"/>
      <c r="AA5698" s="25" t="n"/>
      <c r="AB5698" s="25" t="n"/>
      <c r="AC5698" s="195" t="n"/>
      <c r="AD5698" s="25" t="n"/>
      <c r="AE5698" s="25" t="n"/>
      <c r="AG5698" s="25" t="n"/>
      <c r="AH5698" s="25" t="n"/>
      <c r="AI5698" s="394" t="n"/>
      <c r="AM5698" s="48" t="n"/>
      <c r="AN5698" s="48" t="n"/>
      <c r="AO5698" s="48" t="n"/>
    </row>
    <row r="5699">
      <c r="M5699" s="25" t="n"/>
      <c r="Q5699" s="25" t="n"/>
      <c r="U5699" s="194" t="n"/>
      <c r="AA5699" s="25" t="n"/>
      <c r="AB5699" s="25" t="n"/>
      <c r="AC5699" s="195" t="n"/>
      <c r="AD5699" s="25" t="n"/>
      <c r="AE5699" s="25" t="n"/>
      <c r="AG5699" s="25" t="n"/>
      <c r="AH5699" s="25" t="n"/>
      <c r="AI5699" s="394" t="n"/>
      <c r="AM5699" s="48" t="n"/>
      <c r="AN5699" s="48" t="n"/>
      <c r="AO5699" s="48" t="n"/>
    </row>
    <row r="5700">
      <c r="M5700" s="25" t="n"/>
      <c r="Q5700" s="25" t="n"/>
      <c r="U5700" s="194" t="n"/>
      <c r="AA5700" s="25" t="n"/>
      <c r="AB5700" s="25" t="n"/>
      <c r="AC5700" s="195" t="n"/>
      <c r="AD5700" s="25" t="n"/>
      <c r="AE5700" s="25" t="n"/>
      <c r="AG5700" s="25" t="n"/>
      <c r="AH5700" s="25" t="n"/>
      <c r="AI5700" s="394" t="n"/>
      <c r="AM5700" s="48" t="n"/>
      <c r="AN5700" s="48" t="n"/>
      <c r="AO5700" s="48" t="n"/>
    </row>
    <row r="5701">
      <c r="M5701" s="25" t="n"/>
      <c r="Q5701" s="25" t="n"/>
      <c r="U5701" s="194" t="n"/>
      <c r="AA5701" s="25" t="n"/>
      <c r="AB5701" s="25" t="n"/>
      <c r="AC5701" s="195" t="n"/>
      <c r="AD5701" s="25" t="n"/>
      <c r="AE5701" s="25" t="n"/>
      <c r="AG5701" s="25" t="n"/>
      <c r="AH5701" s="25" t="n"/>
      <c r="AI5701" s="394" t="n"/>
      <c r="AM5701" s="48" t="n"/>
      <c r="AN5701" s="48" t="n"/>
      <c r="AO5701" s="48" t="n"/>
    </row>
    <row r="5702">
      <c r="M5702" s="25" t="n"/>
      <c r="Q5702" s="25" t="n"/>
      <c r="U5702" s="194" t="n"/>
      <c r="AA5702" s="25" t="n"/>
      <c r="AB5702" s="25" t="n"/>
      <c r="AC5702" s="195" t="n"/>
      <c r="AD5702" s="25" t="n"/>
      <c r="AE5702" s="25" t="n"/>
      <c r="AG5702" s="25" t="n"/>
      <c r="AH5702" s="25" t="n"/>
      <c r="AI5702" s="394" t="n"/>
      <c r="AM5702" s="48" t="n"/>
      <c r="AN5702" s="48" t="n"/>
      <c r="AO5702" s="48" t="n"/>
    </row>
    <row r="5703">
      <c r="M5703" s="25" t="n"/>
      <c r="Q5703" s="25" t="n"/>
      <c r="U5703" s="194" t="n"/>
      <c r="AA5703" s="25" t="n"/>
      <c r="AB5703" s="25" t="n"/>
      <c r="AC5703" s="195" t="n"/>
      <c r="AD5703" s="25" t="n"/>
      <c r="AE5703" s="25" t="n"/>
      <c r="AG5703" s="25" t="n"/>
      <c r="AH5703" s="25" t="n"/>
      <c r="AI5703" s="394" t="n"/>
      <c r="AM5703" s="48" t="n"/>
      <c r="AN5703" s="48" t="n"/>
      <c r="AO5703" s="48" t="n"/>
    </row>
    <row r="5704">
      <c r="M5704" s="25" t="n"/>
      <c r="Q5704" s="25" t="n"/>
      <c r="U5704" s="194" t="n"/>
      <c r="AA5704" s="25" t="n"/>
      <c r="AB5704" s="25" t="n"/>
      <c r="AC5704" s="195" t="n"/>
      <c r="AD5704" s="25" t="n"/>
      <c r="AE5704" s="25" t="n"/>
      <c r="AG5704" s="25" t="n"/>
      <c r="AH5704" s="25" t="n"/>
      <c r="AI5704" s="394" t="n"/>
      <c r="AM5704" s="48" t="n"/>
      <c r="AN5704" s="48" t="n"/>
      <c r="AO5704" s="48" t="n"/>
    </row>
    <row r="5705">
      <c r="M5705" s="25" t="n"/>
      <c r="Q5705" s="25" t="n"/>
      <c r="U5705" s="194" t="n"/>
      <c r="AA5705" s="25" t="n"/>
      <c r="AB5705" s="25" t="n"/>
      <c r="AC5705" s="195" t="n"/>
      <c r="AD5705" s="25" t="n"/>
      <c r="AE5705" s="25" t="n"/>
      <c r="AG5705" s="25" t="n"/>
      <c r="AH5705" s="25" t="n"/>
      <c r="AI5705" s="394" t="n"/>
      <c r="AM5705" s="48" t="n"/>
      <c r="AN5705" s="48" t="n"/>
      <c r="AO5705" s="48" t="n"/>
    </row>
    <row r="5706">
      <c r="M5706" s="25" t="n"/>
      <c r="Q5706" s="25" t="n"/>
      <c r="U5706" s="194" t="n"/>
      <c r="AA5706" s="25" t="n"/>
      <c r="AB5706" s="25" t="n"/>
      <c r="AC5706" s="195" t="n"/>
      <c r="AD5706" s="25" t="n"/>
      <c r="AE5706" s="25" t="n"/>
      <c r="AG5706" s="25" t="n"/>
      <c r="AH5706" s="25" t="n"/>
      <c r="AI5706" s="394" t="n"/>
      <c r="AM5706" s="48" t="n"/>
      <c r="AN5706" s="48" t="n"/>
      <c r="AO5706" s="48" t="n"/>
    </row>
    <row r="5707">
      <c r="M5707" s="25" t="n"/>
      <c r="Q5707" s="25" t="n"/>
      <c r="U5707" s="194" t="n"/>
      <c r="AA5707" s="25" t="n"/>
      <c r="AB5707" s="25" t="n"/>
      <c r="AC5707" s="195" t="n"/>
      <c r="AD5707" s="25" t="n"/>
      <c r="AE5707" s="25" t="n"/>
      <c r="AG5707" s="25" t="n"/>
      <c r="AH5707" s="25" t="n"/>
      <c r="AI5707" s="394" t="n"/>
      <c r="AM5707" s="48" t="n"/>
      <c r="AN5707" s="48" t="n"/>
      <c r="AO5707" s="48" t="n"/>
    </row>
    <row r="5708">
      <c r="M5708" s="25" t="n"/>
      <c r="Q5708" s="25" t="n"/>
      <c r="U5708" s="194" t="n"/>
      <c r="AA5708" s="25" t="n"/>
      <c r="AB5708" s="25" t="n"/>
      <c r="AC5708" s="195" t="n"/>
      <c r="AD5708" s="25" t="n"/>
      <c r="AE5708" s="25" t="n"/>
      <c r="AG5708" s="25" t="n"/>
      <c r="AH5708" s="25" t="n"/>
      <c r="AI5708" s="394" t="n"/>
      <c r="AM5708" s="48" t="n"/>
      <c r="AN5708" s="48" t="n"/>
      <c r="AO5708" s="48" t="n"/>
    </row>
    <row r="5709">
      <c r="M5709" s="25" t="n"/>
      <c r="Q5709" s="25" t="n"/>
      <c r="U5709" s="194" t="n"/>
      <c r="AA5709" s="25" t="n"/>
      <c r="AB5709" s="25" t="n"/>
      <c r="AC5709" s="195" t="n"/>
      <c r="AD5709" s="25" t="n"/>
      <c r="AE5709" s="25" t="n"/>
      <c r="AG5709" s="25" t="n"/>
      <c r="AH5709" s="25" t="n"/>
      <c r="AI5709" s="394" t="n"/>
      <c r="AM5709" s="48" t="n"/>
      <c r="AN5709" s="48" t="n"/>
      <c r="AO5709" s="48" t="n"/>
    </row>
    <row r="5710">
      <c r="M5710" s="25" t="n"/>
      <c r="Q5710" s="25" t="n"/>
      <c r="U5710" s="194" t="n"/>
      <c r="AA5710" s="25" t="n"/>
      <c r="AB5710" s="25" t="n"/>
      <c r="AC5710" s="195" t="n"/>
      <c r="AD5710" s="25" t="n"/>
      <c r="AE5710" s="25" t="n"/>
      <c r="AG5710" s="25" t="n"/>
      <c r="AH5710" s="25" t="n"/>
      <c r="AI5710" s="394" t="n"/>
      <c r="AM5710" s="48" t="n"/>
      <c r="AN5710" s="48" t="n"/>
      <c r="AO5710" s="48" t="n"/>
    </row>
    <row r="5711">
      <c r="M5711" s="25" t="n"/>
      <c r="Q5711" s="25" t="n"/>
      <c r="U5711" s="194" t="n"/>
      <c r="AA5711" s="25" t="n"/>
      <c r="AB5711" s="25" t="n"/>
      <c r="AC5711" s="195" t="n"/>
      <c r="AD5711" s="25" t="n"/>
      <c r="AE5711" s="25" t="n"/>
      <c r="AG5711" s="25" t="n"/>
      <c r="AH5711" s="25" t="n"/>
      <c r="AI5711" s="394" t="n"/>
      <c r="AM5711" s="48" t="n"/>
      <c r="AN5711" s="48" t="n"/>
      <c r="AO5711" s="48" t="n"/>
    </row>
    <row r="5712">
      <c r="M5712" s="25" t="n"/>
      <c r="Q5712" s="25" t="n"/>
      <c r="U5712" s="194" t="n"/>
      <c r="AA5712" s="25" t="n"/>
      <c r="AB5712" s="25" t="n"/>
      <c r="AC5712" s="195" t="n"/>
      <c r="AD5712" s="25" t="n"/>
      <c r="AE5712" s="25" t="n"/>
      <c r="AG5712" s="25" t="n"/>
      <c r="AH5712" s="25" t="n"/>
      <c r="AI5712" s="394" t="n"/>
      <c r="AM5712" s="48" t="n"/>
      <c r="AN5712" s="48" t="n"/>
      <c r="AO5712" s="48" t="n"/>
    </row>
    <row r="5713">
      <c r="M5713" s="25" t="n"/>
      <c r="Q5713" s="25" t="n"/>
      <c r="U5713" s="194" t="n"/>
      <c r="AA5713" s="25" t="n"/>
      <c r="AB5713" s="25" t="n"/>
      <c r="AC5713" s="195" t="n"/>
      <c r="AD5713" s="25" t="n"/>
      <c r="AE5713" s="25" t="n"/>
      <c r="AG5713" s="25" t="n"/>
      <c r="AH5713" s="25" t="n"/>
      <c r="AI5713" s="394" t="n"/>
      <c r="AM5713" s="48" t="n"/>
      <c r="AN5713" s="48" t="n"/>
      <c r="AO5713" s="48" t="n"/>
    </row>
    <row r="5714">
      <c r="M5714" s="25" t="n"/>
      <c r="Q5714" s="25" t="n"/>
      <c r="U5714" s="194" t="n"/>
      <c r="AA5714" s="25" t="n"/>
      <c r="AB5714" s="25" t="n"/>
      <c r="AC5714" s="195" t="n"/>
      <c r="AD5714" s="25" t="n"/>
      <c r="AE5714" s="25" t="n"/>
      <c r="AG5714" s="25" t="n"/>
      <c r="AH5714" s="25" t="n"/>
      <c r="AI5714" s="394" t="n"/>
      <c r="AM5714" s="48" t="n"/>
      <c r="AN5714" s="48" t="n"/>
      <c r="AO5714" s="48" t="n"/>
    </row>
    <row r="5715">
      <c r="M5715" s="25" t="n"/>
      <c r="Q5715" s="25" t="n"/>
      <c r="U5715" s="194" t="n"/>
      <c r="AA5715" s="25" t="n"/>
      <c r="AB5715" s="25" t="n"/>
      <c r="AC5715" s="195" t="n"/>
      <c r="AD5715" s="25" t="n"/>
      <c r="AE5715" s="25" t="n"/>
      <c r="AG5715" s="25" t="n"/>
      <c r="AH5715" s="25" t="n"/>
      <c r="AI5715" s="394" t="n"/>
      <c r="AM5715" s="48" t="n"/>
      <c r="AN5715" s="48" t="n"/>
      <c r="AO5715" s="48" t="n"/>
    </row>
    <row r="5716">
      <c r="M5716" s="25" t="n"/>
      <c r="Q5716" s="25" t="n"/>
      <c r="U5716" s="194" t="n"/>
      <c r="AA5716" s="25" t="n"/>
      <c r="AB5716" s="25" t="n"/>
      <c r="AC5716" s="195" t="n"/>
      <c r="AD5716" s="25" t="n"/>
      <c r="AE5716" s="25" t="n"/>
      <c r="AG5716" s="25" t="n"/>
      <c r="AH5716" s="25" t="n"/>
      <c r="AI5716" s="394" t="n"/>
      <c r="AM5716" s="48" t="n"/>
      <c r="AN5716" s="48" t="n"/>
      <c r="AO5716" s="48" t="n"/>
    </row>
    <row r="5717">
      <c r="M5717" s="25" t="n"/>
      <c r="Q5717" s="25" t="n"/>
      <c r="U5717" s="194" t="n"/>
      <c r="AA5717" s="25" t="n"/>
      <c r="AB5717" s="25" t="n"/>
      <c r="AC5717" s="195" t="n"/>
      <c r="AD5717" s="25" t="n"/>
      <c r="AE5717" s="25" t="n"/>
      <c r="AG5717" s="25" t="n"/>
      <c r="AH5717" s="25" t="n"/>
      <c r="AI5717" s="394" t="n"/>
      <c r="AM5717" s="48" t="n"/>
      <c r="AN5717" s="48" t="n"/>
      <c r="AO5717" s="48" t="n"/>
    </row>
    <row r="5718">
      <c r="M5718" s="25" t="n"/>
      <c r="Q5718" s="25" t="n"/>
      <c r="U5718" s="194" t="n"/>
      <c r="AA5718" s="25" t="n"/>
      <c r="AB5718" s="25" t="n"/>
      <c r="AC5718" s="195" t="n"/>
      <c r="AD5718" s="25" t="n"/>
      <c r="AE5718" s="25" t="n"/>
      <c r="AG5718" s="25" t="n"/>
      <c r="AH5718" s="25" t="n"/>
      <c r="AI5718" s="394" t="n"/>
      <c r="AM5718" s="48" t="n"/>
      <c r="AN5718" s="48" t="n"/>
      <c r="AO5718" s="48" t="n"/>
    </row>
    <row r="5719">
      <c r="M5719" s="25" t="n"/>
      <c r="Q5719" s="25" t="n"/>
      <c r="U5719" s="194" t="n"/>
      <c r="AA5719" s="25" t="n"/>
      <c r="AB5719" s="25" t="n"/>
      <c r="AC5719" s="195" t="n"/>
      <c r="AD5719" s="25" t="n"/>
      <c r="AE5719" s="25" t="n"/>
      <c r="AG5719" s="25" t="n"/>
      <c r="AH5719" s="25" t="n"/>
      <c r="AI5719" s="394" t="n"/>
      <c r="AM5719" s="48" t="n"/>
      <c r="AN5719" s="48" t="n"/>
      <c r="AO5719" s="48" t="n"/>
    </row>
    <row r="5720">
      <c r="M5720" s="25" t="n"/>
      <c r="Q5720" s="25" t="n"/>
      <c r="U5720" s="194" t="n"/>
      <c r="AA5720" s="25" t="n"/>
      <c r="AB5720" s="25" t="n"/>
      <c r="AC5720" s="195" t="n"/>
      <c r="AD5720" s="25" t="n"/>
      <c r="AE5720" s="25" t="n"/>
      <c r="AG5720" s="25" t="n"/>
      <c r="AH5720" s="25" t="n"/>
      <c r="AI5720" s="394" t="n"/>
      <c r="AM5720" s="48" t="n"/>
      <c r="AN5720" s="48" t="n"/>
      <c r="AO5720" s="48" t="n"/>
    </row>
    <row r="5721">
      <c r="M5721" s="25" t="n"/>
      <c r="Q5721" s="25" t="n"/>
      <c r="U5721" s="194" t="n"/>
      <c r="AA5721" s="25" t="n"/>
      <c r="AB5721" s="25" t="n"/>
      <c r="AC5721" s="195" t="n"/>
      <c r="AD5721" s="25" t="n"/>
      <c r="AE5721" s="25" t="n"/>
      <c r="AG5721" s="25" t="n"/>
      <c r="AH5721" s="25" t="n"/>
      <c r="AI5721" s="394" t="n"/>
      <c r="AM5721" s="48" t="n"/>
      <c r="AN5721" s="48" t="n"/>
      <c r="AO5721" s="48" t="n"/>
    </row>
    <row r="5722">
      <c r="M5722" s="25" t="n"/>
      <c r="Q5722" s="25" t="n"/>
      <c r="U5722" s="194" t="n"/>
      <c r="AA5722" s="25" t="n"/>
      <c r="AB5722" s="25" t="n"/>
      <c r="AC5722" s="195" t="n"/>
      <c r="AD5722" s="25" t="n"/>
      <c r="AE5722" s="25" t="n"/>
      <c r="AG5722" s="25" t="n"/>
      <c r="AH5722" s="25" t="n"/>
      <c r="AI5722" s="394" t="n"/>
      <c r="AM5722" s="48" t="n"/>
      <c r="AN5722" s="48" t="n"/>
      <c r="AO5722" s="48" t="n"/>
    </row>
    <row r="5723">
      <c r="M5723" s="25" t="n"/>
      <c r="Q5723" s="25" t="n"/>
      <c r="U5723" s="194" t="n"/>
      <c r="AA5723" s="25" t="n"/>
      <c r="AB5723" s="25" t="n"/>
      <c r="AC5723" s="195" t="n"/>
      <c r="AD5723" s="25" t="n"/>
      <c r="AE5723" s="25" t="n"/>
      <c r="AG5723" s="25" t="n"/>
      <c r="AH5723" s="25" t="n"/>
      <c r="AI5723" s="394" t="n"/>
      <c r="AM5723" s="48" t="n"/>
      <c r="AN5723" s="48" t="n"/>
      <c r="AO5723" s="48" t="n"/>
    </row>
    <row r="5724">
      <c r="M5724" s="25" t="n"/>
      <c r="Q5724" s="25" t="n"/>
      <c r="U5724" s="194" t="n"/>
      <c r="AA5724" s="25" t="n"/>
      <c r="AB5724" s="25" t="n"/>
      <c r="AC5724" s="195" t="n"/>
      <c r="AD5724" s="25" t="n"/>
      <c r="AE5724" s="25" t="n"/>
      <c r="AG5724" s="25" t="n"/>
      <c r="AH5724" s="25" t="n"/>
      <c r="AI5724" s="394" t="n"/>
      <c r="AM5724" s="48" t="n"/>
      <c r="AN5724" s="48" t="n"/>
      <c r="AO5724" s="48" t="n"/>
    </row>
    <row r="5725">
      <c r="M5725" s="25" t="n"/>
      <c r="Q5725" s="25" t="n"/>
      <c r="U5725" s="194" t="n"/>
      <c r="AA5725" s="25" t="n"/>
      <c r="AB5725" s="25" t="n"/>
      <c r="AC5725" s="195" t="n"/>
      <c r="AD5725" s="25" t="n"/>
      <c r="AE5725" s="25" t="n"/>
      <c r="AG5725" s="25" t="n"/>
      <c r="AH5725" s="25" t="n"/>
      <c r="AI5725" s="394" t="n"/>
      <c r="AM5725" s="48" t="n"/>
      <c r="AN5725" s="48" t="n"/>
      <c r="AO5725" s="48" t="n"/>
    </row>
    <row r="5726">
      <c r="M5726" s="25" t="n"/>
      <c r="Q5726" s="25" t="n"/>
      <c r="U5726" s="194" t="n"/>
      <c r="AA5726" s="25" t="n"/>
      <c r="AB5726" s="25" t="n"/>
      <c r="AC5726" s="195" t="n"/>
      <c r="AD5726" s="25" t="n"/>
      <c r="AE5726" s="25" t="n"/>
      <c r="AG5726" s="25" t="n"/>
      <c r="AH5726" s="25" t="n"/>
      <c r="AI5726" s="394" t="n"/>
      <c r="AM5726" s="48" t="n"/>
      <c r="AN5726" s="48" t="n"/>
      <c r="AO5726" s="48" t="n"/>
    </row>
    <row r="5727">
      <c r="M5727" s="25" t="n"/>
      <c r="Q5727" s="25" t="n"/>
      <c r="U5727" s="194" t="n"/>
      <c r="AA5727" s="25" t="n"/>
      <c r="AB5727" s="25" t="n"/>
      <c r="AC5727" s="195" t="n"/>
      <c r="AD5727" s="25" t="n"/>
      <c r="AE5727" s="25" t="n"/>
      <c r="AG5727" s="25" t="n"/>
      <c r="AH5727" s="25" t="n"/>
      <c r="AI5727" s="394" t="n"/>
      <c r="AM5727" s="48" t="n"/>
      <c r="AN5727" s="48" t="n"/>
      <c r="AO5727" s="48" t="n"/>
    </row>
    <row r="5728">
      <c r="M5728" s="25" t="n"/>
      <c r="Q5728" s="25" t="n"/>
      <c r="U5728" s="194" t="n"/>
      <c r="AA5728" s="25" t="n"/>
      <c r="AB5728" s="25" t="n"/>
      <c r="AC5728" s="195" t="n"/>
      <c r="AD5728" s="25" t="n"/>
      <c r="AE5728" s="25" t="n"/>
      <c r="AG5728" s="25" t="n"/>
      <c r="AH5728" s="25" t="n"/>
      <c r="AI5728" s="394" t="n"/>
      <c r="AM5728" s="48" t="n"/>
      <c r="AN5728" s="48" t="n"/>
      <c r="AO5728" s="48" t="n"/>
    </row>
    <row r="5729">
      <c r="M5729" s="25" t="n"/>
      <c r="Q5729" s="25" t="n"/>
      <c r="U5729" s="194" t="n"/>
      <c r="AA5729" s="25" t="n"/>
      <c r="AB5729" s="25" t="n"/>
      <c r="AC5729" s="195" t="n"/>
      <c r="AD5729" s="25" t="n"/>
      <c r="AE5729" s="25" t="n"/>
      <c r="AG5729" s="25" t="n"/>
      <c r="AH5729" s="25" t="n"/>
      <c r="AI5729" s="394" t="n"/>
      <c r="AM5729" s="48" t="n"/>
      <c r="AN5729" s="48" t="n"/>
      <c r="AO5729" s="48" t="n"/>
    </row>
    <row r="5730">
      <c r="M5730" s="25" t="n"/>
      <c r="Q5730" s="25" t="n"/>
      <c r="U5730" s="194" t="n"/>
      <c r="AA5730" s="25" t="n"/>
      <c r="AB5730" s="25" t="n"/>
      <c r="AC5730" s="195" t="n"/>
      <c r="AD5730" s="25" t="n"/>
      <c r="AE5730" s="25" t="n"/>
      <c r="AG5730" s="25" t="n"/>
      <c r="AH5730" s="25" t="n"/>
      <c r="AI5730" s="394" t="n"/>
      <c r="AM5730" s="48" t="n"/>
      <c r="AN5730" s="48" t="n"/>
      <c r="AO5730" s="48" t="n"/>
    </row>
    <row r="5731">
      <c r="M5731" s="25" t="n"/>
      <c r="Q5731" s="25" t="n"/>
      <c r="U5731" s="194" t="n"/>
      <c r="AA5731" s="25" t="n"/>
      <c r="AB5731" s="25" t="n"/>
      <c r="AC5731" s="195" t="n"/>
      <c r="AD5731" s="25" t="n"/>
      <c r="AE5731" s="25" t="n"/>
      <c r="AG5731" s="25" t="n"/>
      <c r="AH5731" s="25" t="n"/>
      <c r="AI5731" s="394" t="n"/>
      <c r="AM5731" s="48" t="n"/>
      <c r="AN5731" s="48" t="n"/>
      <c r="AO5731" s="48" t="n"/>
    </row>
    <row r="5732">
      <c r="M5732" s="25" t="n"/>
      <c r="Q5732" s="25" t="n"/>
      <c r="U5732" s="194" t="n"/>
      <c r="AA5732" s="25" t="n"/>
      <c r="AB5732" s="25" t="n"/>
      <c r="AC5732" s="195" t="n"/>
      <c r="AD5732" s="25" t="n"/>
      <c r="AE5732" s="25" t="n"/>
      <c r="AG5732" s="25" t="n"/>
      <c r="AH5732" s="25" t="n"/>
      <c r="AI5732" s="394" t="n"/>
      <c r="AM5732" s="48" t="n"/>
      <c r="AN5732" s="48" t="n"/>
      <c r="AO5732" s="48" t="n"/>
    </row>
    <row r="5733">
      <c r="M5733" s="25" t="n"/>
      <c r="Q5733" s="25" t="n"/>
      <c r="U5733" s="194" t="n"/>
      <c r="AA5733" s="25" t="n"/>
      <c r="AB5733" s="25" t="n"/>
      <c r="AC5733" s="195" t="n"/>
      <c r="AD5733" s="25" t="n"/>
      <c r="AE5733" s="25" t="n"/>
      <c r="AG5733" s="25" t="n"/>
      <c r="AH5733" s="25" t="n"/>
      <c r="AI5733" s="394" t="n"/>
      <c r="AM5733" s="48" t="n"/>
      <c r="AN5733" s="48" t="n"/>
      <c r="AO5733" s="48" t="n"/>
    </row>
    <row r="5734">
      <c r="M5734" s="25" t="n"/>
      <c r="Q5734" s="25" t="n"/>
      <c r="U5734" s="194" t="n"/>
      <c r="AA5734" s="25" t="n"/>
      <c r="AB5734" s="25" t="n"/>
      <c r="AC5734" s="195" t="n"/>
      <c r="AD5734" s="25" t="n"/>
      <c r="AE5734" s="25" t="n"/>
      <c r="AG5734" s="25" t="n"/>
      <c r="AH5734" s="25" t="n"/>
      <c r="AI5734" s="394" t="n"/>
      <c r="AM5734" s="48" t="n"/>
      <c r="AN5734" s="48" t="n"/>
      <c r="AO5734" s="48" t="n"/>
    </row>
    <row r="5735">
      <c r="M5735" s="25" t="n"/>
      <c r="Q5735" s="25" t="n"/>
      <c r="U5735" s="194" t="n"/>
      <c r="AA5735" s="25" t="n"/>
      <c r="AB5735" s="25" t="n"/>
      <c r="AC5735" s="195" t="n"/>
      <c r="AD5735" s="25" t="n"/>
      <c r="AE5735" s="25" t="n"/>
      <c r="AG5735" s="25" t="n"/>
      <c r="AH5735" s="25" t="n"/>
      <c r="AI5735" s="394" t="n"/>
      <c r="AM5735" s="48" t="n"/>
      <c r="AN5735" s="48" t="n"/>
      <c r="AO5735" s="48" t="n"/>
    </row>
    <row r="5736">
      <c r="M5736" s="25" t="n"/>
      <c r="Q5736" s="25" t="n"/>
      <c r="U5736" s="194" t="n"/>
      <c r="AA5736" s="25" t="n"/>
      <c r="AB5736" s="25" t="n"/>
      <c r="AC5736" s="195" t="n"/>
      <c r="AD5736" s="25" t="n"/>
      <c r="AE5736" s="25" t="n"/>
      <c r="AG5736" s="25" t="n"/>
      <c r="AH5736" s="25" t="n"/>
      <c r="AI5736" s="394" t="n"/>
      <c r="AM5736" s="48" t="n"/>
      <c r="AN5736" s="48" t="n"/>
      <c r="AO5736" s="48" t="n"/>
    </row>
    <row r="5737">
      <c r="M5737" s="25" t="n"/>
      <c r="Q5737" s="25" t="n"/>
      <c r="U5737" s="194" t="n"/>
      <c r="AA5737" s="25" t="n"/>
      <c r="AB5737" s="25" t="n"/>
      <c r="AC5737" s="195" t="n"/>
      <c r="AD5737" s="25" t="n"/>
      <c r="AE5737" s="25" t="n"/>
      <c r="AG5737" s="25" t="n"/>
      <c r="AH5737" s="25" t="n"/>
      <c r="AI5737" s="394" t="n"/>
      <c r="AM5737" s="48" t="n"/>
      <c r="AN5737" s="48" t="n"/>
      <c r="AO5737" s="48" t="n"/>
    </row>
    <row r="5738">
      <c r="M5738" s="25" t="n"/>
      <c r="Q5738" s="25" t="n"/>
      <c r="U5738" s="194" t="n"/>
      <c r="AA5738" s="25" t="n"/>
      <c r="AB5738" s="25" t="n"/>
      <c r="AC5738" s="195" t="n"/>
      <c r="AD5738" s="25" t="n"/>
      <c r="AE5738" s="25" t="n"/>
      <c r="AG5738" s="25" t="n"/>
      <c r="AH5738" s="25" t="n"/>
      <c r="AI5738" s="394" t="n"/>
      <c r="AM5738" s="48" t="n"/>
      <c r="AN5738" s="48" t="n"/>
      <c r="AO5738" s="48" t="n"/>
    </row>
    <row r="5739">
      <c r="M5739" s="25" t="n"/>
      <c r="Q5739" s="25" t="n"/>
      <c r="U5739" s="194" t="n"/>
      <c r="AA5739" s="25" t="n"/>
      <c r="AB5739" s="25" t="n"/>
      <c r="AC5739" s="195" t="n"/>
      <c r="AD5739" s="25" t="n"/>
      <c r="AE5739" s="25" t="n"/>
      <c r="AG5739" s="25" t="n"/>
      <c r="AH5739" s="25" t="n"/>
      <c r="AI5739" s="394" t="n"/>
      <c r="AM5739" s="48" t="n"/>
      <c r="AN5739" s="48" t="n"/>
      <c r="AO5739" s="48" t="n"/>
    </row>
    <row r="5740">
      <c r="M5740" s="25" t="n"/>
      <c r="Q5740" s="25" t="n"/>
      <c r="U5740" s="194" t="n"/>
      <c r="AA5740" s="25" t="n"/>
      <c r="AB5740" s="25" t="n"/>
      <c r="AC5740" s="195" t="n"/>
      <c r="AD5740" s="25" t="n"/>
      <c r="AE5740" s="25" t="n"/>
      <c r="AG5740" s="25" t="n"/>
      <c r="AH5740" s="25" t="n"/>
      <c r="AI5740" s="394" t="n"/>
      <c r="AM5740" s="48" t="n"/>
      <c r="AN5740" s="48" t="n"/>
      <c r="AO5740" s="48" t="n"/>
    </row>
    <row r="5741">
      <c r="M5741" s="25" t="n"/>
      <c r="Q5741" s="25" t="n"/>
      <c r="U5741" s="194" t="n"/>
      <c r="AA5741" s="25" t="n"/>
      <c r="AB5741" s="25" t="n"/>
      <c r="AC5741" s="195" t="n"/>
      <c r="AD5741" s="25" t="n"/>
      <c r="AE5741" s="25" t="n"/>
      <c r="AG5741" s="25" t="n"/>
      <c r="AH5741" s="25" t="n"/>
      <c r="AI5741" s="394" t="n"/>
      <c r="AM5741" s="48" t="n"/>
      <c r="AN5741" s="48" t="n"/>
      <c r="AO5741" s="48" t="n"/>
    </row>
    <row r="5742">
      <c r="M5742" s="25" t="n"/>
      <c r="Q5742" s="25" t="n"/>
      <c r="U5742" s="194" t="n"/>
      <c r="AA5742" s="25" t="n"/>
      <c r="AB5742" s="25" t="n"/>
      <c r="AC5742" s="195" t="n"/>
      <c r="AD5742" s="25" t="n"/>
      <c r="AE5742" s="25" t="n"/>
      <c r="AG5742" s="25" t="n"/>
      <c r="AH5742" s="25" t="n"/>
      <c r="AI5742" s="394" t="n"/>
      <c r="AM5742" s="48" t="n"/>
      <c r="AN5742" s="48" t="n"/>
      <c r="AO5742" s="48" t="n"/>
    </row>
    <row r="5743">
      <c r="M5743" s="25" t="n"/>
      <c r="Q5743" s="25" t="n"/>
      <c r="U5743" s="194" t="n"/>
      <c r="AA5743" s="25" t="n"/>
      <c r="AB5743" s="25" t="n"/>
      <c r="AC5743" s="195" t="n"/>
      <c r="AD5743" s="25" t="n"/>
      <c r="AE5743" s="25" t="n"/>
      <c r="AG5743" s="25" t="n"/>
      <c r="AH5743" s="25" t="n"/>
      <c r="AI5743" s="394" t="n"/>
      <c r="AM5743" s="48" t="n"/>
      <c r="AN5743" s="48" t="n"/>
      <c r="AO5743" s="48" t="n"/>
    </row>
    <row r="5744">
      <c r="M5744" s="25" t="n"/>
      <c r="Q5744" s="25" t="n"/>
      <c r="U5744" s="194" t="n"/>
      <c r="AA5744" s="25" t="n"/>
      <c r="AB5744" s="25" t="n"/>
      <c r="AC5744" s="195" t="n"/>
      <c r="AD5744" s="25" t="n"/>
      <c r="AE5744" s="25" t="n"/>
      <c r="AG5744" s="25" t="n"/>
      <c r="AH5744" s="25" t="n"/>
      <c r="AI5744" s="394" t="n"/>
      <c r="AM5744" s="48" t="n"/>
      <c r="AN5744" s="48" t="n"/>
      <c r="AO5744" s="48" t="n"/>
    </row>
    <row r="5745">
      <c r="M5745" s="25" t="n"/>
      <c r="Q5745" s="25" t="n"/>
      <c r="U5745" s="194" t="n"/>
      <c r="AA5745" s="25" t="n"/>
      <c r="AB5745" s="25" t="n"/>
      <c r="AC5745" s="195" t="n"/>
      <c r="AD5745" s="25" t="n"/>
      <c r="AE5745" s="25" t="n"/>
      <c r="AG5745" s="25" t="n"/>
      <c r="AH5745" s="25" t="n"/>
      <c r="AI5745" s="394" t="n"/>
      <c r="AM5745" s="48" t="n"/>
      <c r="AN5745" s="48" t="n"/>
      <c r="AO5745" s="48" t="n"/>
    </row>
    <row r="5746">
      <c r="M5746" s="25" t="n"/>
      <c r="Q5746" s="25" t="n"/>
      <c r="U5746" s="194" t="n"/>
      <c r="AA5746" s="25" t="n"/>
      <c r="AB5746" s="25" t="n"/>
      <c r="AC5746" s="195" t="n"/>
      <c r="AD5746" s="25" t="n"/>
      <c r="AE5746" s="25" t="n"/>
      <c r="AG5746" s="25" t="n"/>
      <c r="AH5746" s="25" t="n"/>
      <c r="AI5746" s="394" t="n"/>
      <c r="AM5746" s="48" t="n"/>
      <c r="AN5746" s="48" t="n"/>
      <c r="AO5746" s="48" t="n"/>
    </row>
    <row r="5747">
      <c r="M5747" s="25" t="n"/>
      <c r="Q5747" s="25" t="n"/>
      <c r="U5747" s="194" t="n"/>
      <c r="AA5747" s="25" t="n"/>
      <c r="AB5747" s="25" t="n"/>
      <c r="AC5747" s="195" t="n"/>
      <c r="AD5747" s="25" t="n"/>
      <c r="AE5747" s="25" t="n"/>
      <c r="AG5747" s="25" t="n"/>
      <c r="AH5747" s="25" t="n"/>
      <c r="AI5747" s="394" t="n"/>
      <c r="AM5747" s="48" t="n"/>
      <c r="AN5747" s="48" t="n"/>
      <c r="AO5747" s="48" t="n"/>
    </row>
    <row r="5748">
      <c r="M5748" s="25" t="n"/>
      <c r="Q5748" s="25" t="n"/>
      <c r="U5748" s="194" t="n"/>
      <c r="AA5748" s="25" t="n"/>
      <c r="AB5748" s="25" t="n"/>
      <c r="AC5748" s="195" t="n"/>
      <c r="AD5748" s="25" t="n"/>
      <c r="AE5748" s="25" t="n"/>
      <c r="AG5748" s="25" t="n"/>
      <c r="AH5748" s="25" t="n"/>
      <c r="AI5748" s="394" t="n"/>
      <c r="AM5748" s="48" t="n"/>
      <c r="AN5748" s="48" t="n"/>
      <c r="AO5748" s="48" t="n"/>
    </row>
    <row r="5749">
      <c r="M5749" s="25" t="n"/>
      <c r="Q5749" s="25" t="n"/>
      <c r="U5749" s="194" t="n"/>
      <c r="AA5749" s="25" t="n"/>
      <c r="AB5749" s="25" t="n"/>
      <c r="AC5749" s="195" t="n"/>
      <c r="AD5749" s="25" t="n"/>
      <c r="AE5749" s="25" t="n"/>
      <c r="AG5749" s="25" t="n"/>
      <c r="AH5749" s="25" t="n"/>
      <c r="AI5749" s="394" t="n"/>
      <c r="AM5749" s="48" t="n"/>
      <c r="AN5749" s="48" t="n"/>
      <c r="AO5749" s="48" t="n"/>
    </row>
    <row r="5750">
      <c r="M5750" s="25" t="n"/>
      <c r="Q5750" s="25" t="n"/>
      <c r="U5750" s="194" t="n"/>
      <c r="AA5750" s="25" t="n"/>
      <c r="AB5750" s="25" t="n"/>
      <c r="AC5750" s="195" t="n"/>
      <c r="AD5750" s="25" t="n"/>
      <c r="AE5750" s="25" t="n"/>
      <c r="AG5750" s="25" t="n"/>
      <c r="AH5750" s="25" t="n"/>
      <c r="AI5750" s="394" t="n"/>
      <c r="AM5750" s="48" t="n"/>
      <c r="AN5750" s="48" t="n"/>
      <c r="AO5750" s="48" t="n"/>
    </row>
    <row r="5751">
      <c r="M5751" s="25" t="n"/>
      <c r="Q5751" s="25" t="n"/>
      <c r="U5751" s="194" t="n"/>
      <c r="AA5751" s="25" t="n"/>
      <c r="AB5751" s="25" t="n"/>
      <c r="AC5751" s="195" t="n"/>
      <c r="AD5751" s="25" t="n"/>
      <c r="AE5751" s="25" t="n"/>
      <c r="AG5751" s="25" t="n"/>
      <c r="AH5751" s="25" t="n"/>
      <c r="AI5751" s="394" t="n"/>
      <c r="AM5751" s="48" t="n"/>
      <c r="AN5751" s="48" t="n"/>
      <c r="AO5751" s="48" t="n"/>
    </row>
    <row r="5752">
      <c r="M5752" s="25" t="n"/>
      <c r="Q5752" s="25" t="n"/>
      <c r="U5752" s="194" t="n"/>
      <c r="AA5752" s="25" t="n"/>
      <c r="AB5752" s="25" t="n"/>
      <c r="AC5752" s="195" t="n"/>
      <c r="AD5752" s="25" t="n"/>
      <c r="AE5752" s="25" t="n"/>
      <c r="AG5752" s="25" t="n"/>
      <c r="AH5752" s="25" t="n"/>
      <c r="AI5752" s="394" t="n"/>
      <c r="AM5752" s="48" t="n"/>
      <c r="AN5752" s="48" t="n"/>
      <c r="AO5752" s="48" t="n"/>
    </row>
    <row r="5753">
      <c r="M5753" s="25" t="n"/>
      <c r="Q5753" s="25" t="n"/>
      <c r="U5753" s="194" t="n"/>
      <c r="AA5753" s="25" t="n"/>
      <c r="AB5753" s="25" t="n"/>
      <c r="AC5753" s="195" t="n"/>
      <c r="AD5753" s="25" t="n"/>
      <c r="AE5753" s="25" t="n"/>
      <c r="AG5753" s="25" t="n"/>
      <c r="AH5753" s="25" t="n"/>
      <c r="AI5753" s="394" t="n"/>
      <c r="AM5753" s="48" t="n"/>
      <c r="AN5753" s="48" t="n"/>
      <c r="AO5753" s="48" t="n"/>
    </row>
    <row r="5754">
      <c r="M5754" s="25" t="n"/>
      <c r="Q5754" s="25" t="n"/>
      <c r="U5754" s="194" t="n"/>
      <c r="AA5754" s="25" t="n"/>
      <c r="AB5754" s="25" t="n"/>
      <c r="AC5754" s="195" t="n"/>
      <c r="AD5754" s="25" t="n"/>
      <c r="AE5754" s="25" t="n"/>
      <c r="AG5754" s="25" t="n"/>
      <c r="AH5754" s="25" t="n"/>
      <c r="AI5754" s="394" t="n"/>
      <c r="AM5754" s="48" t="n"/>
      <c r="AN5754" s="48" t="n"/>
      <c r="AO5754" s="48" t="n"/>
    </row>
    <row r="5755">
      <c r="M5755" s="25" t="n"/>
      <c r="Q5755" s="25" t="n"/>
      <c r="U5755" s="194" t="n"/>
      <c r="AA5755" s="25" t="n"/>
      <c r="AB5755" s="25" t="n"/>
      <c r="AC5755" s="195" t="n"/>
      <c r="AD5755" s="25" t="n"/>
      <c r="AE5755" s="25" t="n"/>
      <c r="AG5755" s="25" t="n"/>
      <c r="AH5755" s="25" t="n"/>
      <c r="AI5755" s="394" t="n"/>
      <c r="AM5755" s="48" t="n"/>
      <c r="AN5755" s="48" t="n"/>
      <c r="AO5755" s="48" t="n"/>
    </row>
    <row r="5756">
      <c r="M5756" s="25" t="n"/>
      <c r="Q5756" s="25" t="n"/>
      <c r="U5756" s="194" t="n"/>
      <c r="AA5756" s="25" t="n"/>
      <c r="AB5756" s="25" t="n"/>
      <c r="AC5756" s="195" t="n"/>
      <c r="AD5756" s="25" t="n"/>
      <c r="AE5756" s="25" t="n"/>
      <c r="AG5756" s="25" t="n"/>
      <c r="AH5756" s="25" t="n"/>
      <c r="AI5756" s="394" t="n"/>
      <c r="AM5756" s="48" t="n"/>
      <c r="AN5756" s="48" t="n"/>
      <c r="AO5756" s="48" t="n"/>
    </row>
    <row r="5757">
      <c r="M5757" s="25" t="n"/>
      <c r="Q5757" s="25" t="n"/>
      <c r="U5757" s="194" t="n"/>
      <c r="AA5757" s="25" t="n"/>
      <c r="AB5757" s="25" t="n"/>
      <c r="AC5757" s="195" t="n"/>
      <c r="AD5757" s="25" t="n"/>
      <c r="AE5757" s="25" t="n"/>
      <c r="AG5757" s="25" t="n"/>
      <c r="AH5757" s="25" t="n"/>
      <c r="AI5757" s="394" t="n"/>
      <c r="AM5757" s="48" t="n"/>
      <c r="AN5757" s="48" t="n"/>
      <c r="AO5757" s="48" t="n"/>
    </row>
    <row r="5758">
      <c r="M5758" s="25" t="n"/>
      <c r="Q5758" s="25" t="n"/>
      <c r="U5758" s="194" t="n"/>
      <c r="AA5758" s="25" t="n"/>
      <c r="AB5758" s="25" t="n"/>
      <c r="AC5758" s="195" t="n"/>
      <c r="AD5758" s="25" t="n"/>
      <c r="AE5758" s="25" t="n"/>
      <c r="AG5758" s="25" t="n"/>
      <c r="AH5758" s="25" t="n"/>
      <c r="AI5758" s="394" t="n"/>
      <c r="AM5758" s="48" t="n"/>
      <c r="AN5758" s="48" t="n"/>
      <c r="AO5758" s="48" t="n"/>
    </row>
    <row r="5759">
      <c r="M5759" s="25" t="n"/>
      <c r="Q5759" s="25" t="n"/>
      <c r="U5759" s="194" t="n"/>
      <c r="AA5759" s="25" t="n"/>
      <c r="AB5759" s="25" t="n"/>
      <c r="AC5759" s="195" t="n"/>
      <c r="AD5759" s="25" t="n"/>
      <c r="AE5759" s="25" t="n"/>
      <c r="AG5759" s="25" t="n"/>
      <c r="AH5759" s="25" t="n"/>
      <c r="AI5759" s="394" t="n"/>
      <c r="AM5759" s="48" t="n"/>
      <c r="AN5759" s="48" t="n"/>
      <c r="AO5759" s="48" t="n"/>
    </row>
    <row r="5760">
      <c r="M5760" s="25" t="n"/>
      <c r="Q5760" s="25" t="n"/>
      <c r="U5760" s="194" t="n"/>
      <c r="AA5760" s="25" t="n"/>
      <c r="AB5760" s="25" t="n"/>
      <c r="AC5760" s="195" t="n"/>
      <c r="AD5760" s="25" t="n"/>
      <c r="AE5760" s="25" t="n"/>
      <c r="AG5760" s="25" t="n"/>
      <c r="AH5760" s="25" t="n"/>
      <c r="AI5760" s="394" t="n"/>
      <c r="AM5760" s="48" t="n"/>
      <c r="AN5760" s="48" t="n"/>
      <c r="AO5760" s="48" t="n"/>
    </row>
    <row r="5761">
      <c r="M5761" s="25" t="n"/>
      <c r="Q5761" s="25" t="n"/>
      <c r="U5761" s="194" t="n"/>
      <c r="AA5761" s="25" t="n"/>
      <c r="AB5761" s="25" t="n"/>
      <c r="AC5761" s="195" t="n"/>
      <c r="AD5761" s="25" t="n"/>
      <c r="AE5761" s="25" t="n"/>
      <c r="AG5761" s="25" t="n"/>
      <c r="AH5761" s="25" t="n"/>
      <c r="AI5761" s="394" t="n"/>
      <c r="AM5761" s="48" t="n"/>
      <c r="AN5761" s="48" t="n"/>
      <c r="AO5761" s="48" t="n"/>
    </row>
    <row r="5762">
      <c r="M5762" s="25" t="n"/>
      <c r="Q5762" s="25" t="n"/>
      <c r="U5762" s="194" t="n"/>
      <c r="AA5762" s="25" t="n"/>
      <c r="AB5762" s="25" t="n"/>
      <c r="AC5762" s="195" t="n"/>
      <c r="AD5762" s="25" t="n"/>
      <c r="AE5762" s="25" t="n"/>
      <c r="AG5762" s="25" t="n"/>
      <c r="AH5762" s="25" t="n"/>
      <c r="AI5762" s="394" t="n"/>
      <c r="AM5762" s="48" t="n"/>
      <c r="AN5762" s="48" t="n"/>
      <c r="AO5762" s="48" t="n"/>
    </row>
    <row r="5763">
      <c r="M5763" s="25" t="n"/>
      <c r="Q5763" s="25" t="n"/>
      <c r="U5763" s="194" t="n"/>
      <c r="AA5763" s="25" t="n"/>
      <c r="AB5763" s="25" t="n"/>
      <c r="AC5763" s="195" t="n"/>
      <c r="AD5763" s="25" t="n"/>
      <c r="AE5763" s="25" t="n"/>
      <c r="AG5763" s="25" t="n"/>
      <c r="AH5763" s="25" t="n"/>
      <c r="AI5763" s="394" t="n"/>
      <c r="AM5763" s="48" t="n"/>
      <c r="AN5763" s="48" t="n"/>
      <c r="AO5763" s="48" t="n"/>
    </row>
    <row r="5764">
      <c r="M5764" s="25" t="n"/>
      <c r="Q5764" s="25" t="n"/>
      <c r="U5764" s="194" t="n"/>
      <c r="AA5764" s="25" t="n"/>
      <c r="AB5764" s="25" t="n"/>
      <c r="AC5764" s="195" t="n"/>
      <c r="AD5764" s="25" t="n"/>
      <c r="AE5764" s="25" t="n"/>
      <c r="AG5764" s="25" t="n"/>
      <c r="AH5764" s="25" t="n"/>
      <c r="AI5764" s="394" t="n"/>
      <c r="AM5764" s="48" t="n"/>
      <c r="AN5764" s="48" t="n"/>
      <c r="AO5764" s="48" t="n"/>
    </row>
    <row r="5765">
      <c r="M5765" s="25" t="n"/>
      <c r="Q5765" s="25" t="n"/>
      <c r="U5765" s="194" t="n"/>
      <c r="AA5765" s="25" t="n"/>
      <c r="AB5765" s="25" t="n"/>
      <c r="AC5765" s="195" t="n"/>
      <c r="AD5765" s="25" t="n"/>
      <c r="AE5765" s="25" t="n"/>
      <c r="AG5765" s="25" t="n"/>
      <c r="AH5765" s="25" t="n"/>
      <c r="AI5765" s="394" t="n"/>
      <c r="AM5765" s="48" t="n"/>
      <c r="AN5765" s="48" t="n"/>
      <c r="AO5765" s="48" t="n"/>
    </row>
    <row r="5766">
      <c r="M5766" s="25" t="n"/>
      <c r="Q5766" s="25" t="n"/>
      <c r="U5766" s="194" t="n"/>
      <c r="AA5766" s="25" t="n"/>
      <c r="AB5766" s="25" t="n"/>
      <c r="AC5766" s="195" t="n"/>
      <c r="AD5766" s="25" t="n"/>
      <c r="AE5766" s="25" t="n"/>
      <c r="AG5766" s="25" t="n"/>
      <c r="AH5766" s="25" t="n"/>
      <c r="AI5766" s="394" t="n"/>
      <c r="AM5766" s="48" t="n"/>
      <c r="AN5766" s="48" t="n"/>
      <c r="AO5766" s="48" t="n"/>
    </row>
    <row r="5767">
      <c r="M5767" s="25" t="n"/>
      <c r="Q5767" s="25" t="n"/>
      <c r="U5767" s="194" t="n"/>
      <c r="AA5767" s="25" t="n"/>
      <c r="AB5767" s="25" t="n"/>
      <c r="AC5767" s="195" t="n"/>
      <c r="AD5767" s="25" t="n"/>
      <c r="AE5767" s="25" t="n"/>
      <c r="AG5767" s="25" t="n"/>
      <c r="AH5767" s="25" t="n"/>
      <c r="AI5767" s="394" t="n"/>
      <c r="AM5767" s="48" t="n"/>
      <c r="AN5767" s="48" t="n"/>
      <c r="AO5767" s="48" t="n"/>
    </row>
    <row r="5768">
      <c r="M5768" s="25" t="n"/>
      <c r="Q5768" s="25" t="n"/>
      <c r="U5768" s="194" t="n"/>
      <c r="AA5768" s="25" t="n"/>
      <c r="AB5768" s="25" t="n"/>
      <c r="AC5768" s="195" t="n"/>
      <c r="AD5768" s="25" t="n"/>
      <c r="AE5768" s="25" t="n"/>
      <c r="AG5768" s="25" t="n"/>
      <c r="AH5768" s="25" t="n"/>
      <c r="AI5768" s="394" t="n"/>
      <c r="AM5768" s="48" t="n"/>
      <c r="AN5768" s="48" t="n"/>
      <c r="AO5768" s="48" t="n"/>
    </row>
    <row r="5769">
      <c r="M5769" s="25" t="n"/>
      <c r="Q5769" s="25" t="n"/>
      <c r="U5769" s="194" t="n"/>
      <c r="AA5769" s="25" t="n"/>
      <c r="AB5769" s="25" t="n"/>
      <c r="AC5769" s="195" t="n"/>
      <c r="AD5769" s="25" t="n"/>
      <c r="AE5769" s="25" t="n"/>
      <c r="AG5769" s="25" t="n"/>
      <c r="AH5769" s="25" t="n"/>
      <c r="AI5769" s="394" t="n"/>
      <c r="AM5769" s="48" t="n"/>
      <c r="AN5769" s="48" t="n"/>
      <c r="AO5769" s="48" t="n"/>
    </row>
    <row r="5770">
      <c r="M5770" s="25" t="n"/>
      <c r="Q5770" s="25" t="n"/>
      <c r="U5770" s="194" t="n"/>
      <c r="AA5770" s="25" t="n"/>
      <c r="AB5770" s="25" t="n"/>
      <c r="AC5770" s="195" t="n"/>
      <c r="AD5770" s="25" t="n"/>
      <c r="AE5770" s="25" t="n"/>
      <c r="AG5770" s="25" t="n"/>
      <c r="AH5770" s="25" t="n"/>
      <c r="AI5770" s="394" t="n"/>
      <c r="AM5770" s="48" t="n"/>
      <c r="AN5770" s="48" t="n"/>
      <c r="AO5770" s="48" t="n"/>
    </row>
    <row r="5771">
      <c r="M5771" s="25" t="n"/>
      <c r="Q5771" s="25" t="n"/>
      <c r="U5771" s="194" t="n"/>
      <c r="AA5771" s="25" t="n"/>
      <c r="AB5771" s="25" t="n"/>
      <c r="AC5771" s="195" t="n"/>
      <c r="AD5771" s="25" t="n"/>
      <c r="AE5771" s="25" t="n"/>
      <c r="AG5771" s="25" t="n"/>
      <c r="AH5771" s="25" t="n"/>
      <c r="AI5771" s="394" t="n"/>
      <c r="AM5771" s="48" t="n"/>
      <c r="AN5771" s="48" t="n"/>
      <c r="AO5771" s="48" t="n"/>
    </row>
    <row r="5772">
      <c r="M5772" s="25" t="n"/>
      <c r="Q5772" s="25" t="n"/>
      <c r="U5772" s="194" t="n"/>
      <c r="AA5772" s="25" t="n"/>
      <c r="AB5772" s="25" t="n"/>
      <c r="AC5772" s="195" t="n"/>
      <c r="AD5772" s="25" t="n"/>
      <c r="AE5772" s="25" t="n"/>
      <c r="AG5772" s="25" t="n"/>
      <c r="AH5772" s="25" t="n"/>
      <c r="AI5772" s="394" t="n"/>
      <c r="AM5772" s="48" t="n"/>
      <c r="AN5772" s="48" t="n"/>
      <c r="AO5772" s="48" t="n"/>
    </row>
    <row r="5773">
      <c r="M5773" s="25" t="n"/>
      <c r="Q5773" s="25" t="n"/>
      <c r="U5773" s="194" t="n"/>
      <c r="AA5773" s="25" t="n"/>
      <c r="AB5773" s="25" t="n"/>
      <c r="AC5773" s="195" t="n"/>
      <c r="AD5773" s="25" t="n"/>
      <c r="AE5773" s="25" t="n"/>
      <c r="AG5773" s="25" t="n"/>
      <c r="AH5773" s="25" t="n"/>
      <c r="AI5773" s="394" t="n"/>
      <c r="AM5773" s="48" t="n"/>
      <c r="AN5773" s="48" t="n"/>
      <c r="AO5773" s="48" t="n"/>
    </row>
    <row r="5774">
      <c r="M5774" s="25" t="n"/>
      <c r="Q5774" s="25" t="n"/>
      <c r="U5774" s="194" t="n"/>
      <c r="AA5774" s="25" t="n"/>
      <c r="AB5774" s="25" t="n"/>
      <c r="AC5774" s="195" t="n"/>
      <c r="AD5774" s="25" t="n"/>
      <c r="AE5774" s="25" t="n"/>
      <c r="AG5774" s="25" t="n"/>
      <c r="AH5774" s="25" t="n"/>
      <c r="AI5774" s="394" t="n"/>
      <c r="AM5774" s="48" t="n"/>
      <c r="AN5774" s="48" t="n"/>
      <c r="AO5774" s="48" t="n"/>
    </row>
    <row r="5775">
      <c r="M5775" s="25" t="n"/>
      <c r="Q5775" s="25" t="n"/>
      <c r="U5775" s="194" t="n"/>
      <c r="AA5775" s="25" t="n"/>
      <c r="AB5775" s="25" t="n"/>
      <c r="AC5775" s="195" t="n"/>
      <c r="AD5775" s="25" t="n"/>
      <c r="AE5775" s="25" t="n"/>
      <c r="AG5775" s="25" t="n"/>
      <c r="AH5775" s="25" t="n"/>
      <c r="AI5775" s="394" t="n"/>
      <c r="AM5775" s="48" t="n"/>
      <c r="AN5775" s="48" t="n"/>
      <c r="AO5775" s="48" t="n"/>
    </row>
    <row r="5776">
      <c r="M5776" s="25" t="n"/>
      <c r="Q5776" s="25" t="n"/>
      <c r="U5776" s="194" t="n"/>
      <c r="AA5776" s="25" t="n"/>
      <c r="AB5776" s="25" t="n"/>
      <c r="AC5776" s="195" t="n"/>
      <c r="AD5776" s="25" t="n"/>
      <c r="AE5776" s="25" t="n"/>
      <c r="AG5776" s="25" t="n"/>
      <c r="AH5776" s="25" t="n"/>
      <c r="AI5776" s="394" t="n"/>
      <c r="AM5776" s="48" t="n"/>
      <c r="AN5776" s="48" t="n"/>
      <c r="AO5776" s="48" t="n"/>
    </row>
    <row r="5777">
      <c r="M5777" s="25" t="n"/>
      <c r="Q5777" s="25" t="n"/>
      <c r="U5777" s="194" t="n"/>
      <c r="AA5777" s="25" t="n"/>
      <c r="AB5777" s="25" t="n"/>
      <c r="AC5777" s="195" t="n"/>
      <c r="AD5777" s="25" t="n"/>
      <c r="AE5777" s="25" t="n"/>
      <c r="AG5777" s="25" t="n"/>
      <c r="AH5777" s="25" t="n"/>
      <c r="AI5777" s="394" t="n"/>
      <c r="AM5777" s="48" t="n"/>
      <c r="AN5777" s="48" t="n"/>
      <c r="AO5777" s="48" t="n"/>
    </row>
    <row r="5778">
      <c r="M5778" s="25" t="n"/>
      <c r="Q5778" s="25" t="n"/>
      <c r="U5778" s="194" t="n"/>
      <c r="AA5778" s="25" t="n"/>
      <c r="AB5778" s="25" t="n"/>
      <c r="AC5778" s="195" t="n"/>
      <c r="AD5778" s="25" t="n"/>
      <c r="AE5778" s="25" t="n"/>
      <c r="AG5778" s="25" t="n"/>
      <c r="AH5778" s="25" t="n"/>
      <c r="AI5778" s="394" t="n"/>
      <c r="AM5778" s="48" t="n"/>
      <c r="AN5778" s="48" t="n"/>
      <c r="AO5778" s="48" t="n"/>
    </row>
    <row r="5779">
      <c r="M5779" s="25" t="n"/>
      <c r="Q5779" s="25" t="n"/>
      <c r="U5779" s="194" t="n"/>
      <c r="AA5779" s="25" t="n"/>
      <c r="AB5779" s="25" t="n"/>
      <c r="AC5779" s="195" t="n"/>
      <c r="AD5779" s="25" t="n"/>
      <c r="AE5779" s="25" t="n"/>
      <c r="AG5779" s="25" t="n"/>
      <c r="AH5779" s="25" t="n"/>
      <c r="AI5779" s="394" t="n"/>
      <c r="AM5779" s="48" t="n"/>
      <c r="AN5779" s="48" t="n"/>
      <c r="AO5779" s="48" t="n"/>
    </row>
    <row r="5780">
      <c r="M5780" s="25" t="n"/>
      <c r="Q5780" s="25" t="n"/>
      <c r="U5780" s="194" t="n"/>
      <c r="AA5780" s="25" t="n"/>
      <c r="AB5780" s="25" t="n"/>
      <c r="AC5780" s="195" t="n"/>
      <c r="AD5780" s="25" t="n"/>
      <c r="AE5780" s="25" t="n"/>
      <c r="AG5780" s="25" t="n"/>
      <c r="AH5780" s="25" t="n"/>
      <c r="AI5780" s="394" t="n"/>
      <c r="AM5780" s="48" t="n"/>
      <c r="AN5780" s="48" t="n"/>
      <c r="AO5780" s="48" t="n"/>
    </row>
    <row r="5781">
      <c r="M5781" s="25" t="n"/>
      <c r="Q5781" s="25" t="n"/>
      <c r="U5781" s="194" t="n"/>
      <c r="AA5781" s="25" t="n"/>
      <c r="AB5781" s="25" t="n"/>
      <c r="AC5781" s="195" t="n"/>
      <c r="AD5781" s="25" t="n"/>
      <c r="AE5781" s="25" t="n"/>
      <c r="AG5781" s="25" t="n"/>
      <c r="AH5781" s="25" t="n"/>
      <c r="AI5781" s="394" t="n"/>
      <c r="AM5781" s="48" t="n"/>
      <c r="AN5781" s="48" t="n"/>
      <c r="AO5781" s="48" t="n"/>
    </row>
    <row r="5782">
      <c r="M5782" s="25" t="n"/>
      <c r="Q5782" s="25" t="n"/>
      <c r="U5782" s="194" t="n"/>
      <c r="AA5782" s="25" t="n"/>
      <c r="AB5782" s="25" t="n"/>
      <c r="AC5782" s="195" t="n"/>
      <c r="AD5782" s="25" t="n"/>
      <c r="AE5782" s="25" t="n"/>
      <c r="AG5782" s="25" t="n"/>
      <c r="AH5782" s="25" t="n"/>
      <c r="AI5782" s="394" t="n"/>
      <c r="AM5782" s="48" t="n"/>
      <c r="AN5782" s="48" t="n"/>
      <c r="AO5782" s="48" t="n"/>
    </row>
    <row r="5783">
      <c r="M5783" s="25" t="n"/>
      <c r="Q5783" s="25" t="n"/>
      <c r="U5783" s="194" t="n"/>
      <c r="AA5783" s="25" t="n"/>
      <c r="AB5783" s="25" t="n"/>
      <c r="AC5783" s="195" t="n"/>
      <c r="AD5783" s="25" t="n"/>
      <c r="AE5783" s="25" t="n"/>
      <c r="AG5783" s="25" t="n"/>
      <c r="AH5783" s="25" t="n"/>
      <c r="AI5783" s="394" t="n"/>
      <c r="AM5783" s="48" t="n"/>
      <c r="AN5783" s="48" t="n"/>
      <c r="AO5783" s="48" t="n"/>
    </row>
    <row r="5784">
      <c r="M5784" s="25" t="n"/>
      <c r="Q5784" s="25" t="n"/>
      <c r="U5784" s="194" t="n"/>
      <c r="AA5784" s="25" t="n"/>
      <c r="AB5784" s="25" t="n"/>
      <c r="AC5784" s="195" t="n"/>
      <c r="AD5784" s="25" t="n"/>
      <c r="AE5784" s="25" t="n"/>
      <c r="AG5784" s="25" t="n"/>
      <c r="AH5784" s="25" t="n"/>
      <c r="AI5784" s="394" t="n"/>
      <c r="AM5784" s="48" t="n"/>
      <c r="AN5784" s="48" t="n"/>
      <c r="AO5784" s="48" t="n"/>
    </row>
    <row r="5785">
      <c r="M5785" s="25" t="n"/>
      <c r="Q5785" s="25" t="n"/>
      <c r="U5785" s="194" t="n"/>
      <c r="AA5785" s="25" t="n"/>
      <c r="AB5785" s="25" t="n"/>
      <c r="AC5785" s="195" t="n"/>
      <c r="AD5785" s="25" t="n"/>
      <c r="AE5785" s="25" t="n"/>
      <c r="AG5785" s="25" t="n"/>
      <c r="AH5785" s="25" t="n"/>
      <c r="AI5785" s="394" t="n"/>
      <c r="AM5785" s="48" t="n"/>
      <c r="AN5785" s="48" t="n"/>
      <c r="AO5785" s="48" t="n"/>
    </row>
    <row r="5786">
      <c r="M5786" s="25" t="n"/>
      <c r="Q5786" s="25" t="n"/>
      <c r="U5786" s="194" t="n"/>
      <c r="AA5786" s="25" t="n"/>
      <c r="AB5786" s="25" t="n"/>
      <c r="AC5786" s="195" t="n"/>
      <c r="AD5786" s="25" t="n"/>
      <c r="AE5786" s="25" t="n"/>
      <c r="AG5786" s="25" t="n"/>
      <c r="AH5786" s="25" t="n"/>
      <c r="AI5786" s="394" t="n"/>
      <c r="AM5786" s="48" t="n"/>
      <c r="AN5786" s="48" t="n"/>
      <c r="AO5786" s="48" t="n"/>
    </row>
    <row r="5787">
      <c r="M5787" s="25" t="n"/>
      <c r="Q5787" s="25" t="n"/>
      <c r="U5787" s="194" t="n"/>
      <c r="AA5787" s="25" t="n"/>
      <c r="AB5787" s="25" t="n"/>
      <c r="AC5787" s="195" t="n"/>
      <c r="AD5787" s="25" t="n"/>
      <c r="AE5787" s="25" t="n"/>
      <c r="AG5787" s="25" t="n"/>
      <c r="AH5787" s="25" t="n"/>
      <c r="AI5787" s="394" t="n"/>
      <c r="AM5787" s="48" t="n"/>
      <c r="AN5787" s="48" t="n"/>
      <c r="AO5787" s="48" t="n"/>
    </row>
    <row r="5788">
      <c r="M5788" s="25" t="n"/>
      <c r="Q5788" s="25" t="n"/>
      <c r="U5788" s="194" t="n"/>
      <c r="AA5788" s="25" t="n"/>
      <c r="AB5788" s="25" t="n"/>
      <c r="AC5788" s="195" t="n"/>
      <c r="AD5788" s="25" t="n"/>
      <c r="AE5788" s="25" t="n"/>
      <c r="AG5788" s="25" t="n"/>
      <c r="AH5788" s="25" t="n"/>
      <c r="AI5788" s="394" t="n"/>
      <c r="AM5788" s="48" t="n"/>
      <c r="AN5788" s="48" t="n"/>
      <c r="AO5788" s="48" t="n"/>
    </row>
    <row r="5789">
      <c r="M5789" s="25" t="n"/>
      <c r="Q5789" s="25" t="n"/>
      <c r="U5789" s="194" t="n"/>
      <c r="AA5789" s="25" t="n"/>
      <c r="AB5789" s="25" t="n"/>
      <c r="AC5789" s="195" t="n"/>
      <c r="AD5789" s="25" t="n"/>
      <c r="AE5789" s="25" t="n"/>
      <c r="AG5789" s="25" t="n"/>
      <c r="AH5789" s="25" t="n"/>
      <c r="AI5789" s="394" t="n"/>
      <c r="AM5789" s="48" t="n"/>
      <c r="AN5789" s="48" t="n"/>
      <c r="AO5789" s="48" t="n"/>
    </row>
    <row r="5790">
      <c r="M5790" s="25" t="n"/>
      <c r="Q5790" s="25" t="n"/>
      <c r="U5790" s="194" t="n"/>
      <c r="AA5790" s="25" t="n"/>
      <c r="AB5790" s="25" t="n"/>
      <c r="AC5790" s="195" t="n"/>
      <c r="AD5790" s="25" t="n"/>
      <c r="AE5790" s="25" t="n"/>
      <c r="AG5790" s="25" t="n"/>
      <c r="AH5790" s="25" t="n"/>
      <c r="AI5790" s="394" t="n"/>
      <c r="AM5790" s="48" t="n"/>
      <c r="AN5790" s="48" t="n"/>
      <c r="AO5790" s="48" t="n"/>
    </row>
    <row r="5791">
      <c r="M5791" s="25" t="n"/>
      <c r="Q5791" s="25" t="n"/>
      <c r="U5791" s="194" t="n"/>
      <c r="AA5791" s="25" t="n"/>
      <c r="AB5791" s="25" t="n"/>
      <c r="AC5791" s="195" t="n"/>
      <c r="AD5791" s="25" t="n"/>
      <c r="AE5791" s="25" t="n"/>
      <c r="AG5791" s="25" t="n"/>
      <c r="AH5791" s="25" t="n"/>
      <c r="AI5791" s="394" t="n"/>
      <c r="AM5791" s="48" t="n"/>
      <c r="AN5791" s="48" t="n"/>
      <c r="AO5791" s="48" t="n"/>
    </row>
    <row r="5792">
      <c r="M5792" s="25" t="n"/>
      <c r="Q5792" s="25" t="n"/>
      <c r="U5792" s="194" t="n"/>
      <c r="AA5792" s="25" t="n"/>
      <c r="AB5792" s="25" t="n"/>
      <c r="AC5792" s="195" t="n"/>
      <c r="AD5792" s="25" t="n"/>
      <c r="AE5792" s="25" t="n"/>
      <c r="AG5792" s="25" t="n"/>
      <c r="AH5792" s="25" t="n"/>
      <c r="AI5792" s="394" t="n"/>
      <c r="AM5792" s="48" t="n"/>
      <c r="AN5792" s="48" t="n"/>
      <c r="AO5792" s="48" t="n"/>
    </row>
    <row r="5793">
      <c r="M5793" s="25" t="n"/>
      <c r="Q5793" s="25" t="n"/>
      <c r="U5793" s="194" t="n"/>
      <c r="AA5793" s="25" t="n"/>
      <c r="AB5793" s="25" t="n"/>
      <c r="AC5793" s="195" t="n"/>
      <c r="AD5793" s="25" t="n"/>
      <c r="AE5793" s="25" t="n"/>
      <c r="AG5793" s="25" t="n"/>
      <c r="AH5793" s="25" t="n"/>
      <c r="AI5793" s="394" t="n"/>
      <c r="AM5793" s="48" t="n"/>
      <c r="AN5793" s="48" t="n"/>
      <c r="AO5793" s="48" t="n"/>
    </row>
    <row r="5794">
      <c r="M5794" s="25" t="n"/>
      <c r="Q5794" s="25" t="n"/>
      <c r="U5794" s="194" t="n"/>
      <c r="AA5794" s="25" t="n"/>
      <c r="AB5794" s="25" t="n"/>
      <c r="AC5794" s="195" t="n"/>
      <c r="AD5794" s="25" t="n"/>
      <c r="AE5794" s="25" t="n"/>
      <c r="AG5794" s="25" t="n"/>
      <c r="AH5794" s="25" t="n"/>
      <c r="AI5794" s="394" t="n"/>
      <c r="AM5794" s="48" t="n"/>
      <c r="AN5794" s="48" t="n"/>
      <c r="AO5794" s="48" t="n"/>
    </row>
    <row r="5795">
      <c r="M5795" s="25" t="n"/>
      <c r="Q5795" s="25" t="n"/>
      <c r="U5795" s="194" t="n"/>
      <c r="AA5795" s="25" t="n"/>
      <c r="AB5795" s="25" t="n"/>
      <c r="AC5795" s="195" t="n"/>
      <c r="AD5795" s="25" t="n"/>
      <c r="AE5795" s="25" t="n"/>
      <c r="AG5795" s="25" t="n"/>
      <c r="AH5795" s="25" t="n"/>
      <c r="AI5795" s="394" t="n"/>
      <c r="AM5795" s="48" t="n"/>
      <c r="AN5795" s="48" t="n"/>
      <c r="AO5795" s="48" t="n"/>
    </row>
    <row r="5796">
      <c r="M5796" s="25" t="n"/>
      <c r="Q5796" s="25" t="n"/>
      <c r="U5796" s="194" t="n"/>
      <c r="AA5796" s="25" t="n"/>
      <c r="AB5796" s="25" t="n"/>
      <c r="AC5796" s="195" t="n"/>
      <c r="AD5796" s="25" t="n"/>
      <c r="AE5796" s="25" t="n"/>
      <c r="AG5796" s="25" t="n"/>
      <c r="AH5796" s="25" t="n"/>
      <c r="AI5796" s="394" t="n"/>
      <c r="AM5796" s="48" t="n"/>
      <c r="AN5796" s="48" t="n"/>
      <c r="AO5796" s="48" t="n"/>
    </row>
    <row r="5797">
      <c r="M5797" s="25" t="n"/>
      <c r="Q5797" s="25" t="n"/>
      <c r="U5797" s="194" t="n"/>
      <c r="AA5797" s="25" t="n"/>
      <c r="AB5797" s="25" t="n"/>
      <c r="AC5797" s="195" t="n"/>
      <c r="AD5797" s="25" t="n"/>
      <c r="AE5797" s="25" t="n"/>
      <c r="AG5797" s="25" t="n"/>
      <c r="AH5797" s="25" t="n"/>
      <c r="AI5797" s="394" t="n"/>
      <c r="AM5797" s="48" t="n"/>
      <c r="AN5797" s="48" t="n"/>
      <c r="AO5797" s="48" t="n"/>
    </row>
    <row r="5798">
      <c r="M5798" s="25" t="n"/>
      <c r="Q5798" s="25" t="n"/>
      <c r="U5798" s="194" t="n"/>
      <c r="AA5798" s="25" t="n"/>
      <c r="AB5798" s="25" t="n"/>
      <c r="AC5798" s="195" t="n"/>
      <c r="AD5798" s="25" t="n"/>
      <c r="AE5798" s="25" t="n"/>
      <c r="AG5798" s="25" t="n"/>
      <c r="AH5798" s="25" t="n"/>
      <c r="AI5798" s="394" t="n"/>
      <c r="AM5798" s="48" t="n"/>
      <c r="AN5798" s="48" t="n"/>
      <c r="AO5798" s="48" t="n"/>
    </row>
    <row r="5799">
      <c r="M5799" s="25" t="n"/>
      <c r="Q5799" s="25" t="n"/>
      <c r="U5799" s="194" t="n"/>
      <c r="AA5799" s="25" t="n"/>
      <c r="AB5799" s="25" t="n"/>
      <c r="AC5799" s="195" t="n"/>
      <c r="AD5799" s="25" t="n"/>
      <c r="AE5799" s="25" t="n"/>
      <c r="AG5799" s="25" t="n"/>
      <c r="AH5799" s="25" t="n"/>
      <c r="AI5799" s="394" t="n"/>
      <c r="AM5799" s="48" t="n"/>
      <c r="AN5799" s="48" t="n"/>
      <c r="AO5799" s="48" t="n"/>
    </row>
    <row r="5800">
      <c r="M5800" s="25" t="n"/>
      <c r="Q5800" s="25" t="n"/>
      <c r="U5800" s="194" t="n"/>
      <c r="AA5800" s="25" t="n"/>
      <c r="AB5800" s="25" t="n"/>
      <c r="AC5800" s="195" t="n"/>
      <c r="AD5800" s="25" t="n"/>
      <c r="AE5800" s="25" t="n"/>
      <c r="AG5800" s="25" t="n"/>
      <c r="AH5800" s="25" t="n"/>
      <c r="AI5800" s="394" t="n"/>
      <c r="AM5800" s="48" t="n"/>
      <c r="AN5800" s="48" t="n"/>
      <c r="AO5800" s="48" t="n"/>
    </row>
    <row r="5801">
      <c r="M5801" s="25" t="n"/>
      <c r="Q5801" s="25" t="n"/>
      <c r="U5801" s="194" t="n"/>
      <c r="AA5801" s="25" t="n"/>
      <c r="AB5801" s="25" t="n"/>
      <c r="AC5801" s="195" t="n"/>
      <c r="AD5801" s="25" t="n"/>
      <c r="AE5801" s="25" t="n"/>
      <c r="AG5801" s="25" t="n"/>
      <c r="AH5801" s="25" t="n"/>
      <c r="AI5801" s="394" t="n"/>
      <c r="AM5801" s="48" t="n"/>
      <c r="AN5801" s="48" t="n"/>
      <c r="AO5801" s="48" t="n"/>
    </row>
    <row r="5802">
      <c r="M5802" s="25" t="n"/>
      <c r="Q5802" s="25" t="n"/>
      <c r="U5802" s="194" t="n"/>
      <c r="AA5802" s="25" t="n"/>
      <c r="AB5802" s="25" t="n"/>
      <c r="AC5802" s="195" t="n"/>
      <c r="AD5802" s="25" t="n"/>
      <c r="AE5802" s="25" t="n"/>
      <c r="AG5802" s="25" t="n"/>
      <c r="AH5802" s="25" t="n"/>
      <c r="AI5802" s="394" t="n"/>
      <c r="AM5802" s="48" t="n"/>
      <c r="AN5802" s="48" t="n"/>
      <c r="AO5802" s="48" t="n"/>
    </row>
    <row r="5803">
      <c r="M5803" s="25" t="n"/>
      <c r="Q5803" s="25" t="n"/>
      <c r="U5803" s="194" t="n"/>
      <c r="AA5803" s="25" t="n"/>
      <c r="AB5803" s="25" t="n"/>
      <c r="AC5803" s="195" t="n"/>
      <c r="AD5803" s="25" t="n"/>
      <c r="AE5803" s="25" t="n"/>
      <c r="AG5803" s="25" t="n"/>
      <c r="AH5803" s="25" t="n"/>
      <c r="AI5803" s="394" t="n"/>
      <c r="AM5803" s="48" t="n"/>
      <c r="AN5803" s="48" t="n"/>
      <c r="AO5803" s="48" t="n"/>
    </row>
    <row r="5804">
      <c r="M5804" s="25" t="n"/>
      <c r="Q5804" s="25" t="n"/>
      <c r="U5804" s="194" t="n"/>
      <c r="AA5804" s="25" t="n"/>
      <c r="AB5804" s="25" t="n"/>
      <c r="AC5804" s="195" t="n"/>
      <c r="AD5804" s="25" t="n"/>
      <c r="AE5804" s="25" t="n"/>
      <c r="AG5804" s="25" t="n"/>
      <c r="AH5804" s="25" t="n"/>
      <c r="AI5804" s="394" t="n"/>
      <c r="AM5804" s="48" t="n"/>
      <c r="AN5804" s="48" t="n"/>
      <c r="AO5804" s="48" t="n"/>
    </row>
    <row r="5805">
      <c r="M5805" s="25" t="n"/>
      <c r="Q5805" s="25" t="n"/>
      <c r="U5805" s="194" t="n"/>
      <c r="AA5805" s="25" t="n"/>
      <c r="AB5805" s="25" t="n"/>
      <c r="AC5805" s="195" t="n"/>
      <c r="AD5805" s="25" t="n"/>
      <c r="AE5805" s="25" t="n"/>
      <c r="AG5805" s="25" t="n"/>
      <c r="AH5805" s="25" t="n"/>
      <c r="AI5805" s="394" t="n"/>
      <c r="AM5805" s="48" t="n"/>
      <c r="AN5805" s="48" t="n"/>
      <c r="AO5805" s="48" t="n"/>
    </row>
    <row r="5806">
      <c r="M5806" s="25" t="n"/>
      <c r="Q5806" s="25" t="n"/>
      <c r="U5806" s="194" t="n"/>
      <c r="AA5806" s="25" t="n"/>
      <c r="AB5806" s="25" t="n"/>
      <c r="AC5806" s="195" t="n"/>
      <c r="AD5806" s="25" t="n"/>
      <c r="AE5806" s="25" t="n"/>
      <c r="AG5806" s="25" t="n"/>
      <c r="AH5806" s="25" t="n"/>
      <c r="AI5806" s="394" t="n"/>
      <c r="AM5806" s="48" t="n"/>
      <c r="AN5806" s="48" t="n"/>
      <c r="AO5806" s="48" t="n"/>
    </row>
    <row r="5807">
      <c r="M5807" s="25" t="n"/>
      <c r="Q5807" s="25" t="n"/>
      <c r="U5807" s="194" t="n"/>
      <c r="AA5807" s="25" t="n"/>
      <c r="AB5807" s="25" t="n"/>
      <c r="AC5807" s="195" t="n"/>
      <c r="AD5807" s="25" t="n"/>
      <c r="AE5807" s="25" t="n"/>
      <c r="AG5807" s="25" t="n"/>
      <c r="AH5807" s="25" t="n"/>
      <c r="AI5807" s="394" t="n"/>
      <c r="AM5807" s="48" t="n"/>
      <c r="AN5807" s="48" t="n"/>
      <c r="AO5807" s="48" t="n"/>
    </row>
    <row r="5808">
      <c r="M5808" s="25" t="n"/>
      <c r="Q5808" s="25" t="n"/>
      <c r="U5808" s="194" t="n"/>
      <c r="AA5808" s="25" t="n"/>
      <c r="AB5808" s="25" t="n"/>
      <c r="AC5808" s="195" t="n"/>
      <c r="AD5808" s="25" t="n"/>
      <c r="AE5808" s="25" t="n"/>
      <c r="AG5808" s="25" t="n"/>
      <c r="AH5808" s="25" t="n"/>
      <c r="AI5808" s="394" t="n"/>
      <c r="AM5808" s="48" t="n"/>
      <c r="AN5808" s="48" t="n"/>
      <c r="AO5808" s="48" t="n"/>
    </row>
    <row r="5809">
      <c r="M5809" s="25" t="n"/>
      <c r="Q5809" s="25" t="n"/>
      <c r="U5809" s="194" t="n"/>
      <c r="AA5809" s="25" t="n"/>
      <c r="AB5809" s="25" t="n"/>
      <c r="AC5809" s="195" t="n"/>
      <c r="AD5809" s="25" t="n"/>
      <c r="AE5809" s="25" t="n"/>
      <c r="AG5809" s="25" t="n"/>
      <c r="AH5809" s="25" t="n"/>
      <c r="AI5809" s="394" t="n"/>
      <c r="AM5809" s="48" t="n"/>
      <c r="AN5809" s="48" t="n"/>
      <c r="AO5809" s="48" t="n"/>
    </row>
    <row r="5810">
      <c r="M5810" s="25" t="n"/>
      <c r="Q5810" s="25" t="n"/>
      <c r="U5810" s="194" t="n"/>
      <c r="AA5810" s="25" t="n"/>
      <c r="AB5810" s="25" t="n"/>
      <c r="AC5810" s="195" t="n"/>
      <c r="AD5810" s="25" t="n"/>
      <c r="AE5810" s="25" t="n"/>
      <c r="AG5810" s="25" t="n"/>
      <c r="AH5810" s="25" t="n"/>
      <c r="AI5810" s="394" t="n"/>
      <c r="AM5810" s="48" t="n"/>
      <c r="AN5810" s="48" t="n"/>
      <c r="AO5810" s="48" t="n"/>
    </row>
    <row r="5811">
      <c r="M5811" s="25" t="n"/>
      <c r="Q5811" s="25" t="n"/>
      <c r="U5811" s="194" t="n"/>
      <c r="AA5811" s="25" t="n"/>
      <c r="AB5811" s="25" t="n"/>
      <c r="AC5811" s="195" t="n"/>
      <c r="AD5811" s="25" t="n"/>
      <c r="AE5811" s="25" t="n"/>
      <c r="AG5811" s="25" t="n"/>
      <c r="AH5811" s="25" t="n"/>
      <c r="AI5811" s="394" t="n"/>
      <c r="AM5811" s="48" t="n"/>
      <c r="AN5811" s="48" t="n"/>
      <c r="AO5811" s="48" t="n"/>
    </row>
    <row r="5812">
      <c r="M5812" s="25" t="n"/>
      <c r="Q5812" s="25" t="n"/>
      <c r="U5812" s="194" t="n"/>
      <c r="AA5812" s="25" t="n"/>
      <c r="AB5812" s="25" t="n"/>
      <c r="AC5812" s="195" t="n"/>
      <c r="AD5812" s="25" t="n"/>
      <c r="AE5812" s="25" t="n"/>
      <c r="AG5812" s="25" t="n"/>
      <c r="AH5812" s="25" t="n"/>
      <c r="AI5812" s="394" t="n"/>
      <c r="AM5812" s="48" t="n"/>
      <c r="AN5812" s="48" t="n"/>
      <c r="AO5812" s="48" t="n"/>
    </row>
    <row r="5813">
      <c r="M5813" s="25" t="n"/>
      <c r="Q5813" s="25" t="n"/>
      <c r="U5813" s="194" t="n"/>
      <c r="AA5813" s="25" t="n"/>
      <c r="AB5813" s="25" t="n"/>
      <c r="AC5813" s="195" t="n"/>
      <c r="AD5813" s="25" t="n"/>
      <c r="AE5813" s="25" t="n"/>
      <c r="AG5813" s="25" t="n"/>
      <c r="AH5813" s="25" t="n"/>
      <c r="AI5813" s="394" t="n"/>
      <c r="AM5813" s="48" t="n"/>
      <c r="AN5813" s="48" t="n"/>
      <c r="AO5813" s="48" t="n"/>
    </row>
    <row r="5814">
      <c r="M5814" s="25" t="n"/>
      <c r="Q5814" s="25" t="n"/>
      <c r="U5814" s="194" t="n"/>
      <c r="AA5814" s="25" t="n"/>
      <c r="AB5814" s="25" t="n"/>
      <c r="AC5814" s="195" t="n"/>
      <c r="AD5814" s="25" t="n"/>
      <c r="AE5814" s="25" t="n"/>
      <c r="AG5814" s="25" t="n"/>
      <c r="AH5814" s="25" t="n"/>
      <c r="AI5814" s="394" t="n"/>
      <c r="AM5814" s="48" t="n"/>
      <c r="AN5814" s="48" t="n"/>
      <c r="AO5814" s="48" t="n"/>
    </row>
    <row r="5815">
      <c r="M5815" s="25" t="n"/>
      <c r="Q5815" s="25" t="n"/>
      <c r="U5815" s="194" t="n"/>
      <c r="AA5815" s="25" t="n"/>
      <c r="AB5815" s="25" t="n"/>
      <c r="AC5815" s="195" t="n"/>
      <c r="AD5815" s="25" t="n"/>
      <c r="AE5815" s="25" t="n"/>
      <c r="AG5815" s="25" t="n"/>
      <c r="AH5815" s="25" t="n"/>
      <c r="AI5815" s="394" t="n"/>
      <c r="AM5815" s="48" t="n"/>
      <c r="AN5815" s="48" t="n"/>
      <c r="AO5815" s="48" t="n"/>
    </row>
    <row r="5816">
      <c r="M5816" s="25" t="n"/>
      <c r="Q5816" s="25" t="n"/>
      <c r="U5816" s="194" t="n"/>
      <c r="AA5816" s="25" t="n"/>
      <c r="AB5816" s="25" t="n"/>
      <c r="AC5816" s="195" t="n"/>
      <c r="AD5816" s="25" t="n"/>
      <c r="AE5816" s="25" t="n"/>
      <c r="AG5816" s="25" t="n"/>
      <c r="AH5816" s="25" t="n"/>
      <c r="AI5816" s="394" t="n"/>
      <c r="AM5816" s="48" t="n"/>
      <c r="AN5816" s="48" t="n"/>
      <c r="AO5816" s="48" t="n"/>
    </row>
    <row r="5817">
      <c r="M5817" s="25" t="n"/>
      <c r="Q5817" s="25" t="n"/>
      <c r="U5817" s="194" t="n"/>
      <c r="AA5817" s="25" t="n"/>
      <c r="AB5817" s="25" t="n"/>
      <c r="AC5817" s="195" t="n"/>
      <c r="AD5817" s="25" t="n"/>
      <c r="AE5817" s="25" t="n"/>
      <c r="AG5817" s="25" t="n"/>
      <c r="AH5817" s="25" t="n"/>
      <c r="AI5817" s="394" t="n"/>
      <c r="AM5817" s="48" t="n"/>
      <c r="AN5817" s="48" t="n"/>
      <c r="AO5817" s="48" t="n"/>
    </row>
    <row r="5818">
      <c r="M5818" s="25" t="n"/>
      <c r="Q5818" s="25" t="n"/>
      <c r="U5818" s="194" t="n"/>
      <c r="AA5818" s="25" t="n"/>
      <c r="AB5818" s="25" t="n"/>
      <c r="AC5818" s="195" t="n"/>
      <c r="AD5818" s="25" t="n"/>
      <c r="AE5818" s="25" t="n"/>
      <c r="AG5818" s="25" t="n"/>
      <c r="AH5818" s="25" t="n"/>
      <c r="AI5818" s="394" t="n"/>
      <c r="AM5818" s="48" t="n"/>
      <c r="AN5818" s="48" t="n"/>
      <c r="AO5818" s="48" t="n"/>
    </row>
    <row r="5819">
      <c r="M5819" s="25" t="n"/>
      <c r="Q5819" s="25" t="n"/>
      <c r="U5819" s="194" t="n"/>
      <c r="AA5819" s="25" t="n"/>
      <c r="AB5819" s="25" t="n"/>
      <c r="AC5819" s="195" t="n"/>
      <c r="AD5819" s="25" t="n"/>
      <c r="AE5819" s="25" t="n"/>
      <c r="AG5819" s="25" t="n"/>
      <c r="AH5819" s="25" t="n"/>
      <c r="AI5819" s="394" t="n"/>
      <c r="AM5819" s="48" t="n"/>
      <c r="AN5819" s="48" t="n"/>
      <c r="AO5819" s="48" t="n"/>
    </row>
    <row r="5820">
      <c r="M5820" s="25" t="n"/>
      <c r="Q5820" s="25" t="n"/>
      <c r="U5820" s="194" t="n"/>
      <c r="AA5820" s="25" t="n"/>
      <c r="AB5820" s="25" t="n"/>
      <c r="AC5820" s="195" t="n"/>
      <c r="AD5820" s="25" t="n"/>
      <c r="AE5820" s="25" t="n"/>
      <c r="AG5820" s="25" t="n"/>
      <c r="AH5820" s="25" t="n"/>
      <c r="AI5820" s="394" t="n"/>
      <c r="AM5820" s="48" t="n"/>
      <c r="AN5820" s="48" t="n"/>
      <c r="AO5820" s="48" t="n"/>
    </row>
    <row r="5821">
      <c r="M5821" s="25" t="n"/>
      <c r="Q5821" s="25" t="n"/>
      <c r="U5821" s="194" t="n"/>
      <c r="AA5821" s="25" t="n"/>
      <c r="AB5821" s="25" t="n"/>
      <c r="AC5821" s="195" t="n"/>
      <c r="AD5821" s="25" t="n"/>
      <c r="AE5821" s="25" t="n"/>
      <c r="AG5821" s="25" t="n"/>
      <c r="AH5821" s="25" t="n"/>
      <c r="AI5821" s="394" t="n"/>
      <c r="AM5821" s="48" t="n"/>
      <c r="AN5821" s="48" t="n"/>
      <c r="AO5821" s="48" t="n"/>
    </row>
    <row r="5822">
      <c r="M5822" s="25" t="n"/>
      <c r="Q5822" s="25" t="n"/>
      <c r="U5822" s="194" t="n"/>
      <c r="AA5822" s="25" t="n"/>
      <c r="AB5822" s="25" t="n"/>
      <c r="AC5822" s="195" t="n"/>
      <c r="AD5822" s="25" t="n"/>
      <c r="AE5822" s="25" t="n"/>
      <c r="AG5822" s="25" t="n"/>
      <c r="AH5822" s="25" t="n"/>
      <c r="AI5822" s="394" t="n"/>
      <c r="AM5822" s="48" t="n"/>
      <c r="AN5822" s="48" t="n"/>
      <c r="AO5822" s="48" t="n"/>
    </row>
    <row r="5823">
      <c r="M5823" s="25" t="n"/>
      <c r="Q5823" s="25" t="n"/>
      <c r="U5823" s="194" t="n"/>
      <c r="AA5823" s="25" t="n"/>
      <c r="AB5823" s="25" t="n"/>
      <c r="AC5823" s="195" t="n"/>
      <c r="AD5823" s="25" t="n"/>
      <c r="AE5823" s="25" t="n"/>
      <c r="AG5823" s="25" t="n"/>
      <c r="AH5823" s="25" t="n"/>
      <c r="AI5823" s="394" t="n"/>
      <c r="AM5823" s="48" t="n"/>
      <c r="AN5823" s="48" t="n"/>
      <c r="AO5823" s="48" t="n"/>
    </row>
    <row r="5824">
      <c r="M5824" s="25" t="n"/>
      <c r="Q5824" s="25" t="n"/>
      <c r="U5824" s="194" t="n"/>
      <c r="AA5824" s="25" t="n"/>
      <c r="AB5824" s="25" t="n"/>
      <c r="AC5824" s="195" t="n"/>
      <c r="AD5824" s="25" t="n"/>
      <c r="AE5824" s="25" t="n"/>
      <c r="AG5824" s="25" t="n"/>
      <c r="AH5824" s="25" t="n"/>
      <c r="AI5824" s="394" t="n"/>
      <c r="AM5824" s="48" t="n"/>
      <c r="AN5824" s="48" t="n"/>
      <c r="AO5824" s="48" t="n"/>
    </row>
    <row r="5825">
      <c r="M5825" s="25" t="n"/>
      <c r="Q5825" s="25" t="n"/>
      <c r="U5825" s="194" t="n"/>
      <c r="AA5825" s="25" t="n"/>
      <c r="AB5825" s="25" t="n"/>
      <c r="AC5825" s="195" t="n"/>
      <c r="AD5825" s="25" t="n"/>
      <c r="AE5825" s="25" t="n"/>
      <c r="AG5825" s="25" t="n"/>
      <c r="AH5825" s="25" t="n"/>
      <c r="AI5825" s="394" t="n"/>
      <c r="AM5825" s="48" t="n"/>
      <c r="AN5825" s="48" t="n"/>
      <c r="AO5825" s="48" t="n"/>
    </row>
    <row r="5826">
      <c r="M5826" s="25" t="n"/>
      <c r="Q5826" s="25" t="n"/>
      <c r="U5826" s="194" t="n"/>
      <c r="AA5826" s="25" t="n"/>
      <c r="AB5826" s="25" t="n"/>
      <c r="AC5826" s="195" t="n"/>
      <c r="AD5826" s="25" t="n"/>
      <c r="AE5826" s="25" t="n"/>
      <c r="AG5826" s="25" t="n"/>
      <c r="AH5826" s="25" t="n"/>
      <c r="AI5826" s="394" t="n"/>
      <c r="AM5826" s="48" t="n"/>
      <c r="AN5826" s="48" t="n"/>
      <c r="AO5826" s="48" t="n"/>
    </row>
    <row r="5827">
      <c r="M5827" s="25" t="n"/>
      <c r="Q5827" s="25" t="n"/>
      <c r="U5827" s="194" t="n"/>
      <c r="AA5827" s="25" t="n"/>
      <c r="AB5827" s="25" t="n"/>
      <c r="AC5827" s="195" t="n"/>
      <c r="AD5827" s="25" t="n"/>
      <c r="AE5827" s="25" t="n"/>
      <c r="AG5827" s="25" t="n"/>
      <c r="AH5827" s="25" t="n"/>
      <c r="AI5827" s="394" t="n"/>
      <c r="AM5827" s="48" t="n"/>
      <c r="AN5827" s="48" t="n"/>
      <c r="AO5827" s="48" t="n"/>
    </row>
    <row r="5828">
      <c r="M5828" s="25" t="n"/>
      <c r="Q5828" s="25" t="n"/>
      <c r="U5828" s="194" t="n"/>
      <c r="AA5828" s="25" t="n"/>
      <c r="AB5828" s="25" t="n"/>
      <c r="AC5828" s="195" t="n"/>
      <c r="AD5828" s="25" t="n"/>
      <c r="AE5828" s="25" t="n"/>
      <c r="AG5828" s="25" t="n"/>
      <c r="AH5828" s="25" t="n"/>
      <c r="AI5828" s="394" t="n"/>
      <c r="AM5828" s="48" t="n"/>
      <c r="AN5828" s="48" t="n"/>
      <c r="AO5828" s="48" t="n"/>
    </row>
    <row r="5829">
      <c r="M5829" s="25" t="n"/>
      <c r="Q5829" s="25" t="n"/>
      <c r="U5829" s="194" t="n"/>
      <c r="AA5829" s="25" t="n"/>
      <c r="AB5829" s="25" t="n"/>
      <c r="AC5829" s="195" t="n"/>
      <c r="AD5829" s="25" t="n"/>
      <c r="AE5829" s="25" t="n"/>
      <c r="AG5829" s="25" t="n"/>
      <c r="AH5829" s="25" t="n"/>
      <c r="AI5829" s="394" t="n"/>
      <c r="AM5829" s="48" t="n"/>
      <c r="AN5829" s="48" t="n"/>
      <c r="AO5829" s="48" t="n"/>
    </row>
    <row r="5830">
      <c r="M5830" s="25" t="n"/>
      <c r="Q5830" s="25" t="n"/>
      <c r="U5830" s="194" t="n"/>
      <c r="AA5830" s="25" t="n"/>
      <c r="AB5830" s="25" t="n"/>
      <c r="AC5830" s="195" t="n"/>
      <c r="AD5830" s="25" t="n"/>
      <c r="AE5830" s="25" t="n"/>
      <c r="AG5830" s="25" t="n"/>
      <c r="AH5830" s="25" t="n"/>
      <c r="AI5830" s="394" t="n"/>
      <c r="AM5830" s="48" t="n"/>
      <c r="AN5830" s="48" t="n"/>
      <c r="AO5830" s="48" t="n"/>
    </row>
    <row r="5831">
      <c r="M5831" s="25" t="n"/>
      <c r="Q5831" s="25" t="n"/>
      <c r="U5831" s="194" t="n"/>
      <c r="AA5831" s="25" t="n"/>
      <c r="AB5831" s="25" t="n"/>
      <c r="AC5831" s="195" t="n"/>
      <c r="AD5831" s="25" t="n"/>
      <c r="AE5831" s="25" t="n"/>
      <c r="AG5831" s="25" t="n"/>
      <c r="AH5831" s="25" t="n"/>
      <c r="AI5831" s="394" t="n"/>
      <c r="AM5831" s="48" t="n"/>
      <c r="AN5831" s="48" t="n"/>
      <c r="AO5831" s="48" t="n"/>
    </row>
    <row r="5832">
      <c r="M5832" s="25" t="n"/>
      <c r="Q5832" s="25" t="n"/>
      <c r="U5832" s="194" t="n"/>
      <c r="AA5832" s="25" t="n"/>
      <c r="AB5832" s="25" t="n"/>
      <c r="AC5832" s="195" t="n"/>
      <c r="AD5832" s="25" t="n"/>
      <c r="AE5832" s="25" t="n"/>
      <c r="AG5832" s="25" t="n"/>
      <c r="AH5832" s="25" t="n"/>
      <c r="AI5832" s="394" t="n"/>
      <c r="AM5832" s="48" t="n"/>
      <c r="AN5832" s="48" t="n"/>
      <c r="AO5832" s="48" t="n"/>
    </row>
    <row r="5833">
      <c r="M5833" s="25" t="n"/>
      <c r="Q5833" s="25" t="n"/>
      <c r="U5833" s="194" t="n"/>
      <c r="AA5833" s="25" t="n"/>
      <c r="AB5833" s="25" t="n"/>
      <c r="AC5833" s="195" t="n"/>
      <c r="AD5833" s="25" t="n"/>
      <c r="AE5833" s="25" t="n"/>
      <c r="AG5833" s="25" t="n"/>
      <c r="AH5833" s="25" t="n"/>
      <c r="AI5833" s="394" t="n"/>
      <c r="AM5833" s="48" t="n"/>
      <c r="AN5833" s="48" t="n"/>
      <c r="AO5833" s="48" t="n"/>
    </row>
    <row r="5834">
      <c r="M5834" s="25" t="n"/>
      <c r="Q5834" s="25" t="n"/>
      <c r="U5834" s="194" t="n"/>
      <c r="AA5834" s="25" t="n"/>
      <c r="AB5834" s="25" t="n"/>
      <c r="AC5834" s="195" t="n"/>
      <c r="AD5834" s="25" t="n"/>
      <c r="AE5834" s="25" t="n"/>
      <c r="AG5834" s="25" t="n"/>
      <c r="AH5834" s="25" t="n"/>
      <c r="AI5834" s="394" t="n"/>
      <c r="AM5834" s="48" t="n"/>
      <c r="AN5834" s="48" t="n"/>
      <c r="AO5834" s="48" t="n"/>
    </row>
    <row r="5835">
      <c r="M5835" s="25" t="n"/>
      <c r="Q5835" s="25" t="n"/>
      <c r="U5835" s="194" t="n"/>
      <c r="AA5835" s="25" t="n"/>
      <c r="AB5835" s="25" t="n"/>
      <c r="AC5835" s="195" t="n"/>
      <c r="AD5835" s="25" t="n"/>
      <c r="AE5835" s="25" t="n"/>
      <c r="AG5835" s="25" t="n"/>
      <c r="AH5835" s="25" t="n"/>
      <c r="AI5835" s="394" t="n"/>
      <c r="AM5835" s="48" t="n"/>
      <c r="AN5835" s="48" t="n"/>
      <c r="AO5835" s="48" t="n"/>
    </row>
    <row r="5836">
      <c r="M5836" s="25" t="n"/>
      <c r="Q5836" s="25" t="n"/>
      <c r="U5836" s="194" t="n"/>
      <c r="AA5836" s="25" t="n"/>
      <c r="AB5836" s="25" t="n"/>
      <c r="AC5836" s="195" t="n"/>
      <c r="AD5836" s="25" t="n"/>
      <c r="AE5836" s="25" t="n"/>
      <c r="AG5836" s="25" t="n"/>
      <c r="AH5836" s="25" t="n"/>
      <c r="AI5836" s="394" t="n"/>
      <c r="AM5836" s="48" t="n"/>
      <c r="AN5836" s="48" t="n"/>
      <c r="AO5836" s="48" t="n"/>
    </row>
    <row r="5837">
      <c r="M5837" s="25" t="n"/>
      <c r="Q5837" s="25" t="n"/>
      <c r="U5837" s="194" t="n"/>
      <c r="AA5837" s="25" t="n"/>
      <c r="AB5837" s="25" t="n"/>
      <c r="AC5837" s="195" t="n"/>
      <c r="AD5837" s="25" t="n"/>
      <c r="AE5837" s="25" t="n"/>
      <c r="AG5837" s="25" t="n"/>
      <c r="AH5837" s="25" t="n"/>
      <c r="AI5837" s="394" t="n"/>
      <c r="AM5837" s="48" t="n"/>
      <c r="AN5837" s="48" t="n"/>
      <c r="AO5837" s="48" t="n"/>
    </row>
    <row r="5838">
      <c r="M5838" s="25" t="n"/>
      <c r="Q5838" s="25" t="n"/>
      <c r="U5838" s="194" t="n"/>
      <c r="AA5838" s="25" t="n"/>
      <c r="AB5838" s="25" t="n"/>
      <c r="AC5838" s="195" t="n"/>
      <c r="AD5838" s="25" t="n"/>
      <c r="AE5838" s="25" t="n"/>
      <c r="AG5838" s="25" t="n"/>
      <c r="AH5838" s="25" t="n"/>
      <c r="AI5838" s="394" t="n"/>
      <c r="AM5838" s="48" t="n"/>
      <c r="AN5838" s="48" t="n"/>
      <c r="AO5838" s="48" t="n"/>
    </row>
    <row r="5839">
      <c r="M5839" s="25" t="n"/>
      <c r="Q5839" s="25" t="n"/>
      <c r="U5839" s="194" t="n"/>
      <c r="AA5839" s="25" t="n"/>
      <c r="AB5839" s="25" t="n"/>
      <c r="AC5839" s="195" t="n"/>
      <c r="AD5839" s="25" t="n"/>
      <c r="AE5839" s="25" t="n"/>
      <c r="AG5839" s="25" t="n"/>
      <c r="AH5839" s="25" t="n"/>
      <c r="AI5839" s="394" t="n"/>
      <c r="AM5839" s="48" t="n"/>
      <c r="AN5839" s="48" t="n"/>
      <c r="AO5839" s="48" t="n"/>
    </row>
    <row r="5840">
      <c r="M5840" s="25" t="n"/>
      <c r="Q5840" s="25" t="n"/>
      <c r="U5840" s="194" t="n"/>
      <c r="AA5840" s="25" t="n"/>
      <c r="AB5840" s="25" t="n"/>
      <c r="AC5840" s="195" t="n"/>
      <c r="AD5840" s="25" t="n"/>
      <c r="AE5840" s="25" t="n"/>
      <c r="AG5840" s="25" t="n"/>
      <c r="AH5840" s="25" t="n"/>
      <c r="AI5840" s="394" t="n"/>
      <c r="AM5840" s="48" t="n"/>
      <c r="AN5840" s="48" t="n"/>
      <c r="AO5840" s="48" t="n"/>
    </row>
    <row r="5841">
      <c r="M5841" s="25" t="n"/>
      <c r="Q5841" s="25" t="n"/>
      <c r="U5841" s="194" t="n"/>
      <c r="AA5841" s="25" t="n"/>
      <c r="AB5841" s="25" t="n"/>
      <c r="AC5841" s="195" t="n"/>
      <c r="AD5841" s="25" t="n"/>
      <c r="AE5841" s="25" t="n"/>
      <c r="AG5841" s="25" t="n"/>
      <c r="AH5841" s="25" t="n"/>
      <c r="AI5841" s="394" t="n"/>
      <c r="AM5841" s="48" t="n"/>
      <c r="AN5841" s="48" t="n"/>
      <c r="AO5841" s="48" t="n"/>
    </row>
    <row r="5842">
      <c r="M5842" s="25" t="n"/>
      <c r="Q5842" s="25" t="n"/>
      <c r="U5842" s="194" t="n"/>
      <c r="AA5842" s="25" t="n"/>
      <c r="AB5842" s="25" t="n"/>
      <c r="AC5842" s="195" t="n"/>
      <c r="AD5842" s="25" t="n"/>
      <c r="AE5842" s="25" t="n"/>
      <c r="AG5842" s="25" t="n"/>
      <c r="AH5842" s="25" t="n"/>
      <c r="AI5842" s="394" t="n"/>
      <c r="AM5842" s="48" t="n"/>
      <c r="AN5842" s="48" t="n"/>
      <c r="AO5842" s="48" t="n"/>
    </row>
    <row r="5843">
      <c r="M5843" s="25" t="n"/>
      <c r="Q5843" s="25" t="n"/>
      <c r="U5843" s="194" t="n"/>
      <c r="AA5843" s="25" t="n"/>
      <c r="AB5843" s="25" t="n"/>
      <c r="AC5843" s="195" t="n"/>
      <c r="AD5843" s="25" t="n"/>
      <c r="AE5843" s="25" t="n"/>
      <c r="AG5843" s="25" t="n"/>
      <c r="AH5843" s="25" t="n"/>
      <c r="AI5843" s="394" t="n"/>
      <c r="AM5843" s="48" t="n"/>
      <c r="AN5843" s="48" t="n"/>
      <c r="AO5843" s="48" t="n"/>
    </row>
    <row r="5844">
      <c r="M5844" s="25" t="n"/>
      <c r="Q5844" s="25" t="n"/>
      <c r="U5844" s="194" t="n"/>
      <c r="AA5844" s="25" t="n"/>
      <c r="AB5844" s="25" t="n"/>
      <c r="AC5844" s="195" t="n"/>
      <c r="AD5844" s="25" t="n"/>
      <c r="AE5844" s="25" t="n"/>
      <c r="AG5844" s="25" t="n"/>
      <c r="AH5844" s="25" t="n"/>
      <c r="AI5844" s="394" t="n"/>
      <c r="AM5844" s="48" t="n"/>
      <c r="AN5844" s="48" t="n"/>
      <c r="AO5844" s="48" t="n"/>
    </row>
    <row r="5845">
      <c r="M5845" s="25" t="n"/>
      <c r="Q5845" s="25" t="n"/>
      <c r="U5845" s="194" t="n"/>
      <c r="AA5845" s="25" t="n"/>
      <c r="AB5845" s="25" t="n"/>
      <c r="AC5845" s="195" t="n"/>
      <c r="AD5845" s="25" t="n"/>
      <c r="AE5845" s="25" t="n"/>
      <c r="AG5845" s="25" t="n"/>
      <c r="AH5845" s="25" t="n"/>
      <c r="AI5845" s="394" t="n"/>
      <c r="AM5845" s="48" t="n"/>
      <c r="AN5845" s="48" t="n"/>
      <c r="AO5845" s="48" t="n"/>
    </row>
    <row r="5846">
      <c r="M5846" s="25" t="n"/>
      <c r="Q5846" s="25" t="n"/>
      <c r="U5846" s="194" t="n"/>
      <c r="AA5846" s="25" t="n"/>
      <c r="AB5846" s="25" t="n"/>
      <c r="AC5846" s="195" t="n"/>
      <c r="AD5846" s="25" t="n"/>
      <c r="AE5846" s="25" t="n"/>
      <c r="AG5846" s="25" t="n"/>
      <c r="AH5846" s="25" t="n"/>
      <c r="AI5846" s="394" t="n"/>
      <c r="AM5846" s="48" t="n"/>
      <c r="AN5846" s="48" t="n"/>
      <c r="AO5846" s="48" t="n"/>
    </row>
    <row r="5847">
      <c r="M5847" s="25" t="n"/>
      <c r="Q5847" s="25" t="n"/>
      <c r="U5847" s="194" t="n"/>
      <c r="AA5847" s="25" t="n"/>
      <c r="AB5847" s="25" t="n"/>
      <c r="AC5847" s="195" t="n"/>
      <c r="AD5847" s="25" t="n"/>
      <c r="AE5847" s="25" t="n"/>
      <c r="AG5847" s="25" t="n"/>
      <c r="AH5847" s="25" t="n"/>
      <c r="AI5847" s="394" t="n"/>
      <c r="AM5847" s="48" t="n"/>
      <c r="AN5847" s="48" t="n"/>
      <c r="AO5847" s="48" t="n"/>
    </row>
    <row r="5848">
      <c r="M5848" s="25" t="n"/>
      <c r="Q5848" s="25" t="n"/>
      <c r="U5848" s="194" t="n"/>
      <c r="AA5848" s="25" t="n"/>
      <c r="AB5848" s="25" t="n"/>
      <c r="AC5848" s="195" t="n"/>
      <c r="AD5848" s="25" t="n"/>
      <c r="AE5848" s="25" t="n"/>
      <c r="AG5848" s="25" t="n"/>
      <c r="AH5848" s="25" t="n"/>
      <c r="AI5848" s="394" t="n"/>
      <c r="AM5848" s="48" t="n"/>
      <c r="AN5848" s="48" t="n"/>
      <c r="AO5848" s="48" t="n"/>
    </row>
    <row r="5849">
      <c r="M5849" s="25" t="n"/>
      <c r="Q5849" s="25" t="n"/>
      <c r="U5849" s="194" t="n"/>
      <c r="AA5849" s="25" t="n"/>
      <c r="AB5849" s="25" t="n"/>
      <c r="AC5849" s="195" t="n"/>
      <c r="AD5849" s="25" t="n"/>
      <c r="AE5849" s="25" t="n"/>
      <c r="AG5849" s="25" t="n"/>
      <c r="AH5849" s="25" t="n"/>
      <c r="AI5849" s="394" t="n"/>
      <c r="AM5849" s="48" t="n"/>
      <c r="AN5849" s="48" t="n"/>
      <c r="AO5849" s="48" t="n"/>
    </row>
    <row r="5850">
      <c r="M5850" s="25" t="n"/>
      <c r="Q5850" s="25" t="n"/>
      <c r="U5850" s="194" t="n"/>
      <c r="AA5850" s="25" t="n"/>
      <c r="AB5850" s="25" t="n"/>
      <c r="AC5850" s="195" t="n"/>
      <c r="AD5850" s="25" t="n"/>
      <c r="AE5850" s="25" t="n"/>
      <c r="AG5850" s="25" t="n"/>
      <c r="AH5850" s="25" t="n"/>
      <c r="AI5850" s="394" t="n"/>
      <c r="AM5850" s="48" t="n"/>
      <c r="AN5850" s="48" t="n"/>
      <c r="AO5850" s="48" t="n"/>
    </row>
    <row r="5851">
      <c r="M5851" s="25" t="n"/>
      <c r="Q5851" s="25" t="n"/>
      <c r="U5851" s="194" t="n"/>
      <c r="AA5851" s="25" t="n"/>
      <c r="AB5851" s="25" t="n"/>
      <c r="AC5851" s="195" t="n"/>
      <c r="AD5851" s="25" t="n"/>
      <c r="AE5851" s="25" t="n"/>
      <c r="AG5851" s="25" t="n"/>
      <c r="AH5851" s="25" t="n"/>
      <c r="AI5851" s="394" t="n"/>
      <c r="AM5851" s="48" t="n"/>
      <c r="AN5851" s="48" t="n"/>
      <c r="AO5851" s="48" t="n"/>
    </row>
    <row r="5852">
      <c r="M5852" s="25" t="n"/>
      <c r="Q5852" s="25" t="n"/>
      <c r="U5852" s="194" t="n"/>
      <c r="AA5852" s="25" t="n"/>
      <c r="AB5852" s="25" t="n"/>
      <c r="AC5852" s="195" t="n"/>
      <c r="AD5852" s="25" t="n"/>
      <c r="AE5852" s="25" t="n"/>
      <c r="AG5852" s="25" t="n"/>
      <c r="AH5852" s="25" t="n"/>
      <c r="AI5852" s="394" t="n"/>
      <c r="AM5852" s="48" t="n"/>
      <c r="AN5852" s="48" t="n"/>
      <c r="AO5852" s="48" t="n"/>
    </row>
    <row r="5853">
      <c r="M5853" s="25" t="n"/>
      <c r="Q5853" s="25" t="n"/>
      <c r="U5853" s="194" t="n"/>
      <c r="AA5853" s="25" t="n"/>
      <c r="AB5853" s="25" t="n"/>
      <c r="AC5853" s="195" t="n"/>
      <c r="AD5853" s="25" t="n"/>
      <c r="AE5853" s="25" t="n"/>
      <c r="AG5853" s="25" t="n"/>
      <c r="AH5853" s="25" t="n"/>
      <c r="AI5853" s="394" t="n"/>
      <c r="AM5853" s="48" t="n"/>
      <c r="AN5853" s="48" t="n"/>
      <c r="AO5853" s="48" t="n"/>
    </row>
    <row r="5854">
      <c r="M5854" s="25" t="n"/>
      <c r="Q5854" s="25" t="n"/>
      <c r="U5854" s="194" t="n"/>
      <c r="AA5854" s="25" t="n"/>
      <c r="AB5854" s="25" t="n"/>
      <c r="AC5854" s="195" t="n"/>
      <c r="AD5854" s="25" t="n"/>
      <c r="AE5854" s="25" t="n"/>
      <c r="AG5854" s="25" t="n"/>
      <c r="AH5854" s="25" t="n"/>
      <c r="AI5854" s="394" t="n"/>
      <c r="AM5854" s="48" t="n"/>
      <c r="AN5854" s="48" t="n"/>
      <c r="AO5854" s="48" t="n"/>
    </row>
    <row r="5855">
      <c r="M5855" s="25" t="n"/>
      <c r="Q5855" s="25" t="n"/>
      <c r="U5855" s="194" t="n"/>
      <c r="AA5855" s="25" t="n"/>
      <c r="AB5855" s="25" t="n"/>
      <c r="AC5855" s="195" t="n"/>
      <c r="AD5855" s="25" t="n"/>
      <c r="AE5855" s="25" t="n"/>
      <c r="AG5855" s="25" t="n"/>
      <c r="AH5855" s="25" t="n"/>
      <c r="AI5855" s="394" t="n"/>
      <c r="AM5855" s="48" t="n"/>
      <c r="AN5855" s="48" t="n"/>
      <c r="AO5855" s="48" t="n"/>
    </row>
    <row r="5856">
      <c r="M5856" s="25" t="n"/>
      <c r="Q5856" s="25" t="n"/>
      <c r="U5856" s="194" t="n"/>
      <c r="AA5856" s="25" t="n"/>
      <c r="AB5856" s="25" t="n"/>
      <c r="AC5856" s="195" t="n"/>
      <c r="AD5856" s="25" t="n"/>
      <c r="AE5856" s="25" t="n"/>
      <c r="AG5856" s="25" t="n"/>
      <c r="AH5856" s="25" t="n"/>
      <c r="AI5856" s="394" t="n"/>
      <c r="AM5856" s="48" t="n"/>
      <c r="AN5856" s="48" t="n"/>
      <c r="AO5856" s="48" t="n"/>
    </row>
    <row r="5857">
      <c r="M5857" s="25" t="n"/>
      <c r="Q5857" s="25" t="n"/>
      <c r="U5857" s="194" t="n"/>
      <c r="AA5857" s="25" t="n"/>
      <c r="AB5857" s="25" t="n"/>
      <c r="AC5857" s="195" t="n"/>
      <c r="AD5857" s="25" t="n"/>
      <c r="AE5857" s="25" t="n"/>
      <c r="AG5857" s="25" t="n"/>
      <c r="AH5857" s="25" t="n"/>
      <c r="AI5857" s="394" t="n"/>
      <c r="AM5857" s="48" t="n"/>
      <c r="AN5857" s="48" t="n"/>
      <c r="AO5857" s="48" t="n"/>
    </row>
    <row r="5858">
      <c r="M5858" s="25" t="n"/>
      <c r="Q5858" s="25" t="n"/>
      <c r="U5858" s="194" t="n"/>
      <c r="AA5858" s="25" t="n"/>
      <c r="AB5858" s="25" t="n"/>
      <c r="AC5858" s="195" t="n"/>
      <c r="AD5858" s="25" t="n"/>
      <c r="AE5858" s="25" t="n"/>
      <c r="AG5858" s="25" t="n"/>
      <c r="AH5858" s="25" t="n"/>
      <c r="AI5858" s="394" t="n"/>
      <c r="AM5858" s="48" t="n"/>
      <c r="AN5858" s="48" t="n"/>
      <c r="AO5858" s="48" t="n"/>
    </row>
    <row r="5859">
      <c r="M5859" s="25" t="n"/>
      <c r="Q5859" s="25" t="n"/>
      <c r="U5859" s="194" t="n"/>
      <c r="AA5859" s="25" t="n"/>
      <c r="AB5859" s="25" t="n"/>
      <c r="AC5859" s="195" t="n"/>
      <c r="AD5859" s="25" t="n"/>
      <c r="AE5859" s="25" t="n"/>
      <c r="AG5859" s="25" t="n"/>
      <c r="AH5859" s="25" t="n"/>
      <c r="AI5859" s="394" t="n"/>
      <c r="AM5859" s="48" t="n"/>
      <c r="AN5859" s="48" t="n"/>
      <c r="AO5859" s="48" t="n"/>
    </row>
    <row r="5860">
      <c r="M5860" s="25" t="n"/>
      <c r="Q5860" s="25" t="n"/>
      <c r="U5860" s="194" t="n"/>
      <c r="AA5860" s="25" t="n"/>
      <c r="AB5860" s="25" t="n"/>
      <c r="AC5860" s="195" t="n"/>
      <c r="AD5860" s="25" t="n"/>
      <c r="AE5860" s="25" t="n"/>
      <c r="AG5860" s="25" t="n"/>
      <c r="AH5860" s="25" t="n"/>
      <c r="AI5860" s="394" t="n"/>
      <c r="AM5860" s="48" t="n"/>
      <c r="AN5860" s="48" t="n"/>
      <c r="AO5860" s="48" t="n"/>
    </row>
    <row r="5861">
      <c r="M5861" s="25" t="n"/>
      <c r="Q5861" s="25" t="n"/>
      <c r="U5861" s="194" t="n"/>
      <c r="AA5861" s="25" t="n"/>
      <c r="AB5861" s="25" t="n"/>
      <c r="AC5861" s="195" t="n"/>
      <c r="AD5861" s="25" t="n"/>
      <c r="AE5861" s="25" t="n"/>
      <c r="AG5861" s="25" t="n"/>
      <c r="AH5861" s="25" t="n"/>
      <c r="AI5861" s="394" t="n"/>
      <c r="AM5861" s="48" t="n"/>
      <c r="AN5861" s="48" t="n"/>
      <c r="AO5861" s="48" t="n"/>
    </row>
    <row r="5862">
      <c r="M5862" s="25" t="n"/>
      <c r="Q5862" s="25" t="n"/>
      <c r="U5862" s="194" t="n"/>
      <c r="AA5862" s="25" t="n"/>
      <c r="AB5862" s="25" t="n"/>
      <c r="AC5862" s="195" t="n"/>
      <c r="AD5862" s="25" t="n"/>
      <c r="AE5862" s="25" t="n"/>
      <c r="AG5862" s="25" t="n"/>
      <c r="AH5862" s="25" t="n"/>
      <c r="AI5862" s="394" t="n"/>
      <c r="AM5862" s="48" t="n"/>
      <c r="AN5862" s="48" t="n"/>
      <c r="AO5862" s="48" t="n"/>
    </row>
    <row r="5863">
      <c r="M5863" s="25" t="n"/>
      <c r="Q5863" s="25" t="n"/>
      <c r="U5863" s="194" t="n"/>
      <c r="AA5863" s="25" t="n"/>
      <c r="AB5863" s="25" t="n"/>
      <c r="AC5863" s="195" t="n"/>
      <c r="AD5863" s="25" t="n"/>
      <c r="AE5863" s="25" t="n"/>
      <c r="AG5863" s="25" t="n"/>
      <c r="AH5863" s="25" t="n"/>
      <c r="AI5863" s="394" t="n"/>
      <c r="AM5863" s="48" t="n"/>
      <c r="AN5863" s="48" t="n"/>
      <c r="AO5863" s="48" t="n"/>
    </row>
    <row r="5864">
      <c r="M5864" s="25" t="n"/>
      <c r="Q5864" s="25" t="n"/>
      <c r="U5864" s="194" t="n"/>
      <c r="AA5864" s="25" t="n"/>
      <c r="AB5864" s="25" t="n"/>
      <c r="AC5864" s="195" t="n"/>
      <c r="AD5864" s="25" t="n"/>
      <c r="AE5864" s="25" t="n"/>
      <c r="AG5864" s="25" t="n"/>
      <c r="AH5864" s="25" t="n"/>
      <c r="AI5864" s="394" t="n"/>
      <c r="AM5864" s="48" t="n"/>
      <c r="AN5864" s="48" t="n"/>
      <c r="AO5864" s="48" t="n"/>
    </row>
    <row r="5865">
      <c r="M5865" s="25" t="n"/>
      <c r="Q5865" s="25" t="n"/>
      <c r="U5865" s="194" t="n"/>
      <c r="AA5865" s="25" t="n"/>
      <c r="AB5865" s="25" t="n"/>
      <c r="AC5865" s="195" t="n"/>
      <c r="AD5865" s="25" t="n"/>
      <c r="AE5865" s="25" t="n"/>
      <c r="AG5865" s="25" t="n"/>
      <c r="AH5865" s="25" t="n"/>
      <c r="AI5865" s="394" t="n"/>
      <c r="AM5865" s="48" t="n"/>
      <c r="AN5865" s="48" t="n"/>
      <c r="AO5865" s="48" t="n"/>
    </row>
    <row r="5866">
      <c r="M5866" s="25" t="n"/>
      <c r="Q5866" s="25" t="n"/>
      <c r="U5866" s="194" t="n"/>
      <c r="AA5866" s="25" t="n"/>
      <c r="AB5866" s="25" t="n"/>
      <c r="AC5866" s="195" t="n"/>
      <c r="AD5866" s="25" t="n"/>
      <c r="AE5866" s="25" t="n"/>
      <c r="AG5866" s="25" t="n"/>
      <c r="AH5866" s="25" t="n"/>
      <c r="AI5866" s="394" t="n"/>
      <c r="AM5866" s="48" t="n"/>
      <c r="AN5866" s="48" t="n"/>
      <c r="AO5866" s="48" t="n"/>
    </row>
    <row r="5867">
      <c r="M5867" s="25" t="n"/>
      <c r="Q5867" s="25" t="n"/>
      <c r="U5867" s="194" t="n"/>
      <c r="AA5867" s="25" t="n"/>
      <c r="AB5867" s="25" t="n"/>
      <c r="AC5867" s="195" t="n"/>
      <c r="AD5867" s="25" t="n"/>
      <c r="AE5867" s="25" t="n"/>
      <c r="AG5867" s="25" t="n"/>
      <c r="AH5867" s="25" t="n"/>
      <c r="AI5867" s="394" t="n"/>
      <c r="AM5867" s="48" t="n"/>
      <c r="AN5867" s="48" t="n"/>
      <c r="AO5867" s="48" t="n"/>
    </row>
    <row r="5868">
      <c r="M5868" s="25" t="n"/>
      <c r="Q5868" s="25" t="n"/>
      <c r="U5868" s="194" t="n"/>
      <c r="AA5868" s="25" t="n"/>
      <c r="AB5868" s="25" t="n"/>
      <c r="AC5868" s="195" t="n"/>
      <c r="AD5868" s="25" t="n"/>
      <c r="AE5868" s="25" t="n"/>
      <c r="AG5868" s="25" t="n"/>
      <c r="AH5868" s="25" t="n"/>
      <c r="AI5868" s="394" t="n"/>
      <c r="AM5868" s="48" t="n"/>
      <c r="AN5868" s="48" t="n"/>
      <c r="AO5868" s="48" t="n"/>
    </row>
    <row r="5869">
      <c r="M5869" s="25" t="n"/>
      <c r="Q5869" s="25" t="n"/>
      <c r="U5869" s="194" t="n"/>
      <c r="AA5869" s="25" t="n"/>
      <c r="AB5869" s="25" t="n"/>
      <c r="AC5869" s="195" t="n"/>
      <c r="AD5869" s="25" t="n"/>
      <c r="AE5869" s="25" t="n"/>
      <c r="AG5869" s="25" t="n"/>
      <c r="AH5869" s="25" t="n"/>
      <c r="AI5869" s="394" t="n"/>
      <c r="AM5869" s="48" t="n"/>
      <c r="AN5869" s="48" t="n"/>
      <c r="AO5869" s="48" t="n"/>
    </row>
    <row r="5870">
      <c r="M5870" s="25" t="n"/>
      <c r="Q5870" s="25" t="n"/>
      <c r="U5870" s="194" t="n"/>
      <c r="AA5870" s="25" t="n"/>
      <c r="AB5870" s="25" t="n"/>
      <c r="AC5870" s="195" t="n"/>
      <c r="AD5870" s="25" t="n"/>
      <c r="AE5870" s="25" t="n"/>
      <c r="AG5870" s="25" t="n"/>
      <c r="AH5870" s="25" t="n"/>
      <c r="AI5870" s="394" t="n"/>
      <c r="AM5870" s="48" t="n"/>
      <c r="AN5870" s="48" t="n"/>
      <c r="AO5870" s="48" t="n"/>
    </row>
    <row r="5871">
      <c r="M5871" s="25" t="n"/>
      <c r="Q5871" s="25" t="n"/>
      <c r="U5871" s="194" t="n"/>
      <c r="AA5871" s="25" t="n"/>
      <c r="AB5871" s="25" t="n"/>
      <c r="AC5871" s="195" t="n"/>
      <c r="AD5871" s="25" t="n"/>
      <c r="AE5871" s="25" t="n"/>
      <c r="AG5871" s="25" t="n"/>
      <c r="AH5871" s="25" t="n"/>
      <c r="AI5871" s="394" t="n"/>
      <c r="AM5871" s="48" t="n"/>
      <c r="AN5871" s="48" t="n"/>
      <c r="AO5871" s="48" t="n"/>
    </row>
    <row r="5872">
      <c r="M5872" s="25" t="n"/>
      <c r="Q5872" s="25" t="n"/>
      <c r="U5872" s="194" t="n"/>
      <c r="AA5872" s="25" t="n"/>
      <c r="AB5872" s="25" t="n"/>
      <c r="AC5872" s="195" t="n"/>
      <c r="AD5872" s="25" t="n"/>
      <c r="AE5872" s="25" t="n"/>
      <c r="AG5872" s="25" t="n"/>
      <c r="AH5872" s="25" t="n"/>
      <c r="AI5872" s="394" t="n"/>
      <c r="AM5872" s="48" t="n"/>
      <c r="AN5872" s="48" t="n"/>
      <c r="AO5872" s="48" t="n"/>
    </row>
    <row r="5873">
      <c r="M5873" s="25" t="n"/>
      <c r="Q5873" s="25" t="n"/>
      <c r="U5873" s="194" t="n"/>
      <c r="AA5873" s="25" t="n"/>
      <c r="AB5873" s="25" t="n"/>
      <c r="AC5873" s="195" t="n"/>
      <c r="AD5873" s="25" t="n"/>
      <c r="AE5873" s="25" t="n"/>
      <c r="AG5873" s="25" t="n"/>
      <c r="AH5873" s="25" t="n"/>
      <c r="AI5873" s="394" t="n"/>
      <c r="AM5873" s="48" t="n"/>
      <c r="AN5873" s="48" t="n"/>
      <c r="AO5873" s="48" t="n"/>
    </row>
    <row r="5874">
      <c r="M5874" s="25" t="n"/>
      <c r="Q5874" s="25" t="n"/>
      <c r="U5874" s="194" t="n"/>
      <c r="AA5874" s="25" t="n"/>
      <c r="AB5874" s="25" t="n"/>
      <c r="AC5874" s="195" t="n"/>
      <c r="AD5874" s="25" t="n"/>
      <c r="AE5874" s="25" t="n"/>
      <c r="AG5874" s="25" t="n"/>
      <c r="AH5874" s="25" t="n"/>
      <c r="AI5874" s="394" t="n"/>
      <c r="AM5874" s="48" t="n"/>
      <c r="AN5874" s="48" t="n"/>
      <c r="AO5874" s="48" t="n"/>
    </row>
    <row r="5875">
      <c r="M5875" s="25" t="n"/>
      <c r="Q5875" s="25" t="n"/>
      <c r="U5875" s="194" t="n"/>
      <c r="AA5875" s="25" t="n"/>
      <c r="AB5875" s="25" t="n"/>
      <c r="AC5875" s="195" t="n"/>
      <c r="AD5875" s="25" t="n"/>
      <c r="AE5875" s="25" t="n"/>
      <c r="AG5875" s="25" t="n"/>
      <c r="AH5875" s="25" t="n"/>
      <c r="AI5875" s="394" t="n"/>
      <c r="AM5875" s="48" t="n"/>
      <c r="AN5875" s="48" t="n"/>
      <c r="AO5875" s="48" t="n"/>
    </row>
    <row r="5876">
      <c r="M5876" s="25" t="n"/>
      <c r="Q5876" s="25" t="n"/>
      <c r="U5876" s="194" t="n"/>
      <c r="AA5876" s="25" t="n"/>
      <c r="AB5876" s="25" t="n"/>
      <c r="AC5876" s="195" t="n"/>
      <c r="AD5876" s="25" t="n"/>
      <c r="AE5876" s="25" t="n"/>
      <c r="AG5876" s="25" t="n"/>
      <c r="AH5876" s="25" t="n"/>
      <c r="AI5876" s="394" t="n"/>
      <c r="AM5876" s="48" t="n"/>
      <c r="AN5876" s="48" t="n"/>
      <c r="AO5876" s="48" t="n"/>
    </row>
    <row r="5877">
      <c r="M5877" s="25" t="n"/>
      <c r="Q5877" s="25" t="n"/>
      <c r="U5877" s="194" t="n"/>
      <c r="AA5877" s="25" t="n"/>
      <c r="AB5877" s="25" t="n"/>
      <c r="AC5877" s="195" t="n"/>
      <c r="AD5877" s="25" t="n"/>
      <c r="AE5877" s="25" t="n"/>
      <c r="AG5877" s="25" t="n"/>
      <c r="AH5877" s="25" t="n"/>
      <c r="AI5877" s="394" t="n"/>
      <c r="AM5877" s="48" t="n"/>
      <c r="AN5877" s="48" t="n"/>
      <c r="AO5877" s="48" t="n"/>
    </row>
    <row r="5878">
      <c r="M5878" s="25" t="n"/>
      <c r="Q5878" s="25" t="n"/>
      <c r="U5878" s="194" t="n"/>
      <c r="AA5878" s="25" t="n"/>
      <c r="AB5878" s="25" t="n"/>
      <c r="AC5878" s="195" t="n"/>
      <c r="AD5878" s="25" t="n"/>
      <c r="AE5878" s="25" t="n"/>
      <c r="AG5878" s="25" t="n"/>
      <c r="AH5878" s="25" t="n"/>
      <c r="AI5878" s="394" t="n"/>
      <c r="AM5878" s="48" t="n"/>
      <c r="AN5878" s="48" t="n"/>
      <c r="AO5878" s="48" t="n"/>
    </row>
    <row r="5879">
      <c r="M5879" s="25" t="n"/>
      <c r="Q5879" s="25" t="n"/>
      <c r="U5879" s="194" t="n"/>
      <c r="AA5879" s="25" t="n"/>
      <c r="AB5879" s="25" t="n"/>
      <c r="AC5879" s="195" t="n"/>
      <c r="AD5879" s="25" t="n"/>
      <c r="AE5879" s="25" t="n"/>
      <c r="AG5879" s="25" t="n"/>
      <c r="AH5879" s="25" t="n"/>
      <c r="AI5879" s="394" t="n"/>
      <c r="AM5879" s="48" t="n"/>
      <c r="AN5879" s="48" t="n"/>
      <c r="AO5879" s="48" t="n"/>
    </row>
    <row r="5880">
      <c r="M5880" s="25" t="n"/>
      <c r="Q5880" s="25" t="n"/>
      <c r="U5880" s="194" t="n"/>
      <c r="AA5880" s="25" t="n"/>
      <c r="AB5880" s="25" t="n"/>
      <c r="AC5880" s="195" t="n"/>
      <c r="AD5880" s="25" t="n"/>
      <c r="AE5880" s="25" t="n"/>
      <c r="AG5880" s="25" t="n"/>
      <c r="AH5880" s="25" t="n"/>
      <c r="AI5880" s="394" t="n"/>
      <c r="AM5880" s="48" t="n"/>
      <c r="AN5880" s="48" t="n"/>
      <c r="AO5880" s="48" t="n"/>
    </row>
    <row r="5881">
      <c r="M5881" s="25" t="n"/>
      <c r="Q5881" s="25" t="n"/>
      <c r="U5881" s="194" t="n"/>
      <c r="AA5881" s="25" t="n"/>
      <c r="AB5881" s="25" t="n"/>
      <c r="AC5881" s="195" t="n"/>
      <c r="AD5881" s="25" t="n"/>
      <c r="AE5881" s="25" t="n"/>
      <c r="AG5881" s="25" t="n"/>
      <c r="AH5881" s="25" t="n"/>
      <c r="AI5881" s="394" t="n"/>
      <c r="AM5881" s="48" t="n"/>
      <c r="AN5881" s="48" t="n"/>
      <c r="AO5881" s="48" t="n"/>
    </row>
    <row r="5882">
      <c r="M5882" s="25" t="n"/>
      <c r="Q5882" s="25" t="n"/>
      <c r="U5882" s="194" t="n"/>
      <c r="AA5882" s="25" t="n"/>
      <c r="AB5882" s="25" t="n"/>
      <c r="AC5882" s="195" t="n"/>
      <c r="AD5882" s="25" t="n"/>
      <c r="AE5882" s="25" t="n"/>
      <c r="AG5882" s="25" t="n"/>
      <c r="AH5882" s="25" t="n"/>
      <c r="AI5882" s="394" t="n"/>
      <c r="AM5882" s="48" t="n"/>
      <c r="AN5882" s="48" t="n"/>
      <c r="AO5882" s="48" t="n"/>
    </row>
    <row r="5883">
      <c r="M5883" s="25" t="n"/>
      <c r="Q5883" s="25" t="n"/>
      <c r="U5883" s="194" t="n"/>
      <c r="AA5883" s="25" t="n"/>
      <c r="AB5883" s="25" t="n"/>
      <c r="AC5883" s="195" t="n"/>
      <c r="AD5883" s="25" t="n"/>
      <c r="AE5883" s="25" t="n"/>
      <c r="AG5883" s="25" t="n"/>
      <c r="AH5883" s="25" t="n"/>
      <c r="AI5883" s="394" t="n"/>
      <c r="AM5883" s="48" t="n"/>
      <c r="AN5883" s="48" t="n"/>
      <c r="AO5883" s="48" t="n"/>
    </row>
    <row r="5884">
      <c r="M5884" s="25" t="n"/>
      <c r="Q5884" s="25" t="n"/>
      <c r="U5884" s="194" t="n"/>
      <c r="AA5884" s="25" t="n"/>
      <c r="AB5884" s="25" t="n"/>
      <c r="AC5884" s="195" t="n"/>
      <c r="AD5884" s="25" t="n"/>
      <c r="AE5884" s="25" t="n"/>
      <c r="AG5884" s="25" t="n"/>
      <c r="AH5884" s="25" t="n"/>
      <c r="AI5884" s="394" t="n"/>
      <c r="AM5884" s="48" t="n"/>
      <c r="AN5884" s="48" t="n"/>
      <c r="AO5884" s="48" t="n"/>
    </row>
    <row r="5885">
      <c r="M5885" s="25" t="n"/>
      <c r="Q5885" s="25" t="n"/>
      <c r="U5885" s="194" t="n"/>
      <c r="AA5885" s="25" t="n"/>
      <c r="AB5885" s="25" t="n"/>
      <c r="AC5885" s="195" t="n"/>
      <c r="AD5885" s="25" t="n"/>
      <c r="AE5885" s="25" t="n"/>
      <c r="AG5885" s="25" t="n"/>
      <c r="AH5885" s="25" t="n"/>
      <c r="AI5885" s="394" t="n"/>
      <c r="AM5885" s="48" t="n"/>
      <c r="AN5885" s="48" t="n"/>
      <c r="AO5885" s="48" t="n"/>
    </row>
    <row r="5886">
      <c r="M5886" s="25" t="n"/>
      <c r="Q5886" s="25" t="n"/>
      <c r="U5886" s="194" t="n"/>
      <c r="AA5886" s="25" t="n"/>
      <c r="AB5886" s="25" t="n"/>
      <c r="AC5886" s="195" t="n"/>
      <c r="AD5886" s="25" t="n"/>
      <c r="AE5886" s="25" t="n"/>
      <c r="AG5886" s="25" t="n"/>
      <c r="AH5886" s="25" t="n"/>
      <c r="AI5886" s="394" t="n"/>
      <c r="AM5886" s="48" t="n"/>
      <c r="AN5886" s="48" t="n"/>
      <c r="AO5886" s="48" t="n"/>
    </row>
    <row r="5887">
      <c r="M5887" s="25" t="n"/>
      <c r="Q5887" s="25" t="n"/>
      <c r="U5887" s="194" t="n"/>
      <c r="AA5887" s="25" t="n"/>
      <c r="AB5887" s="25" t="n"/>
      <c r="AC5887" s="195" t="n"/>
      <c r="AD5887" s="25" t="n"/>
      <c r="AE5887" s="25" t="n"/>
      <c r="AG5887" s="25" t="n"/>
      <c r="AH5887" s="25" t="n"/>
      <c r="AI5887" s="394" t="n"/>
      <c r="AM5887" s="48" t="n"/>
      <c r="AN5887" s="48" t="n"/>
      <c r="AO5887" s="48" t="n"/>
    </row>
    <row r="5888">
      <c r="M5888" s="25" t="n"/>
      <c r="Q5888" s="25" t="n"/>
      <c r="U5888" s="194" t="n"/>
      <c r="AA5888" s="25" t="n"/>
      <c r="AB5888" s="25" t="n"/>
      <c r="AC5888" s="195" t="n"/>
      <c r="AD5888" s="25" t="n"/>
      <c r="AE5888" s="25" t="n"/>
      <c r="AG5888" s="25" t="n"/>
      <c r="AH5888" s="25" t="n"/>
      <c r="AI5888" s="394" t="n"/>
      <c r="AM5888" s="48" t="n"/>
      <c r="AN5888" s="48" t="n"/>
      <c r="AO5888" s="48" t="n"/>
    </row>
    <row r="5889">
      <c r="M5889" s="25" t="n"/>
      <c r="Q5889" s="25" t="n"/>
      <c r="U5889" s="194" t="n"/>
      <c r="AA5889" s="25" t="n"/>
      <c r="AB5889" s="25" t="n"/>
      <c r="AC5889" s="195" t="n"/>
      <c r="AD5889" s="25" t="n"/>
      <c r="AE5889" s="25" t="n"/>
      <c r="AG5889" s="25" t="n"/>
      <c r="AH5889" s="25" t="n"/>
      <c r="AI5889" s="394" t="n"/>
      <c r="AM5889" s="48" t="n"/>
      <c r="AN5889" s="48" t="n"/>
      <c r="AO5889" s="48" t="n"/>
    </row>
    <row r="5890">
      <c r="M5890" s="25" t="n"/>
      <c r="Q5890" s="25" t="n"/>
      <c r="U5890" s="194" t="n"/>
      <c r="AA5890" s="25" t="n"/>
      <c r="AB5890" s="25" t="n"/>
      <c r="AC5890" s="195" t="n"/>
      <c r="AD5890" s="25" t="n"/>
      <c r="AE5890" s="25" t="n"/>
      <c r="AG5890" s="25" t="n"/>
      <c r="AH5890" s="25" t="n"/>
      <c r="AI5890" s="394" t="n"/>
      <c r="AM5890" s="48" t="n"/>
      <c r="AN5890" s="48" t="n"/>
      <c r="AO5890" s="48" t="n"/>
    </row>
    <row r="5891">
      <c r="M5891" s="25" t="n"/>
      <c r="Q5891" s="25" t="n"/>
      <c r="U5891" s="194" t="n"/>
      <c r="AA5891" s="25" t="n"/>
      <c r="AB5891" s="25" t="n"/>
      <c r="AC5891" s="195" t="n"/>
      <c r="AD5891" s="25" t="n"/>
      <c r="AE5891" s="25" t="n"/>
      <c r="AG5891" s="25" t="n"/>
      <c r="AH5891" s="25" t="n"/>
      <c r="AI5891" s="394" t="n"/>
      <c r="AM5891" s="48" t="n"/>
      <c r="AN5891" s="48" t="n"/>
      <c r="AO5891" s="48" t="n"/>
    </row>
    <row r="5892">
      <c r="M5892" s="25" t="n"/>
      <c r="Q5892" s="25" t="n"/>
      <c r="U5892" s="194" t="n"/>
      <c r="AA5892" s="25" t="n"/>
      <c r="AB5892" s="25" t="n"/>
      <c r="AC5892" s="195" t="n"/>
      <c r="AD5892" s="25" t="n"/>
      <c r="AE5892" s="25" t="n"/>
      <c r="AG5892" s="25" t="n"/>
      <c r="AH5892" s="25" t="n"/>
      <c r="AI5892" s="394" t="n"/>
      <c r="AM5892" s="48" t="n"/>
      <c r="AN5892" s="48" t="n"/>
      <c r="AO5892" s="48" t="n"/>
    </row>
    <row r="5893">
      <c r="M5893" s="25" t="n"/>
      <c r="Q5893" s="25" t="n"/>
      <c r="U5893" s="194" t="n"/>
      <c r="AA5893" s="25" t="n"/>
      <c r="AB5893" s="25" t="n"/>
      <c r="AC5893" s="195" t="n"/>
      <c r="AD5893" s="25" t="n"/>
      <c r="AE5893" s="25" t="n"/>
      <c r="AG5893" s="25" t="n"/>
      <c r="AH5893" s="25" t="n"/>
      <c r="AI5893" s="394" t="n"/>
      <c r="AM5893" s="48" t="n"/>
      <c r="AN5893" s="48" t="n"/>
      <c r="AO5893" s="48" t="n"/>
    </row>
    <row r="5894">
      <c r="M5894" s="25" t="n"/>
      <c r="Q5894" s="25" t="n"/>
      <c r="U5894" s="194" t="n"/>
      <c r="AA5894" s="25" t="n"/>
      <c r="AB5894" s="25" t="n"/>
      <c r="AC5894" s="195" t="n"/>
      <c r="AD5894" s="25" t="n"/>
      <c r="AE5894" s="25" t="n"/>
      <c r="AG5894" s="25" t="n"/>
      <c r="AH5894" s="25" t="n"/>
      <c r="AI5894" s="394" t="n"/>
      <c r="AM5894" s="48" t="n"/>
      <c r="AN5894" s="48" t="n"/>
      <c r="AO5894" s="48" t="n"/>
    </row>
    <row r="5895">
      <c r="M5895" s="25" t="n"/>
      <c r="Q5895" s="25" t="n"/>
      <c r="U5895" s="194" t="n"/>
      <c r="AA5895" s="25" t="n"/>
      <c r="AB5895" s="25" t="n"/>
      <c r="AC5895" s="195" t="n"/>
      <c r="AD5895" s="25" t="n"/>
      <c r="AE5895" s="25" t="n"/>
      <c r="AG5895" s="25" t="n"/>
      <c r="AH5895" s="25" t="n"/>
      <c r="AI5895" s="394" t="n"/>
      <c r="AM5895" s="48" t="n"/>
      <c r="AN5895" s="48" t="n"/>
      <c r="AO5895" s="48" t="n"/>
    </row>
    <row r="5896">
      <c r="M5896" s="25" t="n"/>
      <c r="Q5896" s="25" t="n"/>
      <c r="U5896" s="194" t="n"/>
      <c r="AA5896" s="25" t="n"/>
      <c r="AB5896" s="25" t="n"/>
      <c r="AC5896" s="195" t="n"/>
      <c r="AD5896" s="25" t="n"/>
      <c r="AE5896" s="25" t="n"/>
      <c r="AG5896" s="25" t="n"/>
      <c r="AH5896" s="25" t="n"/>
      <c r="AI5896" s="394" t="n"/>
      <c r="AM5896" s="48" t="n"/>
      <c r="AN5896" s="48" t="n"/>
      <c r="AO5896" s="48" t="n"/>
    </row>
    <row r="5897">
      <c r="M5897" s="25" t="n"/>
      <c r="Q5897" s="25" t="n"/>
      <c r="U5897" s="194" t="n"/>
      <c r="AA5897" s="25" t="n"/>
      <c r="AB5897" s="25" t="n"/>
      <c r="AC5897" s="195" t="n"/>
      <c r="AD5897" s="25" t="n"/>
      <c r="AE5897" s="25" t="n"/>
      <c r="AG5897" s="25" t="n"/>
      <c r="AH5897" s="25" t="n"/>
      <c r="AI5897" s="394" t="n"/>
      <c r="AM5897" s="48" t="n"/>
      <c r="AN5897" s="48" t="n"/>
      <c r="AO5897" s="48" t="n"/>
    </row>
    <row r="5898">
      <c r="M5898" s="25" t="n"/>
      <c r="Q5898" s="25" t="n"/>
      <c r="U5898" s="194" t="n"/>
      <c r="AA5898" s="25" t="n"/>
      <c r="AB5898" s="25" t="n"/>
      <c r="AC5898" s="195" t="n"/>
      <c r="AD5898" s="25" t="n"/>
      <c r="AE5898" s="25" t="n"/>
      <c r="AG5898" s="25" t="n"/>
      <c r="AH5898" s="25" t="n"/>
      <c r="AI5898" s="394" t="n"/>
      <c r="AM5898" s="48" t="n"/>
      <c r="AN5898" s="48" t="n"/>
      <c r="AO5898" s="48" t="n"/>
    </row>
    <row r="5899">
      <c r="M5899" s="25" t="n"/>
      <c r="Q5899" s="25" t="n"/>
      <c r="U5899" s="194" t="n"/>
      <c r="AA5899" s="25" t="n"/>
      <c r="AB5899" s="25" t="n"/>
      <c r="AC5899" s="195" t="n"/>
      <c r="AD5899" s="25" t="n"/>
      <c r="AE5899" s="25" t="n"/>
      <c r="AG5899" s="25" t="n"/>
      <c r="AH5899" s="25" t="n"/>
      <c r="AI5899" s="394" t="n"/>
      <c r="AM5899" s="48" t="n"/>
      <c r="AN5899" s="48" t="n"/>
      <c r="AO5899" s="48" t="n"/>
    </row>
    <row r="5900">
      <c r="M5900" s="25" t="n"/>
      <c r="Q5900" s="25" t="n"/>
      <c r="U5900" s="194" t="n"/>
      <c r="AA5900" s="25" t="n"/>
      <c r="AB5900" s="25" t="n"/>
      <c r="AC5900" s="195" t="n"/>
      <c r="AD5900" s="25" t="n"/>
      <c r="AE5900" s="25" t="n"/>
      <c r="AG5900" s="25" t="n"/>
      <c r="AH5900" s="25" t="n"/>
      <c r="AI5900" s="394" t="n"/>
      <c r="AM5900" s="48" t="n"/>
      <c r="AN5900" s="48" t="n"/>
      <c r="AO5900" s="48" t="n"/>
    </row>
    <row r="5901">
      <c r="M5901" s="25" t="n"/>
      <c r="Q5901" s="25" t="n"/>
      <c r="U5901" s="194" t="n"/>
      <c r="AA5901" s="25" t="n"/>
      <c r="AB5901" s="25" t="n"/>
      <c r="AC5901" s="195" t="n"/>
      <c r="AD5901" s="25" t="n"/>
      <c r="AE5901" s="25" t="n"/>
      <c r="AG5901" s="25" t="n"/>
      <c r="AH5901" s="25" t="n"/>
      <c r="AI5901" s="394" t="n"/>
      <c r="AM5901" s="48" t="n"/>
      <c r="AN5901" s="48" t="n"/>
      <c r="AO5901" s="48" t="n"/>
    </row>
    <row r="5902">
      <c r="M5902" s="25" t="n"/>
      <c r="Q5902" s="25" t="n"/>
      <c r="U5902" s="194" t="n"/>
      <c r="AA5902" s="25" t="n"/>
      <c r="AB5902" s="25" t="n"/>
      <c r="AC5902" s="195" t="n"/>
      <c r="AD5902" s="25" t="n"/>
      <c r="AE5902" s="25" t="n"/>
      <c r="AG5902" s="25" t="n"/>
      <c r="AH5902" s="25" t="n"/>
      <c r="AI5902" s="394" t="n"/>
      <c r="AM5902" s="48" t="n"/>
      <c r="AN5902" s="48" t="n"/>
      <c r="AO5902" s="48" t="n"/>
    </row>
    <row r="5903">
      <c r="M5903" s="25" t="n"/>
      <c r="Q5903" s="25" t="n"/>
      <c r="U5903" s="194" t="n"/>
      <c r="AA5903" s="25" t="n"/>
      <c r="AB5903" s="25" t="n"/>
      <c r="AC5903" s="195" t="n"/>
      <c r="AD5903" s="25" t="n"/>
      <c r="AE5903" s="25" t="n"/>
      <c r="AG5903" s="25" t="n"/>
      <c r="AH5903" s="25" t="n"/>
      <c r="AI5903" s="394" t="n"/>
      <c r="AM5903" s="48" t="n"/>
      <c r="AN5903" s="48" t="n"/>
      <c r="AO5903" s="48" t="n"/>
    </row>
    <row r="5904">
      <c r="M5904" s="25" t="n"/>
      <c r="Q5904" s="25" t="n"/>
      <c r="U5904" s="194" t="n"/>
      <c r="AA5904" s="25" t="n"/>
      <c r="AB5904" s="25" t="n"/>
      <c r="AC5904" s="195" t="n"/>
      <c r="AD5904" s="25" t="n"/>
      <c r="AE5904" s="25" t="n"/>
      <c r="AG5904" s="25" t="n"/>
      <c r="AH5904" s="25" t="n"/>
      <c r="AI5904" s="394" t="n"/>
      <c r="AM5904" s="48" t="n"/>
      <c r="AN5904" s="48" t="n"/>
      <c r="AO5904" s="48" t="n"/>
    </row>
    <row r="5905">
      <c r="M5905" s="25" t="n"/>
      <c r="Q5905" s="25" t="n"/>
      <c r="U5905" s="194" t="n"/>
      <c r="AA5905" s="25" t="n"/>
      <c r="AB5905" s="25" t="n"/>
      <c r="AC5905" s="195" t="n"/>
      <c r="AD5905" s="25" t="n"/>
      <c r="AE5905" s="25" t="n"/>
      <c r="AG5905" s="25" t="n"/>
      <c r="AH5905" s="25" t="n"/>
      <c r="AI5905" s="394" t="n"/>
      <c r="AM5905" s="48" t="n"/>
      <c r="AN5905" s="48" t="n"/>
      <c r="AO5905" s="48" t="n"/>
    </row>
    <row r="5906">
      <c r="M5906" s="25" t="n"/>
      <c r="Q5906" s="25" t="n"/>
      <c r="U5906" s="194" t="n"/>
      <c r="AA5906" s="25" t="n"/>
      <c r="AB5906" s="25" t="n"/>
      <c r="AC5906" s="195" t="n"/>
      <c r="AD5906" s="25" t="n"/>
      <c r="AE5906" s="25" t="n"/>
      <c r="AG5906" s="25" t="n"/>
      <c r="AH5906" s="25" t="n"/>
      <c r="AI5906" s="394" t="n"/>
      <c r="AM5906" s="48" t="n"/>
      <c r="AN5906" s="48" t="n"/>
      <c r="AO5906" s="48" t="n"/>
    </row>
    <row r="5907">
      <c r="M5907" s="25" t="n"/>
      <c r="Q5907" s="25" t="n"/>
      <c r="U5907" s="194" t="n"/>
      <c r="AA5907" s="25" t="n"/>
      <c r="AB5907" s="25" t="n"/>
      <c r="AC5907" s="195" t="n"/>
      <c r="AD5907" s="25" t="n"/>
      <c r="AE5907" s="25" t="n"/>
      <c r="AG5907" s="25" t="n"/>
      <c r="AH5907" s="25" t="n"/>
      <c r="AI5907" s="394" t="n"/>
      <c r="AM5907" s="48" t="n"/>
      <c r="AN5907" s="48" t="n"/>
      <c r="AO5907" s="48" t="n"/>
    </row>
    <row r="5908">
      <c r="M5908" s="25" t="n"/>
      <c r="Q5908" s="25" t="n"/>
      <c r="U5908" s="194" t="n"/>
      <c r="AA5908" s="25" t="n"/>
      <c r="AB5908" s="25" t="n"/>
      <c r="AC5908" s="195" t="n"/>
      <c r="AD5908" s="25" t="n"/>
      <c r="AE5908" s="25" t="n"/>
      <c r="AG5908" s="25" t="n"/>
      <c r="AH5908" s="25" t="n"/>
      <c r="AI5908" s="394" t="n"/>
      <c r="AM5908" s="48" t="n"/>
      <c r="AN5908" s="48" t="n"/>
      <c r="AO5908" s="48" t="n"/>
    </row>
    <row r="5909">
      <c r="M5909" s="25" t="n"/>
      <c r="Q5909" s="25" t="n"/>
      <c r="U5909" s="194" t="n"/>
      <c r="AA5909" s="25" t="n"/>
      <c r="AB5909" s="25" t="n"/>
      <c r="AC5909" s="195" t="n"/>
      <c r="AD5909" s="25" t="n"/>
      <c r="AE5909" s="25" t="n"/>
      <c r="AG5909" s="25" t="n"/>
      <c r="AH5909" s="25" t="n"/>
      <c r="AI5909" s="394" t="n"/>
      <c r="AM5909" s="48" t="n"/>
      <c r="AN5909" s="48" t="n"/>
      <c r="AO5909" s="48" t="n"/>
    </row>
    <row r="5910">
      <c r="M5910" s="25" t="n"/>
      <c r="Q5910" s="25" t="n"/>
      <c r="U5910" s="194" t="n"/>
      <c r="AA5910" s="25" t="n"/>
      <c r="AB5910" s="25" t="n"/>
      <c r="AC5910" s="195" t="n"/>
      <c r="AD5910" s="25" t="n"/>
      <c r="AE5910" s="25" t="n"/>
      <c r="AG5910" s="25" t="n"/>
      <c r="AH5910" s="25" t="n"/>
      <c r="AI5910" s="394" t="n"/>
      <c r="AM5910" s="48" t="n"/>
      <c r="AN5910" s="48" t="n"/>
      <c r="AO5910" s="48" t="n"/>
    </row>
    <row r="5911">
      <c r="M5911" s="25" t="n"/>
      <c r="Q5911" s="25" t="n"/>
      <c r="U5911" s="194" t="n"/>
      <c r="AA5911" s="25" t="n"/>
      <c r="AB5911" s="25" t="n"/>
      <c r="AC5911" s="195" t="n"/>
      <c r="AD5911" s="25" t="n"/>
      <c r="AE5911" s="25" t="n"/>
      <c r="AG5911" s="25" t="n"/>
      <c r="AH5911" s="25" t="n"/>
      <c r="AI5911" s="394" t="n"/>
      <c r="AM5911" s="48" t="n"/>
      <c r="AN5911" s="48" t="n"/>
      <c r="AO5911" s="48" t="n"/>
    </row>
    <row r="5912">
      <c r="M5912" s="25" t="n"/>
      <c r="Q5912" s="25" t="n"/>
      <c r="U5912" s="194" t="n"/>
      <c r="AA5912" s="25" t="n"/>
      <c r="AB5912" s="25" t="n"/>
      <c r="AC5912" s="195" t="n"/>
      <c r="AD5912" s="25" t="n"/>
      <c r="AE5912" s="25" t="n"/>
      <c r="AG5912" s="25" t="n"/>
      <c r="AH5912" s="25" t="n"/>
      <c r="AI5912" s="394" t="n"/>
      <c r="AM5912" s="48" t="n"/>
      <c r="AN5912" s="48" t="n"/>
      <c r="AO5912" s="48" t="n"/>
    </row>
    <row r="5913">
      <c r="M5913" s="25" t="n"/>
      <c r="Q5913" s="25" t="n"/>
      <c r="U5913" s="194" t="n"/>
      <c r="AA5913" s="25" t="n"/>
      <c r="AB5913" s="25" t="n"/>
      <c r="AC5913" s="195" t="n"/>
      <c r="AD5913" s="25" t="n"/>
      <c r="AE5913" s="25" t="n"/>
      <c r="AG5913" s="25" t="n"/>
      <c r="AH5913" s="25" t="n"/>
      <c r="AI5913" s="394" t="n"/>
      <c r="AM5913" s="48" t="n"/>
      <c r="AN5913" s="48" t="n"/>
      <c r="AO5913" s="48" t="n"/>
    </row>
    <row r="5914">
      <c r="M5914" s="25" t="n"/>
      <c r="Q5914" s="25" t="n"/>
      <c r="U5914" s="194" t="n"/>
      <c r="AA5914" s="25" t="n"/>
      <c r="AB5914" s="25" t="n"/>
      <c r="AC5914" s="195" t="n"/>
      <c r="AD5914" s="25" t="n"/>
      <c r="AE5914" s="25" t="n"/>
      <c r="AG5914" s="25" t="n"/>
      <c r="AH5914" s="25" t="n"/>
      <c r="AI5914" s="394" t="n"/>
      <c r="AM5914" s="48" t="n"/>
      <c r="AN5914" s="48" t="n"/>
      <c r="AO5914" s="48" t="n"/>
    </row>
    <row r="5915">
      <c r="M5915" s="25" t="n"/>
      <c r="Q5915" s="25" t="n"/>
      <c r="U5915" s="194" t="n"/>
      <c r="AA5915" s="25" t="n"/>
      <c r="AB5915" s="25" t="n"/>
      <c r="AC5915" s="195" t="n"/>
      <c r="AD5915" s="25" t="n"/>
      <c r="AE5915" s="25" t="n"/>
      <c r="AG5915" s="25" t="n"/>
      <c r="AH5915" s="25" t="n"/>
      <c r="AI5915" s="394" t="n"/>
      <c r="AM5915" s="48" t="n"/>
      <c r="AN5915" s="48" t="n"/>
      <c r="AO5915" s="48" t="n"/>
    </row>
    <row r="5916">
      <c r="M5916" s="25" t="n"/>
      <c r="Q5916" s="25" t="n"/>
      <c r="U5916" s="194" t="n"/>
      <c r="AA5916" s="25" t="n"/>
      <c r="AB5916" s="25" t="n"/>
      <c r="AC5916" s="195" t="n"/>
      <c r="AD5916" s="25" t="n"/>
      <c r="AE5916" s="25" t="n"/>
      <c r="AG5916" s="25" t="n"/>
      <c r="AH5916" s="25" t="n"/>
      <c r="AI5916" s="394" t="n"/>
      <c r="AM5916" s="48" t="n"/>
      <c r="AN5916" s="48" t="n"/>
      <c r="AO5916" s="48" t="n"/>
    </row>
    <row r="5917">
      <c r="M5917" s="25" t="n"/>
      <c r="Q5917" s="25" t="n"/>
      <c r="U5917" s="194" t="n"/>
      <c r="AA5917" s="25" t="n"/>
      <c r="AB5917" s="25" t="n"/>
      <c r="AC5917" s="195" t="n"/>
      <c r="AD5917" s="25" t="n"/>
      <c r="AE5917" s="25" t="n"/>
      <c r="AG5917" s="25" t="n"/>
      <c r="AH5917" s="25" t="n"/>
      <c r="AI5917" s="394" t="n"/>
      <c r="AM5917" s="48" t="n"/>
      <c r="AN5917" s="48" t="n"/>
      <c r="AO5917" s="48" t="n"/>
    </row>
    <row r="5918">
      <c r="M5918" s="25" t="n"/>
      <c r="Q5918" s="25" t="n"/>
      <c r="U5918" s="194" t="n"/>
      <c r="AA5918" s="25" t="n"/>
      <c r="AB5918" s="25" t="n"/>
      <c r="AC5918" s="195" t="n"/>
      <c r="AD5918" s="25" t="n"/>
      <c r="AE5918" s="25" t="n"/>
      <c r="AG5918" s="25" t="n"/>
      <c r="AH5918" s="25" t="n"/>
      <c r="AI5918" s="394" t="n"/>
      <c r="AM5918" s="48" t="n"/>
      <c r="AN5918" s="48" t="n"/>
      <c r="AO5918" s="48" t="n"/>
    </row>
    <row r="5919">
      <c r="M5919" s="25" t="n"/>
      <c r="Q5919" s="25" t="n"/>
      <c r="U5919" s="194" t="n"/>
      <c r="AA5919" s="25" t="n"/>
      <c r="AB5919" s="25" t="n"/>
      <c r="AC5919" s="195" t="n"/>
      <c r="AD5919" s="25" t="n"/>
      <c r="AE5919" s="25" t="n"/>
      <c r="AG5919" s="25" t="n"/>
      <c r="AH5919" s="25" t="n"/>
      <c r="AI5919" s="394" t="n"/>
      <c r="AM5919" s="48" t="n"/>
      <c r="AN5919" s="48" t="n"/>
      <c r="AO5919" s="48" t="n"/>
    </row>
    <row r="5920">
      <c r="M5920" s="25" t="n"/>
      <c r="Q5920" s="25" t="n"/>
      <c r="U5920" s="194" t="n"/>
      <c r="AA5920" s="25" t="n"/>
      <c r="AB5920" s="25" t="n"/>
      <c r="AC5920" s="195" t="n"/>
      <c r="AD5920" s="25" t="n"/>
      <c r="AE5920" s="25" t="n"/>
      <c r="AG5920" s="25" t="n"/>
      <c r="AH5920" s="25" t="n"/>
      <c r="AI5920" s="394" t="n"/>
      <c r="AM5920" s="48" t="n"/>
      <c r="AN5920" s="48" t="n"/>
      <c r="AO5920" s="48" t="n"/>
    </row>
    <row r="5921">
      <c r="M5921" s="25" t="n"/>
      <c r="Q5921" s="25" t="n"/>
      <c r="U5921" s="194" t="n"/>
      <c r="AA5921" s="25" t="n"/>
      <c r="AB5921" s="25" t="n"/>
      <c r="AC5921" s="195" t="n"/>
      <c r="AD5921" s="25" t="n"/>
      <c r="AE5921" s="25" t="n"/>
      <c r="AG5921" s="25" t="n"/>
      <c r="AH5921" s="25" t="n"/>
      <c r="AI5921" s="394" t="n"/>
      <c r="AM5921" s="48" t="n"/>
      <c r="AN5921" s="48" t="n"/>
      <c r="AO5921" s="48" t="n"/>
    </row>
    <row r="5922">
      <c r="M5922" s="25" t="n"/>
      <c r="Q5922" s="25" t="n"/>
      <c r="U5922" s="194" t="n"/>
      <c r="AA5922" s="25" t="n"/>
      <c r="AB5922" s="25" t="n"/>
      <c r="AC5922" s="195" t="n"/>
      <c r="AD5922" s="25" t="n"/>
      <c r="AE5922" s="25" t="n"/>
      <c r="AG5922" s="25" t="n"/>
      <c r="AH5922" s="25" t="n"/>
      <c r="AI5922" s="394" t="n"/>
      <c r="AM5922" s="48" t="n"/>
      <c r="AN5922" s="48" t="n"/>
      <c r="AO5922" s="48" t="n"/>
    </row>
    <row r="5923">
      <c r="M5923" s="25" t="n"/>
      <c r="Q5923" s="25" t="n"/>
      <c r="U5923" s="194" t="n"/>
      <c r="AA5923" s="25" t="n"/>
      <c r="AB5923" s="25" t="n"/>
      <c r="AC5923" s="195" t="n"/>
      <c r="AD5923" s="25" t="n"/>
      <c r="AE5923" s="25" t="n"/>
      <c r="AG5923" s="25" t="n"/>
      <c r="AH5923" s="25" t="n"/>
      <c r="AI5923" s="394" t="n"/>
      <c r="AM5923" s="48" t="n"/>
      <c r="AN5923" s="48" t="n"/>
      <c r="AO5923" s="48" t="n"/>
    </row>
    <row r="5924">
      <c r="M5924" s="25" t="n"/>
      <c r="Q5924" s="25" t="n"/>
      <c r="U5924" s="194" t="n"/>
      <c r="AA5924" s="25" t="n"/>
      <c r="AB5924" s="25" t="n"/>
      <c r="AC5924" s="195" t="n"/>
      <c r="AD5924" s="25" t="n"/>
      <c r="AE5924" s="25" t="n"/>
      <c r="AG5924" s="25" t="n"/>
      <c r="AH5924" s="25" t="n"/>
      <c r="AI5924" s="394" t="n"/>
      <c r="AM5924" s="48" t="n"/>
      <c r="AN5924" s="48" t="n"/>
      <c r="AO5924" s="48" t="n"/>
    </row>
    <row r="5925">
      <c r="M5925" s="25" t="n"/>
      <c r="Q5925" s="25" t="n"/>
      <c r="U5925" s="194" t="n"/>
      <c r="AA5925" s="25" t="n"/>
      <c r="AB5925" s="25" t="n"/>
      <c r="AC5925" s="195" t="n"/>
      <c r="AD5925" s="25" t="n"/>
      <c r="AE5925" s="25" t="n"/>
      <c r="AG5925" s="25" t="n"/>
      <c r="AH5925" s="25" t="n"/>
      <c r="AI5925" s="394" t="n"/>
      <c r="AM5925" s="48" t="n"/>
      <c r="AN5925" s="48" t="n"/>
      <c r="AO5925" s="48" t="n"/>
    </row>
    <row r="5926">
      <c r="M5926" s="25" t="n"/>
      <c r="Q5926" s="25" t="n"/>
      <c r="U5926" s="194" t="n"/>
      <c r="AA5926" s="25" t="n"/>
      <c r="AB5926" s="25" t="n"/>
      <c r="AC5926" s="195" t="n"/>
      <c r="AD5926" s="25" t="n"/>
      <c r="AE5926" s="25" t="n"/>
      <c r="AG5926" s="25" t="n"/>
      <c r="AH5926" s="25" t="n"/>
      <c r="AI5926" s="394" t="n"/>
      <c r="AM5926" s="48" t="n"/>
      <c r="AN5926" s="48" t="n"/>
      <c r="AO5926" s="48" t="n"/>
    </row>
    <row r="5927">
      <c r="M5927" s="25" t="n"/>
      <c r="Q5927" s="25" t="n"/>
      <c r="U5927" s="194" t="n"/>
      <c r="AA5927" s="25" t="n"/>
      <c r="AB5927" s="25" t="n"/>
      <c r="AC5927" s="195" t="n"/>
      <c r="AD5927" s="25" t="n"/>
      <c r="AE5927" s="25" t="n"/>
      <c r="AG5927" s="25" t="n"/>
      <c r="AH5927" s="25" t="n"/>
      <c r="AI5927" s="394" t="n"/>
      <c r="AM5927" s="48" t="n"/>
      <c r="AN5927" s="48" t="n"/>
      <c r="AO5927" s="48" t="n"/>
    </row>
    <row r="5928">
      <c r="M5928" s="25" t="n"/>
      <c r="Q5928" s="25" t="n"/>
      <c r="U5928" s="194" t="n"/>
      <c r="AA5928" s="25" t="n"/>
      <c r="AB5928" s="25" t="n"/>
      <c r="AC5928" s="195" t="n"/>
      <c r="AD5928" s="25" t="n"/>
      <c r="AE5928" s="25" t="n"/>
      <c r="AG5928" s="25" t="n"/>
      <c r="AH5928" s="25" t="n"/>
      <c r="AI5928" s="394" t="n"/>
      <c r="AM5928" s="48" t="n"/>
      <c r="AN5928" s="48" t="n"/>
      <c r="AO5928" s="48" t="n"/>
    </row>
    <row r="5929">
      <c r="M5929" s="25" t="n"/>
      <c r="Q5929" s="25" t="n"/>
      <c r="U5929" s="194" t="n"/>
      <c r="AA5929" s="25" t="n"/>
      <c r="AB5929" s="25" t="n"/>
      <c r="AC5929" s="195" t="n"/>
      <c r="AD5929" s="25" t="n"/>
      <c r="AE5929" s="25" t="n"/>
      <c r="AG5929" s="25" t="n"/>
      <c r="AH5929" s="25" t="n"/>
      <c r="AI5929" s="394" t="n"/>
      <c r="AM5929" s="48" t="n"/>
      <c r="AN5929" s="48" t="n"/>
      <c r="AO5929" s="48" t="n"/>
    </row>
    <row r="5930">
      <c r="M5930" s="25" t="n"/>
      <c r="Q5930" s="25" t="n"/>
      <c r="U5930" s="194" t="n"/>
      <c r="AA5930" s="25" t="n"/>
      <c r="AB5930" s="25" t="n"/>
      <c r="AC5930" s="195" t="n"/>
      <c r="AD5930" s="25" t="n"/>
      <c r="AE5930" s="25" t="n"/>
      <c r="AG5930" s="25" t="n"/>
      <c r="AH5930" s="25" t="n"/>
      <c r="AI5930" s="394" t="n"/>
      <c r="AM5930" s="48" t="n"/>
      <c r="AN5930" s="48" t="n"/>
      <c r="AO5930" s="48" t="n"/>
    </row>
    <row r="5931">
      <c r="M5931" s="25" t="n"/>
      <c r="Q5931" s="25" t="n"/>
      <c r="U5931" s="194" t="n"/>
      <c r="AA5931" s="25" t="n"/>
      <c r="AB5931" s="25" t="n"/>
      <c r="AC5931" s="195" t="n"/>
      <c r="AD5931" s="25" t="n"/>
      <c r="AE5931" s="25" t="n"/>
      <c r="AG5931" s="25" t="n"/>
      <c r="AH5931" s="25" t="n"/>
      <c r="AI5931" s="394" t="n"/>
      <c r="AM5931" s="48" t="n"/>
      <c r="AN5931" s="48" t="n"/>
      <c r="AO5931" s="48" t="n"/>
    </row>
    <row r="5932">
      <c r="M5932" s="25" t="n"/>
      <c r="Q5932" s="25" t="n"/>
      <c r="U5932" s="194" t="n"/>
      <c r="AA5932" s="25" t="n"/>
      <c r="AB5932" s="25" t="n"/>
      <c r="AC5932" s="195" t="n"/>
      <c r="AD5932" s="25" t="n"/>
      <c r="AE5932" s="25" t="n"/>
      <c r="AG5932" s="25" t="n"/>
      <c r="AH5932" s="25" t="n"/>
      <c r="AI5932" s="394" t="n"/>
      <c r="AM5932" s="48" t="n"/>
      <c r="AN5932" s="48" t="n"/>
      <c r="AO5932" s="48" t="n"/>
    </row>
    <row r="5933">
      <c r="M5933" s="25" t="n"/>
      <c r="Q5933" s="25" t="n"/>
      <c r="U5933" s="194" t="n"/>
      <c r="AA5933" s="25" t="n"/>
      <c r="AB5933" s="25" t="n"/>
      <c r="AC5933" s="195" t="n"/>
      <c r="AD5933" s="25" t="n"/>
      <c r="AE5933" s="25" t="n"/>
      <c r="AG5933" s="25" t="n"/>
      <c r="AH5933" s="25" t="n"/>
      <c r="AI5933" s="394" t="n"/>
      <c r="AM5933" s="48" t="n"/>
      <c r="AN5933" s="48" t="n"/>
      <c r="AO5933" s="48" t="n"/>
    </row>
    <row r="5934">
      <c r="M5934" s="25" t="n"/>
      <c r="Q5934" s="25" t="n"/>
      <c r="U5934" s="194" t="n"/>
      <c r="AA5934" s="25" t="n"/>
      <c r="AB5934" s="25" t="n"/>
      <c r="AC5934" s="195" t="n"/>
      <c r="AD5934" s="25" t="n"/>
      <c r="AE5934" s="25" t="n"/>
      <c r="AG5934" s="25" t="n"/>
      <c r="AH5934" s="25" t="n"/>
      <c r="AI5934" s="394" t="n"/>
      <c r="AM5934" s="48" t="n"/>
      <c r="AN5934" s="48" t="n"/>
      <c r="AO5934" s="48" t="n"/>
    </row>
    <row r="5935">
      <c r="M5935" s="25" t="n"/>
      <c r="Q5935" s="25" t="n"/>
      <c r="U5935" s="194" t="n"/>
      <c r="AA5935" s="25" t="n"/>
      <c r="AB5935" s="25" t="n"/>
      <c r="AC5935" s="195" t="n"/>
      <c r="AD5935" s="25" t="n"/>
      <c r="AE5935" s="25" t="n"/>
      <c r="AG5935" s="25" t="n"/>
      <c r="AH5935" s="25" t="n"/>
      <c r="AI5935" s="394" t="n"/>
      <c r="AM5935" s="48" t="n"/>
      <c r="AN5935" s="48" t="n"/>
      <c r="AO5935" s="48" t="n"/>
    </row>
    <row r="5936">
      <c r="M5936" s="25" t="n"/>
      <c r="Q5936" s="25" t="n"/>
      <c r="U5936" s="194" t="n"/>
      <c r="AA5936" s="25" t="n"/>
      <c r="AB5936" s="25" t="n"/>
      <c r="AC5936" s="195" t="n"/>
      <c r="AD5936" s="25" t="n"/>
      <c r="AE5936" s="25" t="n"/>
      <c r="AG5936" s="25" t="n"/>
      <c r="AH5936" s="25" t="n"/>
      <c r="AI5936" s="394" t="n"/>
      <c r="AM5936" s="48" t="n"/>
      <c r="AN5936" s="48" t="n"/>
      <c r="AO5936" s="48" t="n"/>
    </row>
    <row r="5937">
      <c r="M5937" s="25" t="n"/>
      <c r="Q5937" s="25" t="n"/>
      <c r="U5937" s="194" t="n"/>
      <c r="AA5937" s="25" t="n"/>
      <c r="AB5937" s="25" t="n"/>
      <c r="AC5937" s="195" t="n"/>
      <c r="AD5937" s="25" t="n"/>
      <c r="AE5937" s="25" t="n"/>
      <c r="AG5937" s="25" t="n"/>
      <c r="AH5937" s="25" t="n"/>
      <c r="AI5937" s="394" t="n"/>
      <c r="AM5937" s="48" t="n"/>
      <c r="AN5937" s="48" t="n"/>
      <c r="AO5937" s="48" t="n"/>
    </row>
    <row r="5938">
      <c r="M5938" s="25" t="n"/>
      <c r="Q5938" s="25" t="n"/>
      <c r="U5938" s="194" t="n"/>
      <c r="AA5938" s="25" t="n"/>
      <c r="AB5938" s="25" t="n"/>
      <c r="AC5938" s="195" t="n"/>
      <c r="AD5938" s="25" t="n"/>
      <c r="AE5938" s="25" t="n"/>
      <c r="AG5938" s="25" t="n"/>
      <c r="AH5938" s="25" t="n"/>
      <c r="AI5938" s="394" t="n"/>
      <c r="AM5938" s="48" t="n"/>
      <c r="AN5938" s="48" t="n"/>
      <c r="AO5938" s="48" t="n"/>
    </row>
    <row r="5939">
      <c r="M5939" s="25" t="n"/>
      <c r="Q5939" s="25" t="n"/>
      <c r="U5939" s="194" t="n"/>
      <c r="AA5939" s="25" t="n"/>
      <c r="AB5939" s="25" t="n"/>
      <c r="AC5939" s="195" t="n"/>
      <c r="AD5939" s="25" t="n"/>
      <c r="AE5939" s="25" t="n"/>
      <c r="AG5939" s="25" t="n"/>
      <c r="AH5939" s="25" t="n"/>
      <c r="AI5939" s="394" t="n"/>
      <c r="AM5939" s="48" t="n"/>
      <c r="AN5939" s="48" t="n"/>
      <c r="AO5939" s="48" t="n"/>
    </row>
    <row r="5940">
      <c r="M5940" s="25" t="n"/>
      <c r="Q5940" s="25" t="n"/>
      <c r="U5940" s="194" t="n"/>
      <c r="AA5940" s="25" t="n"/>
      <c r="AB5940" s="25" t="n"/>
      <c r="AC5940" s="195" t="n"/>
      <c r="AD5940" s="25" t="n"/>
      <c r="AE5940" s="25" t="n"/>
      <c r="AG5940" s="25" t="n"/>
      <c r="AH5940" s="25" t="n"/>
      <c r="AI5940" s="394" t="n"/>
      <c r="AM5940" s="48" t="n"/>
      <c r="AN5940" s="48" t="n"/>
      <c r="AO5940" s="48" t="n"/>
    </row>
    <row r="5941">
      <c r="M5941" s="25" t="n"/>
      <c r="Q5941" s="25" t="n"/>
      <c r="U5941" s="194" t="n"/>
      <c r="AA5941" s="25" t="n"/>
      <c r="AB5941" s="25" t="n"/>
      <c r="AC5941" s="195" t="n"/>
      <c r="AD5941" s="25" t="n"/>
      <c r="AE5941" s="25" t="n"/>
      <c r="AG5941" s="25" t="n"/>
      <c r="AH5941" s="25" t="n"/>
      <c r="AI5941" s="394" t="n"/>
      <c r="AM5941" s="48" t="n"/>
      <c r="AN5941" s="48" t="n"/>
      <c r="AO5941" s="48" t="n"/>
    </row>
    <row r="5942">
      <c r="M5942" s="25" t="n"/>
      <c r="Q5942" s="25" t="n"/>
      <c r="U5942" s="194" t="n"/>
      <c r="AA5942" s="25" t="n"/>
      <c r="AB5942" s="25" t="n"/>
      <c r="AC5942" s="195" t="n"/>
      <c r="AD5942" s="25" t="n"/>
      <c r="AE5942" s="25" t="n"/>
      <c r="AG5942" s="25" t="n"/>
      <c r="AH5942" s="25" t="n"/>
      <c r="AI5942" s="394" t="n"/>
      <c r="AM5942" s="48" t="n"/>
      <c r="AN5942" s="48" t="n"/>
      <c r="AO5942" s="48" t="n"/>
    </row>
    <row r="5943">
      <c r="M5943" s="25" t="n"/>
      <c r="Q5943" s="25" t="n"/>
      <c r="U5943" s="194" t="n"/>
      <c r="AA5943" s="25" t="n"/>
      <c r="AB5943" s="25" t="n"/>
      <c r="AC5943" s="195" t="n"/>
      <c r="AD5943" s="25" t="n"/>
      <c r="AE5943" s="25" t="n"/>
      <c r="AG5943" s="25" t="n"/>
      <c r="AH5943" s="25" t="n"/>
      <c r="AI5943" s="394" t="n"/>
      <c r="AM5943" s="48" t="n"/>
      <c r="AN5943" s="48" t="n"/>
      <c r="AO5943" s="48" t="n"/>
    </row>
    <row r="5944">
      <c r="M5944" s="25" t="n"/>
      <c r="Q5944" s="25" t="n"/>
      <c r="U5944" s="194" t="n"/>
      <c r="AA5944" s="25" t="n"/>
      <c r="AB5944" s="25" t="n"/>
      <c r="AC5944" s="195" t="n"/>
      <c r="AD5944" s="25" t="n"/>
      <c r="AE5944" s="25" t="n"/>
      <c r="AG5944" s="25" t="n"/>
      <c r="AH5944" s="25" t="n"/>
      <c r="AI5944" s="394" t="n"/>
      <c r="AM5944" s="48" t="n"/>
      <c r="AN5944" s="48" t="n"/>
      <c r="AO5944" s="48" t="n"/>
    </row>
    <row r="5945">
      <c r="M5945" s="25" t="n"/>
      <c r="Q5945" s="25" t="n"/>
      <c r="U5945" s="194" t="n"/>
      <c r="AA5945" s="25" t="n"/>
      <c r="AB5945" s="25" t="n"/>
      <c r="AC5945" s="195" t="n"/>
      <c r="AD5945" s="25" t="n"/>
      <c r="AE5945" s="25" t="n"/>
      <c r="AG5945" s="25" t="n"/>
      <c r="AH5945" s="25" t="n"/>
      <c r="AI5945" s="394" t="n"/>
      <c r="AM5945" s="48" t="n"/>
      <c r="AN5945" s="48" t="n"/>
      <c r="AO5945" s="48" t="n"/>
    </row>
    <row r="5946">
      <c r="M5946" s="25" t="n"/>
      <c r="Q5946" s="25" t="n"/>
      <c r="U5946" s="194" t="n"/>
      <c r="AA5946" s="25" t="n"/>
      <c r="AB5946" s="25" t="n"/>
      <c r="AC5946" s="195" t="n"/>
      <c r="AD5946" s="25" t="n"/>
      <c r="AE5946" s="25" t="n"/>
      <c r="AG5946" s="25" t="n"/>
      <c r="AH5946" s="25" t="n"/>
      <c r="AI5946" s="394" t="n"/>
      <c r="AM5946" s="48" t="n"/>
      <c r="AN5946" s="48" t="n"/>
      <c r="AO5946" s="48" t="n"/>
    </row>
    <row r="5947">
      <c r="M5947" s="25" t="n"/>
      <c r="Q5947" s="25" t="n"/>
      <c r="U5947" s="194" t="n"/>
      <c r="AA5947" s="25" t="n"/>
      <c r="AB5947" s="25" t="n"/>
      <c r="AC5947" s="195" t="n"/>
      <c r="AD5947" s="25" t="n"/>
      <c r="AE5947" s="25" t="n"/>
      <c r="AG5947" s="25" t="n"/>
      <c r="AH5947" s="25" t="n"/>
      <c r="AI5947" s="394" t="n"/>
      <c r="AM5947" s="48" t="n"/>
      <c r="AN5947" s="48" t="n"/>
      <c r="AO5947" s="48" t="n"/>
    </row>
    <row r="5948">
      <c r="M5948" s="25" t="n"/>
      <c r="Q5948" s="25" t="n"/>
      <c r="U5948" s="194" t="n"/>
      <c r="AA5948" s="25" t="n"/>
      <c r="AB5948" s="25" t="n"/>
      <c r="AC5948" s="195" t="n"/>
      <c r="AD5948" s="25" t="n"/>
      <c r="AE5948" s="25" t="n"/>
      <c r="AG5948" s="25" t="n"/>
      <c r="AH5948" s="25" t="n"/>
      <c r="AI5948" s="394" t="n"/>
      <c r="AM5948" s="48" t="n"/>
      <c r="AN5948" s="48" t="n"/>
      <c r="AO5948" s="48" t="n"/>
    </row>
    <row r="5949">
      <c r="M5949" s="25" t="n"/>
      <c r="Q5949" s="25" t="n"/>
      <c r="U5949" s="194" t="n"/>
      <c r="AA5949" s="25" t="n"/>
      <c r="AB5949" s="25" t="n"/>
      <c r="AC5949" s="195" t="n"/>
      <c r="AD5949" s="25" t="n"/>
      <c r="AE5949" s="25" t="n"/>
      <c r="AG5949" s="25" t="n"/>
      <c r="AH5949" s="25" t="n"/>
      <c r="AI5949" s="394" t="n"/>
      <c r="AM5949" s="48" t="n"/>
      <c r="AN5949" s="48" t="n"/>
      <c r="AO5949" s="48" t="n"/>
    </row>
    <row r="5950">
      <c r="M5950" s="25" t="n"/>
      <c r="Q5950" s="25" t="n"/>
      <c r="U5950" s="194" t="n"/>
      <c r="AA5950" s="25" t="n"/>
      <c r="AB5950" s="25" t="n"/>
      <c r="AC5950" s="195" t="n"/>
      <c r="AD5950" s="25" t="n"/>
      <c r="AE5950" s="25" t="n"/>
      <c r="AG5950" s="25" t="n"/>
      <c r="AH5950" s="25" t="n"/>
      <c r="AI5950" s="394" t="n"/>
      <c r="AM5950" s="48" t="n"/>
      <c r="AN5950" s="48" t="n"/>
      <c r="AO5950" s="48" t="n"/>
    </row>
    <row r="5951">
      <c r="M5951" s="25" t="n"/>
      <c r="Q5951" s="25" t="n"/>
      <c r="U5951" s="194" t="n"/>
      <c r="AA5951" s="25" t="n"/>
      <c r="AB5951" s="25" t="n"/>
      <c r="AC5951" s="195" t="n"/>
      <c r="AD5951" s="25" t="n"/>
      <c r="AE5951" s="25" t="n"/>
      <c r="AG5951" s="25" t="n"/>
      <c r="AH5951" s="25" t="n"/>
      <c r="AI5951" s="394" t="n"/>
      <c r="AM5951" s="48" t="n"/>
      <c r="AN5951" s="48" t="n"/>
      <c r="AO5951" s="48" t="n"/>
    </row>
    <row r="5952">
      <c r="M5952" s="25" t="n"/>
      <c r="Q5952" s="25" t="n"/>
      <c r="U5952" s="194" t="n"/>
      <c r="AA5952" s="25" t="n"/>
      <c r="AB5952" s="25" t="n"/>
      <c r="AC5952" s="195" t="n"/>
      <c r="AD5952" s="25" t="n"/>
      <c r="AE5952" s="25" t="n"/>
      <c r="AG5952" s="25" t="n"/>
      <c r="AH5952" s="25" t="n"/>
      <c r="AI5952" s="394" t="n"/>
      <c r="AM5952" s="48" t="n"/>
      <c r="AN5952" s="48" t="n"/>
      <c r="AO5952" s="48" t="n"/>
    </row>
    <row r="5953">
      <c r="M5953" s="25" t="n"/>
      <c r="Q5953" s="25" t="n"/>
      <c r="U5953" s="194" t="n"/>
      <c r="AA5953" s="25" t="n"/>
      <c r="AB5953" s="25" t="n"/>
      <c r="AC5953" s="195" t="n"/>
      <c r="AD5953" s="25" t="n"/>
      <c r="AE5953" s="25" t="n"/>
      <c r="AG5953" s="25" t="n"/>
      <c r="AH5953" s="25" t="n"/>
      <c r="AI5953" s="394" t="n"/>
      <c r="AM5953" s="48" t="n"/>
      <c r="AN5953" s="48" t="n"/>
      <c r="AO5953" s="48" t="n"/>
    </row>
    <row r="5954">
      <c r="M5954" s="25" t="n"/>
      <c r="Q5954" s="25" t="n"/>
      <c r="U5954" s="194" t="n"/>
      <c r="AA5954" s="25" t="n"/>
      <c r="AB5954" s="25" t="n"/>
      <c r="AC5954" s="195" t="n"/>
      <c r="AD5954" s="25" t="n"/>
      <c r="AE5954" s="25" t="n"/>
      <c r="AG5954" s="25" t="n"/>
      <c r="AH5954" s="25" t="n"/>
      <c r="AI5954" s="394" t="n"/>
      <c r="AM5954" s="48" t="n"/>
      <c r="AN5954" s="48" t="n"/>
      <c r="AO5954" s="48" t="n"/>
    </row>
    <row r="5955">
      <c r="M5955" s="25" t="n"/>
      <c r="Q5955" s="25" t="n"/>
      <c r="U5955" s="194" t="n"/>
      <c r="AA5955" s="25" t="n"/>
      <c r="AB5955" s="25" t="n"/>
      <c r="AC5955" s="195" t="n"/>
      <c r="AD5955" s="25" t="n"/>
      <c r="AE5955" s="25" t="n"/>
      <c r="AG5955" s="25" t="n"/>
      <c r="AH5955" s="25" t="n"/>
      <c r="AI5955" s="394" t="n"/>
      <c r="AM5955" s="48" t="n"/>
      <c r="AN5955" s="48" t="n"/>
      <c r="AO5955" s="48" t="n"/>
    </row>
    <row r="5956">
      <c r="M5956" s="25" t="n"/>
      <c r="Q5956" s="25" t="n"/>
      <c r="U5956" s="194" t="n"/>
      <c r="AA5956" s="25" t="n"/>
      <c r="AB5956" s="25" t="n"/>
      <c r="AC5956" s="195" t="n"/>
      <c r="AD5956" s="25" t="n"/>
      <c r="AE5956" s="25" t="n"/>
      <c r="AG5956" s="25" t="n"/>
      <c r="AH5956" s="25" t="n"/>
      <c r="AI5956" s="394" t="n"/>
      <c r="AM5956" s="48" t="n"/>
      <c r="AN5956" s="48" t="n"/>
      <c r="AO5956" s="48" t="n"/>
    </row>
    <row r="5957">
      <c r="M5957" s="25" t="n"/>
      <c r="Q5957" s="25" t="n"/>
      <c r="U5957" s="194" t="n"/>
      <c r="AA5957" s="25" t="n"/>
      <c r="AB5957" s="25" t="n"/>
      <c r="AC5957" s="195" t="n"/>
      <c r="AD5957" s="25" t="n"/>
      <c r="AE5957" s="25" t="n"/>
      <c r="AG5957" s="25" t="n"/>
      <c r="AH5957" s="25" t="n"/>
      <c r="AI5957" s="394" t="n"/>
      <c r="AM5957" s="48" t="n"/>
      <c r="AN5957" s="48" t="n"/>
      <c r="AO5957" s="48" t="n"/>
    </row>
    <row r="5958">
      <c r="M5958" s="25" t="n"/>
      <c r="Q5958" s="25" t="n"/>
      <c r="U5958" s="194" t="n"/>
      <c r="AA5958" s="25" t="n"/>
      <c r="AB5958" s="25" t="n"/>
      <c r="AC5958" s="195" t="n"/>
      <c r="AD5958" s="25" t="n"/>
      <c r="AE5958" s="25" t="n"/>
      <c r="AG5958" s="25" t="n"/>
      <c r="AH5958" s="25" t="n"/>
      <c r="AI5958" s="394" t="n"/>
      <c r="AM5958" s="48" t="n"/>
      <c r="AN5958" s="48" t="n"/>
      <c r="AO5958" s="48" t="n"/>
    </row>
    <row r="5959">
      <c r="M5959" s="25" t="n"/>
      <c r="Q5959" s="25" t="n"/>
      <c r="U5959" s="194" t="n"/>
      <c r="AA5959" s="25" t="n"/>
      <c r="AB5959" s="25" t="n"/>
      <c r="AC5959" s="195" t="n"/>
      <c r="AD5959" s="25" t="n"/>
      <c r="AE5959" s="25" t="n"/>
      <c r="AG5959" s="25" t="n"/>
      <c r="AH5959" s="25" t="n"/>
      <c r="AI5959" s="394" t="n"/>
      <c r="AM5959" s="48" t="n"/>
      <c r="AN5959" s="48" t="n"/>
      <c r="AO5959" s="48" t="n"/>
    </row>
    <row r="5960">
      <c r="M5960" s="25" t="n"/>
      <c r="Q5960" s="25" t="n"/>
      <c r="U5960" s="194" t="n"/>
      <c r="AA5960" s="25" t="n"/>
      <c r="AB5960" s="25" t="n"/>
      <c r="AC5960" s="195" t="n"/>
      <c r="AD5960" s="25" t="n"/>
      <c r="AE5960" s="25" t="n"/>
      <c r="AG5960" s="25" t="n"/>
      <c r="AH5960" s="25" t="n"/>
      <c r="AI5960" s="394" t="n"/>
      <c r="AM5960" s="48" t="n"/>
      <c r="AN5960" s="48" t="n"/>
      <c r="AO5960" s="48" t="n"/>
    </row>
    <row r="5961">
      <c r="M5961" s="25" t="n"/>
      <c r="Q5961" s="25" t="n"/>
      <c r="U5961" s="194" t="n"/>
      <c r="AA5961" s="25" t="n"/>
      <c r="AB5961" s="25" t="n"/>
      <c r="AC5961" s="195" t="n"/>
      <c r="AD5961" s="25" t="n"/>
      <c r="AE5961" s="25" t="n"/>
      <c r="AG5961" s="25" t="n"/>
      <c r="AH5961" s="25" t="n"/>
      <c r="AI5961" s="394" t="n"/>
      <c r="AM5961" s="48" t="n"/>
      <c r="AN5961" s="48" t="n"/>
      <c r="AO5961" s="48" t="n"/>
    </row>
    <row r="5962">
      <c r="M5962" s="25" t="n"/>
      <c r="Q5962" s="25" t="n"/>
      <c r="U5962" s="194" t="n"/>
      <c r="AA5962" s="25" t="n"/>
      <c r="AB5962" s="25" t="n"/>
      <c r="AC5962" s="195" t="n"/>
      <c r="AD5962" s="25" t="n"/>
      <c r="AE5962" s="25" t="n"/>
      <c r="AG5962" s="25" t="n"/>
      <c r="AH5962" s="25" t="n"/>
      <c r="AI5962" s="394" t="n"/>
      <c r="AM5962" s="48" t="n"/>
      <c r="AN5962" s="48" t="n"/>
      <c r="AO5962" s="48" t="n"/>
    </row>
    <row r="5963">
      <c r="M5963" s="25" t="n"/>
      <c r="Q5963" s="25" t="n"/>
      <c r="U5963" s="194" t="n"/>
      <c r="AA5963" s="25" t="n"/>
      <c r="AB5963" s="25" t="n"/>
      <c r="AC5963" s="195" t="n"/>
      <c r="AD5963" s="25" t="n"/>
      <c r="AE5963" s="25" t="n"/>
      <c r="AG5963" s="25" t="n"/>
      <c r="AH5963" s="25" t="n"/>
      <c r="AI5963" s="394" t="n"/>
      <c r="AM5963" s="48" t="n"/>
      <c r="AN5963" s="48" t="n"/>
      <c r="AO5963" s="48" t="n"/>
    </row>
    <row r="5964">
      <c r="M5964" s="25" t="n"/>
      <c r="Q5964" s="25" t="n"/>
      <c r="U5964" s="194" t="n"/>
      <c r="AA5964" s="25" t="n"/>
      <c r="AB5964" s="25" t="n"/>
      <c r="AC5964" s="195" t="n"/>
      <c r="AD5964" s="25" t="n"/>
      <c r="AE5964" s="25" t="n"/>
      <c r="AG5964" s="25" t="n"/>
      <c r="AH5964" s="25" t="n"/>
      <c r="AI5964" s="394" t="n"/>
      <c r="AM5964" s="48" t="n"/>
      <c r="AN5964" s="48" t="n"/>
      <c r="AO5964" s="48" t="n"/>
    </row>
    <row r="5965">
      <c r="M5965" s="25" t="n"/>
      <c r="Q5965" s="25" t="n"/>
      <c r="U5965" s="194" t="n"/>
      <c r="AA5965" s="25" t="n"/>
      <c r="AB5965" s="25" t="n"/>
      <c r="AC5965" s="195" t="n"/>
      <c r="AD5965" s="25" t="n"/>
      <c r="AE5965" s="25" t="n"/>
      <c r="AG5965" s="25" t="n"/>
      <c r="AH5965" s="25" t="n"/>
      <c r="AI5965" s="394" t="n"/>
      <c r="AM5965" s="48" t="n"/>
      <c r="AN5965" s="48" t="n"/>
      <c r="AO5965" s="48" t="n"/>
    </row>
    <row r="5966">
      <c r="M5966" s="25" t="n"/>
      <c r="Q5966" s="25" t="n"/>
      <c r="U5966" s="194" t="n"/>
      <c r="AA5966" s="25" t="n"/>
      <c r="AB5966" s="25" t="n"/>
      <c r="AC5966" s="195" t="n"/>
      <c r="AD5966" s="25" t="n"/>
      <c r="AE5966" s="25" t="n"/>
      <c r="AG5966" s="25" t="n"/>
      <c r="AH5966" s="25" t="n"/>
      <c r="AI5966" s="394" t="n"/>
      <c r="AM5966" s="48" t="n"/>
      <c r="AN5966" s="48" t="n"/>
      <c r="AO5966" s="48" t="n"/>
    </row>
    <row r="5967">
      <c r="M5967" s="25" t="n"/>
      <c r="Q5967" s="25" t="n"/>
      <c r="U5967" s="194" t="n"/>
      <c r="AA5967" s="25" t="n"/>
      <c r="AB5967" s="25" t="n"/>
      <c r="AC5967" s="195" t="n"/>
      <c r="AD5967" s="25" t="n"/>
      <c r="AE5967" s="25" t="n"/>
      <c r="AG5967" s="25" t="n"/>
      <c r="AH5967" s="25" t="n"/>
      <c r="AI5967" s="394" t="n"/>
      <c r="AM5967" s="48" t="n"/>
      <c r="AN5967" s="48" t="n"/>
      <c r="AO5967" s="48" t="n"/>
    </row>
    <row r="5968">
      <c r="M5968" s="25" t="n"/>
      <c r="Q5968" s="25" t="n"/>
      <c r="U5968" s="194" t="n"/>
      <c r="AA5968" s="25" t="n"/>
      <c r="AB5968" s="25" t="n"/>
      <c r="AC5968" s="195" t="n"/>
      <c r="AD5968" s="25" t="n"/>
      <c r="AE5968" s="25" t="n"/>
      <c r="AG5968" s="25" t="n"/>
      <c r="AH5968" s="25" t="n"/>
      <c r="AI5968" s="394" t="n"/>
      <c r="AM5968" s="48" t="n"/>
      <c r="AN5968" s="48" t="n"/>
      <c r="AO5968" s="48" t="n"/>
    </row>
    <row r="5969">
      <c r="M5969" s="25" t="n"/>
      <c r="Q5969" s="25" t="n"/>
      <c r="U5969" s="194" t="n"/>
      <c r="AA5969" s="25" t="n"/>
      <c r="AB5969" s="25" t="n"/>
      <c r="AC5969" s="195" t="n"/>
      <c r="AD5969" s="25" t="n"/>
      <c r="AE5969" s="25" t="n"/>
      <c r="AG5969" s="25" t="n"/>
      <c r="AH5969" s="25" t="n"/>
      <c r="AI5969" s="394" t="n"/>
      <c r="AM5969" s="48" t="n"/>
      <c r="AN5969" s="48" t="n"/>
      <c r="AO5969" s="48" t="n"/>
    </row>
    <row r="5970">
      <c r="M5970" s="25" t="n"/>
      <c r="Q5970" s="25" t="n"/>
      <c r="U5970" s="194" t="n"/>
      <c r="AA5970" s="25" t="n"/>
      <c r="AB5970" s="25" t="n"/>
      <c r="AC5970" s="195" t="n"/>
      <c r="AD5970" s="25" t="n"/>
      <c r="AE5970" s="25" t="n"/>
      <c r="AG5970" s="25" t="n"/>
      <c r="AH5970" s="25" t="n"/>
      <c r="AI5970" s="394" t="n"/>
      <c r="AM5970" s="48" t="n"/>
      <c r="AN5970" s="48" t="n"/>
      <c r="AO5970" s="48" t="n"/>
    </row>
    <row r="5971">
      <c r="M5971" s="25" t="n"/>
      <c r="Q5971" s="25" t="n"/>
      <c r="U5971" s="194" t="n"/>
      <c r="AA5971" s="25" t="n"/>
      <c r="AB5971" s="25" t="n"/>
      <c r="AC5971" s="195" t="n"/>
      <c r="AD5971" s="25" t="n"/>
      <c r="AE5971" s="25" t="n"/>
      <c r="AG5971" s="25" t="n"/>
      <c r="AH5971" s="25" t="n"/>
      <c r="AI5971" s="394" t="n"/>
      <c r="AM5971" s="48" t="n"/>
      <c r="AN5971" s="48" t="n"/>
      <c r="AO5971" s="48" t="n"/>
    </row>
    <row r="5972">
      <c r="M5972" s="25" t="n"/>
      <c r="Q5972" s="25" t="n"/>
      <c r="U5972" s="194" t="n"/>
      <c r="AA5972" s="25" t="n"/>
      <c r="AB5972" s="25" t="n"/>
      <c r="AC5972" s="195" t="n"/>
      <c r="AD5972" s="25" t="n"/>
      <c r="AE5972" s="25" t="n"/>
      <c r="AG5972" s="25" t="n"/>
      <c r="AH5972" s="25" t="n"/>
      <c r="AI5972" s="394" t="n"/>
      <c r="AM5972" s="48" t="n"/>
      <c r="AN5972" s="48" t="n"/>
      <c r="AO5972" s="48" t="n"/>
    </row>
    <row r="5973">
      <c r="M5973" s="25" t="n"/>
      <c r="Q5973" s="25" t="n"/>
      <c r="U5973" s="194" t="n"/>
      <c r="AA5973" s="25" t="n"/>
      <c r="AB5973" s="25" t="n"/>
      <c r="AC5973" s="195" t="n"/>
      <c r="AD5973" s="25" t="n"/>
      <c r="AE5973" s="25" t="n"/>
      <c r="AG5973" s="25" t="n"/>
      <c r="AH5973" s="25" t="n"/>
      <c r="AI5973" s="394" t="n"/>
      <c r="AM5973" s="48" t="n"/>
      <c r="AN5973" s="48" t="n"/>
      <c r="AO5973" s="48" t="n"/>
    </row>
    <row r="5974">
      <c r="M5974" s="25" t="n"/>
      <c r="Q5974" s="25" t="n"/>
      <c r="U5974" s="194" t="n"/>
      <c r="AA5974" s="25" t="n"/>
      <c r="AB5974" s="25" t="n"/>
      <c r="AC5974" s="195" t="n"/>
      <c r="AD5974" s="25" t="n"/>
      <c r="AE5974" s="25" t="n"/>
      <c r="AG5974" s="25" t="n"/>
      <c r="AH5974" s="25" t="n"/>
      <c r="AI5974" s="394" t="n"/>
      <c r="AM5974" s="48" t="n"/>
      <c r="AN5974" s="48" t="n"/>
      <c r="AO5974" s="48" t="n"/>
    </row>
    <row r="5975">
      <c r="M5975" s="25" t="n"/>
      <c r="Q5975" s="25" t="n"/>
      <c r="U5975" s="194" t="n"/>
      <c r="AA5975" s="25" t="n"/>
      <c r="AB5975" s="25" t="n"/>
      <c r="AC5975" s="195" t="n"/>
      <c r="AD5975" s="25" t="n"/>
      <c r="AE5975" s="25" t="n"/>
      <c r="AG5975" s="25" t="n"/>
      <c r="AH5975" s="25" t="n"/>
      <c r="AI5975" s="394" t="n"/>
      <c r="AM5975" s="48" t="n"/>
      <c r="AN5975" s="48" t="n"/>
      <c r="AO5975" s="48" t="n"/>
    </row>
    <row r="5976">
      <c r="M5976" s="25" t="n"/>
      <c r="Q5976" s="25" t="n"/>
      <c r="U5976" s="194" t="n"/>
      <c r="AA5976" s="25" t="n"/>
      <c r="AB5976" s="25" t="n"/>
      <c r="AC5976" s="195" t="n"/>
      <c r="AD5976" s="25" t="n"/>
      <c r="AE5976" s="25" t="n"/>
      <c r="AG5976" s="25" t="n"/>
      <c r="AH5976" s="25" t="n"/>
      <c r="AI5976" s="394" t="n"/>
      <c r="AM5976" s="48" t="n"/>
      <c r="AN5976" s="48" t="n"/>
      <c r="AO5976" s="48" t="n"/>
    </row>
    <row r="5977">
      <c r="M5977" s="25" t="n"/>
      <c r="Q5977" s="25" t="n"/>
      <c r="U5977" s="194" t="n"/>
      <c r="AA5977" s="25" t="n"/>
      <c r="AB5977" s="25" t="n"/>
      <c r="AC5977" s="195" t="n"/>
      <c r="AD5977" s="25" t="n"/>
      <c r="AE5977" s="25" t="n"/>
      <c r="AG5977" s="25" t="n"/>
      <c r="AH5977" s="25" t="n"/>
      <c r="AI5977" s="394" t="n"/>
      <c r="AM5977" s="48" t="n"/>
      <c r="AN5977" s="48" t="n"/>
      <c r="AO5977" s="48" t="n"/>
    </row>
    <row r="5978">
      <c r="M5978" s="25" t="n"/>
      <c r="Q5978" s="25" t="n"/>
      <c r="U5978" s="194" t="n"/>
      <c r="AA5978" s="25" t="n"/>
      <c r="AB5978" s="25" t="n"/>
      <c r="AC5978" s="195" t="n"/>
      <c r="AD5978" s="25" t="n"/>
      <c r="AE5978" s="25" t="n"/>
      <c r="AG5978" s="25" t="n"/>
      <c r="AH5978" s="25" t="n"/>
      <c r="AI5978" s="394" t="n"/>
      <c r="AM5978" s="48" t="n"/>
      <c r="AN5978" s="48" t="n"/>
      <c r="AO5978" s="48" t="n"/>
    </row>
    <row r="5979">
      <c r="M5979" s="25" t="n"/>
      <c r="Q5979" s="25" t="n"/>
      <c r="U5979" s="194" t="n"/>
      <c r="AA5979" s="25" t="n"/>
      <c r="AB5979" s="25" t="n"/>
      <c r="AC5979" s="195" t="n"/>
      <c r="AD5979" s="25" t="n"/>
      <c r="AE5979" s="25" t="n"/>
      <c r="AG5979" s="25" t="n"/>
      <c r="AH5979" s="25" t="n"/>
      <c r="AI5979" s="394" t="n"/>
      <c r="AM5979" s="48" t="n"/>
      <c r="AN5979" s="48" t="n"/>
      <c r="AO5979" s="48" t="n"/>
    </row>
    <row r="5980">
      <c r="M5980" s="25" t="n"/>
      <c r="Q5980" s="25" t="n"/>
      <c r="U5980" s="194" t="n"/>
      <c r="AA5980" s="25" t="n"/>
      <c r="AB5980" s="25" t="n"/>
      <c r="AC5980" s="195" t="n"/>
      <c r="AD5980" s="25" t="n"/>
      <c r="AE5980" s="25" t="n"/>
      <c r="AG5980" s="25" t="n"/>
      <c r="AH5980" s="25" t="n"/>
      <c r="AI5980" s="394" t="n"/>
      <c r="AM5980" s="48" t="n"/>
      <c r="AN5980" s="48" t="n"/>
      <c r="AO5980" s="48" t="n"/>
    </row>
    <row r="5981">
      <c r="M5981" s="25" t="n"/>
      <c r="Q5981" s="25" t="n"/>
      <c r="U5981" s="194" t="n"/>
      <c r="AA5981" s="25" t="n"/>
      <c r="AB5981" s="25" t="n"/>
      <c r="AC5981" s="195" t="n"/>
      <c r="AD5981" s="25" t="n"/>
      <c r="AE5981" s="25" t="n"/>
      <c r="AG5981" s="25" t="n"/>
      <c r="AH5981" s="25" t="n"/>
      <c r="AI5981" s="394" t="n"/>
      <c r="AM5981" s="48" t="n"/>
      <c r="AN5981" s="48" t="n"/>
      <c r="AO5981" s="48" t="n"/>
    </row>
    <row r="5982">
      <c r="M5982" s="25" t="n"/>
      <c r="Q5982" s="25" t="n"/>
      <c r="U5982" s="194" t="n"/>
      <c r="AA5982" s="25" t="n"/>
      <c r="AB5982" s="25" t="n"/>
      <c r="AC5982" s="195" t="n"/>
      <c r="AD5982" s="25" t="n"/>
      <c r="AE5982" s="25" t="n"/>
      <c r="AG5982" s="25" t="n"/>
      <c r="AH5982" s="25" t="n"/>
      <c r="AI5982" s="394" t="n"/>
      <c r="AM5982" s="48" t="n"/>
      <c r="AN5982" s="48" t="n"/>
      <c r="AO5982" s="48" t="n"/>
    </row>
    <row r="5983">
      <c r="M5983" s="25" t="n"/>
      <c r="Q5983" s="25" t="n"/>
      <c r="U5983" s="194" t="n"/>
      <c r="AA5983" s="25" t="n"/>
      <c r="AB5983" s="25" t="n"/>
      <c r="AC5983" s="195" t="n"/>
      <c r="AD5983" s="25" t="n"/>
      <c r="AE5983" s="25" t="n"/>
      <c r="AG5983" s="25" t="n"/>
      <c r="AH5983" s="25" t="n"/>
      <c r="AI5983" s="394" t="n"/>
      <c r="AM5983" s="48" t="n"/>
      <c r="AN5983" s="48" t="n"/>
      <c r="AO5983" s="48" t="n"/>
    </row>
    <row r="5984">
      <c r="M5984" s="25" t="n"/>
      <c r="Q5984" s="25" t="n"/>
      <c r="U5984" s="194" t="n"/>
      <c r="AA5984" s="25" t="n"/>
      <c r="AB5984" s="25" t="n"/>
      <c r="AC5984" s="195" t="n"/>
      <c r="AD5984" s="25" t="n"/>
      <c r="AE5984" s="25" t="n"/>
      <c r="AG5984" s="25" t="n"/>
      <c r="AH5984" s="25" t="n"/>
      <c r="AI5984" s="394" t="n"/>
      <c r="AM5984" s="48" t="n"/>
      <c r="AN5984" s="48" t="n"/>
      <c r="AO5984" s="48" t="n"/>
    </row>
    <row r="5985">
      <c r="M5985" s="25" t="n"/>
      <c r="Q5985" s="25" t="n"/>
      <c r="U5985" s="194" t="n"/>
      <c r="AA5985" s="25" t="n"/>
      <c r="AB5985" s="25" t="n"/>
      <c r="AC5985" s="195" t="n"/>
      <c r="AD5985" s="25" t="n"/>
      <c r="AE5985" s="25" t="n"/>
      <c r="AG5985" s="25" t="n"/>
      <c r="AH5985" s="25" t="n"/>
      <c r="AI5985" s="394" t="n"/>
      <c r="AM5985" s="48" t="n"/>
      <c r="AN5985" s="48" t="n"/>
      <c r="AO5985" s="48" t="n"/>
    </row>
    <row r="5986">
      <c r="M5986" s="25" t="n"/>
      <c r="Q5986" s="25" t="n"/>
      <c r="U5986" s="194" t="n"/>
      <c r="AA5986" s="25" t="n"/>
      <c r="AB5986" s="25" t="n"/>
      <c r="AC5986" s="195" t="n"/>
      <c r="AD5986" s="25" t="n"/>
      <c r="AE5986" s="25" t="n"/>
      <c r="AG5986" s="25" t="n"/>
      <c r="AH5986" s="25" t="n"/>
      <c r="AI5986" s="394" t="n"/>
      <c r="AM5986" s="48" t="n"/>
      <c r="AN5986" s="48" t="n"/>
      <c r="AO5986" s="48" t="n"/>
    </row>
    <row r="5987">
      <c r="M5987" s="25" t="n"/>
      <c r="Q5987" s="25" t="n"/>
      <c r="U5987" s="194" t="n"/>
      <c r="AA5987" s="25" t="n"/>
      <c r="AB5987" s="25" t="n"/>
      <c r="AC5987" s="195" t="n"/>
      <c r="AD5987" s="25" t="n"/>
      <c r="AE5987" s="25" t="n"/>
      <c r="AG5987" s="25" t="n"/>
      <c r="AH5987" s="25" t="n"/>
      <c r="AI5987" s="394" t="n"/>
      <c r="AM5987" s="48" t="n"/>
      <c r="AN5987" s="48" t="n"/>
      <c r="AO5987" s="48" t="n"/>
    </row>
    <row r="5988">
      <c r="M5988" s="25" t="n"/>
      <c r="Q5988" s="25" t="n"/>
      <c r="U5988" s="194" t="n"/>
      <c r="AA5988" s="25" t="n"/>
      <c r="AB5988" s="25" t="n"/>
      <c r="AC5988" s="195" t="n"/>
      <c r="AD5988" s="25" t="n"/>
      <c r="AE5988" s="25" t="n"/>
      <c r="AG5988" s="25" t="n"/>
      <c r="AH5988" s="25" t="n"/>
      <c r="AI5988" s="394" t="n"/>
      <c r="AM5988" s="48" t="n"/>
      <c r="AN5988" s="48" t="n"/>
      <c r="AO5988" s="48" t="n"/>
    </row>
    <row r="5989">
      <c r="M5989" s="25" t="n"/>
      <c r="Q5989" s="25" t="n"/>
      <c r="U5989" s="194" t="n"/>
      <c r="AA5989" s="25" t="n"/>
      <c r="AB5989" s="25" t="n"/>
      <c r="AC5989" s="195" t="n"/>
      <c r="AD5989" s="25" t="n"/>
      <c r="AE5989" s="25" t="n"/>
      <c r="AG5989" s="25" t="n"/>
      <c r="AH5989" s="25" t="n"/>
      <c r="AI5989" s="394" t="n"/>
      <c r="AM5989" s="48" t="n"/>
      <c r="AN5989" s="48" t="n"/>
      <c r="AO5989" s="48" t="n"/>
    </row>
    <row r="5990">
      <c r="M5990" s="25" t="n"/>
      <c r="Q5990" s="25" t="n"/>
      <c r="U5990" s="194" t="n"/>
      <c r="AA5990" s="25" t="n"/>
      <c r="AB5990" s="25" t="n"/>
      <c r="AC5990" s="195" t="n"/>
      <c r="AD5990" s="25" t="n"/>
      <c r="AE5990" s="25" t="n"/>
      <c r="AG5990" s="25" t="n"/>
      <c r="AH5990" s="25" t="n"/>
      <c r="AI5990" s="394" t="n"/>
      <c r="AM5990" s="48" t="n"/>
      <c r="AN5990" s="48" t="n"/>
      <c r="AO5990" s="48" t="n"/>
    </row>
    <row r="5991">
      <c r="M5991" s="25" t="n"/>
      <c r="Q5991" s="25" t="n"/>
      <c r="U5991" s="194" t="n"/>
      <c r="AA5991" s="25" t="n"/>
      <c r="AB5991" s="25" t="n"/>
      <c r="AC5991" s="195" t="n"/>
      <c r="AD5991" s="25" t="n"/>
      <c r="AE5991" s="25" t="n"/>
      <c r="AG5991" s="25" t="n"/>
      <c r="AH5991" s="25" t="n"/>
      <c r="AI5991" s="394" t="n"/>
      <c r="AM5991" s="48" t="n"/>
      <c r="AN5991" s="48" t="n"/>
      <c r="AO5991" s="48" t="n"/>
    </row>
    <row r="5992">
      <c r="M5992" s="25" t="n"/>
      <c r="Q5992" s="25" t="n"/>
      <c r="U5992" s="194" t="n"/>
      <c r="AA5992" s="25" t="n"/>
      <c r="AB5992" s="25" t="n"/>
      <c r="AC5992" s="195" t="n"/>
      <c r="AD5992" s="25" t="n"/>
      <c r="AE5992" s="25" t="n"/>
      <c r="AG5992" s="25" t="n"/>
      <c r="AH5992" s="25" t="n"/>
      <c r="AI5992" s="394" t="n"/>
      <c r="AM5992" s="48" t="n"/>
      <c r="AN5992" s="48" t="n"/>
      <c r="AO5992" s="48" t="n"/>
    </row>
    <row r="5993">
      <c r="M5993" s="25" t="n"/>
      <c r="Q5993" s="25" t="n"/>
      <c r="U5993" s="194" t="n"/>
      <c r="AA5993" s="25" t="n"/>
      <c r="AB5993" s="25" t="n"/>
      <c r="AC5993" s="195" t="n"/>
      <c r="AD5993" s="25" t="n"/>
      <c r="AE5993" s="25" t="n"/>
      <c r="AG5993" s="25" t="n"/>
      <c r="AH5993" s="25" t="n"/>
      <c r="AI5993" s="394" t="n"/>
      <c r="AM5993" s="48" t="n"/>
      <c r="AN5993" s="48" t="n"/>
      <c r="AO5993" s="48" t="n"/>
    </row>
    <row r="5994">
      <c r="M5994" s="25" t="n"/>
      <c r="Q5994" s="25" t="n"/>
      <c r="U5994" s="194" t="n"/>
      <c r="AA5994" s="25" t="n"/>
      <c r="AB5994" s="25" t="n"/>
      <c r="AC5994" s="195" t="n"/>
      <c r="AD5994" s="25" t="n"/>
      <c r="AE5994" s="25" t="n"/>
      <c r="AG5994" s="25" t="n"/>
      <c r="AH5994" s="25" t="n"/>
      <c r="AI5994" s="394" t="n"/>
      <c r="AM5994" s="48" t="n"/>
      <c r="AN5994" s="48" t="n"/>
      <c r="AO5994" s="48" t="n"/>
    </row>
    <row r="5995">
      <c r="M5995" s="25" t="n"/>
      <c r="Q5995" s="25" t="n"/>
      <c r="U5995" s="194" t="n"/>
      <c r="AA5995" s="25" t="n"/>
      <c r="AB5995" s="25" t="n"/>
      <c r="AC5995" s="195" t="n"/>
      <c r="AD5995" s="25" t="n"/>
      <c r="AE5995" s="25" t="n"/>
      <c r="AG5995" s="25" t="n"/>
      <c r="AH5995" s="25" t="n"/>
      <c r="AI5995" s="394" t="n"/>
      <c r="AM5995" s="48" t="n"/>
      <c r="AN5995" s="48" t="n"/>
      <c r="AO5995" s="48" t="n"/>
    </row>
    <row r="5996">
      <c r="M5996" s="25" t="n"/>
      <c r="Q5996" s="25" t="n"/>
      <c r="U5996" s="194" t="n"/>
      <c r="AA5996" s="25" t="n"/>
      <c r="AB5996" s="25" t="n"/>
      <c r="AC5996" s="195" t="n"/>
      <c r="AD5996" s="25" t="n"/>
      <c r="AE5996" s="25" t="n"/>
      <c r="AG5996" s="25" t="n"/>
      <c r="AH5996" s="25" t="n"/>
      <c r="AI5996" s="394" t="n"/>
      <c r="AM5996" s="48" t="n"/>
      <c r="AN5996" s="48" t="n"/>
      <c r="AO5996" s="48" t="n"/>
    </row>
    <row r="5997">
      <c r="M5997" s="25" t="n"/>
      <c r="Q5997" s="25" t="n"/>
      <c r="U5997" s="194" t="n"/>
      <c r="AA5997" s="25" t="n"/>
      <c r="AB5997" s="25" t="n"/>
      <c r="AC5997" s="195" t="n"/>
      <c r="AD5997" s="25" t="n"/>
      <c r="AE5997" s="25" t="n"/>
      <c r="AG5997" s="25" t="n"/>
      <c r="AH5997" s="25" t="n"/>
      <c r="AI5997" s="394" t="n"/>
      <c r="AM5997" s="48" t="n"/>
      <c r="AN5997" s="48" t="n"/>
      <c r="AO5997" s="48" t="n"/>
    </row>
    <row r="5998">
      <c r="M5998" s="25" t="n"/>
      <c r="Q5998" s="25" t="n"/>
      <c r="U5998" s="194" t="n"/>
      <c r="AA5998" s="25" t="n"/>
      <c r="AB5998" s="25" t="n"/>
      <c r="AC5998" s="195" t="n"/>
      <c r="AD5998" s="25" t="n"/>
      <c r="AE5998" s="25" t="n"/>
      <c r="AG5998" s="25" t="n"/>
      <c r="AH5998" s="25" t="n"/>
      <c r="AI5998" s="394" t="n"/>
      <c r="AM5998" s="48" t="n"/>
      <c r="AN5998" s="48" t="n"/>
      <c r="AO5998" s="48" t="n"/>
    </row>
    <row r="5999">
      <c r="M5999" s="25" t="n"/>
      <c r="Q5999" s="25" t="n"/>
      <c r="U5999" s="194" t="n"/>
      <c r="AA5999" s="25" t="n"/>
      <c r="AB5999" s="25" t="n"/>
      <c r="AC5999" s="195" t="n"/>
      <c r="AD5999" s="25" t="n"/>
      <c r="AE5999" s="25" t="n"/>
      <c r="AG5999" s="25" t="n"/>
      <c r="AH5999" s="25" t="n"/>
      <c r="AI5999" s="394" t="n"/>
      <c r="AM5999" s="48" t="n"/>
      <c r="AN5999" s="48" t="n"/>
      <c r="AO5999" s="48" t="n"/>
    </row>
    <row r="6000">
      <c r="M6000" s="25" t="n"/>
      <c r="Q6000" s="25" t="n"/>
      <c r="U6000" s="194" t="n"/>
      <c r="AA6000" s="25" t="n"/>
      <c r="AB6000" s="25" t="n"/>
      <c r="AC6000" s="195" t="n"/>
      <c r="AD6000" s="25" t="n"/>
      <c r="AE6000" s="25" t="n"/>
      <c r="AG6000" s="25" t="n"/>
      <c r="AH6000" s="25" t="n"/>
      <c r="AI6000" s="394" t="n"/>
      <c r="AM6000" s="48" t="n"/>
      <c r="AN6000" s="48" t="n"/>
      <c r="AO6000" s="48" t="n"/>
    </row>
    <row r="6001">
      <c r="M6001" s="25" t="n"/>
      <c r="Q6001" s="25" t="n"/>
      <c r="U6001" s="194" t="n"/>
      <c r="AA6001" s="25" t="n"/>
      <c r="AB6001" s="25" t="n"/>
      <c r="AC6001" s="195" t="n"/>
      <c r="AD6001" s="25" t="n"/>
      <c r="AE6001" s="25" t="n"/>
      <c r="AG6001" s="25" t="n"/>
      <c r="AH6001" s="25" t="n"/>
      <c r="AI6001" s="394" t="n"/>
      <c r="AM6001" s="48" t="n"/>
      <c r="AN6001" s="48" t="n"/>
      <c r="AO6001" s="48" t="n"/>
    </row>
    <row r="6002">
      <c r="M6002" s="25" t="n"/>
      <c r="Q6002" s="25" t="n"/>
      <c r="U6002" s="194" t="n"/>
      <c r="AA6002" s="25" t="n"/>
      <c r="AB6002" s="25" t="n"/>
      <c r="AC6002" s="195" t="n"/>
      <c r="AD6002" s="25" t="n"/>
      <c r="AE6002" s="25" t="n"/>
      <c r="AG6002" s="25" t="n"/>
      <c r="AH6002" s="25" t="n"/>
      <c r="AI6002" s="394" t="n"/>
      <c r="AM6002" s="48" t="n"/>
      <c r="AN6002" s="48" t="n"/>
      <c r="AO6002" s="48" t="n"/>
    </row>
    <row r="6003">
      <c r="M6003" s="25" t="n"/>
      <c r="Q6003" s="25" t="n"/>
      <c r="U6003" s="194" t="n"/>
      <c r="AA6003" s="25" t="n"/>
      <c r="AB6003" s="25" t="n"/>
      <c r="AC6003" s="195" t="n"/>
      <c r="AD6003" s="25" t="n"/>
      <c r="AE6003" s="25" t="n"/>
      <c r="AG6003" s="25" t="n"/>
      <c r="AH6003" s="25" t="n"/>
      <c r="AI6003" s="394" t="n"/>
      <c r="AM6003" s="48" t="n"/>
      <c r="AN6003" s="48" t="n"/>
      <c r="AO6003" s="48" t="n"/>
    </row>
    <row r="6004">
      <c r="M6004" s="25" t="n"/>
      <c r="Q6004" s="25" t="n"/>
      <c r="U6004" s="194" t="n"/>
      <c r="AA6004" s="25" t="n"/>
      <c r="AB6004" s="25" t="n"/>
      <c r="AC6004" s="195" t="n"/>
      <c r="AD6004" s="25" t="n"/>
      <c r="AE6004" s="25" t="n"/>
      <c r="AG6004" s="25" t="n"/>
      <c r="AH6004" s="25" t="n"/>
      <c r="AI6004" s="394" t="n"/>
      <c r="AM6004" s="48" t="n"/>
      <c r="AN6004" s="48" t="n"/>
      <c r="AO6004" s="48" t="n"/>
    </row>
    <row r="6005">
      <c r="M6005" s="25" t="n"/>
      <c r="Q6005" s="25" t="n"/>
      <c r="U6005" s="194" t="n"/>
      <c r="AA6005" s="25" t="n"/>
      <c r="AB6005" s="25" t="n"/>
      <c r="AC6005" s="195" t="n"/>
      <c r="AD6005" s="25" t="n"/>
      <c r="AE6005" s="25" t="n"/>
      <c r="AG6005" s="25" t="n"/>
      <c r="AH6005" s="25" t="n"/>
      <c r="AI6005" s="394" t="n"/>
      <c r="AM6005" s="48" t="n"/>
      <c r="AN6005" s="48" t="n"/>
      <c r="AO6005" s="48" t="n"/>
    </row>
    <row r="6006">
      <c r="M6006" s="25" t="n"/>
      <c r="Q6006" s="25" t="n"/>
      <c r="U6006" s="194" t="n"/>
      <c r="AA6006" s="25" t="n"/>
      <c r="AB6006" s="25" t="n"/>
      <c r="AC6006" s="195" t="n"/>
      <c r="AD6006" s="25" t="n"/>
      <c r="AE6006" s="25" t="n"/>
      <c r="AG6006" s="25" t="n"/>
      <c r="AH6006" s="25" t="n"/>
      <c r="AI6006" s="394" t="n"/>
      <c r="AM6006" s="48" t="n"/>
      <c r="AN6006" s="48" t="n"/>
      <c r="AO6006" s="48" t="n"/>
    </row>
    <row r="6007">
      <c r="M6007" s="25" t="n"/>
      <c r="Q6007" s="25" t="n"/>
      <c r="U6007" s="194" t="n"/>
      <c r="AA6007" s="25" t="n"/>
      <c r="AB6007" s="25" t="n"/>
      <c r="AC6007" s="195" t="n"/>
      <c r="AD6007" s="25" t="n"/>
      <c r="AE6007" s="25" t="n"/>
      <c r="AG6007" s="25" t="n"/>
      <c r="AH6007" s="25" t="n"/>
      <c r="AI6007" s="394" t="n"/>
      <c r="AM6007" s="48" t="n"/>
      <c r="AN6007" s="48" t="n"/>
      <c r="AO6007" s="48" t="n"/>
    </row>
    <row r="6008">
      <c r="M6008" s="25" t="n"/>
      <c r="Q6008" s="25" t="n"/>
      <c r="U6008" s="194" t="n"/>
      <c r="AA6008" s="25" t="n"/>
      <c r="AB6008" s="25" t="n"/>
      <c r="AC6008" s="195" t="n"/>
      <c r="AD6008" s="25" t="n"/>
      <c r="AE6008" s="25" t="n"/>
      <c r="AG6008" s="25" t="n"/>
      <c r="AH6008" s="25" t="n"/>
      <c r="AI6008" s="394" t="n"/>
      <c r="AM6008" s="48" t="n"/>
      <c r="AN6008" s="48" t="n"/>
      <c r="AO6008" s="48" t="n"/>
    </row>
    <row r="6009">
      <c r="M6009" s="25" t="n"/>
      <c r="Q6009" s="25" t="n"/>
      <c r="U6009" s="194" t="n"/>
      <c r="AA6009" s="25" t="n"/>
      <c r="AB6009" s="25" t="n"/>
      <c r="AC6009" s="195" t="n"/>
      <c r="AD6009" s="25" t="n"/>
      <c r="AE6009" s="25" t="n"/>
      <c r="AG6009" s="25" t="n"/>
      <c r="AH6009" s="25" t="n"/>
      <c r="AI6009" s="394" t="n"/>
      <c r="AM6009" s="48" t="n"/>
      <c r="AN6009" s="48" t="n"/>
      <c r="AO6009" s="48" t="n"/>
    </row>
    <row r="6010">
      <c r="M6010" s="25" t="n"/>
      <c r="Q6010" s="25" t="n"/>
      <c r="U6010" s="194" t="n"/>
      <c r="AA6010" s="25" t="n"/>
      <c r="AB6010" s="25" t="n"/>
      <c r="AC6010" s="195" t="n"/>
      <c r="AD6010" s="25" t="n"/>
      <c r="AE6010" s="25" t="n"/>
      <c r="AG6010" s="25" t="n"/>
      <c r="AH6010" s="25" t="n"/>
      <c r="AI6010" s="394" t="n"/>
      <c r="AM6010" s="48" t="n"/>
      <c r="AN6010" s="48" t="n"/>
      <c r="AO6010" s="48" t="n"/>
    </row>
    <row r="6011">
      <c r="M6011" s="25" t="n"/>
      <c r="Q6011" s="25" t="n"/>
      <c r="U6011" s="194" t="n"/>
      <c r="AA6011" s="25" t="n"/>
      <c r="AB6011" s="25" t="n"/>
      <c r="AC6011" s="195" t="n"/>
      <c r="AD6011" s="25" t="n"/>
      <c r="AE6011" s="25" t="n"/>
      <c r="AG6011" s="25" t="n"/>
      <c r="AH6011" s="25" t="n"/>
      <c r="AI6011" s="394" t="n"/>
      <c r="AM6011" s="48" t="n"/>
      <c r="AN6011" s="48" t="n"/>
      <c r="AO6011" s="48" t="n"/>
    </row>
    <row r="6012">
      <c r="M6012" s="25" t="n"/>
      <c r="Q6012" s="25" t="n"/>
      <c r="U6012" s="194" t="n"/>
      <c r="AA6012" s="25" t="n"/>
      <c r="AB6012" s="25" t="n"/>
      <c r="AC6012" s="195" t="n"/>
      <c r="AD6012" s="25" t="n"/>
      <c r="AE6012" s="25" t="n"/>
      <c r="AG6012" s="25" t="n"/>
      <c r="AH6012" s="25" t="n"/>
      <c r="AI6012" s="394" t="n"/>
      <c r="AM6012" s="48" t="n"/>
      <c r="AN6012" s="48" t="n"/>
      <c r="AO6012" s="48" t="n"/>
    </row>
    <row r="6013">
      <c r="M6013" s="25" t="n"/>
      <c r="Q6013" s="25" t="n"/>
      <c r="U6013" s="194" t="n"/>
      <c r="AA6013" s="25" t="n"/>
      <c r="AB6013" s="25" t="n"/>
      <c r="AC6013" s="195" t="n"/>
      <c r="AD6013" s="25" t="n"/>
      <c r="AE6013" s="25" t="n"/>
      <c r="AG6013" s="25" t="n"/>
      <c r="AH6013" s="25" t="n"/>
      <c r="AI6013" s="394" t="n"/>
      <c r="AM6013" s="48" t="n"/>
      <c r="AN6013" s="48" t="n"/>
      <c r="AO6013" s="48" t="n"/>
    </row>
    <row r="6014">
      <c r="M6014" s="25" t="n"/>
      <c r="Q6014" s="25" t="n"/>
      <c r="U6014" s="194" t="n"/>
      <c r="AA6014" s="25" t="n"/>
      <c r="AB6014" s="25" t="n"/>
      <c r="AC6014" s="195" t="n"/>
      <c r="AD6014" s="25" t="n"/>
      <c r="AE6014" s="25" t="n"/>
      <c r="AG6014" s="25" t="n"/>
      <c r="AH6014" s="25" t="n"/>
      <c r="AI6014" s="394" t="n"/>
      <c r="AM6014" s="48" t="n"/>
      <c r="AN6014" s="48" t="n"/>
      <c r="AO6014" s="48" t="n"/>
    </row>
    <row r="6015">
      <c r="M6015" s="25" t="n"/>
      <c r="Q6015" s="25" t="n"/>
      <c r="U6015" s="194" t="n"/>
      <c r="AA6015" s="25" t="n"/>
      <c r="AB6015" s="25" t="n"/>
      <c r="AC6015" s="195" t="n"/>
      <c r="AD6015" s="25" t="n"/>
      <c r="AE6015" s="25" t="n"/>
      <c r="AG6015" s="25" t="n"/>
      <c r="AH6015" s="25" t="n"/>
      <c r="AI6015" s="394" t="n"/>
      <c r="AM6015" s="48" t="n"/>
      <c r="AN6015" s="48" t="n"/>
      <c r="AO6015" s="48" t="n"/>
    </row>
    <row r="6016">
      <c r="M6016" s="25" t="n"/>
      <c r="Q6016" s="25" t="n"/>
      <c r="U6016" s="194" t="n"/>
      <c r="AA6016" s="25" t="n"/>
      <c r="AB6016" s="25" t="n"/>
      <c r="AC6016" s="195" t="n"/>
      <c r="AD6016" s="25" t="n"/>
      <c r="AE6016" s="25" t="n"/>
      <c r="AG6016" s="25" t="n"/>
      <c r="AH6016" s="25" t="n"/>
      <c r="AI6016" s="394" t="n"/>
      <c r="AM6016" s="48" t="n"/>
      <c r="AN6016" s="48" t="n"/>
      <c r="AO6016" s="48" t="n"/>
    </row>
    <row r="6017">
      <c r="M6017" s="25" t="n"/>
      <c r="Q6017" s="25" t="n"/>
      <c r="U6017" s="194" t="n"/>
      <c r="AA6017" s="25" t="n"/>
      <c r="AB6017" s="25" t="n"/>
      <c r="AC6017" s="195" t="n"/>
      <c r="AD6017" s="25" t="n"/>
      <c r="AE6017" s="25" t="n"/>
      <c r="AG6017" s="25" t="n"/>
      <c r="AH6017" s="25" t="n"/>
      <c r="AI6017" s="394" t="n"/>
      <c r="AM6017" s="48" t="n"/>
      <c r="AN6017" s="48" t="n"/>
      <c r="AO6017" s="48" t="n"/>
    </row>
    <row r="6018">
      <c r="M6018" s="25" t="n"/>
      <c r="Q6018" s="25" t="n"/>
      <c r="U6018" s="194" t="n"/>
      <c r="AA6018" s="25" t="n"/>
      <c r="AB6018" s="25" t="n"/>
      <c r="AC6018" s="195" t="n"/>
      <c r="AD6018" s="25" t="n"/>
      <c r="AE6018" s="25" t="n"/>
      <c r="AG6018" s="25" t="n"/>
      <c r="AH6018" s="25" t="n"/>
      <c r="AI6018" s="394" t="n"/>
      <c r="AM6018" s="48" t="n"/>
      <c r="AN6018" s="48" t="n"/>
      <c r="AO6018" s="48" t="n"/>
    </row>
    <row r="6019">
      <c r="M6019" s="25" t="n"/>
      <c r="Q6019" s="25" t="n"/>
      <c r="U6019" s="194" t="n"/>
      <c r="AA6019" s="25" t="n"/>
      <c r="AB6019" s="25" t="n"/>
      <c r="AC6019" s="195" t="n"/>
      <c r="AD6019" s="25" t="n"/>
      <c r="AE6019" s="25" t="n"/>
      <c r="AG6019" s="25" t="n"/>
      <c r="AH6019" s="25" t="n"/>
      <c r="AI6019" s="394" t="n"/>
      <c r="AM6019" s="48" t="n"/>
      <c r="AN6019" s="48" t="n"/>
      <c r="AO6019" s="48" t="n"/>
    </row>
    <row r="6020">
      <c r="M6020" s="25" t="n"/>
      <c r="Q6020" s="25" t="n"/>
      <c r="U6020" s="194" t="n"/>
      <c r="AA6020" s="25" t="n"/>
      <c r="AB6020" s="25" t="n"/>
      <c r="AC6020" s="195" t="n"/>
      <c r="AD6020" s="25" t="n"/>
      <c r="AE6020" s="25" t="n"/>
      <c r="AG6020" s="25" t="n"/>
      <c r="AH6020" s="25" t="n"/>
      <c r="AI6020" s="394" t="n"/>
      <c r="AM6020" s="48" t="n"/>
      <c r="AN6020" s="48" t="n"/>
      <c r="AO6020" s="48" t="n"/>
    </row>
    <row r="6021">
      <c r="M6021" s="25" t="n"/>
      <c r="Q6021" s="25" t="n"/>
      <c r="U6021" s="194" t="n"/>
      <c r="AA6021" s="25" t="n"/>
      <c r="AB6021" s="25" t="n"/>
      <c r="AC6021" s="195" t="n"/>
      <c r="AD6021" s="25" t="n"/>
      <c r="AE6021" s="25" t="n"/>
      <c r="AG6021" s="25" t="n"/>
      <c r="AH6021" s="25" t="n"/>
      <c r="AI6021" s="394" t="n"/>
      <c r="AM6021" s="48" t="n"/>
      <c r="AN6021" s="48" t="n"/>
      <c r="AO6021" s="48" t="n"/>
    </row>
    <row r="6022">
      <c r="M6022" s="25" t="n"/>
      <c r="Q6022" s="25" t="n"/>
      <c r="U6022" s="194" t="n"/>
      <c r="AA6022" s="25" t="n"/>
      <c r="AB6022" s="25" t="n"/>
      <c r="AC6022" s="195" t="n"/>
      <c r="AD6022" s="25" t="n"/>
      <c r="AE6022" s="25" t="n"/>
      <c r="AG6022" s="25" t="n"/>
      <c r="AH6022" s="25" t="n"/>
      <c r="AI6022" s="394" t="n"/>
      <c r="AM6022" s="48" t="n"/>
      <c r="AN6022" s="48" t="n"/>
      <c r="AO6022" s="48" t="n"/>
    </row>
    <row r="6023">
      <c r="M6023" s="25" t="n"/>
      <c r="Q6023" s="25" t="n"/>
      <c r="U6023" s="194" t="n"/>
      <c r="AA6023" s="25" t="n"/>
      <c r="AB6023" s="25" t="n"/>
      <c r="AC6023" s="195" t="n"/>
      <c r="AD6023" s="25" t="n"/>
      <c r="AE6023" s="25" t="n"/>
      <c r="AG6023" s="25" t="n"/>
      <c r="AH6023" s="25" t="n"/>
      <c r="AI6023" s="394" t="n"/>
      <c r="AM6023" s="48" t="n"/>
      <c r="AN6023" s="48" t="n"/>
      <c r="AO6023" s="48" t="n"/>
    </row>
    <row r="6024">
      <c r="M6024" s="25" t="n"/>
      <c r="Q6024" s="25" t="n"/>
      <c r="U6024" s="194" t="n"/>
      <c r="AA6024" s="25" t="n"/>
      <c r="AB6024" s="25" t="n"/>
      <c r="AC6024" s="195" t="n"/>
      <c r="AD6024" s="25" t="n"/>
      <c r="AE6024" s="25" t="n"/>
      <c r="AG6024" s="25" t="n"/>
      <c r="AH6024" s="25" t="n"/>
      <c r="AI6024" s="394" t="n"/>
      <c r="AM6024" s="48" t="n"/>
      <c r="AN6024" s="48" t="n"/>
      <c r="AO6024" s="48" t="n"/>
    </row>
    <row r="6025">
      <c r="M6025" s="25" t="n"/>
      <c r="Q6025" s="25" t="n"/>
      <c r="U6025" s="194" t="n"/>
      <c r="AA6025" s="25" t="n"/>
      <c r="AB6025" s="25" t="n"/>
      <c r="AC6025" s="195" t="n"/>
      <c r="AD6025" s="25" t="n"/>
      <c r="AE6025" s="25" t="n"/>
      <c r="AG6025" s="25" t="n"/>
      <c r="AH6025" s="25" t="n"/>
      <c r="AI6025" s="394" t="n"/>
      <c r="AM6025" s="48" t="n"/>
      <c r="AN6025" s="48" t="n"/>
      <c r="AO6025" s="48" t="n"/>
    </row>
    <row r="6026">
      <c r="M6026" s="25" t="n"/>
      <c r="Q6026" s="25" t="n"/>
      <c r="U6026" s="194" t="n"/>
      <c r="AA6026" s="25" t="n"/>
      <c r="AB6026" s="25" t="n"/>
      <c r="AC6026" s="195" t="n"/>
      <c r="AD6026" s="25" t="n"/>
      <c r="AE6026" s="25" t="n"/>
      <c r="AG6026" s="25" t="n"/>
      <c r="AH6026" s="25" t="n"/>
      <c r="AI6026" s="394" t="n"/>
      <c r="AM6026" s="48" t="n"/>
      <c r="AN6026" s="48" t="n"/>
      <c r="AO6026" s="48" t="n"/>
    </row>
    <row r="6027">
      <c r="M6027" s="25" t="n"/>
      <c r="Q6027" s="25" t="n"/>
      <c r="U6027" s="194" t="n"/>
      <c r="AA6027" s="25" t="n"/>
      <c r="AB6027" s="25" t="n"/>
      <c r="AC6027" s="195" t="n"/>
      <c r="AD6027" s="25" t="n"/>
      <c r="AE6027" s="25" t="n"/>
      <c r="AG6027" s="25" t="n"/>
      <c r="AH6027" s="25" t="n"/>
      <c r="AI6027" s="394" t="n"/>
      <c r="AM6027" s="48" t="n"/>
      <c r="AN6027" s="48" t="n"/>
      <c r="AO6027" s="48" t="n"/>
    </row>
    <row r="6028">
      <c r="M6028" s="25" t="n"/>
      <c r="Q6028" s="25" t="n"/>
      <c r="U6028" s="194" t="n"/>
      <c r="AA6028" s="25" t="n"/>
      <c r="AB6028" s="25" t="n"/>
      <c r="AC6028" s="195" t="n"/>
      <c r="AD6028" s="25" t="n"/>
      <c r="AE6028" s="25" t="n"/>
      <c r="AG6028" s="25" t="n"/>
      <c r="AH6028" s="25" t="n"/>
      <c r="AI6028" s="394" t="n"/>
      <c r="AM6028" s="48" t="n"/>
      <c r="AN6028" s="48" t="n"/>
      <c r="AO6028" s="48" t="n"/>
    </row>
    <row r="6029">
      <c r="M6029" s="25" t="n"/>
      <c r="Q6029" s="25" t="n"/>
      <c r="U6029" s="194" t="n"/>
      <c r="AA6029" s="25" t="n"/>
      <c r="AB6029" s="25" t="n"/>
      <c r="AC6029" s="195" t="n"/>
      <c r="AD6029" s="25" t="n"/>
      <c r="AE6029" s="25" t="n"/>
      <c r="AG6029" s="25" t="n"/>
      <c r="AH6029" s="25" t="n"/>
      <c r="AI6029" s="394" t="n"/>
      <c r="AM6029" s="48" t="n"/>
      <c r="AN6029" s="48" t="n"/>
      <c r="AO6029" s="48" t="n"/>
    </row>
    <row r="6030">
      <c r="M6030" s="25" t="n"/>
      <c r="Q6030" s="25" t="n"/>
      <c r="U6030" s="194" t="n"/>
      <c r="AA6030" s="25" t="n"/>
      <c r="AB6030" s="25" t="n"/>
      <c r="AC6030" s="195" t="n"/>
      <c r="AD6030" s="25" t="n"/>
      <c r="AE6030" s="25" t="n"/>
      <c r="AG6030" s="25" t="n"/>
      <c r="AH6030" s="25" t="n"/>
      <c r="AI6030" s="394" t="n"/>
      <c r="AM6030" s="48" t="n"/>
      <c r="AN6030" s="48" t="n"/>
      <c r="AO6030" s="48" t="n"/>
    </row>
    <row r="6031">
      <c r="M6031" s="25" t="n"/>
      <c r="Q6031" s="25" t="n"/>
      <c r="U6031" s="194" t="n"/>
      <c r="AA6031" s="25" t="n"/>
      <c r="AB6031" s="25" t="n"/>
      <c r="AC6031" s="195" t="n"/>
      <c r="AD6031" s="25" t="n"/>
      <c r="AE6031" s="25" t="n"/>
      <c r="AG6031" s="25" t="n"/>
      <c r="AH6031" s="25" t="n"/>
      <c r="AI6031" s="394" t="n"/>
      <c r="AM6031" s="48" t="n"/>
      <c r="AN6031" s="48" t="n"/>
      <c r="AO6031" s="48" t="n"/>
    </row>
    <row r="6032">
      <c r="M6032" s="25" t="n"/>
      <c r="Q6032" s="25" t="n"/>
      <c r="U6032" s="194" t="n"/>
      <c r="AA6032" s="25" t="n"/>
      <c r="AB6032" s="25" t="n"/>
      <c r="AC6032" s="195" t="n"/>
      <c r="AD6032" s="25" t="n"/>
      <c r="AE6032" s="25" t="n"/>
      <c r="AG6032" s="25" t="n"/>
      <c r="AH6032" s="25" t="n"/>
      <c r="AI6032" s="394" t="n"/>
      <c r="AM6032" s="48" t="n"/>
      <c r="AN6032" s="48" t="n"/>
      <c r="AO6032" s="48" t="n"/>
    </row>
    <row r="6033">
      <c r="M6033" s="25" t="n"/>
      <c r="Q6033" s="25" t="n"/>
      <c r="U6033" s="194" t="n"/>
      <c r="AA6033" s="25" t="n"/>
      <c r="AB6033" s="25" t="n"/>
      <c r="AC6033" s="195" t="n"/>
      <c r="AD6033" s="25" t="n"/>
      <c r="AE6033" s="25" t="n"/>
      <c r="AG6033" s="25" t="n"/>
      <c r="AH6033" s="25" t="n"/>
      <c r="AI6033" s="394" t="n"/>
      <c r="AM6033" s="48" t="n"/>
      <c r="AN6033" s="48" t="n"/>
      <c r="AO6033" s="48" t="n"/>
    </row>
    <row r="6034">
      <c r="M6034" s="25" t="n"/>
      <c r="Q6034" s="25" t="n"/>
      <c r="U6034" s="194" t="n"/>
      <c r="AA6034" s="25" t="n"/>
      <c r="AB6034" s="25" t="n"/>
      <c r="AC6034" s="195" t="n"/>
      <c r="AD6034" s="25" t="n"/>
      <c r="AE6034" s="25" t="n"/>
      <c r="AG6034" s="25" t="n"/>
      <c r="AH6034" s="25" t="n"/>
      <c r="AI6034" s="394" t="n"/>
      <c r="AM6034" s="48" t="n"/>
      <c r="AN6034" s="48" t="n"/>
      <c r="AO6034" s="48" t="n"/>
    </row>
    <row r="6035">
      <c r="M6035" s="25" t="n"/>
      <c r="Q6035" s="25" t="n"/>
      <c r="U6035" s="194" t="n"/>
      <c r="AA6035" s="25" t="n"/>
      <c r="AB6035" s="25" t="n"/>
      <c r="AC6035" s="195" t="n"/>
      <c r="AD6035" s="25" t="n"/>
      <c r="AE6035" s="25" t="n"/>
      <c r="AG6035" s="25" t="n"/>
      <c r="AH6035" s="25" t="n"/>
      <c r="AI6035" s="394" t="n"/>
      <c r="AM6035" s="48" t="n"/>
      <c r="AN6035" s="48" t="n"/>
      <c r="AO6035" s="48" t="n"/>
    </row>
    <row r="6036">
      <c r="M6036" s="25" t="n"/>
      <c r="Q6036" s="25" t="n"/>
      <c r="U6036" s="194" t="n"/>
      <c r="AA6036" s="25" t="n"/>
      <c r="AB6036" s="25" t="n"/>
      <c r="AC6036" s="195" t="n"/>
      <c r="AD6036" s="25" t="n"/>
      <c r="AE6036" s="25" t="n"/>
      <c r="AG6036" s="25" t="n"/>
      <c r="AH6036" s="25" t="n"/>
      <c r="AI6036" s="394" t="n"/>
      <c r="AM6036" s="48" t="n"/>
      <c r="AN6036" s="48" t="n"/>
      <c r="AO6036" s="48" t="n"/>
    </row>
    <row r="6037">
      <c r="M6037" s="25" t="n"/>
      <c r="Q6037" s="25" t="n"/>
      <c r="U6037" s="194" t="n"/>
      <c r="AA6037" s="25" t="n"/>
      <c r="AB6037" s="25" t="n"/>
      <c r="AC6037" s="195" t="n"/>
      <c r="AD6037" s="25" t="n"/>
      <c r="AE6037" s="25" t="n"/>
      <c r="AG6037" s="25" t="n"/>
      <c r="AH6037" s="25" t="n"/>
      <c r="AI6037" s="394" t="n"/>
      <c r="AM6037" s="48" t="n"/>
      <c r="AN6037" s="48" t="n"/>
      <c r="AO6037" s="48" t="n"/>
    </row>
    <row r="6038">
      <c r="M6038" s="25" t="n"/>
      <c r="Q6038" s="25" t="n"/>
      <c r="U6038" s="194" t="n"/>
      <c r="AA6038" s="25" t="n"/>
      <c r="AB6038" s="25" t="n"/>
      <c r="AC6038" s="195" t="n"/>
      <c r="AD6038" s="25" t="n"/>
      <c r="AE6038" s="25" t="n"/>
      <c r="AG6038" s="25" t="n"/>
      <c r="AH6038" s="25" t="n"/>
      <c r="AI6038" s="394" t="n"/>
      <c r="AM6038" s="48" t="n"/>
      <c r="AN6038" s="48" t="n"/>
      <c r="AO6038" s="48" t="n"/>
    </row>
    <row r="6039">
      <c r="M6039" s="25" t="n"/>
      <c r="Q6039" s="25" t="n"/>
      <c r="U6039" s="194" t="n"/>
      <c r="AA6039" s="25" t="n"/>
      <c r="AB6039" s="25" t="n"/>
      <c r="AC6039" s="195" t="n"/>
      <c r="AD6039" s="25" t="n"/>
      <c r="AE6039" s="25" t="n"/>
      <c r="AG6039" s="25" t="n"/>
      <c r="AH6039" s="25" t="n"/>
      <c r="AI6039" s="394" t="n"/>
      <c r="AM6039" s="48" t="n"/>
      <c r="AN6039" s="48" t="n"/>
      <c r="AO6039" s="48" t="n"/>
    </row>
    <row r="6040">
      <c r="M6040" s="25" t="n"/>
      <c r="Q6040" s="25" t="n"/>
      <c r="U6040" s="194" t="n"/>
      <c r="AA6040" s="25" t="n"/>
      <c r="AB6040" s="25" t="n"/>
      <c r="AC6040" s="195" t="n"/>
      <c r="AD6040" s="25" t="n"/>
      <c r="AE6040" s="25" t="n"/>
      <c r="AG6040" s="25" t="n"/>
      <c r="AH6040" s="25" t="n"/>
      <c r="AI6040" s="394" t="n"/>
      <c r="AM6040" s="48" t="n"/>
      <c r="AN6040" s="48" t="n"/>
      <c r="AO6040" s="48" t="n"/>
    </row>
    <row r="6041">
      <c r="M6041" s="25" t="n"/>
      <c r="Q6041" s="25" t="n"/>
      <c r="U6041" s="194" t="n"/>
      <c r="AA6041" s="25" t="n"/>
      <c r="AB6041" s="25" t="n"/>
      <c r="AC6041" s="195" t="n"/>
      <c r="AD6041" s="25" t="n"/>
      <c r="AE6041" s="25" t="n"/>
      <c r="AG6041" s="25" t="n"/>
      <c r="AH6041" s="25" t="n"/>
      <c r="AI6041" s="394" t="n"/>
      <c r="AM6041" s="48" t="n"/>
      <c r="AN6041" s="48" t="n"/>
      <c r="AO6041" s="48" t="n"/>
    </row>
    <row r="6042">
      <c r="M6042" s="25" t="n"/>
      <c r="Q6042" s="25" t="n"/>
      <c r="U6042" s="194" t="n"/>
      <c r="AA6042" s="25" t="n"/>
      <c r="AB6042" s="25" t="n"/>
      <c r="AC6042" s="195" t="n"/>
      <c r="AD6042" s="25" t="n"/>
      <c r="AE6042" s="25" t="n"/>
      <c r="AG6042" s="25" t="n"/>
      <c r="AH6042" s="25" t="n"/>
      <c r="AI6042" s="394" t="n"/>
      <c r="AM6042" s="48" t="n"/>
      <c r="AN6042" s="48" t="n"/>
      <c r="AO6042" s="48" t="n"/>
    </row>
    <row r="6043">
      <c r="M6043" s="25" t="n"/>
      <c r="Q6043" s="25" t="n"/>
      <c r="U6043" s="194" t="n"/>
      <c r="AA6043" s="25" t="n"/>
      <c r="AB6043" s="25" t="n"/>
      <c r="AC6043" s="195" t="n"/>
      <c r="AD6043" s="25" t="n"/>
      <c r="AE6043" s="25" t="n"/>
      <c r="AG6043" s="25" t="n"/>
      <c r="AH6043" s="25" t="n"/>
      <c r="AI6043" s="394" t="n"/>
      <c r="AM6043" s="48" t="n"/>
      <c r="AN6043" s="48" t="n"/>
      <c r="AO6043" s="48" t="n"/>
    </row>
    <row r="6044">
      <c r="M6044" s="25" t="n"/>
      <c r="Q6044" s="25" t="n"/>
      <c r="U6044" s="194" t="n"/>
      <c r="AA6044" s="25" t="n"/>
      <c r="AB6044" s="25" t="n"/>
      <c r="AC6044" s="195" t="n"/>
      <c r="AD6044" s="25" t="n"/>
      <c r="AE6044" s="25" t="n"/>
      <c r="AG6044" s="25" t="n"/>
      <c r="AH6044" s="25" t="n"/>
      <c r="AI6044" s="394" t="n"/>
      <c r="AM6044" s="48" t="n"/>
      <c r="AN6044" s="48" t="n"/>
      <c r="AO6044" s="48" t="n"/>
    </row>
    <row r="6045">
      <c r="M6045" s="25" t="n"/>
      <c r="Q6045" s="25" t="n"/>
      <c r="U6045" s="194" t="n"/>
      <c r="AA6045" s="25" t="n"/>
      <c r="AB6045" s="25" t="n"/>
      <c r="AC6045" s="195" t="n"/>
      <c r="AD6045" s="25" t="n"/>
      <c r="AE6045" s="25" t="n"/>
      <c r="AG6045" s="25" t="n"/>
      <c r="AH6045" s="25" t="n"/>
      <c r="AI6045" s="394" t="n"/>
      <c r="AM6045" s="48" t="n"/>
      <c r="AN6045" s="48" t="n"/>
      <c r="AO6045" s="48" t="n"/>
    </row>
    <row r="6046">
      <c r="M6046" s="25" t="n"/>
      <c r="Q6046" s="25" t="n"/>
      <c r="U6046" s="194" t="n"/>
      <c r="AA6046" s="25" t="n"/>
      <c r="AB6046" s="25" t="n"/>
      <c r="AC6046" s="195" t="n"/>
      <c r="AD6046" s="25" t="n"/>
      <c r="AE6046" s="25" t="n"/>
      <c r="AG6046" s="25" t="n"/>
      <c r="AH6046" s="25" t="n"/>
      <c r="AI6046" s="394" t="n"/>
      <c r="AM6046" s="48" t="n"/>
      <c r="AN6046" s="48" t="n"/>
      <c r="AO6046" s="48" t="n"/>
    </row>
    <row r="6047">
      <c r="M6047" s="25" t="n"/>
      <c r="Q6047" s="25" t="n"/>
      <c r="U6047" s="194" t="n"/>
      <c r="AA6047" s="25" t="n"/>
      <c r="AB6047" s="25" t="n"/>
      <c r="AC6047" s="195" t="n"/>
      <c r="AD6047" s="25" t="n"/>
      <c r="AE6047" s="25" t="n"/>
      <c r="AG6047" s="25" t="n"/>
      <c r="AH6047" s="25" t="n"/>
      <c r="AI6047" s="394" t="n"/>
      <c r="AM6047" s="48" t="n"/>
      <c r="AN6047" s="48" t="n"/>
      <c r="AO6047" s="48" t="n"/>
    </row>
    <row r="6048">
      <c r="M6048" s="25" t="n"/>
      <c r="Q6048" s="25" t="n"/>
      <c r="U6048" s="194" t="n"/>
      <c r="AA6048" s="25" t="n"/>
      <c r="AB6048" s="25" t="n"/>
      <c r="AC6048" s="195" t="n"/>
      <c r="AD6048" s="25" t="n"/>
      <c r="AE6048" s="25" t="n"/>
      <c r="AG6048" s="25" t="n"/>
      <c r="AH6048" s="25" t="n"/>
      <c r="AI6048" s="394" t="n"/>
      <c r="AM6048" s="48" t="n"/>
      <c r="AN6048" s="48" t="n"/>
      <c r="AO6048" s="48" t="n"/>
    </row>
    <row r="6049">
      <c r="M6049" s="25" t="n"/>
      <c r="Q6049" s="25" t="n"/>
      <c r="U6049" s="194" t="n"/>
      <c r="AA6049" s="25" t="n"/>
      <c r="AB6049" s="25" t="n"/>
      <c r="AC6049" s="195" t="n"/>
      <c r="AD6049" s="25" t="n"/>
      <c r="AE6049" s="25" t="n"/>
      <c r="AG6049" s="25" t="n"/>
      <c r="AH6049" s="25" t="n"/>
      <c r="AI6049" s="394" t="n"/>
      <c r="AM6049" s="48" t="n"/>
      <c r="AN6049" s="48" t="n"/>
      <c r="AO6049" s="48" t="n"/>
    </row>
    <row r="6050">
      <c r="M6050" s="25" t="n"/>
      <c r="Q6050" s="25" t="n"/>
      <c r="U6050" s="194" t="n"/>
      <c r="AA6050" s="25" t="n"/>
      <c r="AB6050" s="25" t="n"/>
      <c r="AC6050" s="195" t="n"/>
      <c r="AD6050" s="25" t="n"/>
      <c r="AE6050" s="25" t="n"/>
      <c r="AG6050" s="25" t="n"/>
      <c r="AH6050" s="25" t="n"/>
      <c r="AI6050" s="394" t="n"/>
      <c r="AM6050" s="48" t="n"/>
      <c r="AN6050" s="48" t="n"/>
      <c r="AO6050" s="48" t="n"/>
    </row>
    <row r="6051">
      <c r="M6051" s="25" t="n"/>
      <c r="Q6051" s="25" t="n"/>
      <c r="U6051" s="194" t="n"/>
      <c r="AA6051" s="25" t="n"/>
      <c r="AB6051" s="25" t="n"/>
      <c r="AC6051" s="195" t="n"/>
      <c r="AD6051" s="25" t="n"/>
      <c r="AE6051" s="25" t="n"/>
      <c r="AG6051" s="25" t="n"/>
      <c r="AH6051" s="25" t="n"/>
      <c r="AI6051" s="394" t="n"/>
      <c r="AM6051" s="48" t="n"/>
      <c r="AN6051" s="48" t="n"/>
      <c r="AO6051" s="48" t="n"/>
    </row>
    <row r="6052">
      <c r="M6052" s="25" t="n"/>
      <c r="Q6052" s="25" t="n"/>
      <c r="U6052" s="194" t="n"/>
      <c r="AA6052" s="25" t="n"/>
      <c r="AB6052" s="25" t="n"/>
      <c r="AC6052" s="195" t="n"/>
      <c r="AD6052" s="25" t="n"/>
      <c r="AE6052" s="25" t="n"/>
      <c r="AG6052" s="25" t="n"/>
      <c r="AH6052" s="25" t="n"/>
      <c r="AI6052" s="394" t="n"/>
      <c r="AM6052" s="48" t="n"/>
      <c r="AN6052" s="48" t="n"/>
      <c r="AO6052" s="48" t="n"/>
    </row>
    <row r="6053">
      <c r="M6053" s="25" t="n"/>
      <c r="Q6053" s="25" t="n"/>
      <c r="U6053" s="194" t="n"/>
      <c r="AA6053" s="25" t="n"/>
      <c r="AB6053" s="25" t="n"/>
      <c r="AC6053" s="195" t="n"/>
      <c r="AD6053" s="25" t="n"/>
      <c r="AE6053" s="25" t="n"/>
      <c r="AG6053" s="25" t="n"/>
      <c r="AH6053" s="25" t="n"/>
      <c r="AI6053" s="394" t="n"/>
      <c r="AM6053" s="48" t="n"/>
      <c r="AN6053" s="48" t="n"/>
      <c r="AO6053" s="48" t="n"/>
    </row>
    <row r="6054">
      <c r="M6054" s="25" t="n"/>
      <c r="Q6054" s="25" t="n"/>
      <c r="U6054" s="194" t="n"/>
      <c r="AA6054" s="25" t="n"/>
      <c r="AB6054" s="25" t="n"/>
      <c r="AC6054" s="195" t="n"/>
      <c r="AD6054" s="25" t="n"/>
      <c r="AE6054" s="25" t="n"/>
      <c r="AG6054" s="25" t="n"/>
      <c r="AH6054" s="25" t="n"/>
      <c r="AI6054" s="394" t="n"/>
      <c r="AM6054" s="48" t="n"/>
      <c r="AN6054" s="48" t="n"/>
      <c r="AO6054" s="48" t="n"/>
    </row>
    <row r="6055">
      <c r="M6055" s="25" t="n"/>
      <c r="Q6055" s="25" t="n"/>
      <c r="U6055" s="194" t="n"/>
      <c r="AA6055" s="25" t="n"/>
      <c r="AB6055" s="25" t="n"/>
      <c r="AC6055" s="195" t="n"/>
      <c r="AD6055" s="25" t="n"/>
      <c r="AE6055" s="25" t="n"/>
      <c r="AG6055" s="25" t="n"/>
      <c r="AH6055" s="25" t="n"/>
      <c r="AI6055" s="394" t="n"/>
      <c r="AM6055" s="48" t="n"/>
      <c r="AN6055" s="48" t="n"/>
      <c r="AO6055" s="48" t="n"/>
    </row>
    <row r="6056">
      <c r="M6056" s="25" t="n"/>
      <c r="Q6056" s="25" t="n"/>
      <c r="U6056" s="194" t="n"/>
      <c r="AA6056" s="25" t="n"/>
      <c r="AB6056" s="25" t="n"/>
      <c r="AC6056" s="195" t="n"/>
      <c r="AD6056" s="25" t="n"/>
      <c r="AE6056" s="25" t="n"/>
      <c r="AG6056" s="25" t="n"/>
      <c r="AH6056" s="25" t="n"/>
      <c r="AI6056" s="394" t="n"/>
      <c r="AM6056" s="48" t="n"/>
      <c r="AN6056" s="48" t="n"/>
      <c r="AO6056" s="48" t="n"/>
    </row>
    <row r="6057">
      <c r="M6057" s="25" t="n"/>
      <c r="Q6057" s="25" t="n"/>
      <c r="U6057" s="194" t="n"/>
      <c r="AA6057" s="25" t="n"/>
      <c r="AB6057" s="25" t="n"/>
      <c r="AC6057" s="195" t="n"/>
      <c r="AD6057" s="25" t="n"/>
      <c r="AE6057" s="25" t="n"/>
      <c r="AG6057" s="25" t="n"/>
      <c r="AH6057" s="25" t="n"/>
      <c r="AI6057" s="394" t="n"/>
      <c r="AM6057" s="48" t="n"/>
      <c r="AN6057" s="48" t="n"/>
      <c r="AO6057" s="48" t="n"/>
    </row>
    <row r="6058">
      <c r="M6058" s="25" t="n"/>
      <c r="Q6058" s="25" t="n"/>
      <c r="U6058" s="194" t="n"/>
      <c r="AA6058" s="25" t="n"/>
      <c r="AB6058" s="25" t="n"/>
      <c r="AC6058" s="195" t="n"/>
      <c r="AD6058" s="25" t="n"/>
      <c r="AE6058" s="25" t="n"/>
      <c r="AG6058" s="25" t="n"/>
      <c r="AH6058" s="25" t="n"/>
      <c r="AI6058" s="394" t="n"/>
      <c r="AM6058" s="48" t="n"/>
      <c r="AN6058" s="48" t="n"/>
      <c r="AO6058" s="48" t="n"/>
    </row>
    <row r="6059">
      <c r="M6059" s="25" t="n"/>
      <c r="Q6059" s="25" t="n"/>
      <c r="U6059" s="194" t="n"/>
      <c r="AA6059" s="25" t="n"/>
      <c r="AB6059" s="25" t="n"/>
      <c r="AC6059" s="195" t="n"/>
      <c r="AD6059" s="25" t="n"/>
      <c r="AE6059" s="25" t="n"/>
      <c r="AG6059" s="25" t="n"/>
      <c r="AH6059" s="25" t="n"/>
      <c r="AI6059" s="394" t="n"/>
      <c r="AM6059" s="48" t="n"/>
      <c r="AN6059" s="48" t="n"/>
      <c r="AO6059" s="48" t="n"/>
    </row>
    <row r="6060">
      <c r="M6060" s="25" t="n"/>
      <c r="Q6060" s="25" t="n"/>
      <c r="U6060" s="194" t="n"/>
      <c r="AA6060" s="25" t="n"/>
      <c r="AB6060" s="25" t="n"/>
      <c r="AC6060" s="195" t="n"/>
      <c r="AD6060" s="25" t="n"/>
      <c r="AE6060" s="25" t="n"/>
      <c r="AG6060" s="25" t="n"/>
      <c r="AH6060" s="25" t="n"/>
      <c r="AI6060" s="394" t="n"/>
      <c r="AM6060" s="48" t="n"/>
      <c r="AN6060" s="48" t="n"/>
      <c r="AO6060" s="48" t="n"/>
    </row>
    <row r="6061">
      <c r="M6061" s="25" t="n"/>
      <c r="Q6061" s="25" t="n"/>
      <c r="U6061" s="194" t="n"/>
      <c r="AA6061" s="25" t="n"/>
      <c r="AB6061" s="25" t="n"/>
      <c r="AC6061" s="195" t="n"/>
      <c r="AD6061" s="25" t="n"/>
      <c r="AE6061" s="25" t="n"/>
      <c r="AG6061" s="25" t="n"/>
      <c r="AH6061" s="25" t="n"/>
      <c r="AI6061" s="394" t="n"/>
      <c r="AM6061" s="48" t="n"/>
      <c r="AN6061" s="48" t="n"/>
      <c r="AO6061" s="48" t="n"/>
    </row>
    <row r="6062">
      <c r="M6062" s="25" t="n"/>
      <c r="Q6062" s="25" t="n"/>
      <c r="U6062" s="194" t="n"/>
      <c r="AA6062" s="25" t="n"/>
      <c r="AB6062" s="25" t="n"/>
      <c r="AC6062" s="195" t="n"/>
      <c r="AD6062" s="25" t="n"/>
      <c r="AE6062" s="25" t="n"/>
      <c r="AG6062" s="25" t="n"/>
      <c r="AH6062" s="25" t="n"/>
      <c r="AI6062" s="394" t="n"/>
      <c r="AM6062" s="48" t="n"/>
      <c r="AN6062" s="48" t="n"/>
      <c r="AO6062" s="48" t="n"/>
    </row>
    <row r="6063">
      <c r="M6063" s="25" t="n"/>
      <c r="Q6063" s="25" t="n"/>
      <c r="U6063" s="194" t="n"/>
      <c r="AA6063" s="25" t="n"/>
      <c r="AB6063" s="25" t="n"/>
      <c r="AC6063" s="195" t="n"/>
      <c r="AD6063" s="25" t="n"/>
      <c r="AE6063" s="25" t="n"/>
      <c r="AG6063" s="25" t="n"/>
      <c r="AH6063" s="25" t="n"/>
      <c r="AI6063" s="394" t="n"/>
      <c r="AM6063" s="48" t="n"/>
      <c r="AN6063" s="48" t="n"/>
      <c r="AO6063" s="48" t="n"/>
    </row>
    <row r="6064">
      <c r="M6064" s="25" t="n"/>
      <c r="Q6064" s="25" t="n"/>
      <c r="U6064" s="194" t="n"/>
      <c r="AA6064" s="25" t="n"/>
      <c r="AB6064" s="25" t="n"/>
      <c r="AC6064" s="195" t="n"/>
      <c r="AD6064" s="25" t="n"/>
      <c r="AE6064" s="25" t="n"/>
      <c r="AG6064" s="25" t="n"/>
      <c r="AH6064" s="25" t="n"/>
      <c r="AI6064" s="394" t="n"/>
      <c r="AM6064" s="48" t="n"/>
      <c r="AN6064" s="48" t="n"/>
      <c r="AO6064" s="48" t="n"/>
    </row>
    <row r="6065">
      <c r="M6065" s="25" t="n"/>
      <c r="Q6065" s="25" t="n"/>
      <c r="U6065" s="194" t="n"/>
      <c r="AA6065" s="25" t="n"/>
      <c r="AB6065" s="25" t="n"/>
      <c r="AC6065" s="195" t="n"/>
      <c r="AD6065" s="25" t="n"/>
      <c r="AE6065" s="25" t="n"/>
      <c r="AG6065" s="25" t="n"/>
      <c r="AH6065" s="25" t="n"/>
      <c r="AI6065" s="394" t="n"/>
      <c r="AM6065" s="48" t="n"/>
      <c r="AN6065" s="48" t="n"/>
      <c r="AO6065" s="48" t="n"/>
    </row>
    <row r="6066">
      <c r="M6066" s="25" t="n"/>
      <c r="Q6066" s="25" t="n"/>
      <c r="U6066" s="194" t="n"/>
      <c r="AA6066" s="25" t="n"/>
      <c r="AB6066" s="25" t="n"/>
      <c r="AC6066" s="195" t="n"/>
      <c r="AD6066" s="25" t="n"/>
      <c r="AE6066" s="25" t="n"/>
      <c r="AG6066" s="25" t="n"/>
      <c r="AH6066" s="25" t="n"/>
      <c r="AI6066" s="394" t="n"/>
      <c r="AM6066" s="48" t="n"/>
      <c r="AN6066" s="48" t="n"/>
      <c r="AO6066" s="48" t="n"/>
    </row>
    <row r="6067">
      <c r="M6067" s="25" t="n"/>
      <c r="Q6067" s="25" t="n"/>
      <c r="U6067" s="194" t="n"/>
      <c r="AA6067" s="25" t="n"/>
      <c r="AB6067" s="25" t="n"/>
      <c r="AC6067" s="195" t="n"/>
      <c r="AD6067" s="25" t="n"/>
      <c r="AE6067" s="25" t="n"/>
      <c r="AG6067" s="25" t="n"/>
      <c r="AH6067" s="25" t="n"/>
      <c r="AI6067" s="394" t="n"/>
      <c r="AM6067" s="48" t="n"/>
      <c r="AN6067" s="48" t="n"/>
      <c r="AO6067" s="48" t="n"/>
    </row>
    <row r="6068">
      <c r="M6068" s="25" t="n"/>
      <c r="Q6068" s="25" t="n"/>
      <c r="U6068" s="194" t="n"/>
      <c r="AA6068" s="25" t="n"/>
      <c r="AB6068" s="25" t="n"/>
      <c r="AC6068" s="195" t="n"/>
      <c r="AD6068" s="25" t="n"/>
      <c r="AE6068" s="25" t="n"/>
      <c r="AG6068" s="25" t="n"/>
      <c r="AH6068" s="25" t="n"/>
      <c r="AI6068" s="394" t="n"/>
      <c r="AM6068" s="48" t="n"/>
      <c r="AN6068" s="48" t="n"/>
      <c r="AO6068" s="48" t="n"/>
    </row>
    <row r="6069">
      <c r="M6069" s="25" t="n"/>
      <c r="Q6069" s="25" t="n"/>
      <c r="U6069" s="194" t="n"/>
      <c r="AA6069" s="25" t="n"/>
      <c r="AB6069" s="25" t="n"/>
      <c r="AC6069" s="195" t="n"/>
      <c r="AD6069" s="25" t="n"/>
      <c r="AE6069" s="25" t="n"/>
      <c r="AG6069" s="25" t="n"/>
      <c r="AH6069" s="25" t="n"/>
      <c r="AI6069" s="394" t="n"/>
      <c r="AM6069" s="48" t="n"/>
      <c r="AN6069" s="48" t="n"/>
      <c r="AO6069" s="48" t="n"/>
    </row>
    <row r="6070">
      <c r="M6070" s="25" t="n"/>
      <c r="Q6070" s="25" t="n"/>
      <c r="U6070" s="194" t="n"/>
      <c r="AA6070" s="25" t="n"/>
      <c r="AB6070" s="25" t="n"/>
      <c r="AC6070" s="195" t="n"/>
      <c r="AD6070" s="25" t="n"/>
      <c r="AE6070" s="25" t="n"/>
      <c r="AG6070" s="25" t="n"/>
      <c r="AH6070" s="25" t="n"/>
      <c r="AI6070" s="394" t="n"/>
      <c r="AM6070" s="48" t="n"/>
      <c r="AN6070" s="48" t="n"/>
      <c r="AO6070" s="48" t="n"/>
    </row>
    <row r="6071">
      <c r="M6071" s="25" t="n"/>
      <c r="Q6071" s="25" t="n"/>
      <c r="U6071" s="194" t="n"/>
      <c r="AA6071" s="25" t="n"/>
      <c r="AB6071" s="25" t="n"/>
      <c r="AC6071" s="195" t="n"/>
      <c r="AD6071" s="25" t="n"/>
      <c r="AE6071" s="25" t="n"/>
      <c r="AG6071" s="25" t="n"/>
      <c r="AH6071" s="25" t="n"/>
      <c r="AI6071" s="394" t="n"/>
      <c r="AM6071" s="48" t="n"/>
      <c r="AN6071" s="48" t="n"/>
      <c r="AO6071" s="48" t="n"/>
    </row>
    <row r="6072">
      <c r="M6072" s="25" t="n"/>
      <c r="Q6072" s="25" t="n"/>
      <c r="U6072" s="194" t="n"/>
      <c r="AA6072" s="25" t="n"/>
      <c r="AB6072" s="25" t="n"/>
      <c r="AC6072" s="195" t="n"/>
      <c r="AD6072" s="25" t="n"/>
      <c r="AE6072" s="25" t="n"/>
      <c r="AG6072" s="25" t="n"/>
      <c r="AH6072" s="25" t="n"/>
      <c r="AI6072" s="394" t="n"/>
      <c r="AM6072" s="48" t="n"/>
      <c r="AN6072" s="48" t="n"/>
      <c r="AO6072" s="48" t="n"/>
    </row>
    <row r="6073">
      <c r="M6073" s="25" t="n"/>
      <c r="Q6073" s="25" t="n"/>
      <c r="U6073" s="194" t="n"/>
      <c r="AA6073" s="25" t="n"/>
      <c r="AB6073" s="25" t="n"/>
      <c r="AC6073" s="195" t="n"/>
      <c r="AD6073" s="25" t="n"/>
      <c r="AE6073" s="25" t="n"/>
      <c r="AG6073" s="25" t="n"/>
      <c r="AH6073" s="25" t="n"/>
      <c r="AI6073" s="394" t="n"/>
      <c r="AM6073" s="48" t="n"/>
      <c r="AN6073" s="48" t="n"/>
      <c r="AO6073" s="48" t="n"/>
    </row>
    <row r="6074">
      <c r="M6074" s="25" t="n"/>
      <c r="Q6074" s="25" t="n"/>
      <c r="U6074" s="194" t="n"/>
      <c r="AA6074" s="25" t="n"/>
      <c r="AB6074" s="25" t="n"/>
      <c r="AC6074" s="195" t="n"/>
      <c r="AD6074" s="25" t="n"/>
      <c r="AE6074" s="25" t="n"/>
      <c r="AG6074" s="25" t="n"/>
      <c r="AH6074" s="25" t="n"/>
      <c r="AI6074" s="394" t="n"/>
      <c r="AM6074" s="48" t="n"/>
      <c r="AN6074" s="48" t="n"/>
      <c r="AO6074" s="48" t="n"/>
    </row>
    <row r="6075">
      <c r="M6075" s="25" t="n"/>
      <c r="Q6075" s="25" t="n"/>
      <c r="U6075" s="194" t="n"/>
      <c r="AA6075" s="25" t="n"/>
      <c r="AB6075" s="25" t="n"/>
      <c r="AC6075" s="195" t="n"/>
      <c r="AD6075" s="25" t="n"/>
      <c r="AE6075" s="25" t="n"/>
      <c r="AG6075" s="25" t="n"/>
      <c r="AH6075" s="25" t="n"/>
      <c r="AI6075" s="394" t="n"/>
      <c r="AM6075" s="48" t="n"/>
      <c r="AN6075" s="48" t="n"/>
      <c r="AO6075" s="48" t="n"/>
    </row>
    <row r="6076">
      <c r="M6076" s="25" t="n"/>
      <c r="Q6076" s="25" t="n"/>
      <c r="U6076" s="194" t="n"/>
      <c r="AA6076" s="25" t="n"/>
      <c r="AB6076" s="25" t="n"/>
      <c r="AC6076" s="195" t="n"/>
      <c r="AD6076" s="25" t="n"/>
      <c r="AE6076" s="25" t="n"/>
      <c r="AG6076" s="25" t="n"/>
      <c r="AH6076" s="25" t="n"/>
      <c r="AI6076" s="394" t="n"/>
      <c r="AM6076" s="48" t="n"/>
      <c r="AN6076" s="48" t="n"/>
      <c r="AO6076" s="48" t="n"/>
    </row>
    <row r="6077">
      <c r="M6077" s="25" t="n"/>
      <c r="Q6077" s="25" t="n"/>
      <c r="U6077" s="194" t="n"/>
      <c r="AA6077" s="25" t="n"/>
      <c r="AB6077" s="25" t="n"/>
      <c r="AC6077" s="195" t="n"/>
      <c r="AD6077" s="25" t="n"/>
      <c r="AE6077" s="25" t="n"/>
      <c r="AG6077" s="25" t="n"/>
      <c r="AH6077" s="25" t="n"/>
      <c r="AI6077" s="394" t="n"/>
      <c r="AM6077" s="48" t="n"/>
      <c r="AN6077" s="48" t="n"/>
      <c r="AO6077" s="48" t="n"/>
    </row>
    <row r="6078">
      <c r="M6078" s="25" t="n"/>
      <c r="Q6078" s="25" t="n"/>
      <c r="U6078" s="194" t="n"/>
      <c r="AA6078" s="25" t="n"/>
      <c r="AB6078" s="25" t="n"/>
      <c r="AC6078" s="195" t="n"/>
      <c r="AD6078" s="25" t="n"/>
      <c r="AE6078" s="25" t="n"/>
      <c r="AG6078" s="25" t="n"/>
      <c r="AH6078" s="25" t="n"/>
      <c r="AI6078" s="394" t="n"/>
      <c r="AM6078" s="48" t="n"/>
      <c r="AN6078" s="48" t="n"/>
      <c r="AO6078" s="48" t="n"/>
    </row>
    <row r="6079">
      <c r="M6079" s="25" t="n"/>
      <c r="Q6079" s="25" t="n"/>
      <c r="U6079" s="194" t="n"/>
      <c r="AA6079" s="25" t="n"/>
      <c r="AB6079" s="25" t="n"/>
      <c r="AC6079" s="195" t="n"/>
      <c r="AD6079" s="25" t="n"/>
      <c r="AE6079" s="25" t="n"/>
      <c r="AG6079" s="25" t="n"/>
      <c r="AH6079" s="25" t="n"/>
      <c r="AI6079" s="394" t="n"/>
      <c r="AM6079" s="48" t="n"/>
      <c r="AN6079" s="48" t="n"/>
      <c r="AO6079" s="48" t="n"/>
    </row>
    <row r="6080">
      <c r="M6080" s="25" t="n"/>
      <c r="Q6080" s="25" t="n"/>
      <c r="U6080" s="194" t="n"/>
      <c r="AA6080" s="25" t="n"/>
      <c r="AB6080" s="25" t="n"/>
      <c r="AC6080" s="195" t="n"/>
      <c r="AD6080" s="25" t="n"/>
      <c r="AE6080" s="25" t="n"/>
      <c r="AG6080" s="25" t="n"/>
      <c r="AH6080" s="25" t="n"/>
      <c r="AI6080" s="394" t="n"/>
      <c r="AM6080" s="48" t="n"/>
      <c r="AN6080" s="48" t="n"/>
      <c r="AO6080" s="48" t="n"/>
    </row>
    <row r="6081">
      <c r="M6081" s="25" t="n"/>
      <c r="Q6081" s="25" t="n"/>
      <c r="U6081" s="194" t="n"/>
      <c r="AA6081" s="25" t="n"/>
      <c r="AB6081" s="25" t="n"/>
      <c r="AC6081" s="195" t="n"/>
      <c r="AD6081" s="25" t="n"/>
      <c r="AE6081" s="25" t="n"/>
      <c r="AG6081" s="25" t="n"/>
      <c r="AH6081" s="25" t="n"/>
      <c r="AI6081" s="394" t="n"/>
      <c r="AM6081" s="48" t="n"/>
      <c r="AN6081" s="48" t="n"/>
      <c r="AO6081" s="48" t="n"/>
    </row>
    <row r="6082">
      <c r="M6082" s="25" t="n"/>
      <c r="Q6082" s="25" t="n"/>
      <c r="U6082" s="194" t="n"/>
      <c r="AA6082" s="25" t="n"/>
      <c r="AB6082" s="25" t="n"/>
      <c r="AC6082" s="195" t="n"/>
      <c r="AD6082" s="25" t="n"/>
      <c r="AE6082" s="25" t="n"/>
      <c r="AG6082" s="25" t="n"/>
      <c r="AH6082" s="25" t="n"/>
      <c r="AI6082" s="394" t="n"/>
      <c r="AM6082" s="48" t="n"/>
      <c r="AN6082" s="48" t="n"/>
      <c r="AO6082" s="48" t="n"/>
    </row>
    <row r="6083">
      <c r="M6083" s="25" t="n"/>
      <c r="Q6083" s="25" t="n"/>
      <c r="U6083" s="194" t="n"/>
      <c r="AA6083" s="25" t="n"/>
      <c r="AB6083" s="25" t="n"/>
      <c r="AC6083" s="195" t="n"/>
      <c r="AD6083" s="25" t="n"/>
      <c r="AE6083" s="25" t="n"/>
      <c r="AG6083" s="25" t="n"/>
      <c r="AH6083" s="25" t="n"/>
      <c r="AI6083" s="394" t="n"/>
      <c r="AM6083" s="48" t="n"/>
      <c r="AN6083" s="48" t="n"/>
      <c r="AO6083" s="48" t="n"/>
    </row>
    <row r="6084">
      <c r="M6084" s="25" t="n"/>
      <c r="Q6084" s="25" t="n"/>
      <c r="U6084" s="194" t="n"/>
      <c r="AA6084" s="25" t="n"/>
      <c r="AB6084" s="25" t="n"/>
      <c r="AC6084" s="195" t="n"/>
      <c r="AD6084" s="25" t="n"/>
      <c r="AE6084" s="25" t="n"/>
      <c r="AG6084" s="25" t="n"/>
      <c r="AH6084" s="25" t="n"/>
      <c r="AI6084" s="394" t="n"/>
      <c r="AM6084" s="48" t="n"/>
      <c r="AN6084" s="48" t="n"/>
      <c r="AO6084" s="48" t="n"/>
    </row>
    <row r="6085">
      <c r="M6085" s="25" t="n"/>
      <c r="Q6085" s="25" t="n"/>
      <c r="U6085" s="194" t="n"/>
      <c r="AA6085" s="25" t="n"/>
      <c r="AB6085" s="25" t="n"/>
      <c r="AC6085" s="195" t="n"/>
      <c r="AD6085" s="25" t="n"/>
      <c r="AE6085" s="25" t="n"/>
      <c r="AG6085" s="25" t="n"/>
      <c r="AH6085" s="25" t="n"/>
      <c r="AI6085" s="394" t="n"/>
      <c r="AM6085" s="48" t="n"/>
      <c r="AN6085" s="48" t="n"/>
      <c r="AO6085" s="48" t="n"/>
    </row>
    <row r="6086">
      <c r="M6086" s="25" t="n"/>
      <c r="Q6086" s="25" t="n"/>
      <c r="U6086" s="194" t="n"/>
      <c r="AA6086" s="25" t="n"/>
      <c r="AB6086" s="25" t="n"/>
      <c r="AC6086" s="195" t="n"/>
      <c r="AD6086" s="25" t="n"/>
      <c r="AE6086" s="25" t="n"/>
      <c r="AG6086" s="25" t="n"/>
      <c r="AH6086" s="25" t="n"/>
      <c r="AI6086" s="394" t="n"/>
      <c r="AM6086" s="48" t="n"/>
      <c r="AN6086" s="48" t="n"/>
      <c r="AO6086" s="48" t="n"/>
    </row>
    <row r="6087">
      <c r="M6087" s="25" t="n"/>
      <c r="Q6087" s="25" t="n"/>
      <c r="U6087" s="194" t="n"/>
      <c r="AA6087" s="25" t="n"/>
      <c r="AB6087" s="25" t="n"/>
      <c r="AC6087" s="195" t="n"/>
      <c r="AD6087" s="25" t="n"/>
      <c r="AE6087" s="25" t="n"/>
      <c r="AG6087" s="25" t="n"/>
      <c r="AH6087" s="25" t="n"/>
      <c r="AI6087" s="394" t="n"/>
      <c r="AM6087" s="48" t="n"/>
      <c r="AN6087" s="48" t="n"/>
      <c r="AO6087" s="48" t="n"/>
    </row>
    <row r="6088">
      <c r="M6088" s="25" t="n"/>
      <c r="Q6088" s="25" t="n"/>
      <c r="U6088" s="194" t="n"/>
      <c r="AA6088" s="25" t="n"/>
      <c r="AB6088" s="25" t="n"/>
      <c r="AC6088" s="195" t="n"/>
      <c r="AD6088" s="25" t="n"/>
      <c r="AE6088" s="25" t="n"/>
      <c r="AG6088" s="25" t="n"/>
      <c r="AH6088" s="25" t="n"/>
      <c r="AI6088" s="394" t="n"/>
      <c r="AM6088" s="48" t="n"/>
      <c r="AN6088" s="48" t="n"/>
      <c r="AO6088" s="48" t="n"/>
    </row>
    <row r="6089">
      <c r="M6089" s="25" t="n"/>
      <c r="Q6089" s="25" t="n"/>
      <c r="U6089" s="194" t="n"/>
      <c r="AA6089" s="25" t="n"/>
      <c r="AB6089" s="25" t="n"/>
      <c r="AC6089" s="195" t="n"/>
      <c r="AD6089" s="25" t="n"/>
      <c r="AE6089" s="25" t="n"/>
      <c r="AG6089" s="25" t="n"/>
      <c r="AH6089" s="25" t="n"/>
      <c r="AI6089" s="394" t="n"/>
      <c r="AM6089" s="48" t="n"/>
      <c r="AN6089" s="48" t="n"/>
      <c r="AO6089" s="48" t="n"/>
    </row>
    <row r="6090">
      <c r="M6090" s="25" t="n"/>
      <c r="Q6090" s="25" t="n"/>
      <c r="U6090" s="194" t="n"/>
      <c r="AA6090" s="25" t="n"/>
      <c r="AB6090" s="25" t="n"/>
      <c r="AC6090" s="195" t="n"/>
      <c r="AD6090" s="25" t="n"/>
      <c r="AE6090" s="25" t="n"/>
      <c r="AG6090" s="25" t="n"/>
      <c r="AH6090" s="25" t="n"/>
      <c r="AI6090" s="394" t="n"/>
      <c r="AM6090" s="48" t="n"/>
      <c r="AN6090" s="48" t="n"/>
      <c r="AO6090" s="48" t="n"/>
    </row>
    <row r="6091">
      <c r="M6091" s="25" t="n"/>
      <c r="Q6091" s="25" t="n"/>
      <c r="U6091" s="194" t="n"/>
      <c r="AA6091" s="25" t="n"/>
      <c r="AB6091" s="25" t="n"/>
      <c r="AC6091" s="195" t="n"/>
      <c r="AD6091" s="25" t="n"/>
      <c r="AE6091" s="25" t="n"/>
      <c r="AG6091" s="25" t="n"/>
      <c r="AH6091" s="25" t="n"/>
      <c r="AI6091" s="394" t="n"/>
      <c r="AM6091" s="48" t="n"/>
      <c r="AN6091" s="48" t="n"/>
      <c r="AO6091" s="48" t="n"/>
    </row>
    <row r="6092">
      <c r="M6092" s="25" t="n"/>
      <c r="Q6092" s="25" t="n"/>
      <c r="U6092" s="194" t="n"/>
      <c r="AA6092" s="25" t="n"/>
      <c r="AB6092" s="25" t="n"/>
      <c r="AC6092" s="195" t="n"/>
      <c r="AD6092" s="25" t="n"/>
      <c r="AE6092" s="25" t="n"/>
      <c r="AG6092" s="25" t="n"/>
      <c r="AH6092" s="25" t="n"/>
      <c r="AI6092" s="394" t="n"/>
      <c r="AM6092" s="48" t="n"/>
      <c r="AN6092" s="48" t="n"/>
      <c r="AO6092" s="48" t="n"/>
    </row>
    <row r="6093">
      <c r="M6093" s="25" t="n"/>
      <c r="Q6093" s="25" t="n"/>
      <c r="U6093" s="194" t="n"/>
      <c r="AA6093" s="25" t="n"/>
      <c r="AB6093" s="25" t="n"/>
      <c r="AC6093" s="195" t="n"/>
      <c r="AD6093" s="25" t="n"/>
      <c r="AE6093" s="25" t="n"/>
      <c r="AG6093" s="25" t="n"/>
      <c r="AH6093" s="25" t="n"/>
      <c r="AI6093" s="394" t="n"/>
      <c r="AM6093" s="48" t="n"/>
      <c r="AN6093" s="48" t="n"/>
      <c r="AO6093" s="48" t="n"/>
    </row>
    <row r="6094">
      <c r="M6094" s="25" t="n"/>
      <c r="Q6094" s="25" t="n"/>
      <c r="U6094" s="194" t="n"/>
      <c r="AA6094" s="25" t="n"/>
      <c r="AB6094" s="25" t="n"/>
      <c r="AC6094" s="195" t="n"/>
      <c r="AD6094" s="25" t="n"/>
      <c r="AE6094" s="25" t="n"/>
      <c r="AG6094" s="25" t="n"/>
      <c r="AH6094" s="25" t="n"/>
      <c r="AI6094" s="394" t="n"/>
      <c r="AM6094" s="48" t="n"/>
      <c r="AN6094" s="48" t="n"/>
      <c r="AO6094" s="48" t="n"/>
    </row>
    <row r="6095">
      <c r="M6095" s="25" t="n"/>
      <c r="Q6095" s="25" t="n"/>
      <c r="U6095" s="194" t="n"/>
      <c r="AA6095" s="25" t="n"/>
      <c r="AB6095" s="25" t="n"/>
      <c r="AC6095" s="195" t="n"/>
      <c r="AD6095" s="25" t="n"/>
      <c r="AE6095" s="25" t="n"/>
      <c r="AG6095" s="25" t="n"/>
      <c r="AH6095" s="25" t="n"/>
      <c r="AI6095" s="394" t="n"/>
      <c r="AM6095" s="48" t="n"/>
      <c r="AN6095" s="48" t="n"/>
      <c r="AO6095" s="48" t="n"/>
    </row>
    <row r="6096">
      <c r="M6096" s="25" t="n"/>
      <c r="Q6096" s="25" t="n"/>
      <c r="U6096" s="194" t="n"/>
      <c r="AA6096" s="25" t="n"/>
      <c r="AB6096" s="25" t="n"/>
      <c r="AC6096" s="195" t="n"/>
      <c r="AD6096" s="25" t="n"/>
      <c r="AE6096" s="25" t="n"/>
      <c r="AG6096" s="25" t="n"/>
      <c r="AH6096" s="25" t="n"/>
      <c r="AI6096" s="394" t="n"/>
      <c r="AM6096" s="48" t="n"/>
      <c r="AN6096" s="48" t="n"/>
      <c r="AO6096" s="48" t="n"/>
    </row>
    <row r="6097">
      <c r="M6097" s="25" t="n"/>
      <c r="Q6097" s="25" t="n"/>
      <c r="U6097" s="194" t="n"/>
      <c r="AA6097" s="25" t="n"/>
      <c r="AB6097" s="25" t="n"/>
      <c r="AC6097" s="195" t="n"/>
      <c r="AD6097" s="25" t="n"/>
      <c r="AE6097" s="25" t="n"/>
      <c r="AG6097" s="25" t="n"/>
      <c r="AH6097" s="25" t="n"/>
      <c r="AI6097" s="394" t="n"/>
      <c r="AM6097" s="48" t="n"/>
      <c r="AN6097" s="48" t="n"/>
      <c r="AO6097" s="48" t="n"/>
    </row>
    <row r="6098">
      <c r="M6098" s="25" t="n"/>
      <c r="Q6098" s="25" t="n"/>
      <c r="U6098" s="194" t="n"/>
      <c r="AA6098" s="25" t="n"/>
      <c r="AB6098" s="25" t="n"/>
      <c r="AC6098" s="195" t="n"/>
      <c r="AD6098" s="25" t="n"/>
      <c r="AE6098" s="25" t="n"/>
      <c r="AG6098" s="25" t="n"/>
      <c r="AH6098" s="25" t="n"/>
      <c r="AI6098" s="394" t="n"/>
      <c r="AM6098" s="48" t="n"/>
      <c r="AN6098" s="48" t="n"/>
      <c r="AO6098" s="48" t="n"/>
    </row>
    <row r="6099">
      <c r="M6099" s="25" t="n"/>
      <c r="Q6099" s="25" t="n"/>
      <c r="U6099" s="194" t="n"/>
      <c r="AA6099" s="25" t="n"/>
      <c r="AB6099" s="25" t="n"/>
      <c r="AC6099" s="195" t="n"/>
      <c r="AD6099" s="25" t="n"/>
      <c r="AE6099" s="25" t="n"/>
      <c r="AG6099" s="25" t="n"/>
      <c r="AH6099" s="25" t="n"/>
      <c r="AI6099" s="394" t="n"/>
      <c r="AM6099" s="48" t="n"/>
      <c r="AN6099" s="48" t="n"/>
      <c r="AO6099" s="48" t="n"/>
    </row>
    <row r="6100">
      <c r="M6100" s="25" t="n"/>
      <c r="Q6100" s="25" t="n"/>
      <c r="U6100" s="194" t="n"/>
      <c r="AA6100" s="25" t="n"/>
      <c r="AB6100" s="25" t="n"/>
      <c r="AC6100" s="195" t="n"/>
      <c r="AD6100" s="25" t="n"/>
      <c r="AE6100" s="25" t="n"/>
      <c r="AG6100" s="25" t="n"/>
      <c r="AH6100" s="25" t="n"/>
      <c r="AI6100" s="394" t="n"/>
      <c r="AM6100" s="48" t="n"/>
      <c r="AN6100" s="48" t="n"/>
      <c r="AO6100" s="48" t="n"/>
    </row>
    <row r="6101">
      <c r="M6101" s="25" t="n"/>
      <c r="Q6101" s="25" t="n"/>
      <c r="U6101" s="194" t="n"/>
      <c r="AA6101" s="25" t="n"/>
      <c r="AB6101" s="25" t="n"/>
      <c r="AC6101" s="195" t="n"/>
      <c r="AD6101" s="25" t="n"/>
      <c r="AE6101" s="25" t="n"/>
      <c r="AG6101" s="25" t="n"/>
      <c r="AH6101" s="25" t="n"/>
      <c r="AI6101" s="394" t="n"/>
      <c r="AM6101" s="48" t="n"/>
      <c r="AN6101" s="48" t="n"/>
      <c r="AO6101" s="48" t="n"/>
    </row>
    <row r="6102">
      <c r="M6102" s="25" t="n"/>
      <c r="Q6102" s="25" t="n"/>
      <c r="U6102" s="194" t="n"/>
      <c r="AA6102" s="25" t="n"/>
      <c r="AB6102" s="25" t="n"/>
      <c r="AC6102" s="195" t="n"/>
      <c r="AD6102" s="25" t="n"/>
      <c r="AE6102" s="25" t="n"/>
      <c r="AG6102" s="25" t="n"/>
      <c r="AH6102" s="25" t="n"/>
      <c r="AI6102" s="394" t="n"/>
      <c r="AM6102" s="48" t="n"/>
      <c r="AN6102" s="48" t="n"/>
      <c r="AO6102" s="48" t="n"/>
    </row>
    <row r="6103">
      <c r="M6103" s="25" t="n"/>
      <c r="Q6103" s="25" t="n"/>
      <c r="U6103" s="194" t="n"/>
      <c r="AA6103" s="25" t="n"/>
      <c r="AB6103" s="25" t="n"/>
      <c r="AC6103" s="195" t="n"/>
      <c r="AD6103" s="25" t="n"/>
      <c r="AE6103" s="25" t="n"/>
      <c r="AG6103" s="25" t="n"/>
      <c r="AH6103" s="25" t="n"/>
      <c r="AI6103" s="394" t="n"/>
      <c r="AM6103" s="48" t="n"/>
      <c r="AN6103" s="48" t="n"/>
      <c r="AO6103" s="48" t="n"/>
    </row>
    <row r="6104">
      <c r="M6104" s="25" t="n"/>
      <c r="Q6104" s="25" t="n"/>
      <c r="U6104" s="194" t="n"/>
      <c r="AA6104" s="25" t="n"/>
      <c r="AB6104" s="25" t="n"/>
      <c r="AC6104" s="195" t="n"/>
      <c r="AD6104" s="25" t="n"/>
      <c r="AE6104" s="25" t="n"/>
      <c r="AG6104" s="25" t="n"/>
      <c r="AH6104" s="25" t="n"/>
      <c r="AI6104" s="394" t="n"/>
      <c r="AM6104" s="48" t="n"/>
      <c r="AN6104" s="48" t="n"/>
      <c r="AO6104" s="48" t="n"/>
    </row>
    <row r="6105">
      <c r="M6105" s="25" t="n"/>
      <c r="Q6105" s="25" t="n"/>
      <c r="U6105" s="194" t="n"/>
      <c r="AA6105" s="25" t="n"/>
      <c r="AB6105" s="25" t="n"/>
      <c r="AC6105" s="195" t="n"/>
      <c r="AD6105" s="25" t="n"/>
      <c r="AE6105" s="25" t="n"/>
      <c r="AG6105" s="25" t="n"/>
      <c r="AH6105" s="25" t="n"/>
      <c r="AI6105" s="394" t="n"/>
      <c r="AM6105" s="48" t="n"/>
      <c r="AN6105" s="48" t="n"/>
      <c r="AO6105" s="48" t="n"/>
    </row>
    <row r="6106">
      <c r="M6106" s="25" t="n"/>
      <c r="Q6106" s="25" t="n"/>
      <c r="U6106" s="194" t="n"/>
      <c r="AA6106" s="25" t="n"/>
      <c r="AB6106" s="25" t="n"/>
      <c r="AC6106" s="195" t="n"/>
      <c r="AD6106" s="25" t="n"/>
      <c r="AE6106" s="25" t="n"/>
      <c r="AG6106" s="25" t="n"/>
      <c r="AH6106" s="25" t="n"/>
      <c r="AI6106" s="394" t="n"/>
      <c r="AM6106" s="48" t="n"/>
      <c r="AN6106" s="48" t="n"/>
      <c r="AO6106" s="48" t="n"/>
    </row>
    <row r="6107">
      <c r="M6107" s="25" t="n"/>
      <c r="Q6107" s="25" t="n"/>
      <c r="U6107" s="194" t="n"/>
      <c r="AA6107" s="25" t="n"/>
      <c r="AB6107" s="25" t="n"/>
      <c r="AC6107" s="195" t="n"/>
      <c r="AD6107" s="25" t="n"/>
      <c r="AE6107" s="25" t="n"/>
      <c r="AG6107" s="25" t="n"/>
      <c r="AH6107" s="25" t="n"/>
      <c r="AI6107" s="394" t="n"/>
      <c r="AM6107" s="48" t="n"/>
      <c r="AN6107" s="48" t="n"/>
      <c r="AO6107" s="48" t="n"/>
    </row>
    <row r="6108">
      <c r="M6108" s="25" t="n"/>
      <c r="Q6108" s="25" t="n"/>
      <c r="U6108" s="194" t="n"/>
      <c r="AA6108" s="25" t="n"/>
      <c r="AB6108" s="25" t="n"/>
      <c r="AC6108" s="195" t="n"/>
      <c r="AD6108" s="25" t="n"/>
      <c r="AE6108" s="25" t="n"/>
      <c r="AG6108" s="25" t="n"/>
      <c r="AH6108" s="25" t="n"/>
      <c r="AI6108" s="394" t="n"/>
      <c r="AM6108" s="48" t="n"/>
      <c r="AN6108" s="48" t="n"/>
      <c r="AO6108" s="48" t="n"/>
    </row>
    <row r="6109">
      <c r="M6109" s="25" t="n"/>
      <c r="Q6109" s="25" t="n"/>
      <c r="U6109" s="194" t="n"/>
      <c r="AA6109" s="25" t="n"/>
      <c r="AB6109" s="25" t="n"/>
      <c r="AC6109" s="195" t="n"/>
      <c r="AD6109" s="25" t="n"/>
      <c r="AE6109" s="25" t="n"/>
      <c r="AG6109" s="25" t="n"/>
      <c r="AH6109" s="25" t="n"/>
      <c r="AI6109" s="394" t="n"/>
      <c r="AM6109" s="48" t="n"/>
      <c r="AN6109" s="48" t="n"/>
      <c r="AO6109" s="48" t="n"/>
    </row>
    <row r="6110">
      <c r="M6110" s="25" t="n"/>
      <c r="Q6110" s="25" t="n"/>
      <c r="U6110" s="194" t="n"/>
      <c r="AA6110" s="25" t="n"/>
      <c r="AB6110" s="25" t="n"/>
      <c r="AC6110" s="195" t="n"/>
      <c r="AD6110" s="25" t="n"/>
      <c r="AE6110" s="25" t="n"/>
      <c r="AG6110" s="25" t="n"/>
      <c r="AH6110" s="25" t="n"/>
      <c r="AI6110" s="394" t="n"/>
      <c r="AM6110" s="48" t="n"/>
      <c r="AN6110" s="48" t="n"/>
      <c r="AO6110" s="48" t="n"/>
    </row>
    <row r="6111">
      <c r="M6111" s="25" t="n"/>
      <c r="Q6111" s="25" t="n"/>
      <c r="U6111" s="194" t="n"/>
      <c r="AA6111" s="25" t="n"/>
      <c r="AB6111" s="25" t="n"/>
      <c r="AC6111" s="195" t="n"/>
      <c r="AD6111" s="25" t="n"/>
      <c r="AE6111" s="25" t="n"/>
      <c r="AG6111" s="25" t="n"/>
      <c r="AH6111" s="25" t="n"/>
      <c r="AI6111" s="394" t="n"/>
      <c r="AM6111" s="48" t="n"/>
      <c r="AN6111" s="48" t="n"/>
      <c r="AO6111" s="48" t="n"/>
    </row>
    <row r="6112">
      <c r="M6112" s="25" t="n"/>
      <c r="Q6112" s="25" t="n"/>
      <c r="U6112" s="194" t="n"/>
      <c r="AA6112" s="25" t="n"/>
      <c r="AB6112" s="25" t="n"/>
      <c r="AC6112" s="195" t="n"/>
      <c r="AD6112" s="25" t="n"/>
      <c r="AE6112" s="25" t="n"/>
      <c r="AG6112" s="25" t="n"/>
      <c r="AH6112" s="25" t="n"/>
      <c r="AI6112" s="394" t="n"/>
      <c r="AM6112" s="48" t="n"/>
      <c r="AN6112" s="48" t="n"/>
      <c r="AO6112" s="48" t="n"/>
    </row>
    <row r="6113">
      <c r="M6113" s="25" t="n"/>
      <c r="Q6113" s="25" t="n"/>
      <c r="U6113" s="194" t="n"/>
      <c r="AA6113" s="25" t="n"/>
      <c r="AB6113" s="25" t="n"/>
      <c r="AC6113" s="195" t="n"/>
      <c r="AD6113" s="25" t="n"/>
      <c r="AE6113" s="25" t="n"/>
      <c r="AG6113" s="25" t="n"/>
      <c r="AH6113" s="25" t="n"/>
      <c r="AI6113" s="394" t="n"/>
      <c r="AM6113" s="48" t="n"/>
      <c r="AN6113" s="48" t="n"/>
      <c r="AO6113" s="48" t="n"/>
    </row>
    <row r="6114">
      <c r="M6114" s="25" t="n"/>
      <c r="Q6114" s="25" t="n"/>
      <c r="U6114" s="194" t="n"/>
      <c r="AA6114" s="25" t="n"/>
      <c r="AB6114" s="25" t="n"/>
      <c r="AC6114" s="195" t="n"/>
      <c r="AD6114" s="25" t="n"/>
      <c r="AE6114" s="25" t="n"/>
      <c r="AG6114" s="25" t="n"/>
      <c r="AH6114" s="25" t="n"/>
      <c r="AI6114" s="394" t="n"/>
      <c r="AM6114" s="48" t="n"/>
      <c r="AN6114" s="48" t="n"/>
      <c r="AO6114" s="48" t="n"/>
    </row>
    <row r="6115">
      <c r="M6115" s="25" t="n"/>
      <c r="Q6115" s="25" t="n"/>
      <c r="U6115" s="194" t="n"/>
      <c r="AA6115" s="25" t="n"/>
      <c r="AB6115" s="25" t="n"/>
      <c r="AC6115" s="195" t="n"/>
      <c r="AD6115" s="25" t="n"/>
      <c r="AE6115" s="25" t="n"/>
      <c r="AG6115" s="25" t="n"/>
      <c r="AH6115" s="25" t="n"/>
      <c r="AI6115" s="394" t="n"/>
      <c r="AM6115" s="48" t="n"/>
      <c r="AN6115" s="48" t="n"/>
      <c r="AO6115" s="48" t="n"/>
    </row>
    <row r="6116">
      <c r="M6116" s="25" t="n"/>
      <c r="Q6116" s="25" t="n"/>
      <c r="U6116" s="194" t="n"/>
      <c r="AA6116" s="25" t="n"/>
      <c r="AB6116" s="25" t="n"/>
      <c r="AC6116" s="195" t="n"/>
      <c r="AD6116" s="25" t="n"/>
      <c r="AE6116" s="25" t="n"/>
      <c r="AG6116" s="25" t="n"/>
      <c r="AH6116" s="25" t="n"/>
      <c r="AI6116" s="394" t="n"/>
      <c r="AM6116" s="48" t="n"/>
      <c r="AN6116" s="48" t="n"/>
      <c r="AO6116" s="48" t="n"/>
    </row>
    <row r="6117">
      <c r="M6117" s="25" t="n"/>
      <c r="Q6117" s="25" t="n"/>
      <c r="U6117" s="194" t="n"/>
      <c r="AA6117" s="25" t="n"/>
      <c r="AB6117" s="25" t="n"/>
      <c r="AC6117" s="195" t="n"/>
      <c r="AD6117" s="25" t="n"/>
      <c r="AE6117" s="25" t="n"/>
      <c r="AG6117" s="25" t="n"/>
      <c r="AH6117" s="25" t="n"/>
      <c r="AI6117" s="394" t="n"/>
      <c r="AM6117" s="48" t="n"/>
      <c r="AN6117" s="48" t="n"/>
      <c r="AO6117" s="48" t="n"/>
    </row>
    <row r="6118">
      <c r="M6118" s="25" t="n"/>
      <c r="Q6118" s="25" t="n"/>
      <c r="U6118" s="194" t="n"/>
      <c r="AA6118" s="25" t="n"/>
      <c r="AB6118" s="25" t="n"/>
      <c r="AC6118" s="195" t="n"/>
      <c r="AD6118" s="25" t="n"/>
      <c r="AE6118" s="25" t="n"/>
      <c r="AG6118" s="25" t="n"/>
      <c r="AH6118" s="25" t="n"/>
      <c r="AI6118" s="394" t="n"/>
      <c r="AM6118" s="48" t="n"/>
      <c r="AN6118" s="48" t="n"/>
      <c r="AO6118" s="48" t="n"/>
    </row>
    <row r="6119">
      <c r="M6119" s="25" t="n"/>
      <c r="Q6119" s="25" t="n"/>
      <c r="U6119" s="194" t="n"/>
      <c r="AA6119" s="25" t="n"/>
      <c r="AB6119" s="25" t="n"/>
      <c r="AC6119" s="195" t="n"/>
      <c r="AD6119" s="25" t="n"/>
      <c r="AE6119" s="25" t="n"/>
      <c r="AG6119" s="25" t="n"/>
      <c r="AH6119" s="25" t="n"/>
      <c r="AI6119" s="394" t="n"/>
      <c r="AM6119" s="48" t="n"/>
      <c r="AN6119" s="48" t="n"/>
      <c r="AO6119" s="48" t="n"/>
    </row>
    <row r="6120">
      <c r="M6120" s="25" t="n"/>
      <c r="Q6120" s="25" t="n"/>
      <c r="U6120" s="194" t="n"/>
      <c r="AA6120" s="25" t="n"/>
      <c r="AB6120" s="25" t="n"/>
      <c r="AC6120" s="195" t="n"/>
      <c r="AD6120" s="25" t="n"/>
      <c r="AE6120" s="25" t="n"/>
      <c r="AG6120" s="25" t="n"/>
      <c r="AH6120" s="25" t="n"/>
      <c r="AI6120" s="394" t="n"/>
      <c r="AM6120" s="48" t="n"/>
      <c r="AN6120" s="48" t="n"/>
      <c r="AO6120" s="48" t="n"/>
    </row>
    <row r="6121">
      <c r="M6121" s="25" t="n"/>
      <c r="Q6121" s="25" t="n"/>
      <c r="U6121" s="194" t="n"/>
      <c r="AA6121" s="25" t="n"/>
      <c r="AB6121" s="25" t="n"/>
      <c r="AC6121" s="195" t="n"/>
      <c r="AD6121" s="25" t="n"/>
      <c r="AE6121" s="25" t="n"/>
      <c r="AG6121" s="25" t="n"/>
      <c r="AH6121" s="25" t="n"/>
      <c r="AI6121" s="394" t="n"/>
      <c r="AM6121" s="48" t="n"/>
      <c r="AN6121" s="48" t="n"/>
      <c r="AO6121" s="48" t="n"/>
    </row>
    <row r="6122">
      <c r="M6122" s="25" t="n"/>
      <c r="Q6122" s="25" t="n"/>
      <c r="U6122" s="194" t="n"/>
      <c r="AA6122" s="25" t="n"/>
      <c r="AB6122" s="25" t="n"/>
      <c r="AC6122" s="195" t="n"/>
      <c r="AD6122" s="25" t="n"/>
      <c r="AE6122" s="25" t="n"/>
      <c r="AG6122" s="25" t="n"/>
      <c r="AH6122" s="25" t="n"/>
      <c r="AI6122" s="394" t="n"/>
      <c r="AM6122" s="48" t="n"/>
      <c r="AN6122" s="48" t="n"/>
      <c r="AO6122" s="48" t="n"/>
    </row>
    <row r="6123">
      <c r="M6123" s="25" t="n"/>
      <c r="Q6123" s="25" t="n"/>
      <c r="U6123" s="194" t="n"/>
      <c r="AA6123" s="25" t="n"/>
      <c r="AB6123" s="25" t="n"/>
      <c r="AC6123" s="195" t="n"/>
      <c r="AD6123" s="25" t="n"/>
      <c r="AE6123" s="25" t="n"/>
      <c r="AG6123" s="25" t="n"/>
      <c r="AH6123" s="25" t="n"/>
      <c r="AI6123" s="394" t="n"/>
      <c r="AM6123" s="48" t="n"/>
      <c r="AN6123" s="48" t="n"/>
      <c r="AO6123" s="48" t="n"/>
    </row>
    <row r="6124">
      <c r="M6124" s="25" t="n"/>
      <c r="Q6124" s="25" t="n"/>
      <c r="U6124" s="194" t="n"/>
      <c r="AA6124" s="25" t="n"/>
      <c r="AB6124" s="25" t="n"/>
      <c r="AC6124" s="195" t="n"/>
      <c r="AD6124" s="25" t="n"/>
      <c r="AE6124" s="25" t="n"/>
      <c r="AG6124" s="25" t="n"/>
      <c r="AH6124" s="25" t="n"/>
      <c r="AI6124" s="394" t="n"/>
      <c r="AM6124" s="48" t="n"/>
      <c r="AN6124" s="48" t="n"/>
      <c r="AO6124" s="48" t="n"/>
    </row>
    <row r="6125">
      <c r="M6125" s="25" t="n"/>
      <c r="Q6125" s="25" t="n"/>
      <c r="U6125" s="194" t="n"/>
      <c r="AA6125" s="25" t="n"/>
      <c r="AB6125" s="25" t="n"/>
      <c r="AC6125" s="195" t="n"/>
      <c r="AD6125" s="25" t="n"/>
      <c r="AE6125" s="25" t="n"/>
      <c r="AG6125" s="25" t="n"/>
      <c r="AH6125" s="25" t="n"/>
      <c r="AI6125" s="394" t="n"/>
      <c r="AM6125" s="48" t="n"/>
      <c r="AN6125" s="48" t="n"/>
      <c r="AO6125" s="48" t="n"/>
    </row>
    <row r="6126">
      <c r="M6126" s="25" t="n"/>
      <c r="Q6126" s="25" t="n"/>
      <c r="U6126" s="194" t="n"/>
      <c r="AA6126" s="25" t="n"/>
      <c r="AB6126" s="25" t="n"/>
      <c r="AC6126" s="195" t="n"/>
      <c r="AD6126" s="25" t="n"/>
      <c r="AE6126" s="25" t="n"/>
      <c r="AG6126" s="25" t="n"/>
      <c r="AH6126" s="25" t="n"/>
      <c r="AI6126" s="394" t="n"/>
      <c r="AM6126" s="48" t="n"/>
      <c r="AN6126" s="48" t="n"/>
      <c r="AO6126" s="48" t="n"/>
    </row>
    <row r="6127">
      <c r="M6127" s="25" t="n"/>
      <c r="Q6127" s="25" t="n"/>
      <c r="U6127" s="194" t="n"/>
      <c r="AA6127" s="25" t="n"/>
      <c r="AB6127" s="25" t="n"/>
      <c r="AC6127" s="195" t="n"/>
      <c r="AD6127" s="25" t="n"/>
      <c r="AE6127" s="25" t="n"/>
      <c r="AG6127" s="25" t="n"/>
      <c r="AH6127" s="25" t="n"/>
      <c r="AI6127" s="394" t="n"/>
      <c r="AM6127" s="48" t="n"/>
      <c r="AN6127" s="48" t="n"/>
      <c r="AO6127" s="48" t="n"/>
    </row>
    <row r="6128">
      <c r="M6128" s="25" t="n"/>
      <c r="Q6128" s="25" t="n"/>
      <c r="U6128" s="194" t="n"/>
      <c r="AA6128" s="25" t="n"/>
      <c r="AB6128" s="25" t="n"/>
      <c r="AC6128" s="195" t="n"/>
      <c r="AD6128" s="25" t="n"/>
      <c r="AE6128" s="25" t="n"/>
      <c r="AG6128" s="25" t="n"/>
      <c r="AH6128" s="25" t="n"/>
      <c r="AI6128" s="394" t="n"/>
      <c r="AM6128" s="48" t="n"/>
      <c r="AN6128" s="48" t="n"/>
      <c r="AO6128" s="48" t="n"/>
    </row>
    <row r="6129">
      <c r="M6129" s="25" t="n"/>
      <c r="Q6129" s="25" t="n"/>
      <c r="U6129" s="194" t="n"/>
      <c r="AA6129" s="25" t="n"/>
      <c r="AB6129" s="25" t="n"/>
      <c r="AC6129" s="195" t="n"/>
      <c r="AD6129" s="25" t="n"/>
      <c r="AE6129" s="25" t="n"/>
      <c r="AG6129" s="25" t="n"/>
      <c r="AH6129" s="25" t="n"/>
      <c r="AI6129" s="394" t="n"/>
      <c r="AM6129" s="48" t="n"/>
      <c r="AN6129" s="48" t="n"/>
      <c r="AO6129" s="48" t="n"/>
    </row>
    <row r="6130">
      <c r="M6130" s="25" t="n"/>
      <c r="Q6130" s="25" t="n"/>
      <c r="U6130" s="194" t="n"/>
      <c r="AA6130" s="25" t="n"/>
      <c r="AB6130" s="25" t="n"/>
      <c r="AC6130" s="195" t="n"/>
      <c r="AD6130" s="25" t="n"/>
      <c r="AE6130" s="25" t="n"/>
      <c r="AG6130" s="25" t="n"/>
      <c r="AH6130" s="25" t="n"/>
      <c r="AI6130" s="394" t="n"/>
      <c r="AM6130" s="48" t="n"/>
      <c r="AN6130" s="48" t="n"/>
      <c r="AO6130" s="48" t="n"/>
    </row>
    <row r="6131">
      <c r="M6131" s="25" t="n"/>
      <c r="Q6131" s="25" t="n"/>
      <c r="U6131" s="194" t="n"/>
      <c r="AA6131" s="25" t="n"/>
      <c r="AB6131" s="25" t="n"/>
      <c r="AC6131" s="195" t="n"/>
      <c r="AD6131" s="25" t="n"/>
      <c r="AE6131" s="25" t="n"/>
      <c r="AG6131" s="25" t="n"/>
      <c r="AH6131" s="25" t="n"/>
      <c r="AI6131" s="394" t="n"/>
      <c r="AM6131" s="48" t="n"/>
      <c r="AN6131" s="48" t="n"/>
      <c r="AO6131" s="48" t="n"/>
    </row>
    <row r="6132">
      <c r="M6132" s="25" t="n"/>
      <c r="Q6132" s="25" t="n"/>
      <c r="U6132" s="194" t="n"/>
      <c r="AA6132" s="25" t="n"/>
      <c r="AB6132" s="25" t="n"/>
      <c r="AC6132" s="195" t="n"/>
      <c r="AD6132" s="25" t="n"/>
      <c r="AE6132" s="25" t="n"/>
      <c r="AG6132" s="25" t="n"/>
      <c r="AH6132" s="25" t="n"/>
      <c r="AI6132" s="394" t="n"/>
      <c r="AM6132" s="48" t="n"/>
      <c r="AN6132" s="48" t="n"/>
      <c r="AO6132" s="48" t="n"/>
    </row>
    <row r="6133">
      <c r="M6133" s="25" t="n"/>
      <c r="Q6133" s="25" t="n"/>
      <c r="U6133" s="194" t="n"/>
      <c r="AA6133" s="25" t="n"/>
      <c r="AB6133" s="25" t="n"/>
      <c r="AC6133" s="195" t="n"/>
      <c r="AD6133" s="25" t="n"/>
      <c r="AE6133" s="25" t="n"/>
      <c r="AG6133" s="25" t="n"/>
      <c r="AH6133" s="25" t="n"/>
      <c r="AI6133" s="394" t="n"/>
      <c r="AM6133" s="48" t="n"/>
      <c r="AN6133" s="48" t="n"/>
      <c r="AO6133" s="48" t="n"/>
    </row>
    <row r="6134">
      <c r="M6134" s="25" t="n"/>
      <c r="Q6134" s="25" t="n"/>
      <c r="U6134" s="194" t="n"/>
      <c r="AA6134" s="25" t="n"/>
      <c r="AB6134" s="25" t="n"/>
      <c r="AC6134" s="195" t="n"/>
      <c r="AD6134" s="25" t="n"/>
      <c r="AE6134" s="25" t="n"/>
      <c r="AG6134" s="25" t="n"/>
      <c r="AH6134" s="25" t="n"/>
      <c r="AI6134" s="394" t="n"/>
      <c r="AM6134" s="48" t="n"/>
      <c r="AN6134" s="48" t="n"/>
      <c r="AO6134" s="48" t="n"/>
    </row>
    <row r="6135">
      <c r="M6135" s="25" t="n"/>
      <c r="Q6135" s="25" t="n"/>
      <c r="U6135" s="194" t="n"/>
      <c r="AA6135" s="25" t="n"/>
      <c r="AB6135" s="25" t="n"/>
      <c r="AC6135" s="195" t="n"/>
      <c r="AD6135" s="25" t="n"/>
      <c r="AE6135" s="25" t="n"/>
      <c r="AG6135" s="25" t="n"/>
      <c r="AH6135" s="25" t="n"/>
      <c r="AI6135" s="394" t="n"/>
      <c r="AM6135" s="48" t="n"/>
      <c r="AN6135" s="48" t="n"/>
      <c r="AO6135" s="48" t="n"/>
    </row>
    <row r="6136">
      <c r="M6136" s="25" t="n"/>
      <c r="Q6136" s="25" t="n"/>
      <c r="U6136" s="194" t="n"/>
      <c r="AA6136" s="25" t="n"/>
      <c r="AB6136" s="25" t="n"/>
      <c r="AC6136" s="195" t="n"/>
      <c r="AD6136" s="25" t="n"/>
      <c r="AE6136" s="25" t="n"/>
      <c r="AG6136" s="25" t="n"/>
      <c r="AH6136" s="25" t="n"/>
      <c r="AI6136" s="394" t="n"/>
      <c r="AM6136" s="48" t="n"/>
      <c r="AN6136" s="48" t="n"/>
      <c r="AO6136" s="48" t="n"/>
    </row>
    <row r="6137">
      <c r="M6137" s="25" t="n"/>
      <c r="Q6137" s="25" t="n"/>
      <c r="U6137" s="194" t="n"/>
      <c r="AA6137" s="25" t="n"/>
      <c r="AB6137" s="25" t="n"/>
      <c r="AC6137" s="195" t="n"/>
      <c r="AD6137" s="25" t="n"/>
      <c r="AE6137" s="25" t="n"/>
      <c r="AG6137" s="25" t="n"/>
      <c r="AH6137" s="25" t="n"/>
      <c r="AI6137" s="394" t="n"/>
      <c r="AM6137" s="48" t="n"/>
      <c r="AN6137" s="48" t="n"/>
      <c r="AO6137" s="48" t="n"/>
    </row>
    <row r="6138">
      <c r="M6138" s="25" t="n"/>
      <c r="Q6138" s="25" t="n"/>
      <c r="U6138" s="194" t="n"/>
      <c r="AA6138" s="25" t="n"/>
      <c r="AB6138" s="25" t="n"/>
      <c r="AC6138" s="195" t="n"/>
      <c r="AD6138" s="25" t="n"/>
      <c r="AE6138" s="25" t="n"/>
      <c r="AG6138" s="25" t="n"/>
      <c r="AH6138" s="25" t="n"/>
      <c r="AI6138" s="394" t="n"/>
      <c r="AM6138" s="48" t="n"/>
      <c r="AN6138" s="48" t="n"/>
      <c r="AO6138" s="48" t="n"/>
    </row>
    <row r="6139">
      <c r="M6139" s="25" t="n"/>
      <c r="Q6139" s="25" t="n"/>
      <c r="U6139" s="194" t="n"/>
      <c r="AA6139" s="25" t="n"/>
      <c r="AB6139" s="25" t="n"/>
      <c r="AC6139" s="195" t="n"/>
      <c r="AD6139" s="25" t="n"/>
      <c r="AE6139" s="25" t="n"/>
      <c r="AG6139" s="25" t="n"/>
      <c r="AH6139" s="25" t="n"/>
      <c r="AI6139" s="394" t="n"/>
      <c r="AM6139" s="48" t="n"/>
      <c r="AN6139" s="48" t="n"/>
      <c r="AO6139" s="48" t="n"/>
    </row>
    <row r="6140">
      <c r="M6140" s="25" t="n"/>
      <c r="Q6140" s="25" t="n"/>
      <c r="U6140" s="194" t="n"/>
      <c r="AA6140" s="25" t="n"/>
      <c r="AB6140" s="25" t="n"/>
      <c r="AC6140" s="195" t="n"/>
      <c r="AD6140" s="25" t="n"/>
      <c r="AE6140" s="25" t="n"/>
      <c r="AG6140" s="25" t="n"/>
      <c r="AH6140" s="25" t="n"/>
      <c r="AI6140" s="394" t="n"/>
      <c r="AM6140" s="48" t="n"/>
      <c r="AN6140" s="48" t="n"/>
      <c r="AO6140" s="48" t="n"/>
    </row>
    <row r="6141">
      <c r="M6141" s="25" t="n"/>
      <c r="Q6141" s="25" t="n"/>
      <c r="U6141" s="194" t="n"/>
      <c r="AA6141" s="25" t="n"/>
      <c r="AB6141" s="25" t="n"/>
      <c r="AC6141" s="195" t="n"/>
      <c r="AD6141" s="25" t="n"/>
      <c r="AE6141" s="25" t="n"/>
      <c r="AG6141" s="25" t="n"/>
      <c r="AH6141" s="25" t="n"/>
      <c r="AI6141" s="394" t="n"/>
      <c r="AM6141" s="48" t="n"/>
      <c r="AN6141" s="48" t="n"/>
      <c r="AO6141" s="48" t="n"/>
    </row>
    <row r="6142">
      <c r="M6142" s="25" t="n"/>
      <c r="Q6142" s="25" t="n"/>
      <c r="U6142" s="194" t="n"/>
      <c r="AA6142" s="25" t="n"/>
      <c r="AB6142" s="25" t="n"/>
      <c r="AC6142" s="195" t="n"/>
      <c r="AD6142" s="25" t="n"/>
      <c r="AE6142" s="25" t="n"/>
      <c r="AG6142" s="25" t="n"/>
      <c r="AH6142" s="25" t="n"/>
      <c r="AI6142" s="394" t="n"/>
      <c r="AM6142" s="48" t="n"/>
      <c r="AN6142" s="48" t="n"/>
      <c r="AO6142" s="48" t="n"/>
    </row>
    <row r="6143">
      <c r="M6143" s="25" t="n"/>
      <c r="Q6143" s="25" t="n"/>
      <c r="U6143" s="194" t="n"/>
      <c r="AA6143" s="25" t="n"/>
      <c r="AB6143" s="25" t="n"/>
      <c r="AC6143" s="195" t="n"/>
      <c r="AD6143" s="25" t="n"/>
      <c r="AE6143" s="25" t="n"/>
      <c r="AG6143" s="25" t="n"/>
      <c r="AH6143" s="25" t="n"/>
      <c r="AI6143" s="394" t="n"/>
      <c r="AM6143" s="48" t="n"/>
      <c r="AN6143" s="48" t="n"/>
      <c r="AO6143" s="48" t="n"/>
    </row>
    <row r="6144">
      <c r="M6144" s="25" t="n"/>
      <c r="Q6144" s="25" t="n"/>
      <c r="U6144" s="194" t="n"/>
      <c r="AA6144" s="25" t="n"/>
      <c r="AB6144" s="25" t="n"/>
      <c r="AC6144" s="195" t="n"/>
      <c r="AD6144" s="25" t="n"/>
      <c r="AE6144" s="25" t="n"/>
      <c r="AG6144" s="25" t="n"/>
      <c r="AH6144" s="25" t="n"/>
      <c r="AI6144" s="394" t="n"/>
      <c r="AM6144" s="48" t="n"/>
      <c r="AN6144" s="48" t="n"/>
      <c r="AO6144" s="48" t="n"/>
    </row>
    <row r="6145">
      <c r="M6145" s="25" t="n"/>
      <c r="Q6145" s="25" t="n"/>
      <c r="U6145" s="194" t="n"/>
      <c r="AA6145" s="25" t="n"/>
      <c r="AB6145" s="25" t="n"/>
      <c r="AC6145" s="195" t="n"/>
      <c r="AD6145" s="25" t="n"/>
      <c r="AE6145" s="25" t="n"/>
      <c r="AG6145" s="25" t="n"/>
      <c r="AH6145" s="25" t="n"/>
      <c r="AI6145" s="394" t="n"/>
      <c r="AM6145" s="48" t="n"/>
      <c r="AN6145" s="48" t="n"/>
      <c r="AO6145" s="48" t="n"/>
    </row>
    <row r="6146">
      <c r="M6146" s="25" t="n"/>
      <c r="Q6146" s="25" t="n"/>
      <c r="U6146" s="194" t="n"/>
      <c r="AA6146" s="25" t="n"/>
      <c r="AB6146" s="25" t="n"/>
      <c r="AC6146" s="195" t="n"/>
      <c r="AD6146" s="25" t="n"/>
      <c r="AE6146" s="25" t="n"/>
      <c r="AG6146" s="25" t="n"/>
      <c r="AH6146" s="25" t="n"/>
      <c r="AI6146" s="394" t="n"/>
      <c r="AM6146" s="48" t="n"/>
      <c r="AN6146" s="48" t="n"/>
      <c r="AO6146" s="48" t="n"/>
    </row>
    <row r="6147">
      <c r="M6147" s="25" t="n"/>
      <c r="Q6147" s="25" t="n"/>
      <c r="U6147" s="194" t="n"/>
      <c r="AA6147" s="25" t="n"/>
      <c r="AB6147" s="25" t="n"/>
      <c r="AC6147" s="195" t="n"/>
      <c r="AD6147" s="25" t="n"/>
      <c r="AE6147" s="25" t="n"/>
      <c r="AG6147" s="25" t="n"/>
      <c r="AH6147" s="25" t="n"/>
      <c r="AI6147" s="394" t="n"/>
      <c r="AM6147" s="48" t="n"/>
      <c r="AN6147" s="48" t="n"/>
      <c r="AO6147" s="48" t="n"/>
    </row>
    <row r="6148">
      <c r="M6148" s="25" t="n"/>
      <c r="Q6148" s="25" t="n"/>
      <c r="U6148" s="194" t="n"/>
      <c r="AA6148" s="25" t="n"/>
      <c r="AB6148" s="25" t="n"/>
      <c r="AC6148" s="195" t="n"/>
      <c r="AD6148" s="25" t="n"/>
      <c r="AE6148" s="25" t="n"/>
      <c r="AG6148" s="25" t="n"/>
      <c r="AH6148" s="25" t="n"/>
      <c r="AI6148" s="394" t="n"/>
      <c r="AM6148" s="48" t="n"/>
      <c r="AN6148" s="48" t="n"/>
      <c r="AO6148" s="48" t="n"/>
    </row>
    <row r="6149">
      <c r="M6149" s="25" t="n"/>
      <c r="Q6149" s="25" t="n"/>
      <c r="U6149" s="194" t="n"/>
      <c r="AA6149" s="25" t="n"/>
      <c r="AB6149" s="25" t="n"/>
      <c r="AC6149" s="195" t="n"/>
      <c r="AD6149" s="25" t="n"/>
      <c r="AE6149" s="25" t="n"/>
      <c r="AG6149" s="25" t="n"/>
      <c r="AH6149" s="25" t="n"/>
      <c r="AI6149" s="394" t="n"/>
      <c r="AM6149" s="48" t="n"/>
      <c r="AN6149" s="48" t="n"/>
      <c r="AO6149" s="48" t="n"/>
    </row>
    <row r="6150">
      <c r="M6150" s="25" t="n"/>
      <c r="Q6150" s="25" t="n"/>
      <c r="U6150" s="194" t="n"/>
      <c r="AA6150" s="25" t="n"/>
      <c r="AB6150" s="25" t="n"/>
      <c r="AC6150" s="195" t="n"/>
      <c r="AD6150" s="25" t="n"/>
      <c r="AE6150" s="25" t="n"/>
      <c r="AG6150" s="25" t="n"/>
      <c r="AH6150" s="25" t="n"/>
      <c r="AI6150" s="394" t="n"/>
      <c r="AM6150" s="48" t="n"/>
      <c r="AN6150" s="48" t="n"/>
      <c r="AO6150" s="48" t="n"/>
    </row>
    <row r="6151">
      <c r="M6151" s="25" t="n"/>
      <c r="Q6151" s="25" t="n"/>
      <c r="U6151" s="194" t="n"/>
      <c r="AA6151" s="25" t="n"/>
      <c r="AB6151" s="25" t="n"/>
      <c r="AC6151" s="195" t="n"/>
      <c r="AD6151" s="25" t="n"/>
      <c r="AE6151" s="25" t="n"/>
      <c r="AG6151" s="25" t="n"/>
      <c r="AH6151" s="25" t="n"/>
      <c r="AI6151" s="394" t="n"/>
      <c r="AM6151" s="48" t="n"/>
      <c r="AN6151" s="48" t="n"/>
      <c r="AO6151" s="48" t="n"/>
    </row>
    <row r="6152">
      <c r="M6152" s="25" t="n"/>
      <c r="Q6152" s="25" t="n"/>
      <c r="U6152" s="194" t="n"/>
      <c r="AA6152" s="25" t="n"/>
      <c r="AB6152" s="25" t="n"/>
      <c r="AC6152" s="195" t="n"/>
      <c r="AD6152" s="25" t="n"/>
      <c r="AE6152" s="25" t="n"/>
      <c r="AG6152" s="25" t="n"/>
      <c r="AH6152" s="25" t="n"/>
      <c r="AI6152" s="394" t="n"/>
      <c r="AM6152" s="48" t="n"/>
      <c r="AN6152" s="48" t="n"/>
      <c r="AO6152" s="48" t="n"/>
    </row>
    <row r="6153">
      <c r="M6153" s="25" t="n"/>
      <c r="Q6153" s="25" t="n"/>
      <c r="U6153" s="194" t="n"/>
      <c r="AA6153" s="25" t="n"/>
      <c r="AB6153" s="25" t="n"/>
      <c r="AC6153" s="195" t="n"/>
      <c r="AD6153" s="25" t="n"/>
      <c r="AE6153" s="25" t="n"/>
      <c r="AG6153" s="25" t="n"/>
      <c r="AH6153" s="25" t="n"/>
      <c r="AI6153" s="394" t="n"/>
      <c r="AM6153" s="48" t="n"/>
      <c r="AN6153" s="48" t="n"/>
      <c r="AO6153" s="48" t="n"/>
    </row>
    <row r="6154">
      <c r="M6154" s="25" t="n"/>
      <c r="Q6154" s="25" t="n"/>
      <c r="U6154" s="194" t="n"/>
      <c r="AA6154" s="25" t="n"/>
      <c r="AB6154" s="25" t="n"/>
      <c r="AC6154" s="195" t="n"/>
      <c r="AD6154" s="25" t="n"/>
      <c r="AE6154" s="25" t="n"/>
      <c r="AG6154" s="25" t="n"/>
      <c r="AH6154" s="25" t="n"/>
      <c r="AI6154" s="394" t="n"/>
      <c r="AM6154" s="48" t="n"/>
      <c r="AN6154" s="48" t="n"/>
      <c r="AO6154" s="48" t="n"/>
    </row>
    <row r="6155">
      <c r="M6155" s="25" t="n"/>
      <c r="Q6155" s="25" t="n"/>
      <c r="U6155" s="194" t="n"/>
      <c r="AA6155" s="25" t="n"/>
      <c r="AB6155" s="25" t="n"/>
      <c r="AC6155" s="195" t="n"/>
      <c r="AD6155" s="25" t="n"/>
      <c r="AE6155" s="25" t="n"/>
      <c r="AG6155" s="25" t="n"/>
      <c r="AH6155" s="25" t="n"/>
      <c r="AI6155" s="394" t="n"/>
      <c r="AM6155" s="48" t="n"/>
      <c r="AN6155" s="48" t="n"/>
      <c r="AO6155" s="48" t="n"/>
    </row>
    <row r="6156">
      <c r="M6156" s="25" t="n"/>
      <c r="Q6156" s="25" t="n"/>
      <c r="U6156" s="194" t="n"/>
      <c r="AA6156" s="25" t="n"/>
      <c r="AB6156" s="25" t="n"/>
      <c r="AC6156" s="195" t="n"/>
      <c r="AD6156" s="25" t="n"/>
      <c r="AE6156" s="25" t="n"/>
      <c r="AG6156" s="25" t="n"/>
      <c r="AH6156" s="25" t="n"/>
      <c r="AI6156" s="394" t="n"/>
      <c r="AM6156" s="48" t="n"/>
      <c r="AN6156" s="48" t="n"/>
      <c r="AO6156" s="48" t="n"/>
    </row>
    <row r="6157">
      <c r="M6157" s="25" t="n"/>
      <c r="Q6157" s="25" t="n"/>
      <c r="U6157" s="194" t="n"/>
      <c r="AA6157" s="25" t="n"/>
      <c r="AB6157" s="25" t="n"/>
      <c r="AC6157" s="195" t="n"/>
      <c r="AD6157" s="25" t="n"/>
      <c r="AE6157" s="25" t="n"/>
      <c r="AG6157" s="25" t="n"/>
      <c r="AH6157" s="25" t="n"/>
      <c r="AI6157" s="394" t="n"/>
      <c r="AM6157" s="48" t="n"/>
      <c r="AN6157" s="48" t="n"/>
      <c r="AO6157" s="48" t="n"/>
    </row>
    <row r="6158">
      <c r="M6158" s="25" t="n"/>
      <c r="Q6158" s="25" t="n"/>
      <c r="U6158" s="194" t="n"/>
      <c r="AA6158" s="25" t="n"/>
      <c r="AB6158" s="25" t="n"/>
      <c r="AC6158" s="195" t="n"/>
      <c r="AD6158" s="25" t="n"/>
      <c r="AE6158" s="25" t="n"/>
      <c r="AG6158" s="25" t="n"/>
      <c r="AH6158" s="25" t="n"/>
      <c r="AI6158" s="394" t="n"/>
      <c r="AM6158" s="48" t="n"/>
      <c r="AN6158" s="48" t="n"/>
      <c r="AO6158" s="48" t="n"/>
    </row>
    <row r="6159">
      <c r="M6159" s="25" t="n"/>
      <c r="Q6159" s="25" t="n"/>
      <c r="U6159" s="194" t="n"/>
      <c r="AA6159" s="25" t="n"/>
      <c r="AB6159" s="25" t="n"/>
      <c r="AC6159" s="195" t="n"/>
      <c r="AD6159" s="25" t="n"/>
      <c r="AE6159" s="25" t="n"/>
      <c r="AG6159" s="25" t="n"/>
      <c r="AH6159" s="25" t="n"/>
      <c r="AI6159" s="394" t="n"/>
      <c r="AM6159" s="48" t="n"/>
      <c r="AN6159" s="48" t="n"/>
      <c r="AO6159" s="48" t="n"/>
    </row>
    <row r="6160">
      <c r="M6160" s="25" t="n"/>
      <c r="Q6160" s="25" t="n"/>
      <c r="U6160" s="194" t="n"/>
      <c r="AA6160" s="25" t="n"/>
      <c r="AB6160" s="25" t="n"/>
      <c r="AC6160" s="195" t="n"/>
      <c r="AD6160" s="25" t="n"/>
      <c r="AE6160" s="25" t="n"/>
      <c r="AG6160" s="25" t="n"/>
      <c r="AH6160" s="25" t="n"/>
      <c r="AI6160" s="394" t="n"/>
      <c r="AM6160" s="48" t="n"/>
      <c r="AN6160" s="48" t="n"/>
      <c r="AO6160" s="48" t="n"/>
    </row>
    <row r="6161">
      <c r="M6161" s="25" t="n"/>
      <c r="Q6161" s="25" t="n"/>
      <c r="U6161" s="194" t="n"/>
      <c r="AA6161" s="25" t="n"/>
      <c r="AB6161" s="25" t="n"/>
      <c r="AC6161" s="195" t="n"/>
      <c r="AD6161" s="25" t="n"/>
      <c r="AE6161" s="25" t="n"/>
      <c r="AG6161" s="25" t="n"/>
      <c r="AH6161" s="25" t="n"/>
      <c r="AI6161" s="394" t="n"/>
      <c r="AM6161" s="48" t="n"/>
      <c r="AN6161" s="48" t="n"/>
      <c r="AO6161" s="48" t="n"/>
    </row>
    <row r="6162">
      <c r="M6162" s="25" t="n"/>
      <c r="Q6162" s="25" t="n"/>
      <c r="U6162" s="194" t="n"/>
      <c r="AA6162" s="25" t="n"/>
      <c r="AB6162" s="25" t="n"/>
      <c r="AC6162" s="195" t="n"/>
      <c r="AD6162" s="25" t="n"/>
      <c r="AE6162" s="25" t="n"/>
      <c r="AG6162" s="25" t="n"/>
      <c r="AH6162" s="25" t="n"/>
      <c r="AI6162" s="394" t="n"/>
      <c r="AM6162" s="48" t="n"/>
      <c r="AN6162" s="48" t="n"/>
      <c r="AO6162" s="48" t="n"/>
    </row>
    <row r="6163">
      <c r="M6163" s="25" t="n"/>
      <c r="Q6163" s="25" t="n"/>
      <c r="U6163" s="194" t="n"/>
      <c r="AA6163" s="25" t="n"/>
      <c r="AB6163" s="25" t="n"/>
      <c r="AC6163" s="195" t="n"/>
      <c r="AD6163" s="25" t="n"/>
      <c r="AE6163" s="25" t="n"/>
      <c r="AG6163" s="25" t="n"/>
      <c r="AH6163" s="25" t="n"/>
      <c r="AI6163" s="394" t="n"/>
      <c r="AM6163" s="48" t="n"/>
      <c r="AN6163" s="48" t="n"/>
      <c r="AO6163" s="48" t="n"/>
    </row>
    <row r="6164">
      <c r="M6164" s="25" t="n"/>
      <c r="Q6164" s="25" t="n"/>
      <c r="U6164" s="194" t="n"/>
      <c r="AA6164" s="25" t="n"/>
      <c r="AB6164" s="25" t="n"/>
      <c r="AC6164" s="195" t="n"/>
      <c r="AD6164" s="25" t="n"/>
      <c r="AE6164" s="25" t="n"/>
      <c r="AG6164" s="25" t="n"/>
      <c r="AH6164" s="25" t="n"/>
      <c r="AI6164" s="394" t="n"/>
      <c r="AM6164" s="48" t="n"/>
      <c r="AN6164" s="48" t="n"/>
      <c r="AO6164" s="48" t="n"/>
    </row>
    <row r="6165">
      <c r="M6165" s="25" t="n"/>
      <c r="Q6165" s="25" t="n"/>
      <c r="U6165" s="194" t="n"/>
      <c r="AA6165" s="25" t="n"/>
      <c r="AB6165" s="25" t="n"/>
      <c r="AC6165" s="195" t="n"/>
      <c r="AD6165" s="25" t="n"/>
      <c r="AE6165" s="25" t="n"/>
      <c r="AG6165" s="25" t="n"/>
      <c r="AH6165" s="25" t="n"/>
      <c r="AI6165" s="394" t="n"/>
      <c r="AM6165" s="48" t="n"/>
      <c r="AN6165" s="48" t="n"/>
      <c r="AO6165" s="48" t="n"/>
    </row>
    <row r="6166">
      <c r="M6166" s="25" t="n"/>
      <c r="Q6166" s="25" t="n"/>
      <c r="U6166" s="194" t="n"/>
      <c r="AA6166" s="25" t="n"/>
      <c r="AB6166" s="25" t="n"/>
      <c r="AC6166" s="195" t="n"/>
      <c r="AD6166" s="25" t="n"/>
      <c r="AE6166" s="25" t="n"/>
      <c r="AG6166" s="25" t="n"/>
      <c r="AH6166" s="25" t="n"/>
      <c r="AI6166" s="394" t="n"/>
      <c r="AM6166" s="48" t="n"/>
      <c r="AN6166" s="48" t="n"/>
      <c r="AO6166" s="48" t="n"/>
    </row>
    <row r="6167">
      <c r="M6167" s="25" t="n"/>
      <c r="Q6167" s="25" t="n"/>
      <c r="U6167" s="194" t="n"/>
      <c r="AA6167" s="25" t="n"/>
      <c r="AB6167" s="25" t="n"/>
      <c r="AC6167" s="195" t="n"/>
      <c r="AD6167" s="25" t="n"/>
      <c r="AE6167" s="25" t="n"/>
      <c r="AG6167" s="25" t="n"/>
      <c r="AH6167" s="25" t="n"/>
      <c r="AI6167" s="394" t="n"/>
      <c r="AM6167" s="48" t="n"/>
      <c r="AN6167" s="48" t="n"/>
      <c r="AO6167" s="48" t="n"/>
    </row>
    <row r="6168">
      <c r="M6168" s="25" t="n"/>
      <c r="Q6168" s="25" t="n"/>
      <c r="U6168" s="194" t="n"/>
      <c r="AA6168" s="25" t="n"/>
      <c r="AB6168" s="25" t="n"/>
      <c r="AC6168" s="195" t="n"/>
      <c r="AD6168" s="25" t="n"/>
      <c r="AE6168" s="25" t="n"/>
      <c r="AG6168" s="25" t="n"/>
      <c r="AH6168" s="25" t="n"/>
      <c r="AI6168" s="394" t="n"/>
      <c r="AM6168" s="48" t="n"/>
      <c r="AN6168" s="48" t="n"/>
      <c r="AO6168" s="48" t="n"/>
    </row>
    <row r="6169">
      <c r="M6169" s="25" t="n"/>
      <c r="Q6169" s="25" t="n"/>
      <c r="U6169" s="194" t="n"/>
      <c r="AA6169" s="25" t="n"/>
      <c r="AB6169" s="25" t="n"/>
      <c r="AC6169" s="195" t="n"/>
      <c r="AD6169" s="25" t="n"/>
      <c r="AE6169" s="25" t="n"/>
      <c r="AG6169" s="25" t="n"/>
      <c r="AH6169" s="25" t="n"/>
      <c r="AI6169" s="394" t="n"/>
      <c r="AM6169" s="48" t="n"/>
      <c r="AN6169" s="48" t="n"/>
      <c r="AO6169" s="48" t="n"/>
    </row>
    <row r="6170">
      <c r="M6170" s="25" t="n"/>
      <c r="Q6170" s="25" t="n"/>
      <c r="U6170" s="194" t="n"/>
      <c r="AA6170" s="25" t="n"/>
      <c r="AB6170" s="25" t="n"/>
      <c r="AC6170" s="195" t="n"/>
      <c r="AD6170" s="25" t="n"/>
      <c r="AE6170" s="25" t="n"/>
      <c r="AG6170" s="25" t="n"/>
      <c r="AH6170" s="25" t="n"/>
      <c r="AI6170" s="394" t="n"/>
      <c r="AM6170" s="48" t="n"/>
      <c r="AN6170" s="48" t="n"/>
      <c r="AO6170" s="48" t="n"/>
    </row>
    <row r="6171">
      <c r="M6171" s="25" t="n"/>
      <c r="Q6171" s="25" t="n"/>
      <c r="U6171" s="194" t="n"/>
      <c r="AA6171" s="25" t="n"/>
      <c r="AB6171" s="25" t="n"/>
      <c r="AC6171" s="195" t="n"/>
      <c r="AD6171" s="25" t="n"/>
      <c r="AE6171" s="25" t="n"/>
      <c r="AG6171" s="25" t="n"/>
      <c r="AH6171" s="25" t="n"/>
      <c r="AI6171" s="394" t="n"/>
      <c r="AM6171" s="48" t="n"/>
      <c r="AN6171" s="48" t="n"/>
      <c r="AO6171" s="48" t="n"/>
    </row>
    <row r="6172">
      <c r="M6172" s="25" t="n"/>
      <c r="Q6172" s="25" t="n"/>
      <c r="U6172" s="194" t="n"/>
      <c r="AA6172" s="25" t="n"/>
      <c r="AB6172" s="25" t="n"/>
      <c r="AC6172" s="195" t="n"/>
      <c r="AD6172" s="25" t="n"/>
      <c r="AE6172" s="25" t="n"/>
      <c r="AG6172" s="25" t="n"/>
      <c r="AH6172" s="25" t="n"/>
      <c r="AI6172" s="394" t="n"/>
      <c r="AM6172" s="48" t="n"/>
      <c r="AN6172" s="48" t="n"/>
      <c r="AO6172" s="48" t="n"/>
    </row>
    <row r="6173">
      <c r="M6173" s="25" t="n"/>
      <c r="Q6173" s="25" t="n"/>
      <c r="U6173" s="194" t="n"/>
      <c r="AA6173" s="25" t="n"/>
      <c r="AB6173" s="25" t="n"/>
      <c r="AC6173" s="195" t="n"/>
      <c r="AD6173" s="25" t="n"/>
      <c r="AE6173" s="25" t="n"/>
      <c r="AG6173" s="25" t="n"/>
      <c r="AH6173" s="25" t="n"/>
      <c r="AI6173" s="394" t="n"/>
      <c r="AM6173" s="48" t="n"/>
      <c r="AN6173" s="48" t="n"/>
      <c r="AO6173" s="48" t="n"/>
    </row>
    <row r="6174">
      <c r="M6174" s="25" t="n"/>
      <c r="Q6174" s="25" t="n"/>
      <c r="U6174" s="194" t="n"/>
      <c r="AA6174" s="25" t="n"/>
      <c r="AB6174" s="25" t="n"/>
      <c r="AC6174" s="195" t="n"/>
      <c r="AD6174" s="25" t="n"/>
      <c r="AE6174" s="25" t="n"/>
      <c r="AG6174" s="25" t="n"/>
      <c r="AH6174" s="25" t="n"/>
      <c r="AI6174" s="394" t="n"/>
      <c r="AM6174" s="48" t="n"/>
      <c r="AN6174" s="48" t="n"/>
      <c r="AO6174" s="48" t="n"/>
    </row>
    <row r="6175">
      <c r="M6175" s="25" t="n"/>
      <c r="Q6175" s="25" t="n"/>
      <c r="U6175" s="194" t="n"/>
      <c r="AA6175" s="25" t="n"/>
      <c r="AB6175" s="25" t="n"/>
      <c r="AC6175" s="195" t="n"/>
      <c r="AD6175" s="25" t="n"/>
      <c r="AE6175" s="25" t="n"/>
      <c r="AG6175" s="25" t="n"/>
      <c r="AH6175" s="25" t="n"/>
      <c r="AI6175" s="394" t="n"/>
      <c r="AM6175" s="48" t="n"/>
      <c r="AN6175" s="48" t="n"/>
      <c r="AO6175" s="48" t="n"/>
    </row>
    <row r="6176">
      <c r="M6176" s="25" t="n"/>
      <c r="Q6176" s="25" t="n"/>
      <c r="U6176" s="194" t="n"/>
      <c r="AA6176" s="25" t="n"/>
      <c r="AB6176" s="25" t="n"/>
      <c r="AC6176" s="195" t="n"/>
      <c r="AD6176" s="25" t="n"/>
      <c r="AE6176" s="25" t="n"/>
      <c r="AG6176" s="25" t="n"/>
      <c r="AH6176" s="25" t="n"/>
      <c r="AI6176" s="394" t="n"/>
      <c r="AM6176" s="48" t="n"/>
      <c r="AN6176" s="48" t="n"/>
      <c r="AO6176" s="48" t="n"/>
    </row>
    <row r="6177">
      <c r="M6177" s="25" t="n"/>
      <c r="Q6177" s="25" t="n"/>
      <c r="U6177" s="194" t="n"/>
      <c r="AA6177" s="25" t="n"/>
      <c r="AB6177" s="25" t="n"/>
      <c r="AC6177" s="195" t="n"/>
      <c r="AD6177" s="25" t="n"/>
      <c r="AE6177" s="25" t="n"/>
      <c r="AG6177" s="25" t="n"/>
      <c r="AH6177" s="25" t="n"/>
      <c r="AI6177" s="394" t="n"/>
      <c r="AM6177" s="48" t="n"/>
      <c r="AN6177" s="48" t="n"/>
      <c r="AO6177" s="48" t="n"/>
    </row>
    <row r="6178">
      <c r="M6178" s="25" t="n"/>
      <c r="Q6178" s="25" t="n"/>
      <c r="U6178" s="194" t="n"/>
      <c r="AA6178" s="25" t="n"/>
      <c r="AB6178" s="25" t="n"/>
      <c r="AC6178" s="195" t="n"/>
      <c r="AD6178" s="25" t="n"/>
      <c r="AE6178" s="25" t="n"/>
      <c r="AG6178" s="25" t="n"/>
      <c r="AH6178" s="25" t="n"/>
      <c r="AI6178" s="394" t="n"/>
      <c r="AM6178" s="48" t="n"/>
      <c r="AN6178" s="48" t="n"/>
      <c r="AO6178" s="48" t="n"/>
    </row>
    <row r="6179">
      <c r="M6179" s="25" t="n"/>
      <c r="Q6179" s="25" t="n"/>
      <c r="U6179" s="194" t="n"/>
      <c r="AA6179" s="25" t="n"/>
      <c r="AB6179" s="25" t="n"/>
      <c r="AC6179" s="195" t="n"/>
      <c r="AD6179" s="25" t="n"/>
      <c r="AE6179" s="25" t="n"/>
      <c r="AG6179" s="25" t="n"/>
      <c r="AH6179" s="25" t="n"/>
      <c r="AI6179" s="394" t="n"/>
      <c r="AM6179" s="48" t="n"/>
      <c r="AN6179" s="48" t="n"/>
      <c r="AO6179" s="48" t="n"/>
    </row>
    <row r="6180">
      <c r="M6180" s="25" t="n"/>
      <c r="Q6180" s="25" t="n"/>
      <c r="U6180" s="194" t="n"/>
      <c r="AA6180" s="25" t="n"/>
      <c r="AB6180" s="25" t="n"/>
      <c r="AC6180" s="195" t="n"/>
      <c r="AD6180" s="25" t="n"/>
      <c r="AE6180" s="25" t="n"/>
      <c r="AG6180" s="25" t="n"/>
      <c r="AH6180" s="25" t="n"/>
      <c r="AI6180" s="394" t="n"/>
      <c r="AM6180" s="48" t="n"/>
      <c r="AN6180" s="48" t="n"/>
      <c r="AO6180" s="48" t="n"/>
    </row>
    <row r="6181">
      <c r="M6181" s="25" t="n"/>
      <c r="Q6181" s="25" t="n"/>
      <c r="U6181" s="194" t="n"/>
      <c r="AA6181" s="25" t="n"/>
      <c r="AB6181" s="25" t="n"/>
      <c r="AC6181" s="195" t="n"/>
      <c r="AD6181" s="25" t="n"/>
      <c r="AE6181" s="25" t="n"/>
      <c r="AG6181" s="25" t="n"/>
      <c r="AH6181" s="25" t="n"/>
      <c r="AI6181" s="394" t="n"/>
      <c r="AM6181" s="48" t="n"/>
      <c r="AN6181" s="48" t="n"/>
      <c r="AO6181" s="48" t="n"/>
    </row>
    <row r="6182">
      <c r="M6182" s="25" t="n"/>
      <c r="Q6182" s="25" t="n"/>
      <c r="U6182" s="194" t="n"/>
      <c r="AA6182" s="25" t="n"/>
      <c r="AB6182" s="25" t="n"/>
      <c r="AC6182" s="195" t="n"/>
      <c r="AD6182" s="25" t="n"/>
      <c r="AE6182" s="25" t="n"/>
      <c r="AG6182" s="25" t="n"/>
      <c r="AH6182" s="25" t="n"/>
      <c r="AI6182" s="394" t="n"/>
      <c r="AM6182" s="48" t="n"/>
      <c r="AN6182" s="48" t="n"/>
      <c r="AO6182" s="48" t="n"/>
    </row>
    <row r="6183">
      <c r="M6183" s="25" t="n"/>
      <c r="Q6183" s="25" t="n"/>
      <c r="U6183" s="194" t="n"/>
      <c r="AA6183" s="25" t="n"/>
      <c r="AB6183" s="25" t="n"/>
      <c r="AC6183" s="195" t="n"/>
      <c r="AD6183" s="25" t="n"/>
      <c r="AE6183" s="25" t="n"/>
      <c r="AG6183" s="25" t="n"/>
      <c r="AH6183" s="25" t="n"/>
      <c r="AI6183" s="394" t="n"/>
      <c r="AM6183" s="48" t="n"/>
      <c r="AN6183" s="48" t="n"/>
      <c r="AO6183" s="48" t="n"/>
    </row>
    <row r="6184">
      <c r="M6184" s="25" t="n"/>
      <c r="Q6184" s="25" t="n"/>
      <c r="U6184" s="194" t="n"/>
      <c r="AA6184" s="25" t="n"/>
      <c r="AB6184" s="25" t="n"/>
      <c r="AC6184" s="195" t="n"/>
      <c r="AD6184" s="25" t="n"/>
      <c r="AE6184" s="25" t="n"/>
      <c r="AG6184" s="25" t="n"/>
      <c r="AH6184" s="25" t="n"/>
      <c r="AI6184" s="394" t="n"/>
      <c r="AM6184" s="48" t="n"/>
      <c r="AN6184" s="48" t="n"/>
      <c r="AO6184" s="48" t="n"/>
    </row>
    <row r="6185">
      <c r="M6185" s="25" t="n"/>
      <c r="Q6185" s="25" t="n"/>
      <c r="U6185" s="194" t="n"/>
      <c r="AA6185" s="25" t="n"/>
      <c r="AB6185" s="25" t="n"/>
      <c r="AC6185" s="195" t="n"/>
      <c r="AD6185" s="25" t="n"/>
      <c r="AE6185" s="25" t="n"/>
      <c r="AG6185" s="25" t="n"/>
      <c r="AH6185" s="25" t="n"/>
      <c r="AI6185" s="394" t="n"/>
      <c r="AM6185" s="48" t="n"/>
      <c r="AN6185" s="48" t="n"/>
      <c r="AO6185" s="48" t="n"/>
    </row>
    <row r="6186">
      <c r="M6186" s="25" t="n"/>
      <c r="Q6186" s="25" t="n"/>
      <c r="U6186" s="194" t="n"/>
      <c r="AA6186" s="25" t="n"/>
      <c r="AB6186" s="25" t="n"/>
      <c r="AC6186" s="195" t="n"/>
      <c r="AD6186" s="25" t="n"/>
      <c r="AE6186" s="25" t="n"/>
      <c r="AG6186" s="25" t="n"/>
      <c r="AH6186" s="25" t="n"/>
      <c r="AI6186" s="394" t="n"/>
      <c r="AM6186" s="48" t="n"/>
      <c r="AN6186" s="48" t="n"/>
      <c r="AO6186" s="48" t="n"/>
    </row>
    <row r="6187">
      <c r="M6187" s="25" t="n"/>
      <c r="Q6187" s="25" t="n"/>
      <c r="U6187" s="194" t="n"/>
      <c r="AA6187" s="25" t="n"/>
      <c r="AB6187" s="25" t="n"/>
      <c r="AC6187" s="195" t="n"/>
      <c r="AD6187" s="25" t="n"/>
      <c r="AE6187" s="25" t="n"/>
      <c r="AG6187" s="25" t="n"/>
      <c r="AH6187" s="25" t="n"/>
      <c r="AI6187" s="394" t="n"/>
      <c r="AM6187" s="48" t="n"/>
      <c r="AN6187" s="48" t="n"/>
      <c r="AO6187" s="48" t="n"/>
    </row>
    <row r="6188">
      <c r="M6188" s="25" t="n"/>
      <c r="Q6188" s="25" t="n"/>
      <c r="U6188" s="194" t="n"/>
      <c r="AA6188" s="25" t="n"/>
      <c r="AB6188" s="25" t="n"/>
      <c r="AC6188" s="195" t="n"/>
      <c r="AD6188" s="25" t="n"/>
      <c r="AE6188" s="25" t="n"/>
      <c r="AG6188" s="25" t="n"/>
      <c r="AH6188" s="25" t="n"/>
      <c r="AI6188" s="394" t="n"/>
      <c r="AM6188" s="48" t="n"/>
      <c r="AN6188" s="48" t="n"/>
      <c r="AO6188" s="48" t="n"/>
    </row>
    <row r="6189">
      <c r="M6189" s="25" t="n"/>
      <c r="Q6189" s="25" t="n"/>
      <c r="U6189" s="194" t="n"/>
      <c r="AA6189" s="25" t="n"/>
      <c r="AB6189" s="25" t="n"/>
      <c r="AC6189" s="195" t="n"/>
      <c r="AD6189" s="25" t="n"/>
      <c r="AE6189" s="25" t="n"/>
      <c r="AG6189" s="25" t="n"/>
      <c r="AH6189" s="25" t="n"/>
      <c r="AI6189" s="394" t="n"/>
      <c r="AM6189" s="48" t="n"/>
      <c r="AN6189" s="48" t="n"/>
      <c r="AO6189" s="48" t="n"/>
    </row>
    <row r="6190">
      <c r="M6190" s="25" t="n"/>
      <c r="Q6190" s="25" t="n"/>
      <c r="U6190" s="194" t="n"/>
      <c r="AA6190" s="25" t="n"/>
      <c r="AB6190" s="25" t="n"/>
      <c r="AC6190" s="195" t="n"/>
      <c r="AD6190" s="25" t="n"/>
      <c r="AE6190" s="25" t="n"/>
      <c r="AG6190" s="25" t="n"/>
      <c r="AH6190" s="25" t="n"/>
      <c r="AI6190" s="394" t="n"/>
      <c r="AM6190" s="48" t="n"/>
      <c r="AN6190" s="48" t="n"/>
      <c r="AO6190" s="48" t="n"/>
    </row>
    <row r="6191">
      <c r="M6191" s="25" t="n"/>
      <c r="Q6191" s="25" t="n"/>
      <c r="U6191" s="194" t="n"/>
      <c r="AA6191" s="25" t="n"/>
      <c r="AB6191" s="25" t="n"/>
      <c r="AC6191" s="195" t="n"/>
      <c r="AD6191" s="25" t="n"/>
      <c r="AE6191" s="25" t="n"/>
      <c r="AG6191" s="25" t="n"/>
      <c r="AH6191" s="25" t="n"/>
      <c r="AI6191" s="394" t="n"/>
      <c r="AM6191" s="48" t="n"/>
      <c r="AN6191" s="48" t="n"/>
      <c r="AO6191" s="48" t="n"/>
    </row>
    <row r="6192">
      <c r="M6192" s="25" t="n"/>
      <c r="Q6192" s="25" t="n"/>
      <c r="U6192" s="194" t="n"/>
      <c r="AA6192" s="25" t="n"/>
      <c r="AB6192" s="25" t="n"/>
      <c r="AC6192" s="195" t="n"/>
      <c r="AD6192" s="25" t="n"/>
      <c r="AE6192" s="25" t="n"/>
      <c r="AG6192" s="25" t="n"/>
      <c r="AH6192" s="25" t="n"/>
      <c r="AI6192" s="394" t="n"/>
      <c r="AM6192" s="48" t="n"/>
      <c r="AN6192" s="48" t="n"/>
      <c r="AO6192" s="48" t="n"/>
    </row>
    <row r="6193">
      <c r="M6193" s="25" t="n"/>
      <c r="Q6193" s="25" t="n"/>
      <c r="U6193" s="194" t="n"/>
      <c r="AA6193" s="25" t="n"/>
      <c r="AB6193" s="25" t="n"/>
      <c r="AC6193" s="195" t="n"/>
      <c r="AD6193" s="25" t="n"/>
      <c r="AE6193" s="25" t="n"/>
      <c r="AG6193" s="25" t="n"/>
      <c r="AH6193" s="25" t="n"/>
      <c r="AI6193" s="394" t="n"/>
      <c r="AM6193" s="48" t="n"/>
      <c r="AN6193" s="48" t="n"/>
      <c r="AO6193" s="48" t="n"/>
    </row>
    <row r="6194">
      <c r="M6194" s="25" t="n"/>
      <c r="Q6194" s="25" t="n"/>
      <c r="U6194" s="194" t="n"/>
      <c r="AA6194" s="25" t="n"/>
      <c r="AB6194" s="25" t="n"/>
      <c r="AC6194" s="195" t="n"/>
      <c r="AD6194" s="25" t="n"/>
      <c r="AE6194" s="25" t="n"/>
      <c r="AG6194" s="25" t="n"/>
      <c r="AH6194" s="25" t="n"/>
      <c r="AI6194" s="394" t="n"/>
      <c r="AM6194" s="48" t="n"/>
      <c r="AN6194" s="48" t="n"/>
      <c r="AO6194" s="48" t="n"/>
    </row>
    <row r="6195">
      <c r="M6195" s="25" t="n"/>
      <c r="Q6195" s="25" t="n"/>
      <c r="U6195" s="194" t="n"/>
      <c r="AA6195" s="25" t="n"/>
      <c r="AB6195" s="25" t="n"/>
      <c r="AC6195" s="195" t="n"/>
      <c r="AD6195" s="25" t="n"/>
      <c r="AE6195" s="25" t="n"/>
      <c r="AG6195" s="25" t="n"/>
      <c r="AH6195" s="25" t="n"/>
      <c r="AI6195" s="394" t="n"/>
      <c r="AM6195" s="48" t="n"/>
      <c r="AN6195" s="48" t="n"/>
      <c r="AO6195" s="48" t="n"/>
    </row>
    <row r="6196">
      <c r="M6196" s="25" t="n"/>
      <c r="Q6196" s="25" t="n"/>
      <c r="U6196" s="194" t="n"/>
      <c r="AA6196" s="25" t="n"/>
      <c r="AB6196" s="25" t="n"/>
      <c r="AC6196" s="195" t="n"/>
      <c r="AD6196" s="25" t="n"/>
      <c r="AE6196" s="25" t="n"/>
      <c r="AG6196" s="25" t="n"/>
      <c r="AH6196" s="25" t="n"/>
      <c r="AI6196" s="394" t="n"/>
      <c r="AM6196" s="48" t="n"/>
      <c r="AN6196" s="48" t="n"/>
      <c r="AO6196" s="48" t="n"/>
    </row>
    <row r="6197">
      <c r="M6197" s="25" t="n"/>
      <c r="Q6197" s="25" t="n"/>
      <c r="U6197" s="194" t="n"/>
      <c r="AA6197" s="25" t="n"/>
      <c r="AB6197" s="25" t="n"/>
      <c r="AC6197" s="195" t="n"/>
      <c r="AD6197" s="25" t="n"/>
      <c r="AE6197" s="25" t="n"/>
      <c r="AG6197" s="25" t="n"/>
      <c r="AH6197" s="25" t="n"/>
      <c r="AI6197" s="394" t="n"/>
      <c r="AM6197" s="48" t="n"/>
      <c r="AN6197" s="48" t="n"/>
      <c r="AO6197" s="48" t="n"/>
    </row>
    <row r="6198">
      <c r="M6198" s="25" t="n"/>
      <c r="Q6198" s="25" t="n"/>
      <c r="U6198" s="194" t="n"/>
      <c r="AA6198" s="25" t="n"/>
      <c r="AB6198" s="25" t="n"/>
      <c r="AC6198" s="195" t="n"/>
      <c r="AD6198" s="25" t="n"/>
      <c r="AE6198" s="25" t="n"/>
      <c r="AG6198" s="25" t="n"/>
      <c r="AH6198" s="25" t="n"/>
      <c r="AI6198" s="394" t="n"/>
      <c r="AM6198" s="48" t="n"/>
      <c r="AN6198" s="48" t="n"/>
      <c r="AO6198" s="48" t="n"/>
    </row>
    <row r="6199">
      <c r="M6199" s="25" t="n"/>
      <c r="Q6199" s="25" t="n"/>
      <c r="U6199" s="194" t="n"/>
      <c r="AA6199" s="25" t="n"/>
      <c r="AB6199" s="25" t="n"/>
      <c r="AC6199" s="195" t="n"/>
      <c r="AD6199" s="25" t="n"/>
      <c r="AE6199" s="25" t="n"/>
      <c r="AG6199" s="25" t="n"/>
      <c r="AH6199" s="25" t="n"/>
      <c r="AI6199" s="394" t="n"/>
      <c r="AM6199" s="48" t="n"/>
      <c r="AN6199" s="48" t="n"/>
      <c r="AO6199" s="48" t="n"/>
    </row>
    <row r="6200">
      <c r="M6200" s="25" t="n"/>
      <c r="Q6200" s="25" t="n"/>
      <c r="U6200" s="194" t="n"/>
      <c r="AA6200" s="25" t="n"/>
      <c r="AB6200" s="25" t="n"/>
      <c r="AC6200" s="195" t="n"/>
      <c r="AD6200" s="25" t="n"/>
      <c r="AE6200" s="25" t="n"/>
      <c r="AG6200" s="25" t="n"/>
      <c r="AH6200" s="25" t="n"/>
      <c r="AI6200" s="394" t="n"/>
      <c r="AM6200" s="48" t="n"/>
      <c r="AN6200" s="48" t="n"/>
      <c r="AO6200" s="48" t="n"/>
    </row>
    <row r="6201">
      <c r="M6201" s="25" t="n"/>
      <c r="Q6201" s="25" t="n"/>
      <c r="U6201" s="194" t="n"/>
      <c r="AA6201" s="25" t="n"/>
      <c r="AB6201" s="25" t="n"/>
      <c r="AC6201" s="195" t="n"/>
      <c r="AD6201" s="25" t="n"/>
      <c r="AE6201" s="25" t="n"/>
      <c r="AG6201" s="25" t="n"/>
      <c r="AH6201" s="25" t="n"/>
      <c r="AI6201" s="394" t="n"/>
      <c r="AM6201" s="48" t="n"/>
      <c r="AN6201" s="48" t="n"/>
      <c r="AO6201" s="48" t="n"/>
    </row>
    <row r="6202">
      <c r="M6202" s="25" t="n"/>
      <c r="Q6202" s="25" t="n"/>
      <c r="U6202" s="194" t="n"/>
      <c r="AA6202" s="25" t="n"/>
      <c r="AB6202" s="25" t="n"/>
      <c r="AC6202" s="195" t="n"/>
      <c r="AD6202" s="25" t="n"/>
      <c r="AE6202" s="25" t="n"/>
      <c r="AG6202" s="25" t="n"/>
      <c r="AH6202" s="25" t="n"/>
      <c r="AI6202" s="394" t="n"/>
      <c r="AM6202" s="48" t="n"/>
      <c r="AN6202" s="48" t="n"/>
      <c r="AO6202" s="48" t="n"/>
    </row>
    <row r="6203">
      <c r="M6203" s="25" t="n"/>
      <c r="Q6203" s="25" t="n"/>
      <c r="U6203" s="194" t="n"/>
      <c r="AA6203" s="25" t="n"/>
      <c r="AB6203" s="25" t="n"/>
      <c r="AC6203" s="195" t="n"/>
      <c r="AD6203" s="25" t="n"/>
      <c r="AE6203" s="25" t="n"/>
      <c r="AG6203" s="25" t="n"/>
      <c r="AH6203" s="25" t="n"/>
      <c r="AI6203" s="394" t="n"/>
      <c r="AM6203" s="48" t="n"/>
      <c r="AN6203" s="48" t="n"/>
      <c r="AO6203" s="48" t="n"/>
    </row>
    <row r="6204">
      <c r="M6204" s="25" t="n"/>
      <c r="Q6204" s="25" t="n"/>
      <c r="U6204" s="194" t="n"/>
      <c r="AA6204" s="25" t="n"/>
      <c r="AB6204" s="25" t="n"/>
      <c r="AC6204" s="195" t="n"/>
      <c r="AD6204" s="25" t="n"/>
      <c r="AE6204" s="25" t="n"/>
      <c r="AG6204" s="25" t="n"/>
      <c r="AH6204" s="25" t="n"/>
      <c r="AI6204" s="394" t="n"/>
      <c r="AM6204" s="48" t="n"/>
      <c r="AN6204" s="48" t="n"/>
      <c r="AO6204" s="48" t="n"/>
    </row>
    <row r="6205">
      <c r="M6205" s="25" t="n"/>
      <c r="Q6205" s="25" t="n"/>
      <c r="U6205" s="194" t="n"/>
      <c r="AA6205" s="25" t="n"/>
      <c r="AB6205" s="25" t="n"/>
      <c r="AC6205" s="195" t="n"/>
      <c r="AD6205" s="25" t="n"/>
      <c r="AE6205" s="25" t="n"/>
      <c r="AG6205" s="25" t="n"/>
      <c r="AH6205" s="25" t="n"/>
      <c r="AI6205" s="394" t="n"/>
      <c r="AM6205" s="48" t="n"/>
      <c r="AN6205" s="48" t="n"/>
      <c r="AO6205" s="48" t="n"/>
    </row>
    <row r="6206">
      <c r="M6206" s="25" t="n"/>
      <c r="Q6206" s="25" t="n"/>
      <c r="U6206" s="194" t="n"/>
      <c r="AA6206" s="25" t="n"/>
      <c r="AB6206" s="25" t="n"/>
      <c r="AC6206" s="195" t="n"/>
      <c r="AD6206" s="25" t="n"/>
      <c r="AE6206" s="25" t="n"/>
      <c r="AG6206" s="25" t="n"/>
      <c r="AH6206" s="25" t="n"/>
      <c r="AI6206" s="394" t="n"/>
      <c r="AM6206" s="48" t="n"/>
      <c r="AN6206" s="48" t="n"/>
      <c r="AO6206" s="48" t="n"/>
    </row>
    <row r="6207">
      <c r="M6207" s="25" t="n"/>
      <c r="Q6207" s="25" t="n"/>
      <c r="U6207" s="194" t="n"/>
      <c r="AA6207" s="25" t="n"/>
      <c r="AB6207" s="25" t="n"/>
      <c r="AC6207" s="195" t="n"/>
      <c r="AD6207" s="25" t="n"/>
      <c r="AE6207" s="25" t="n"/>
      <c r="AG6207" s="25" t="n"/>
      <c r="AH6207" s="25" t="n"/>
      <c r="AI6207" s="394" t="n"/>
      <c r="AM6207" s="48" t="n"/>
      <c r="AN6207" s="48" t="n"/>
      <c r="AO6207" s="48" t="n"/>
    </row>
    <row r="6208">
      <c r="M6208" s="25" t="n"/>
      <c r="Q6208" s="25" t="n"/>
      <c r="U6208" s="194" t="n"/>
      <c r="AA6208" s="25" t="n"/>
      <c r="AB6208" s="25" t="n"/>
      <c r="AC6208" s="195" t="n"/>
      <c r="AD6208" s="25" t="n"/>
      <c r="AE6208" s="25" t="n"/>
      <c r="AG6208" s="25" t="n"/>
      <c r="AH6208" s="25" t="n"/>
      <c r="AI6208" s="394" t="n"/>
      <c r="AM6208" s="48" t="n"/>
      <c r="AN6208" s="48" t="n"/>
      <c r="AO6208" s="48" t="n"/>
    </row>
    <row r="6209">
      <c r="M6209" s="25" t="n"/>
      <c r="Q6209" s="25" t="n"/>
      <c r="U6209" s="194" t="n"/>
      <c r="AA6209" s="25" t="n"/>
      <c r="AB6209" s="25" t="n"/>
      <c r="AC6209" s="195" t="n"/>
      <c r="AD6209" s="25" t="n"/>
      <c r="AE6209" s="25" t="n"/>
      <c r="AG6209" s="25" t="n"/>
      <c r="AH6209" s="25" t="n"/>
      <c r="AI6209" s="394" t="n"/>
      <c r="AM6209" s="48" t="n"/>
      <c r="AN6209" s="48" t="n"/>
      <c r="AO6209" s="48" t="n"/>
    </row>
    <row r="6210">
      <c r="M6210" s="25" t="n"/>
      <c r="Q6210" s="25" t="n"/>
      <c r="U6210" s="194" t="n"/>
      <c r="AA6210" s="25" t="n"/>
      <c r="AB6210" s="25" t="n"/>
      <c r="AC6210" s="195" t="n"/>
      <c r="AD6210" s="25" t="n"/>
      <c r="AE6210" s="25" t="n"/>
      <c r="AG6210" s="25" t="n"/>
      <c r="AH6210" s="25" t="n"/>
      <c r="AI6210" s="394" t="n"/>
      <c r="AM6210" s="48" t="n"/>
      <c r="AN6210" s="48" t="n"/>
      <c r="AO6210" s="48" t="n"/>
    </row>
    <row r="6211">
      <c r="M6211" s="25" t="n"/>
      <c r="Q6211" s="25" t="n"/>
      <c r="U6211" s="194" t="n"/>
      <c r="AA6211" s="25" t="n"/>
      <c r="AB6211" s="25" t="n"/>
      <c r="AC6211" s="195" t="n"/>
      <c r="AD6211" s="25" t="n"/>
      <c r="AE6211" s="25" t="n"/>
      <c r="AG6211" s="25" t="n"/>
      <c r="AH6211" s="25" t="n"/>
      <c r="AI6211" s="394" t="n"/>
      <c r="AM6211" s="48" t="n"/>
      <c r="AN6211" s="48" t="n"/>
      <c r="AO6211" s="48" t="n"/>
    </row>
    <row r="6212">
      <c r="M6212" s="25" t="n"/>
      <c r="Q6212" s="25" t="n"/>
      <c r="U6212" s="194" t="n"/>
      <c r="AA6212" s="25" t="n"/>
      <c r="AB6212" s="25" t="n"/>
      <c r="AC6212" s="195" t="n"/>
      <c r="AD6212" s="25" t="n"/>
      <c r="AE6212" s="25" t="n"/>
      <c r="AG6212" s="25" t="n"/>
      <c r="AH6212" s="25" t="n"/>
      <c r="AI6212" s="394" t="n"/>
      <c r="AM6212" s="48" t="n"/>
      <c r="AN6212" s="48" t="n"/>
      <c r="AO6212" s="48" t="n"/>
    </row>
    <row r="6213">
      <c r="M6213" s="25" t="n"/>
      <c r="Q6213" s="25" t="n"/>
      <c r="U6213" s="194" t="n"/>
      <c r="AA6213" s="25" t="n"/>
      <c r="AB6213" s="25" t="n"/>
      <c r="AC6213" s="195" t="n"/>
      <c r="AD6213" s="25" t="n"/>
      <c r="AE6213" s="25" t="n"/>
      <c r="AG6213" s="25" t="n"/>
      <c r="AH6213" s="25" t="n"/>
      <c r="AI6213" s="394" t="n"/>
      <c r="AM6213" s="48" t="n"/>
      <c r="AN6213" s="48" t="n"/>
      <c r="AO6213" s="48" t="n"/>
    </row>
    <row r="6214">
      <c r="M6214" s="25" t="n"/>
      <c r="Q6214" s="25" t="n"/>
      <c r="U6214" s="194" t="n"/>
      <c r="AA6214" s="25" t="n"/>
      <c r="AB6214" s="25" t="n"/>
      <c r="AC6214" s="195" t="n"/>
      <c r="AD6214" s="25" t="n"/>
      <c r="AE6214" s="25" t="n"/>
      <c r="AG6214" s="25" t="n"/>
      <c r="AH6214" s="25" t="n"/>
      <c r="AI6214" s="394" t="n"/>
      <c r="AM6214" s="48" t="n"/>
      <c r="AN6214" s="48" t="n"/>
      <c r="AO6214" s="48" t="n"/>
    </row>
    <row r="6215">
      <c r="M6215" s="25" t="n"/>
      <c r="Q6215" s="25" t="n"/>
      <c r="U6215" s="194" t="n"/>
      <c r="AA6215" s="25" t="n"/>
      <c r="AB6215" s="25" t="n"/>
      <c r="AC6215" s="195" t="n"/>
      <c r="AD6215" s="25" t="n"/>
      <c r="AE6215" s="25" t="n"/>
      <c r="AG6215" s="25" t="n"/>
      <c r="AH6215" s="25" t="n"/>
      <c r="AI6215" s="394" t="n"/>
      <c r="AM6215" s="48" t="n"/>
      <c r="AN6215" s="48" t="n"/>
      <c r="AO6215" s="48" t="n"/>
    </row>
    <row r="6216">
      <c r="M6216" s="25" t="n"/>
      <c r="Q6216" s="25" t="n"/>
      <c r="U6216" s="194" t="n"/>
      <c r="AA6216" s="25" t="n"/>
      <c r="AB6216" s="25" t="n"/>
      <c r="AC6216" s="195" t="n"/>
      <c r="AD6216" s="25" t="n"/>
      <c r="AE6216" s="25" t="n"/>
      <c r="AG6216" s="25" t="n"/>
      <c r="AH6216" s="25" t="n"/>
      <c r="AI6216" s="394" t="n"/>
      <c r="AM6216" s="48" t="n"/>
      <c r="AN6216" s="48" t="n"/>
      <c r="AO6216" s="48" t="n"/>
    </row>
    <row r="6217">
      <c r="M6217" s="25" t="n"/>
      <c r="Q6217" s="25" t="n"/>
      <c r="U6217" s="194" t="n"/>
      <c r="AA6217" s="25" t="n"/>
      <c r="AB6217" s="25" t="n"/>
      <c r="AC6217" s="195" t="n"/>
      <c r="AD6217" s="25" t="n"/>
      <c r="AE6217" s="25" t="n"/>
      <c r="AG6217" s="25" t="n"/>
      <c r="AH6217" s="25" t="n"/>
      <c r="AI6217" s="394" t="n"/>
      <c r="AM6217" s="48" t="n"/>
      <c r="AN6217" s="48" t="n"/>
      <c r="AO6217" s="48" t="n"/>
    </row>
    <row r="6218">
      <c r="M6218" s="25" t="n"/>
      <c r="Q6218" s="25" t="n"/>
      <c r="U6218" s="194" t="n"/>
      <c r="AA6218" s="25" t="n"/>
      <c r="AB6218" s="25" t="n"/>
      <c r="AC6218" s="195" t="n"/>
      <c r="AD6218" s="25" t="n"/>
      <c r="AE6218" s="25" t="n"/>
      <c r="AG6218" s="25" t="n"/>
      <c r="AH6218" s="25" t="n"/>
      <c r="AI6218" s="394" t="n"/>
      <c r="AM6218" s="48" t="n"/>
      <c r="AN6218" s="48" t="n"/>
      <c r="AO6218" s="48" t="n"/>
    </row>
    <row r="6219">
      <c r="M6219" s="25" t="n"/>
      <c r="Q6219" s="25" t="n"/>
      <c r="U6219" s="194" t="n"/>
      <c r="AA6219" s="25" t="n"/>
      <c r="AB6219" s="25" t="n"/>
      <c r="AC6219" s="195" t="n"/>
      <c r="AD6219" s="25" t="n"/>
      <c r="AE6219" s="25" t="n"/>
      <c r="AG6219" s="25" t="n"/>
      <c r="AH6219" s="25" t="n"/>
      <c r="AI6219" s="394" t="n"/>
      <c r="AM6219" s="48" t="n"/>
      <c r="AN6219" s="48" t="n"/>
      <c r="AO6219" s="48" t="n"/>
    </row>
    <row r="6220">
      <c r="M6220" s="25" t="n"/>
      <c r="Q6220" s="25" t="n"/>
      <c r="U6220" s="194" t="n"/>
      <c r="AA6220" s="25" t="n"/>
      <c r="AB6220" s="25" t="n"/>
      <c r="AC6220" s="195" t="n"/>
      <c r="AD6220" s="25" t="n"/>
      <c r="AE6220" s="25" t="n"/>
      <c r="AG6220" s="25" t="n"/>
      <c r="AH6220" s="25" t="n"/>
      <c r="AI6220" s="394" t="n"/>
      <c r="AM6220" s="48" t="n"/>
      <c r="AN6220" s="48" t="n"/>
      <c r="AO6220" s="48" t="n"/>
    </row>
    <row r="6221">
      <c r="M6221" s="25" t="n"/>
      <c r="Q6221" s="25" t="n"/>
      <c r="U6221" s="194" t="n"/>
      <c r="AA6221" s="25" t="n"/>
      <c r="AB6221" s="25" t="n"/>
      <c r="AC6221" s="195" t="n"/>
      <c r="AD6221" s="25" t="n"/>
      <c r="AE6221" s="25" t="n"/>
      <c r="AG6221" s="25" t="n"/>
      <c r="AH6221" s="25" t="n"/>
      <c r="AI6221" s="394" t="n"/>
      <c r="AM6221" s="48" t="n"/>
      <c r="AN6221" s="48" t="n"/>
      <c r="AO6221" s="48" t="n"/>
    </row>
    <row r="6222">
      <c r="M6222" s="25" t="n"/>
      <c r="Q6222" s="25" t="n"/>
      <c r="U6222" s="194" t="n"/>
      <c r="AA6222" s="25" t="n"/>
      <c r="AB6222" s="25" t="n"/>
      <c r="AC6222" s="195" t="n"/>
      <c r="AD6222" s="25" t="n"/>
      <c r="AE6222" s="25" t="n"/>
      <c r="AG6222" s="25" t="n"/>
      <c r="AH6222" s="25" t="n"/>
      <c r="AI6222" s="394" t="n"/>
      <c r="AM6222" s="48" t="n"/>
      <c r="AN6222" s="48" t="n"/>
      <c r="AO6222" s="48" t="n"/>
    </row>
    <row r="6223">
      <c r="M6223" s="25" t="n"/>
      <c r="Q6223" s="25" t="n"/>
      <c r="U6223" s="194" t="n"/>
      <c r="AA6223" s="25" t="n"/>
      <c r="AB6223" s="25" t="n"/>
      <c r="AC6223" s="195" t="n"/>
      <c r="AD6223" s="25" t="n"/>
      <c r="AE6223" s="25" t="n"/>
      <c r="AG6223" s="25" t="n"/>
      <c r="AH6223" s="25" t="n"/>
      <c r="AI6223" s="394" t="n"/>
      <c r="AM6223" s="48" t="n"/>
      <c r="AN6223" s="48" t="n"/>
      <c r="AO6223" s="48" t="n"/>
    </row>
    <row r="6224">
      <c r="M6224" s="25" t="n"/>
      <c r="Q6224" s="25" t="n"/>
      <c r="U6224" s="194" t="n"/>
      <c r="AA6224" s="25" t="n"/>
      <c r="AB6224" s="25" t="n"/>
      <c r="AC6224" s="195" t="n"/>
      <c r="AD6224" s="25" t="n"/>
      <c r="AE6224" s="25" t="n"/>
      <c r="AG6224" s="25" t="n"/>
      <c r="AH6224" s="25" t="n"/>
      <c r="AI6224" s="394" t="n"/>
      <c r="AM6224" s="48" t="n"/>
      <c r="AN6224" s="48" t="n"/>
      <c r="AO6224" s="48" t="n"/>
    </row>
    <row r="6225">
      <c r="M6225" s="25" t="n"/>
      <c r="Q6225" s="25" t="n"/>
      <c r="U6225" s="194" t="n"/>
      <c r="AA6225" s="25" t="n"/>
      <c r="AB6225" s="25" t="n"/>
      <c r="AC6225" s="195" t="n"/>
      <c r="AD6225" s="25" t="n"/>
      <c r="AE6225" s="25" t="n"/>
      <c r="AG6225" s="25" t="n"/>
      <c r="AH6225" s="25" t="n"/>
      <c r="AI6225" s="394" t="n"/>
      <c r="AM6225" s="48" t="n"/>
      <c r="AN6225" s="48" t="n"/>
      <c r="AO6225" s="48" t="n"/>
    </row>
    <row r="6226">
      <c r="M6226" s="25" t="n"/>
      <c r="Q6226" s="25" t="n"/>
      <c r="U6226" s="194" t="n"/>
      <c r="AA6226" s="25" t="n"/>
      <c r="AB6226" s="25" t="n"/>
      <c r="AC6226" s="195" t="n"/>
      <c r="AD6226" s="25" t="n"/>
      <c r="AE6226" s="25" t="n"/>
      <c r="AG6226" s="25" t="n"/>
      <c r="AH6226" s="25" t="n"/>
      <c r="AI6226" s="394" t="n"/>
      <c r="AM6226" s="48" t="n"/>
      <c r="AN6226" s="48" t="n"/>
      <c r="AO6226" s="48" t="n"/>
    </row>
    <row r="6227">
      <c r="M6227" s="25" t="n"/>
      <c r="Q6227" s="25" t="n"/>
      <c r="U6227" s="194" t="n"/>
      <c r="AA6227" s="25" t="n"/>
      <c r="AB6227" s="25" t="n"/>
      <c r="AC6227" s="195" t="n"/>
      <c r="AD6227" s="25" t="n"/>
      <c r="AE6227" s="25" t="n"/>
      <c r="AG6227" s="25" t="n"/>
      <c r="AH6227" s="25" t="n"/>
      <c r="AI6227" s="394" t="n"/>
      <c r="AM6227" s="48" t="n"/>
      <c r="AN6227" s="48" t="n"/>
      <c r="AO6227" s="48" t="n"/>
    </row>
    <row r="6228">
      <c r="M6228" s="25" t="n"/>
      <c r="Q6228" s="25" t="n"/>
      <c r="U6228" s="194" t="n"/>
      <c r="AA6228" s="25" t="n"/>
      <c r="AB6228" s="25" t="n"/>
      <c r="AC6228" s="195" t="n"/>
      <c r="AD6228" s="25" t="n"/>
      <c r="AE6228" s="25" t="n"/>
      <c r="AG6228" s="25" t="n"/>
      <c r="AH6228" s="25" t="n"/>
      <c r="AI6228" s="394" t="n"/>
      <c r="AM6228" s="48" t="n"/>
      <c r="AN6228" s="48" t="n"/>
      <c r="AO6228" s="48" t="n"/>
    </row>
    <row r="6229">
      <c r="M6229" s="25" t="n"/>
      <c r="Q6229" s="25" t="n"/>
      <c r="U6229" s="194" t="n"/>
      <c r="AA6229" s="25" t="n"/>
      <c r="AB6229" s="25" t="n"/>
      <c r="AC6229" s="195" t="n"/>
      <c r="AD6229" s="25" t="n"/>
      <c r="AE6229" s="25" t="n"/>
      <c r="AG6229" s="25" t="n"/>
      <c r="AH6229" s="25" t="n"/>
      <c r="AI6229" s="394" t="n"/>
      <c r="AM6229" s="48" t="n"/>
      <c r="AN6229" s="48" t="n"/>
      <c r="AO6229" s="48" t="n"/>
    </row>
    <row r="6230">
      <c r="M6230" s="25" t="n"/>
      <c r="Q6230" s="25" t="n"/>
      <c r="U6230" s="194" t="n"/>
      <c r="AA6230" s="25" t="n"/>
      <c r="AB6230" s="25" t="n"/>
      <c r="AC6230" s="195" t="n"/>
      <c r="AD6230" s="25" t="n"/>
      <c r="AE6230" s="25" t="n"/>
      <c r="AG6230" s="25" t="n"/>
      <c r="AH6230" s="25" t="n"/>
      <c r="AI6230" s="394" t="n"/>
      <c r="AM6230" s="48" t="n"/>
      <c r="AN6230" s="48" t="n"/>
      <c r="AO6230" s="48" t="n"/>
    </row>
    <row r="6231">
      <c r="M6231" s="25" t="n"/>
      <c r="Q6231" s="25" t="n"/>
      <c r="U6231" s="194" t="n"/>
      <c r="AA6231" s="25" t="n"/>
      <c r="AB6231" s="25" t="n"/>
      <c r="AC6231" s="195" t="n"/>
      <c r="AD6231" s="25" t="n"/>
      <c r="AE6231" s="25" t="n"/>
      <c r="AG6231" s="25" t="n"/>
      <c r="AH6231" s="25" t="n"/>
      <c r="AI6231" s="394" t="n"/>
      <c r="AM6231" s="48" t="n"/>
      <c r="AN6231" s="48" t="n"/>
      <c r="AO6231" s="48" t="n"/>
    </row>
    <row r="6232">
      <c r="M6232" s="25" t="n"/>
      <c r="Q6232" s="25" t="n"/>
      <c r="U6232" s="194" t="n"/>
      <c r="AA6232" s="25" t="n"/>
      <c r="AB6232" s="25" t="n"/>
      <c r="AC6232" s="195" t="n"/>
      <c r="AD6232" s="25" t="n"/>
      <c r="AE6232" s="25" t="n"/>
      <c r="AG6232" s="25" t="n"/>
      <c r="AH6232" s="25" t="n"/>
      <c r="AI6232" s="394" t="n"/>
      <c r="AM6232" s="48" t="n"/>
      <c r="AN6232" s="48" t="n"/>
      <c r="AO6232" s="48" t="n"/>
    </row>
    <row r="6233">
      <c r="M6233" s="25" t="n"/>
      <c r="Q6233" s="25" t="n"/>
      <c r="U6233" s="194" t="n"/>
      <c r="AA6233" s="25" t="n"/>
      <c r="AB6233" s="25" t="n"/>
      <c r="AC6233" s="195" t="n"/>
      <c r="AD6233" s="25" t="n"/>
      <c r="AE6233" s="25" t="n"/>
      <c r="AG6233" s="25" t="n"/>
      <c r="AH6233" s="25" t="n"/>
      <c r="AI6233" s="394" t="n"/>
      <c r="AM6233" s="48" t="n"/>
      <c r="AN6233" s="48" t="n"/>
      <c r="AO6233" s="48" t="n"/>
    </row>
    <row r="6234">
      <c r="M6234" s="25" t="n"/>
      <c r="Q6234" s="25" t="n"/>
      <c r="U6234" s="194" t="n"/>
      <c r="AA6234" s="25" t="n"/>
      <c r="AB6234" s="25" t="n"/>
      <c r="AC6234" s="195" t="n"/>
      <c r="AD6234" s="25" t="n"/>
      <c r="AE6234" s="25" t="n"/>
      <c r="AG6234" s="25" t="n"/>
      <c r="AH6234" s="25" t="n"/>
      <c r="AI6234" s="394" t="n"/>
      <c r="AM6234" s="48" t="n"/>
      <c r="AN6234" s="48" t="n"/>
      <c r="AO6234" s="48" t="n"/>
    </row>
    <row r="6235">
      <c r="M6235" s="25" t="n"/>
      <c r="Q6235" s="25" t="n"/>
      <c r="U6235" s="194" t="n"/>
      <c r="AA6235" s="25" t="n"/>
      <c r="AB6235" s="25" t="n"/>
      <c r="AC6235" s="195" t="n"/>
      <c r="AD6235" s="25" t="n"/>
      <c r="AE6235" s="25" t="n"/>
      <c r="AG6235" s="25" t="n"/>
      <c r="AH6235" s="25" t="n"/>
      <c r="AI6235" s="394" t="n"/>
      <c r="AM6235" s="48" t="n"/>
      <c r="AN6235" s="48" t="n"/>
      <c r="AO6235" s="48" t="n"/>
    </row>
    <row r="6236">
      <c r="M6236" s="25" t="n"/>
      <c r="Q6236" s="25" t="n"/>
      <c r="U6236" s="194" t="n"/>
      <c r="AA6236" s="25" t="n"/>
      <c r="AB6236" s="25" t="n"/>
      <c r="AC6236" s="195" t="n"/>
      <c r="AD6236" s="25" t="n"/>
      <c r="AE6236" s="25" t="n"/>
      <c r="AG6236" s="25" t="n"/>
      <c r="AH6236" s="25" t="n"/>
      <c r="AI6236" s="394" t="n"/>
      <c r="AM6236" s="48" t="n"/>
      <c r="AN6236" s="48" t="n"/>
      <c r="AO6236" s="48" t="n"/>
    </row>
    <row r="6237">
      <c r="M6237" s="25" t="n"/>
      <c r="Q6237" s="25" t="n"/>
      <c r="U6237" s="194" t="n"/>
      <c r="AA6237" s="25" t="n"/>
      <c r="AB6237" s="25" t="n"/>
      <c r="AC6237" s="195" t="n"/>
      <c r="AD6237" s="25" t="n"/>
      <c r="AE6237" s="25" t="n"/>
      <c r="AG6237" s="25" t="n"/>
      <c r="AH6237" s="25" t="n"/>
      <c r="AI6237" s="394" t="n"/>
      <c r="AM6237" s="48" t="n"/>
      <c r="AN6237" s="48" t="n"/>
      <c r="AO6237" s="48" t="n"/>
    </row>
    <row r="6238">
      <c r="M6238" s="25" t="n"/>
      <c r="Q6238" s="25" t="n"/>
      <c r="U6238" s="194" t="n"/>
      <c r="AA6238" s="25" t="n"/>
      <c r="AB6238" s="25" t="n"/>
      <c r="AC6238" s="195" t="n"/>
      <c r="AD6238" s="25" t="n"/>
      <c r="AE6238" s="25" t="n"/>
      <c r="AG6238" s="25" t="n"/>
      <c r="AH6238" s="25" t="n"/>
      <c r="AI6238" s="394" t="n"/>
      <c r="AM6238" s="48" t="n"/>
      <c r="AN6238" s="48" t="n"/>
      <c r="AO6238" s="48" t="n"/>
    </row>
    <row r="6239">
      <c r="M6239" s="25" t="n"/>
      <c r="Q6239" s="25" t="n"/>
      <c r="U6239" s="194" t="n"/>
      <c r="AA6239" s="25" t="n"/>
      <c r="AB6239" s="25" t="n"/>
      <c r="AC6239" s="195" t="n"/>
      <c r="AD6239" s="25" t="n"/>
      <c r="AE6239" s="25" t="n"/>
      <c r="AG6239" s="25" t="n"/>
      <c r="AH6239" s="25" t="n"/>
      <c r="AI6239" s="394" t="n"/>
      <c r="AM6239" s="48" t="n"/>
      <c r="AN6239" s="48" t="n"/>
      <c r="AO6239" s="48" t="n"/>
    </row>
    <row r="6240">
      <c r="M6240" s="25" t="n"/>
      <c r="Q6240" s="25" t="n"/>
      <c r="U6240" s="194" t="n"/>
      <c r="AA6240" s="25" t="n"/>
      <c r="AB6240" s="25" t="n"/>
      <c r="AC6240" s="195" t="n"/>
      <c r="AD6240" s="25" t="n"/>
      <c r="AE6240" s="25" t="n"/>
      <c r="AG6240" s="25" t="n"/>
      <c r="AH6240" s="25" t="n"/>
      <c r="AI6240" s="394" t="n"/>
      <c r="AM6240" s="48" t="n"/>
      <c r="AN6240" s="48" t="n"/>
      <c r="AO6240" s="48" t="n"/>
    </row>
    <row r="6241">
      <c r="M6241" s="25" t="n"/>
      <c r="Q6241" s="25" t="n"/>
      <c r="U6241" s="194" t="n"/>
      <c r="AA6241" s="25" t="n"/>
      <c r="AB6241" s="25" t="n"/>
      <c r="AC6241" s="195" t="n"/>
      <c r="AD6241" s="25" t="n"/>
      <c r="AE6241" s="25" t="n"/>
      <c r="AG6241" s="25" t="n"/>
      <c r="AH6241" s="25" t="n"/>
      <c r="AI6241" s="394" t="n"/>
      <c r="AM6241" s="48" t="n"/>
      <c r="AN6241" s="48" t="n"/>
      <c r="AO6241" s="48" t="n"/>
    </row>
    <row r="6242">
      <c r="M6242" s="25" t="n"/>
      <c r="Q6242" s="25" t="n"/>
      <c r="U6242" s="194" t="n"/>
      <c r="AA6242" s="25" t="n"/>
      <c r="AB6242" s="25" t="n"/>
      <c r="AC6242" s="195" t="n"/>
      <c r="AD6242" s="25" t="n"/>
      <c r="AE6242" s="25" t="n"/>
      <c r="AG6242" s="25" t="n"/>
      <c r="AH6242" s="25" t="n"/>
      <c r="AI6242" s="394" t="n"/>
      <c r="AM6242" s="48" t="n"/>
      <c r="AN6242" s="48" t="n"/>
      <c r="AO6242" s="48" t="n"/>
    </row>
    <row r="6243">
      <c r="M6243" s="25" t="n"/>
      <c r="Q6243" s="25" t="n"/>
      <c r="U6243" s="194" t="n"/>
      <c r="AA6243" s="25" t="n"/>
      <c r="AB6243" s="25" t="n"/>
      <c r="AC6243" s="195" t="n"/>
      <c r="AD6243" s="25" t="n"/>
      <c r="AE6243" s="25" t="n"/>
      <c r="AG6243" s="25" t="n"/>
      <c r="AH6243" s="25" t="n"/>
      <c r="AI6243" s="394" t="n"/>
      <c r="AM6243" s="48" t="n"/>
      <c r="AN6243" s="48" t="n"/>
      <c r="AO6243" s="48" t="n"/>
    </row>
    <row r="6244">
      <c r="M6244" s="25" t="n"/>
      <c r="Q6244" s="25" t="n"/>
      <c r="U6244" s="194" t="n"/>
      <c r="AA6244" s="25" t="n"/>
      <c r="AB6244" s="25" t="n"/>
      <c r="AC6244" s="195" t="n"/>
      <c r="AD6244" s="25" t="n"/>
      <c r="AE6244" s="25" t="n"/>
      <c r="AG6244" s="25" t="n"/>
      <c r="AH6244" s="25" t="n"/>
      <c r="AI6244" s="394" t="n"/>
      <c r="AM6244" s="48" t="n"/>
      <c r="AN6244" s="48" t="n"/>
      <c r="AO6244" s="48" t="n"/>
    </row>
    <row r="6245">
      <c r="M6245" s="25" t="n"/>
      <c r="Q6245" s="25" t="n"/>
      <c r="U6245" s="194" t="n"/>
      <c r="AA6245" s="25" t="n"/>
      <c r="AB6245" s="25" t="n"/>
      <c r="AC6245" s="195" t="n"/>
      <c r="AD6245" s="25" t="n"/>
      <c r="AE6245" s="25" t="n"/>
      <c r="AG6245" s="25" t="n"/>
      <c r="AH6245" s="25" t="n"/>
      <c r="AI6245" s="394" t="n"/>
      <c r="AM6245" s="48" t="n"/>
      <c r="AN6245" s="48" t="n"/>
      <c r="AO6245" s="48" t="n"/>
    </row>
    <row r="6246">
      <c r="M6246" s="25" t="n"/>
      <c r="Q6246" s="25" t="n"/>
      <c r="U6246" s="194" t="n"/>
      <c r="AA6246" s="25" t="n"/>
      <c r="AB6246" s="25" t="n"/>
      <c r="AC6246" s="195" t="n"/>
      <c r="AD6246" s="25" t="n"/>
      <c r="AE6246" s="25" t="n"/>
      <c r="AG6246" s="25" t="n"/>
      <c r="AH6246" s="25" t="n"/>
      <c r="AI6246" s="394" t="n"/>
      <c r="AM6246" s="48" t="n"/>
      <c r="AN6246" s="48" t="n"/>
      <c r="AO6246" s="48" t="n"/>
    </row>
    <row r="6247">
      <c r="M6247" s="25" t="n"/>
      <c r="Q6247" s="25" t="n"/>
      <c r="U6247" s="194" t="n"/>
      <c r="AA6247" s="25" t="n"/>
      <c r="AB6247" s="25" t="n"/>
      <c r="AC6247" s="195" t="n"/>
      <c r="AD6247" s="25" t="n"/>
      <c r="AE6247" s="25" t="n"/>
      <c r="AG6247" s="25" t="n"/>
      <c r="AH6247" s="25" t="n"/>
      <c r="AI6247" s="394" t="n"/>
      <c r="AM6247" s="48" t="n"/>
      <c r="AN6247" s="48" t="n"/>
      <c r="AO6247" s="48" t="n"/>
    </row>
    <row r="6248">
      <c r="M6248" s="25" t="n"/>
      <c r="Q6248" s="25" t="n"/>
      <c r="U6248" s="194" t="n"/>
      <c r="AA6248" s="25" t="n"/>
      <c r="AB6248" s="25" t="n"/>
      <c r="AC6248" s="195" t="n"/>
      <c r="AD6248" s="25" t="n"/>
      <c r="AE6248" s="25" t="n"/>
      <c r="AG6248" s="25" t="n"/>
      <c r="AH6248" s="25" t="n"/>
      <c r="AI6248" s="394" t="n"/>
      <c r="AM6248" s="48" t="n"/>
      <c r="AN6248" s="48" t="n"/>
      <c r="AO6248" s="48" t="n"/>
    </row>
    <row r="6249">
      <c r="M6249" s="25" t="n"/>
      <c r="Q6249" s="25" t="n"/>
      <c r="U6249" s="194" t="n"/>
      <c r="AA6249" s="25" t="n"/>
      <c r="AB6249" s="25" t="n"/>
      <c r="AC6249" s="195" t="n"/>
      <c r="AD6249" s="25" t="n"/>
      <c r="AE6249" s="25" t="n"/>
      <c r="AG6249" s="25" t="n"/>
      <c r="AH6249" s="25" t="n"/>
      <c r="AI6249" s="394" t="n"/>
      <c r="AM6249" s="48" t="n"/>
      <c r="AN6249" s="48" t="n"/>
      <c r="AO6249" s="48" t="n"/>
    </row>
    <row r="6250">
      <c r="M6250" s="25" t="n"/>
      <c r="Q6250" s="25" t="n"/>
      <c r="U6250" s="194" t="n"/>
      <c r="AA6250" s="25" t="n"/>
      <c r="AB6250" s="25" t="n"/>
      <c r="AC6250" s="195" t="n"/>
      <c r="AD6250" s="25" t="n"/>
      <c r="AE6250" s="25" t="n"/>
      <c r="AG6250" s="25" t="n"/>
      <c r="AH6250" s="25" t="n"/>
      <c r="AI6250" s="394" t="n"/>
      <c r="AM6250" s="48" t="n"/>
      <c r="AN6250" s="48" t="n"/>
      <c r="AO6250" s="48" t="n"/>
    </row>
    <row r="6251">
      <c r="M6251" s="25" t="n"/>
      <c r="Q6251" s="25" t="n"/>
      <c r="U6251" s="194" t="n"/>
      <c r="AA6251" s="25" t="n"/>
      <c r="AB6251" s="25" t="n"/>
      <c r="AC6251" s="195" t="n"/>
      <c r="AD6251" s="25" t="n"/>
      <c r="AE6251" s="25" t="n"/>
      <c r="AG6251" s="25" t="n"/>
      <c r="AH6251" s="25" t="n"/>
      <c r="AI6251" s="394" t="n"/>
      <c r="AM6251" s="48" t="n"/>
      <c r="AN6251" s="48" t="n"/>
      <c r="AO6251" s="48" t="n"/>
    </row>
    <row r="6252">
      <c r="M6252" s="25" t="n"/>
      <c r="Q6252" s="25" t="n"/>
      <c r="U6252" s="194" t="n"/>
      <c r="AA6252" s="25" t="n"/>
      <c r="AB6252" s="25" t="n"/>
      <c r="AC6252" s="195" t="n"/>
      <c r="AD6252" s="25" t="n"/>
      <c r="AE6252" s="25" t="n"/>
      <c r="AG6252" s="25" t="n"/>
      <c r="AH6252" s="25" t="n"/>
      <c r="AI6252" s="394" t="n"/>
      <c r="AM6252" s="48" t="n"/>
      <c r="AN6252" s="48" t="n"/>
      <c r="AO6252" s="48" t="n"/>
    </row>
    <row r="6253">
      <c r="M6253" s="25" t="n"/>
      <c r="Q6253" s="25" t="n"/>
      <c r="U6253" s="194" t="n"/>
      <c r="AA6253" s="25" t="n"/>
      <c r="AB6253" s="25" t="n"/>
      <c r="AC6253" s="195" t="n"/>
      <c r="AD6253" s="25" t="n"/>
      <c r="AE6253" s="25" t="n"/>
      <c r="AG6253" s="25" t="n"/>
      <c r="AH6253" s="25" t="n"/>
      <c r="AI6253" s="394" t="n"/>
      <c r="AM6253" s="48" t="n"/>
      <c r="AN6253" s="48" t="n"/>
      <c r="AO6253" s="48" t="n"/>
    </row>
    <row r="6254">
      <c r="M6254" s="25" t="n"/>
      <c r="Q6254" s="25" t="n"/>
      <c r="U6254" s="194" t="n"/>
      <c r="AA6254" s="25" t="n"/>
      <c r="AB6254" s="25" t="n"/>
      <c r="AC6254" s="195" t="n"/>
      <c r="AD6254" s="25" t="n"/>
      <c r="AE6254" s="25" t="n"/>
      <c r="AG6254" s="25" t="n"/>
      <c r="AH6254" s="25" t="n"/>
      <c r="AI6254" s="394" t="n"/>
      <c r="AM6254" s="48" t="n"/>
      <c r="AN6254" s="48" t="n"/>
      <c r="AO6254" s="48" t="n"/>
    </row>
    <row r="6255">
      <c r="M6255" s="25" t="n"/>
      <c r="Q6255" s="25" t="n"/>
      <c r="U6255" s="194" t="n"/>
      <c r="AA6255" s="25" t="n"/>
      <c r="AB6255" s="25" t="n"/>
      <c r="AC6255" s="195" t="n"/>
      <c r="AD6255" s="25" t="n"/>
      <c r="AE6255" s="25" t="n"/>
      <c r="AG6255" s="25" t="n"/>
      <c r="AH6255" s="25" t="n"/>
      <c r="AI6255" s="394" t="n"/>
      <c r="AM6255" s="48" t="n"/>
      <c r="AN6255" s="48" t="n"/>
      <c r="AO6255" s="48" t="n"/>
    </row>
    <row r="6256">
      <c r="M6256" s="25" t="n"/>
      <c r="Q6256" s="25" t="n"/>
      <c r="U6256" s="194" t="n"/>
      <c r="AA6256" s="25" t="n"/>
      <c r="AB6256" s="25" t="n"/>
      <c r="AC6256" s="195" t="n"/>
      <c r="AD6256" s="25" t="n"/>
      <c r="AE6256" s="25" t="n"/>
      <c r="AG6256" s="25" t="n"/>
      <c r="AH6256" s="25" t="n"/>
      <c r="AI6256" s="394" t="n"/>
      <c r="AM6256" s="48" t="n"/>
      <c r="AN6256" s="48" t="n"/>
      <c r="AO6256" s="48" t="n"/>
    </row>
    <row r="6257">
      <c r="M6257" s="25" t="n"/>
      <c r="Q6257" s="25" t="n"/>
      <c r="U6257" s="194" t="n"/>
      <c r="AA6257" s="25" t="n"/>
      <c r="AB6257" s="25" t="n"/>
      <c r="AC6257" s="195" t="n"/>
      <c r="AD6257" s="25" t="n"/>
      <c r="AE6257" s="25" t="n"/>
      <c r="AG6257" s="25" t="n"/>
      <c r="AH6257" s="25" t="n"/>
      <c r="AI6257" s="394" t="n"/>
      <c r="AM6257" s="48" t="n"/>
      <c r="AN6257" s="48" t="n"/>
      <c r="AO6257" s="48" t="n"/>
    </row>
    <row r="6258">
      <c r="M6258" s="25" t="n"/>
      <c r="Q6258" s="25" t="n"/>
      <c r="U6258" s="194" t="n"/>
      <c r="AA6258" s="25" t="n"/>
      <c r="AB6258" s="25" t="n"/>
      <c r="AC6258" s="195" t="n"/>
      <c r="AD6258" s="25" t="n"/>
      <c r="AE6258" s="25" t="n"/>
      <c r="AG6258" s="25" t="n"/>
      <c r="AH6258" s="25" t="n"/>
      <c r="AI6258" s="394" t="n"/>
      <c r="AM6258" s="48" t="n"/>
      <c r="AN6258" s="48" t="n"/>
      <c r="AO6258" s="48" t="n"/>
    </row>
    <row r="6259">
      <c r="M6259" s="25" t="n"/>
      <c r="Q6259" s="25" t="n"/>
      <c r="U6259" s="194" t="n"/>
      <c r="AA6259" s="25" t="n"/>
      <c r="AB6259" s="25" t="n"/>
      <c r="AC6259" s="195" t="n"/>
      <c r="AD6259" s="25" t="n"/>
      <c r="AE6259" s="25" t="n"/>
      <c r="AG6259" s="25" t="n"/>
      <c r="AH6259" s="25" t="n"/>
      <c r="AI6259" s="394" t="n"/>
      <c r="AM6259" s="48" t="n"/>
      <c r="AN6259" s="48" t="n"/>
      <c r="AO6259" s="48" t="n"/>
    </row>
    <row r="6260">
      <c r="M6260" s="25" t="n"/>
      <c r="Q6260" s="25" t="n"/>
      <c r="U6260" s="194" t="n"/>
      <c r="AA6260" s="25" t="n"/>
      <c r="AB6260" s="25" t="n"/>
      <c r="AC6260" s="195" t="n"/>
      <c r="AD6260" s="25" t="n"/>
      <c r="AE6260" s="25" t="n"/>
      <c r="AG6260" s="25" t="n"/>
      <c r="AH6260" s="25" t="n"/>
      <c r="AI6260" s="394" t="n"/>
      <c r="AM6260" s="48" t="n"/>
      <c r="AN6260" s="48" t="n"/>
      <c r="AO6260" s="48" t="n"/>
    </row>
    <row r="6261">
      <c r="M6261" s="25" t="n"/>
      <c r="Q6261" s="25" t="n"/>
      <c r="U6261" s="194" t="n"/>
      <c r="AA6261" s="25" t="n"/>
      <c r="AB6261" s="25" t="n"/>
      <c r="AC6261" s="195" t="n"/>
      <c r="AD6261" s="25" t="n"/>
      <c r="AE6261" s="25" t="n"/>
      <c r="AG6261" s="25" t="n"/>
      <c r="AH6261" s="25" t="n"/>
      <c r="AI6261" s="394" t="n"/>
      <c r="AM6261" s="48" t="n"/>
      <c r="AN6261" s="48" t="n"/>
      <c r="AO6261" s="48" t="n"/>
    </row>
    <row r="6262">
      <c r="M6262" s="25" t="n"/>
      <c r="Q6262" s="25" t="n"/>
      <c r="U6262" s="194" t="n"/>
      <c r="AA6262" s="25" t="n"/>
      <c r="AB6262" s="25" t="n"/>
      <c r="AC6262" s="195" t="n"/>
      <c r="AD6262" s="25" t="n"/>
      <c r="AE6262" s="25" t="n"/>
      <c r="AG6262" s="25" t="n"/>
      <c r="AH6262" s="25" t="n"/>
      <c r="AI6262" s="394" t="n"/>
      <c r="AM6262" s="48" t="n"/>
      <c r="AN6262" s="48" t="n"/>
      <c r="AO6262" s="48" t="n"/>
    </row>
    <row r="6263">
      <c r="M6263" s="25" t="n"/>
      <c r="Q6263" s="25" t="n"/>
      <c r="U6263" s="194" t="n"/>
      <c r="AA6263" s="25" t="n"/>
      <c r="AB6263" s="25" t="n"/>
      <c r="AC6263" s="195" t="n"/>
      <c r="AD6263" s="25" t="n"/>
      <c r="AE6263" s="25" t="n"/>
      <c r="AG6263" s="25" t="n"/>
      <c r="AH6263" s="25" t="n"/>
      <c r="AI6263" s="394" t="n"/>
      <c r="AM6263" s="48" t="n"/>
      <c r="AN6263" s="48" t="n"/>
      <c r="AO6263" s="48" t="n"/>
    </row>
    <row r="6264">
      <c r="M6264" s="25" t="n"/>
      <c r="Q6264" s="25" t="n"/>
      <c r="U6264" s="194" t="n"/>
      <c r="AA6264" s="25" t="n"/>
      <c r="AB6264" s="25" t="n"/>
      <c r="AC6264" s="195" t="n"/>
      <c r="AD6264" s="25" t="n"/>
      <c r="AE6264" s="25" t="n"/>
      <c r="AG6264" s="25" t="n"/>
      <c r="AH6264" s="25" t="n"/>
      <c r="AI6264" s="394" t="n"/>
      <c r="AM6264" s="48" t="n"/>
      <c r="AN6264" s="48" t="n"/>
      <c r="AO6264" s="48" t="n"/>
    </row>
    <row r="6265">
      <c r="M6265" s="25" t="n"/>
      <c r="Q6265" s="25" t="n"/>
      <c r="U6265" s="194" t="n"/>
      <c r="AA6265" s="25" t="n"/>
      <c r="AB6265" s="25" t="n"/>
      <c r="AC6265" s="195" t="n"/>
      <c r="AD6265" s="25" t="n"/>
      <c r="AE6265" s="25" t="n"/>
      <c r="AG6265" s="25" t="n"/>
      <c r="AH6265" s="25" t="n"/>
      <c r="AI6265" s="394" t="n"/>
      <c r="AM6265" s="48" t="n"/>
      <c r="AN6265" s="48" t="n"/>
      <c r="AO6265" s="48" t="n"/>
    </row>
    <row r="6266">
      <c r="M6266" s="25" t="n"/>
      <c r="Q6266" s="25" t="n"/>
      <c r="U6266" s="194" t="n"/>
      <c r="AA6266" s="25" t="n"/>
      <c r="AB6266" s="25" t="n"/>
      <c r="AC6266" s="195" t="n"/>
      <c r="AD6266" s="25" t="n"/>
      <c r="AE6266" s="25" t="n"/>
      <c r="AG6266" s="25" t="n"/>
      <c r="AH6266" s="25" t="n"/>
      <c r="AI6266" s="394" t="n"/>
      <c r="AM6266" s="48" t="n"/>
      <c r="AN6266" s="48" t="n"/>
      <c r="AO6266" s="48" t="n"/>
    </row>
    <row r="6267">
      <c r="M6267" s="25" t="n"/>
      <c r="Q6267" s="25" t="n"/>
      <c r="U6267" s="194" t="n"/>
      <c r="AA6267" s="25" t="n"/>
      <c r="AB6267" s="25" t="n"/>
      <c r="AC6267" s="195" t="n"/>
      <c r="AD6267" s="25" t="n"/>
      <c r="AE6267" s="25" t="n"/>
      <c r="AG6267" s="25" t="n"/>
      <c r="AH6267" s="25" t="n"/>
      <c r="AI6267" s="394" t="n"/>
      <c r="AM6267" s="48" t="n"/>
      <c r="AN6267" s="48" t="n"/>
      <c r="AO6267" s="48" t="n"/>
    </row>
    <row r="6268">
      <c r="M6268" s="25" t="n"/>
      <c r="Q6268" s="25" t="n"/>
      <c r="U6268" s="194" t="n"/>
      <c r="AA6268" s="25" t="n"/>
      <c r="AB6268" s="25" t="n"/>
      <c r="AC6268" s="195" t="n"/>
      <c r="AD6268" s="25" t="n"/>
      <c r="AE6268" s="25" t="n"/>
      <c r="AG6268" s="25" t="n"/>
      <c r="AH6268" s="25" t="n"/>
      <c r="AI6268" s="394" t="n"/>
      <c r="AM6268" s="48" t="n"/>
      <c r="AN6268" s="48" t="n"/>
      <c r="AO6268" s="48" t="n"/>
    </row>
    <row r="6269">
      <c r="M6269" s="25" t="n"/>
      <c r="Q6269" s="25" t="n"/>
      <c r="U6269" s="194" t="n"/>
      <c r="AA6269" s="25" t="n"/>
      <c r="AB6269" s="25" t="n"/>
      <c r="AC6269" s="195" t="n"/>
      <c r="AD6269" s="25" t="n"/>
      <c r="AE6269" s="25" t="n"/>
      <c r="AG6269" s="25" t="n"/>
      <c r="AH6269" s="25" t="n"/>
      <c r="AI6269" s="394" t="n"/>
      <c r="AM6269" s="48" t="n"/>
      <c r="AN6269" s="48" t="n"/>
      <c r="AO6269" s="48" t="n"/>
    </row>
    <row r="6270">
      <c r="M6270" s="25" t="n"/>
      <c r="Q6270" s="25" t="n"/>
      <c r="U6270" s="194" t="n"/>
      <c r="AA6270" s="25" t="n"/>
      <c r="AB6270" s="25" t="n"/>
      <c r="AC6270" s="195" t="n"/>
      <c r="AD6270" s="25" t="n"/>
      <c r="AE6270" s="25" t="n"/>
      <c r="AG6270" s="25" t="n"/>
      <c r="AH6270" s="25" t="n"/>
      <c r="AI6270" s="394" t="n"/>
      <c r="AM6270" s="48" t="n"/>
      <c r="AN6270" s="48" t="n"/>
      <c r="AO6270" s="48" t="n"/>
    </row>
    <row r="6271">
      <c r="M6271" s="25" t="n"/>
      <c r="Q6271" s="25" t="n"/>
      <c r="U6271" s="194" t="n"/>
      <c r="AA6271" s="25" t="n"/>
      <c r="AB6271" s="25" t="n"/>
      <c r="AC6271" s="195" t="n"/>
      <c r="AD6271" s="25" t="n"/>
      <c r="AE6271" s="25" t="n"/>
      <c r="AG6271" s="25" t="n"/>
      <c r="AH6271" s="25" t="n"/>
      <c r="AI6271" s="394" t="n"/>
      <c r="AM6271" s="48" t="n"/>
      <c r="AN6271" s="48" t="n"/>
      <c r="AO6271" s="48" t="n"/>
    </row>
    <row r="6272">
      <c r="M6272" s="25" t="n"/>
      <c r="Q6272" s="25" t="n"/>
      <c r="U6272" s="194" t="n"/>
      <c r="AA6272" s="25" t="n"/>
      <c r="AB6272" s="25" t="n"/>
      <c r="AC6272" s="195" t="n"/>
      <c r="AD6272" s="25" t="n"/>
      <c r="AE6272" s="25" t="n"/>
      <c r="AG6272" s="25" t="n"/>
      <c r="AH6272" s="25" t="n"/>
      <c r="AI6272" s="394" t="n"/>
      <c r="AM6272" s="48" t="n"/>
      <c r="AN6272" s="48" t="n"/>
      <c r="AO6272" s="48" t="n"/>
    </row>
    <row r="6273">
      <c r="M6273" s="25" t="n"/>
      <c r="Q6273" s="25" t="n"/>
      <c r="U6273" s="194" t="n"/>
      <c r="AA6273" s="25" t="n"/>
      <c r="AB6273" s="25" t="n"/>
      <c r="AC6273" s="195" t="n"/>
      <c r="AD6273" s="25" t="n"/>
      <c r="AE6273" s="25" t="n"/>
      <c r="AG6273" s="25" t="n"/>
      <c r="AH6273" s="25" t="n"/>
      <c r="AI6273" s="394" t="n"/>
      <c r="AM6273" s="48" t="n"/>
      <c r="AN6273" s="48" t="n"/>
      <c r="AO6273" s="48" t="n"/>
    </row>
    <row r="6274">
      <c r="M6274" s="25" t="n"/>
      <c r="Q6274" s="25" t="n"/>
      <c r="U6274" s="194" t="n"/>
      <c r="AA6274" s="25" t="n"/>
      <c r="AB6274" s="25" t="n"/>
      <c r="AC6274" s="195" t="n"/>
      <c r="AD6274" s="25" t="n"/>
      <c r="AE6274" s="25" t="n"/>
      <c r="AG6274" s="25" t="n"/>
      <c r="AH6274" s="25" t="n"/>
      <c r="AI6274" s="394" t="n"/>
      <c r="AM6274" s="48" t="n"/>
      <c r="AN6274" s="48" t="n"/>
      <c r="AO6274" s="48" t="n"/>
    </row>
    <row r="6275">
      <c r="M6275" s="25" t="n"/>
      <c r="Q6275" s="25" t="n"/>
      <c r="U6275" s="194" t="n"/>
      <c r="AA6275" s="25" t="n"/>
      <c r="AB6275" s="25" t="n"/>
      <c r="AC6275" s="195" t="n"/>
      <c r="AD6275" s="25" t="n"/>
      <c r="AE6275" s="25" t="n"/>
      <c r="AG6275" s="25" t="n"/>
      <c r="AH6275" s="25" t="n"/>
      <c r="AI6275" s="394" t="n"/>
      <c r="AM6275" s="48" t="n"/>
      <c r="AN6275" s="48" t="n"/>
      <c r="AO6275" s="48" t="n"/>
    </row>
    <row r="6276">
      <c r="M6276" s="25" t="n"/>
      <c r="Q6276" s="25" t="n"/>
      <c r="U6276" s="194" t="n"/>
      <c r="AA6276" s="25" t="n"/>
      <c r="AB6276" s="25" t="n"/>
      <c r="AC6276" s="195" t="n"/>
      <c r="AD6276" s="25" t="n"/>
      <c r="AE6276" s="25" t="n"/>
      <c r="AG6276" s="25" t="n"/>
      <c r="AH6276" s="25" t="n"/>
      <c r="AI6276" s="394" t="n"/>
      <c r="AM6276" s="48" t="n"/>
      <c r="AN6276" s="48" t="n"/>
      <c r="AO6276" s="48" t="n"/>
    </row>
    <row r="6277">
      <c r="M6277" s="25" t="n"/>
      <c r="Q6277" s="25" t="n"/>
      <c r="U6277" s="194" t="n"/>
      <c r="AA6277" s="25" t="n"/>
      <c r="AB6277" s="25" t="n"/>
      <c r="AC6277" s="195" t="n"/>
      <c r="AD6277" s="25" t="n"/>
      <c r="AE6277" s="25" t="n"/>
      <c r="AG6277" s="25" t="n"/>
      <c r="AH6277" s="25" t="n"/>
      <c r="AI6277" s="394" t="n"/>
      <c r="AM6277" s="48" t="n"/>
      <c r="AN6277" s="48" t="n"/>
      <c r="AO6277" s="48" t="n"/>
    </row>
    <row r="6278">
      <c r="M6278" s="25" t="n"/>
      <c r="Q6278" s="25" t="n"/>
      <c r="U6278" s="194" t="n"/>
      <c r="AA6278" s="25" t="n"/>
      <c r="AB6278" s="25" t="n"/>
      <c r="AC6278" s="195" t="n"/>
      <c r="AD6278" s="25" t="n"/>
      <c r="AE6278" s="25" t="n"/>
      <c r="AG6278" s="25" t="n"/>
      <c r="AH6278" s="25" t="n"/>
      <c r="AI6278" s="394" t="n"/>
      <c r="AM6278" s="48" t="n"/>
      <c r="AN6278" s="48" t="n"/>
      <c r="AO6278" s="48" t="n"/>
    </row>
    <row r="6279">
      <c r="M6279" s="25" t="n"/>
      <c r="Q6279" s="25" t="n"/>
      <c r="U6279" s="194" t="n"/>
      <c r="AA6279" s="25" t="n"/>
      <c r="AB6279" s="25" t="n"/>
      <c r="AC6279" s="195" t="n"/>
      <c r="AD6279" s="25" t="n"/>
      <c r="AE6279" s="25" t="n"/>
      <c r="AG6279" s="25" t="n"/>
      <c r="AH6279" s="25" t="n"/>
      <c r="AI6279" s="394" t="n"/>
      <c r="AM6279" s="48" t="n"/>
      <c r="AN6279" s="48" t="n"/>
      <c r="AO6279" s="48" t="n"/>
    </row>
    <row r="6280">
      <c r="M6280" s="25" t="n"/>
      <c r="Q6280" s="25" t="n"/>
      <c r="U6280" s="194" t="n"/>
      <c r="AA6280" s="25" t="n"/>
      <c r="AB6280" s="25" t="n"/>
      <c r="AC6280" s="195" t="n"/>
      <c r="AD6280" s="25" t="n"/>
      <c r="AE6280" s="25" t="n"/>
      <c r="AG6280" s="25" t="n"/>
      <c r="AH6280" s="25" t="n"/>
      <c r="AI6280" s="394" t="n"/>
      <c r="AM6280" s="48" t="n"/>
      <c r="AN6280" s="48" t="n"/>
      <c r="AO6280" s="48" t="n"/>
    </row>
    <row r="6281">
      <c r="M6281" s="25" t="n"/>
      <c r="Q6281" s="25" t="n"/>
      <c r="U6281" s="194" t="n"/>
      <c r="AA6281" s="25" t="n"/>
      <c r="AB6281" s="25" t="n"/>
      <c r="AC6281" s="195" t="n"/>
      <c r="AD6281" s="25" t="n"/>
      <c r="AE6281" s="25" t="n"/>
      <c r="AG6281" s="25" t="n"/>
      <c r="AH6281" s="25" t="n"/>
      <c r="AI6281" s="394" t="n"/>
      <c r="AM6281" s="48" t="n"/>
      <c r="AN6281" s="48" t="n"/>
      <c r="AO6281" s="48" t="n"/>
    </row>
    <row r="6282">
      <c r="M6282" s="25" t="n"/>
      <c r="O6282" s="90" t="n"/>
      <c r="Q6282" s="25" t="n"/>
      <c r="U6282" s="194" t="n"/>
      <c r="AA6282" s="25" t="n"/>
      <c r="AB6282" s="25" t="n"/>
      <c r="AC6282" s="195" t="n"/>
      <c r="AD6282" s="25" t="n"/>
      <c r="AE6282" s="25" t="n"/>
      <c r="AG6282" s="25" t="n"/>
      <c r="AH6282" s="25" t="n"/>
      <c r="AI6282" s="394" t="n"/>
      <c r="AM6282" s="48" t="n"/>
      <c r="AN6282" s="48" t="n"/>
      <c r="AO6282" s="48" t="n"/>
    </row>
    <row r="6283">
      <c r="M6283" s="25" t="n"/>
      <c r="Q6283" s="25" t="n"/>
      <c r="U6283" s="194" t="n"/>
      <c r="AA6283" s="25" t="n"/>
      <c r="AB6283" s="25" t="n"/>
      <c r="AC6283" s="195" t="n"/>
      <c r="AD6283" s="25" t="n"/>
      <c r="AE6283" s="25" t="n"/>
      <c r="AG6283" s="25" t="n"/>
      <c r="AH6283" s="25" t="n"/>
      <c r="AI6283" s="394" t="n"/>
      <c r="AM6283" s="48" t="n"/>
      <c r="AN6283" s="48" t="n"/>
      <c r="AO6283" s="48" t="n"/>
    </row>
    <row r="6284">
      <c r="M6284" s="25" t="n"/>
      <c r="Q6284" s="25" t="n"/>
      <c r="U6284" s="194" t="n"/>
      <c r="AA6284" s="25" t="n"/>
      <c r="AB6284" s="25" t="n"/>
      <c r="AC6284" s="195" t="n"/>
      <c r="AD6284" s="25" t="n"/>
      <c r="AE6284" s="25" t="n"/>
      <c r="AG6284" s="25" t="n"/>
      <c r="AH6284" s="25" t="n"/>
      <c r="AI6284" s="394" t="n"/>
      <c r="AM6284" s="48" t="n"/>
      <c r="AN6284" s="48" t="n"/>
      <c r="AO6284" s="48" t="n"/>
    </row>
    <row r="6285">
      <c r="M6285" s="25" t="n"/>
      <c r="Q6285" s="25" t="n"/>
      <c r="U6285" s="194" t="n"/>
      <c r="AA6285" s="25" t="n"/>
      <c r="AB6285" s="25" t="n"/>
      <c r="AC6285" s="195" t="n"/>
      <c r="AD6285" s="25" t="n"/>
      <c r="AE6285" s="25" t="n"/>
      <c r="AG6285" s="25" t="n"/>
      <c r="AH6285" s="25" t="n"/>
      <c r="AI6285" s="394" t="n"/>
      <c r="AM6285" s="48" t="n"/>
      <c r="AN6285" s="48" t="n"/>
      <c r="AO6285" s="48" t="n"/>
    </row>
    <row r="6286">
      <c r="M6286" s="25" t="n"/>
      <c r="Q6286" s="25" t="n"/>
      <c r="U6286" s="194" t="n"/>
      <c r="AA6286" s="25" t="n"/>
      <c r="AB6286" s="25" t="n"/>
      <c r="AC6286" s="195" t="n"/>
      <c r="AD6286" s="25" t="n"/>
      <c r="AE6286" s="25" t="n"/>
      <c r="AG6286" s="25" t="n"/>
      <c r="AH6286" s="25" t="n"/>
      <c r="AI6286" s="394" t="n"/>
      <c r="AM6286" s="48" t="n"/>
      <c r="AN6286" s="48" t="n"/>
      <c r="AO6286" s="48" t="n"/>
    </row>
    <row r="6287">
      <c r="M6287" s="25" t="n"/>
      <c r="Q6287" s="25" t="n"/>
      <c r="U6287" s="194" t="n"/>
      <c r="AA6287" s="25" t="n"/>
      <c r="AB6287" s="25" t="n"/>
      <c r="AC6287" s="195" t="n"/>
      <c r="AD6287" s="25" t="n"/>
      <c r="AE6287" s="25" t="n"/>
      <c r="AG6287" s="25" t="n"/>
      <c r="AH6287" s="25" t="n"/>
      <c r="AI6287" s="394" t="n"/>
      <c r="AM6287" s="48" t="n"/>
      <c r="AN6287" s="48" t="n"/>
      <c r="AO6287" s="48" t="n"/>
    </row>
    <row r="6288">
      <c r="M6288" s="25" t="n"/>
      <c r="Q6288" s="25" t="n"/>
      <c r="U6288" s="194" t="n"/>
      <c r="AA6288" s="25" t="n"/>
      <c r="AB6288" s="25" t="n"/>
      <c r="AC6288" s="195" t="n"/>
      <c r="AD6288" s="25" t="n"/>
      <c r="AE6288" s="25" t="n"/>
      <c r="AG6288" s="25" t="n"/>
      <c r="AH6288" s="25" t="n"/>
      <c r="AI6288" s="394" t="n"/>
      <c r="AM6288" s="48" t="n"/>
      <c r="AN6288" s="48" t="n"/>
      <c r="AO6288" s="48" t="n"/>
    </row>
    <row r="6289">
      <c r="M6289" s="25" t="n"/>
      <c r="Q6289" s="25" t="n"/>
      <c r="U6289" s="194" t="n"/>
      <c r="AA6289" s="25" t="n"/>
      <c r="AB6289" s="25" t="n"/>
      <c r="AC6289" s="195" t="n"/>
      <c r="AD6289" s="25" t="n"/>
      <c r="AE6289" s="25" t="n"/>
      <c r="AG6289" s="25" t="n"/>
      <c r="AH6289" s="25" t="n"/>
      <c r="AI6289" s="394" t="n"/>
      <c r="AM6289" s="48" t="n"/>
      <c r="AN6289" s="48" t="n"/>
      <c r="AO6289" s="48" t="n"/>
    </row>
    <row r="6290">
      <c r="M6290" s="25" t="n"/>
      <c r="Q6290" s="25" t="n"/>
      <c r="U6290" s="194" t="n"/>
      <c r="AA6290" s="25" t="n"/>
      <c r="AB6290" s="25" t="n"/>
      <c r="AC6290" s="195" t="n"/>
      <c r="AD6290" s="25" t="n"/>
      <c r="AE6290" s="25" t="n"/>
      <c r="AG6290" s="25" t="n"/>
      <c r="AH6290" s="25" t="n"/>
      <c r="AI6290" s="394" t="n"/>
      <c r="AM6290" s="48" t="n"/>
      <c r="AN6290" s="48" t="n"/>
      <c r="AO6290" s="48" t="n"/>
    </row>
    <row r="6291">
      <c r="M6291" s="25" t="n"/>
      <c r="Q6291" s="25" t="n"/>
      <c r="U6291" s="194" t="n"/>
      <c r="AA6291" s="25" t="n"/>
      <c r="AB6291" s="25" t="n"/>
      <c r="AC6291" s="195" t="n"/>
      <c r="AD6291" s="25" t="n"/>
      <c r="AE6291" s="25" t="n"/>
      <c r="AG6291" s="25" t="n"/>
      <c r="AH6291" s="25" t="n"/>
      <c r="AI6291" s="394" t="n"/>
      <c r="AM6291" s="48" t="n"/>
      <c r="AN6291" s="48" t="n"/>
      <c r="AO6291" s="48" t="n"/>
    </row>
    <row r="6292">
      <c r="M6292" s="25" t="n"/>
      <c r="Q6292" s="25" t="n"/>
      <c r="U6292" s="194" t="n"/>
      <c r="AA6292" s="25" t="n"/>
      <c r="AB6292" s="25" t="n"/>
      <c r="AC6292" s="195" t="n"/>
      <c r="AD6292" s="25" t="n"/>
      <c r="AE6292" s="25" t="n"/>
      <c r="AG6292" s="25" t="n"/>
      <c r="AH6292" s="25" t="n"/>
      <c r="AI6292" s="394" t="n"/>
      <c r="AM6292" s="48" t="n"/>
      <c r="AN6292" s="48" t="n"/>
      <c r="AO6292" s="48" t="n"/>
    </row>
    <row r="6293">
      <c r="M6293" s="25" t="n"/>
      <c r="Q6293" s="25" t="n"/>
      <c r="U6293" s="194" t="n"/>
      <c r="AA6293" s="25" t="n"/>
      <c r="AB6293" s="25" t="n"/>
      <c r="AC6293" s="195" t="n"/>
      <c r="AD6293" s="25" t="n"/>
      <c r="AE6293" s="25" t="n"/>
      <c r="AG6293" s="25" t="n"/>
      <c r="AH6293" s="25" t="n"/>
      <c r="AI6293" s="394" t="n"/>
      <c r="AM6293" s="48" t="n"/>
      <c r="AN6293" s="48" t="n"/>
      <c r="AO6293" s="48" t="n"/>
    </row>
    <row r="6294">
      <c r="M6294" s="25" t="n"/>
      <c r="Q6294" s="25" t="n"/>
      <c r="U6294" s="194" t="n"/>
      <c r="AA6294" s="25" t="n"/>
      <c r="AB6294" s="25" t="n"/>
      <c r="AC6294" s="195" t="n"/>
      <c r="AD6294" s="25" t="n"/>
      <c r="AE6294" s="25" t="n"/>
      <c r="AG6294" s="25" t="n"/>
      <c r="AH6294" s="25" t="n"/>
      <c r="AI6294" s="394" t="n"/>
      <c r="AM6294" s="48" t="n"/>
      <c r="AN6294" s="48" t="n"/>
      <c r="AO6294" s="48" t="n"/>
    </row>
    <row r="6295">
      <c r="M6295" s="25" t="n"/>
      <c r="Q6295" s="25" t="n"/>
      <c r="U6295" s="194" t="n"/>
      <c r="AA6295" s="25" t="n"/>
      <c r="AB6295" s="25" t="n"/>
      <c r="AC6295" s="195" t="n"/>
      <c r="AD6295" s="25" t="n"/>
      <c r="AE6295" s="25" t="n"/>
      <c r="AG6295" s="25" t="n"/>
      <c r="AH6295" s="25" t="n"/>
      <c r="AI6295" s="394" t="n"/>
      <c r="AM6295" s="48" t="n"/>
      <c r="AN6295" s="48" t="n"/>
      <c r="AO6295" s="48" t="n"/>
    </row>
    <row r="6296">
      <c r="M6296" s="25" t="n"/>
      <c r="Q6296" s="25" t="n"/>
      <c r="U6296" s="194" t="n"/>
      <c r="AA6296" s="25" t="n"/>
      <c r="AB6296" s="25" t="n"/>
      <c r="AC6296" s="195" t="n"/>
      <c r="AD6296" s="25" t="n"/>
      <c r="AE6296" s="25" t="n"/>
      <c r="AG6296" s="25" t="n"/>
      <c r="AH6296" s="25" t="n"/>
      <c r="AI6296" s="394" t="n"/>
      <c r="AM6296" s="48" t="n"/>
      <c r="AN6296" s="48" t="n"/>
      <c r="AO6296" s="48" t="n"/>
    </row>
    <row r="6297">
      <c r="M6297" s="25" t="n"/>
      <c r="Q6297" s="25" t="n"/>
      <c r="U6297" s="194" t="n"/>
      <c r="AA6297" s="25" t="n"/>
      <c r="AB6297" s="25" t="n"/>
      <c r="AC6297" s="195" t="n"/>
      <c r="AD6297" s="25" t="n"/>
      <c r="AE6297" s="25" t="n"/>
      <c r="AG6297" s="25" t="n"/>
      <c r="AH6297" s="25" t="n"/>
      <c r="AI6297" s="394" t="n"/>
      <c r="AM6297" s="48" t="n"/>
      <c r="AN6297" s="48" t="n"/>
      <c r="AO6297" s="48" t="n"/>
    </row>
    <row r="6298">
      <c r="M6298" s="25" t="n"/>
      <c r="Q6298" s="25" t="n"/>
      <c r="U6298" s="194" t="n"/>
      <c r="AA6298" s="25" t="n"/>
      <c r="AB6298" s="25" t="n"/>
      <c r="AC6298" s="195" t="n"/>
      <c r="AD6298" s="25" t="n"/>
      <c r="AE6298" s="25" t="n"/>
      <c r="AG6298" s="25" t="n"/>
      <c r="AH6298" s="25" t="n"/>
      <c r="AI6298" s="394" t="n"/>
      <c r="AM6298" s="48" t="n"/>
      <c r="AN6298" s="48" t="n"/>
      <c r="AO6298" s="48" t="n"/>
    </row>
    <row r="6299">
      <c r="M6299" s="25" t="n"/>
      <c r="Q6299" s="25" t="n"/>
      <c r="U6299" s="194" t="n"/>
      <c r="AA6299" s="25" t="n"/>
      <c r="AB6299" s="25" t="n"/>
      <c r="AC6299" s="195" t="n"/>
      <c r="AD6299" s="25" t="n"/>
      <c r="AE6299" s="25" t="n"/>
      <c r="AG6299" s="25" t="n"/>
      <c r="AH6299" s="25" t="n"/>
      <c r="AI6299" s="394" t="n"/>
      <c r="AM6299" s="48" t="n"/>
      <c r="AN6299" s="48" t="n"/>
      <c r="AO6299" s="48" t="n"/>
    </row>
    <row r="6300">
      <c r="M6300" s="25" t="n"/>
      <c r="Q6300" s="25" t="n"/>
      <c r="U6300" s="194" t="n"/>
      <c r="AA6300" s="25" t="n"/>
      <c r="AB6300" s="25" t="n"/>
      <c r="AC6300" s="195" t="n"/>
      <c r="AD6300" s="25" t="n"/>
      <c r="AE6300" s="25" t="n"/>
      <c r="AG6300" s="25" t="n"/>
      <c r="AH6300" s="25" t="n"/>
      <c r="AI6300" s="394" t="n"/>
      <c r="AM6300" s="48" t="n"/>
      <c r="AN6300" s="48" t="n"/>
      <c r="AO6300" s="48" t="n"/>
    </row>
    <row r="6301">
      <c r="M6301" s="25" t="n"/>
      <c r="Q6301" s="25" t="n"/>
      <c r="U6301" s="194" t="n"/>
      <c r="AA6301" s="25" t="n"/>
      <c r="AB6301" s="25" t="n"/>
      <c r="AC6301" s="195" t="n"/>
      <c r="AD6301" s="25" t="n"/>
      <c r="AE6301" s="25" t="n"/>
      <c r="AG6301" s="25" t="n"/>
      <c r="AH6301" s="25" t="n"/>
      <c r="AI6301" s="394" t="n"/>
      <c r="AM6301" s="48" t="n"/>
      <c r="AN6301" s="48" t="n"/>
      <c r="AO6301" s="48" t="n"/>
    </row>
    <row r="6302">
      <c r="M6302" s="25" t="n"/>
      <c r="Q6302" s="25" t="n"/>
      <c r="U6302" s="194" t="n"/>
      <c r="AA6302" s="25" t="n"/>
      <c r="AB6302" s="25" t="n"/>
      <c r="AC6302" s="195" t="n"/>
      <c r="AD6302" s="25" t="n"/>
      <c r="AE6302" s="25" t="n"/>
      <c r="AG6302" s="25" t="n"/>
      <c r="AH6302" s="25" t="n"/>
      <c r="AI6302" s="394" t="n"/>
      <c r="AM6302" s="48" t="n"/>
      <c r="AN6302" s="48" t="n"/>
      <c r="AO6302" s="48" t="n"/>
    </row>
    <row r="6303">
      <c r="M6303" s="25" t="n"/>
      <c r="Q6303" s="25" t="n"/>
      <c r="U6303" s="194" t="n"/>
      <c r="AA6303" s="25" t="n"/>
      <c r="AB6303" s="25" t="n"/>
      <c r="AC6303" s="195" t="n"/>
      <c r="AD6303" s="25" t="n"/>
      <c r="AE6303" s="25" t="n"/>
      <c r="AG6303" s="25" t="n"/>
      <c r="AH6303" s="25" t="n"/>
      <c r="AI6303" s="394" t="n"/>
      <c r="AM6303" s="48" t="n"/>
      <c r="AN6303" s="48" t="n"/>
      <c r="AO6303" s="48" t="n"/>
    </row>
    <row r="6304">
      <c r="M6304" s="25" t="n"/>
      <c r="Q6304" s="25" t="n"/>
      <c r="U6304" s="194" t="n"/>
      <c r="AA6304" s="25" t="n"/>
      <c r="AB6304" s="25" t="n"/>
      <c r="AC6304" s="195" t="n"/>
      <c r="AD6304" s="25" t="n"/>
      <c r="AE6304" s="25" t="n"/>
      <c r="AG6304" s="25" t="n"/>
      <c r="AH6304" s="25" t="n"/>
      <c r="AI6304" s="394" t="n"/>
      <c r="AM6304" s="48" t="n"/>
      <c r="AN6304" s="48" t="n"/>
      <c r="AO6304" s="48" t="n"/>
    </row>
    <row r="6305">
      <c r="M6305" s="25" t="n"/>
      <c r="Q6305" s="25" t="n"/>
      <c r="U6305" s="194" t="n"/>
      <c r="AA6305" s="25" t="n"/>
      <c r="AB6305" s="25" t="n"/>
      <c r="AC6305" s="195" t="n"/>
      <c r="AD6305" s="25" t="n"/>
      <c r="AE6305" s="25" t="n"/>
      <c r="AG6305" s="25" t="n"/>
      <c r="AH6305" s="25" t="n"/>
      <c r="AI6305" s="394" t="n"/>
      <c r="AM6305" s="48" t="n"/>
      <c r="AN6305" s="48" t="n"/>
      <c r="AO6305" s="48" t="n"/>
    </row>
    <row r="6306">
      <c r="M6306" s="25" t="n"/>
      <c r="Q6306" s="25" t="n"/>
      <c r="U6306" s="194" t="n"/>
      <c r="AA6306" s="25" t="n"/>
      <c r="AB6306" s="25" t="n"/>
      <c r="AC6306" s="195" t="n"/>
      <c r="AD6306" s="25" t="n"/>
      <c r="AE6306" s="25" t="n"/>
      <c r="AG6306" s="25" t="n"/>
      <c r="AH6306" s="25" t="n"/>
      <c r="AI6306" s="394" t="n"/>
      <c r="AM6306" s="48" t="n"/>
      <c r="AN6306" s="48" t="n"/>
      <c r="AO6306" s="48" t="n"/>
    </row>
    <row r="6307">
      <c r="M6307" s="25" t="n"/>
      <c r="Q6307" s="25" t="n"/>
      <c r="U6307" s="194" t="n"/>
      <c r="AA6307" s="25" t="n"/>
      <c r="AB6307" s="25" t="n"/>
      <c r="AC6307" s="195" t="n"/>
      <c r="AD6307" s="25" t="n"/>
      <c r="AE6307" s="25" t="n"/>
      <c r="AG6307" s="25" t="n"/>
      <c r="AH6307" s="25" t="n"/>
      <c r="AI6307" s="394" t="n"/>
      <c r="AM6307" s="48" t="n"/>
      <c r="AN6307" s="48" t="n"/>
      <c r="AO6307" s="48" t="n"/>
    </row>
    <row r="6308">
      <c r="M6308" s="25" t="n"/>
      <c r="Q6308" s="25" t="n"/>
      <c r="U6308" s="194" t="n"/>
      <c r="AA6308" s="25" t="n"/>
      <c r="AB6308" s="25" t="n"/>
      <c r="AC6308" s="195" t="n"/>
      <c r="AD6308" s="25" t="n"/>
      <c r="AE6308" s="25" t="n"/>
      <c r="AG6308" s="25" t="n"/>
      <c r="AH6308" s="25" t="n"/>
      <c r="AI6308" s="394" t="n"/>
      <c r="AM6308" s="48" t="n"/>
      <c r="AN6308" s="48" t="n"/>
      <c r="AO6308" s="48" t="n"/>
    </row>
    <row r="6309">
      <c r="M6309" s="25" t="n"/>
      <c r="Q6309" s="25" t="n"/>
      <c r="U6309" s="194" t="n"/>
      <c r="AA6309" s="25" t="n"/>
      <c r="AB6309" s="25" t="n"/>
      <c r="AC6309" s="195" t="n"/>
      <c r="AD6309" s="25" t="n"/>
      <c r="AE6309" s="25" t="n"/>
      <c r="AG6309" s="25" t="n"/>
      <c r="AH6309" s="25" t="n"/>
      <c r="AI6309" s="394" t="n"/>
      <c r="AM6309" s="48" t="n"/>
      <c r="AN6309" s="48" t="n"/>
      <c r="AO6309" s="48" t="n"/>
    </row>
    <row r="6310">
      <c r="M6310" s="25" t="n"/>
      <c r="Q6310" s="25" t="n"/>
      <c r="U6310" s="194" t="n"/>
      <c r="AA6310" s="25" t="n"/>
      <c r="AB6310" s="25" t="n"/>
      <c r="AC6310" s="195" t="n"/>
      <c r="AD6310" s="25" t="n"/>
      <c r="AE6310" s="25" t="n"/>
      <c r="AG6310" s="25" t="n"/>
      <c r="AH6310" s="25" t="n"/>
      <c r="AI6310" s="394" t="n"/>
      <c r="AM6310" s="48" t="n"/>
      <c r="AN6310" s="48" t="n"/>
      <c r="AO6310" s="48" t="n"/>
    </row>
    <row r="6311">
      <c r="M6311" s="25" t="n"/>
      <c r="Q6311" s="25" t="n"/>
      <c r="U6311" s="194" t="n"/>
      <c r="AA6311" s="25" t="n"/>
      <c r="AB6311" s="25" t="n"/>
      <c r="AC6311" s="195" t="n"/>
      <c r="AD6311" s="25" t="n"/>
      <c r="AE6311" s="25" t="n"/>
      <c r="AG6311" s="25" t="n"/>
      <c r="AH6311" s="25" t="n"/>
      <c r="AI6311" s="394" t="n"/>
      <c r="AM6311" s="48" t="n"/>
      <c r="AN6311" s="48" t="n"/>
      <c r="AO6311" s="48" t="n"/>
    </row>
    <row r="6312">
      <c r="M6312" s="25" t="n"/>
      <c r="Q6312" s="25" t="n"/>
      <c r="U6312" s="194" t="n"/>
      <c r="AA6312" s="25" t="n"/>
      <c r="AB6312" s="25" t="n"/>
      <c r="AC6312" s="195" t="n"/>
      <c r="AD6312" s="25" t="n"/>
      <c r="AE6312" s="25" t="n"/>
      <c r="AG6312" s="25" t="n"/>
      <c r="AH6312" s="25" t="n"/>
      <c r="AI6312" s="394" t="n"/>
      <c r="AM6312" s="48" t="n"/>
      <c r="AN6312" s="48" t="n"/>
      <c r="AO6312" s="48" t="n"/>
    </row>
    <row r="6313">
      <c r="M6313" s="25" t="n"/>
      <c r="Q6313" s="25" t="n"/>
      <c r="U6313" s="194" t="n"/>
      <c r="AA6313" s="25" t="n"/>
      <c r="AB6313" s="25" t="n"/>
      <c r="AC6313" s="195" t="n"/>
      <c r="AD6313" s="25" t="n"/>
      <c r="AE6313" s="25" t="n"/>
      <c r="AG6313" s="25" t="n"/>
      <c r="AH6313" s="25" t="n"/>
      <c r="AI6313" s="394" t="n"/>
      <c r="AM6313" s="48" t="n"/>
      <c r="AN6313" s="48" t="n"/>
      <c r="AO6313" s="48" t="n"/>
    </row>
    <row r="6314">
      <c r="M6314" s="25" t="n"/>
      <c r="Q6314" s="25" t="n"/>
      <c r="U6314" s="194" t="n"/>
      <c r="AA6314" s="25" t="n"/>
      <c r="AB6314" s="25" t="n"/>
      <c r="AC6314" s="195" t="n"/>
      <c r="AD6314" s="25" t="n"/>
      <c r="AE6314" s="25" t="n"/>
      <c r="AG6314" s="25" t="n"/>
      <c r="AH6314" s="25" t="n"/>
      <c r="AI6314" s="394" t="n"/>
      <c r="AM6314" s="48" t="n"/>
      <c r="AN6314" s="48" t="n"/>
      <c r="AO6314" s="48" t="n"/>
    </row>
    <row r="6315">
      <c r="M6315" s="25" t="n"/>
      <c r="Q6315" s="25" t="n"/>
      <c r="U6315" s="194" t="n"/>
      <c r="AA6315" s="25" t="n"/>
      <c r="AB6315" s="25" t="n"/>
      <c r="AC6315" s="195" t="n"/>
      <c r="AD6315" s="25" t="n"/>
      <c r="AE6315" s="25" t="n"/>
      <c r="AG6315" s="25" t="n"/>
      <c r="AH6315" s="25" t="n"/>
      <c r="AI6315" s="394" t="n"/>
      <c r="AM6315" s="48" t="n"/>
      <c r="AN6315" s="48" t="n"/>
      <c r="AO6315" s="48" t="n"/>
    </row>
    <row r="6316">
      <c r="M6316" s="25" t="n"/>
      <c r="Q6316" s="25" t="n"/>
      <c r="U6316" s="194" t="n"/>
      <c r="AA6316" s="25" t="n"/>
      <c r="AB6316" s="25" t="n"/>
      <c r="AC6316" s="195" t="n"/>
      <c r="AD6316" s="25" t="n"/>
      <c r="AE6316" s="25" t="n"/>
      <c r="AG6316" s="25" t="n"/>
      <c r="AH6316" s="25" t="n"/>
      <c r="AI6316" s="394" t="n"/>
      <c r="AM6316" s="48" t="n"/>
      <c r="AN6316" s="48" t="n"/>
      <c r="AO6316" s="48" t="n"/>
    </row>
    <row r="6317">
      <c r="M6317" s="25" t="n"/>
      <c r="Q6317" s="25" t="n"/>
      <c r="U6317" s="194" t="n"/>
      <c r="AA6317" s="25" t="n"/>
      <c r="AB6317" s="25" t="n"/>
      <c r="AC6317" s="195" t="n"/>
      <c r="AD6317" s="25" t="n"/>
      <c r="AE6317" s="25" t="n"/>
      <c r="AG6317" s="25" t="n"/>
      <c r="AH6317" s="25" t="n"/>
      <c r="AI6317" s="394" t="n"/>
      <c r="AM6317" s="48" t="n"/>
      <c r="AN6317" s="48" t="n"/>
      <c r="AO6317" s="48" t="n"/>
    </row>
    <row r="6318">
      <c r="M6318" s="25" t="n"/>
      <c r="Q6318" s="25" t="n"/>
      <c r="U6318" s="194" t="n"/>
      <c r="AA6318" s="25" t="n"/>
      <c r="AB6318" s="25" t="n"/>
      <c r="AC6318" s="195" t="n"/>
      <c r="AD6318" s="25" t="n"/>
      <c r="AE6318" s="25" t="n"/>
      <c r="AG6318" s="25" t="n"/>
      <c r="AH6318" s="25" t="n"/>
      <c r="AI6318" s="394" t="n"/>
      <c r="AM6318" s="48" t="n"/>
      <c r="AN6318" s="48" t="n"/>
      <c r="AO6318" s="48" t="n"/>
    </row>
    <row r="6319">
      <c r="M6319" s="25" t="n"/>
      <c r="Q6319" s="25" t="n"/>
      <c r="U6319" s="194" t="n"/>
      <c r="AA6319" s="25" t="n"/>
      <c r="AB6319" s="25" t="n"/>
      <c r="AC6319" s="195" t="n"/>
      <c r="AD6319" s="25" t="n"/>
      <c r="AE6319" s="25" t="n"/>
      <c r="AG6319" s="25" t="n"/>
      <c r="AH6319" s="25" t="n"/>
      <c r="AI6319" s="394" t="n"/>
      <c r="AM6319" s="48" t="n"/>
      <c r="AN6319" s="48" t="n"/>
      <c r="AO6319" s="48" t="n"/>
    </row>
    <row r="6320">
      <c r="M6320" s="25" t="n"/>
      <c r="Q6320" s="25" t="n"/>
      <c r="U6320" s="194" t="n"/>
      <c r="AA6320" s="25" t="n"/>
      <c r="AB6320" s="25" t="n"/>
      <c r="AC6320" s="195" t="n"/>
      <c r="AD6320" s="25" t="n"/>
      <c r="AE6320" s="25" t="n"/>
      <c r="AG6320" s="25" t="n"/>
      <c r="AH6320" s="25" t="n"/>
      <c r="AI6320" s="394" t="n"/>
      <c r="AM6320" s="48" t="n"/>
      <c r="AN6320" s="48" t="n"/>
      <c r="AO6320" s="48" t="n"/>
    </row>
    <row r="6321">
      <c r="M6321" s="25" t="n"/>
      <c r="Q6321" s="25" t="n"/>
      <c r="U6321" s="194" t="n"/>
      <c r="AA6321" s="25" t="n"/>
      <c r="AB6321" s="25" t="n"/>
      <c r="AC6321" s="195" t="n"/>
      <c r="AD6321" s="25" t="n"/>
      <c r="AE6321" s="25" t="n"/>
      <c r="AG6321" s="25" t="n"/>
      <c r="AH6321" s="25" t="n"/>
      <c r="AI6321" s="394" t="n"/>
      <c r="AM6321" s="48" t="n"/>
      <c r="AN6321" s="48" t="n"/>
      <c r="AO6321" s="48" t="n"/>
    </row>
    <row r="6322">
      <c r="M6322" s="25" t="n"/>
      <c r="Q6322" s="25" t="n"/>
      <c r="U6322" s="194" t="n"/>
      <c r="AA6322" s="25" t="n"/>
      <c r="AB6322" s="25" t="n"/>
      <c r="AC6322" s="195" t="n"/>
      <c r="AD6322" s="25" t="n"/>
      <c r="AE6322" s="25" t="n"/>
      <c r="AG6322" s="25" t="n"/>
      <c r="AH6322" s="25" t="n"/>
      <c r="AI6322" s="394" t="n"/>
      <c r="AM6322" s="48" t="n"/>
      <c r="AN6322" s="48" t="n"/>
      <c r="AO6322" s="48" t="n"/>
    </row>
    <row r="6323">
      <c r="M6323" s="25" t="n"/>
      <c r="Q6323" s="25" t="n"/>
      <c r="U6323" s="194" t="n"/>
      <c r="AA6323" s="25" t="n"/>
      <c r="AB6323" s="25" t="n"/>
      <c r="AC6323" s="195" t="n"/>
      <c r="AD6323" s="25" t="n"/>
      <c r="AE6323" s="25" t="n"/>
      <c r="AG6323" s="25" t="n"/>
      <c r="AH6323" s="25" t="n"/>
      <c r="AI6323" s="394" t="n"/>
      <c r="AM6323" s="48" t="n"/>
      <c r="AN6323" s="48" t="n"/>
      <c r="AO6323" s="48" t="n"/>
    </row>
    <row r="6324">
      <c r="M6324" s="25" t="n"/>
      <c r="Q6324" s="25" t="n"/>
      <c r="U6324" s="194" t="n"/>
      <c r="AA6324" s="25" t="n"/>
      <c r="AB6324" s="25" t="n"/>
      <c r="AC6324" s="195" t="n"/>
      <c r="AD6324" s="25" t="n"/>
      <c r="AE6324" s="25" t="n"/>
      <c r="AG6324" s="25" t="n"/>
      <c r="AH6324" s="25" t="n"/>
      <c r="AI6324" s="394" t="n"/>
      <c r="AM6324" s="48" t="n"/>
      <c r="AN6324" s="48" t="n"/>
      <c r="AO6324" s="48" t="n"/>
    </row>
    <row r="6325">
      <c r="M6325" s="25" t="n"/>
      <c r="Q6325" s="25" t="n"/>
      <c r="U6325" s="194" t="n"/>
      <c r="AA6325" s="25" t="n"/>
      <c r="AB6325" s="25" t="n"/>
      <c r="AC6325" s="195" t="n"/>
      <c r="AD6325" s="25" t="n"/>
      <c r="AE6325" s="25" t="n"/>
      <c r="AG6325" s="25" t="n"/>
      <c r="AH6325" s="25" t="n"/>
      <c r="AI6325" s="394" t="n"/>
      <c r="AM6325" s="48" t="n"/>
      <c r="AN6325" s="48" t="n"/>
      <c r="AO6325" s="48" t="n"/>
    </row>
    <row r="6326">
      <c r="M6326" s="25" t="n"/>
      <c r="Q6326" s="25" t="n"/>
      <c r="U6326" s="194" t="n"/>
      <c r="AA6326" s="25" t="n"/>
      <c r="AB6326" s="25" t="n"/>
      <c r="AC6326" s="195" t="n"/>
      <c r="AD6326" s="25" t="n"/>
      <c r="AE6326" s="25" t="n"/>
      <c r="AG6326" s="25" t="n"/>
      <c r="AH6326" s="25" t="n"/>
      <c r="AI6326" s="394" t="n"/>
      <c r="AM6326" s="48" t="n"/>
      <c r="AN6326" s="48" t="n"/>
      <c r="AO6326" s="48" t="n"/>
    </row>
    <row r="6327">
      <c r="M6327" s="25" t="n"/>
      <c r="Q6327" s="25" t="n"/>
      <c r="U6327" s="194" t="n"/>
      <c r="AA6327" s="25" t="n"/>
      <c r="AB6327" s="25" t="n"/>
      <c r="AC6327" s="195" t="n"/>
      <c r="AD6327" s="25" t="n"/>
      <c r="AE6327" s="25" t="n"/>
      <c r="AG6327" s="25" t="n"/>
      <c r="AH6327" s="25" t="n"/>
      <c r="AI6327" s="394" t="n"/>
      <c r="AM6327" s="48" t="n"/>
      <c r="AN6327" s="48" t="n"/>
      <c r="AO6327" s="48" t="n"/>
    </row>
    <row r="6328">
      <c r="M6328" s="25" t="n"/>
      <c r="Q6328" s="25" t="n"/>
      <c r="U6328" s="194" t="n"/>
      <c r="AA6328" s="25" t="n"/>
      <c r="AB6328" s="25" t="n"/>
      <c r="AC6328" s="195" t="n"/>
      <c r="AD6328" s="25" t="n"/>
      <c r="AE6328" s="25" t="n"/>
      <c r="AG6328" s="25" t="n"/>
      <c r="AH6328" s="25" t="n"/>
      <c r="AI6328" s="394" t="n"/>
      <c r="AM6328" s="48" t="n"/>
      <c r="AN6328" s="48" t="n"/>
      <c r="AO6328" s="48" t="n"/>
    </row>
    <row r="6329">
      <c r="M6329" s="25" t="n"/>
      <c r="Q6329" s="25" t="n"/>
      <c r="U6329" s="194" t="n"/>
      <c r="AA6329" s="25" t="n"/>
      <c r="AB6329" s="25" t="n"/>
      <c r="AC6329" s="195" t="n"/>
      <c r="AD6329" s="25" t="n"/>
      <c r="AE6329" s="25" t="n"/>
      <c r="AG6329" s="25" t="n"/>
      <c r="AH6329" s="25" t="n"/>
      <c r="AI6329" s="394" t="n"/>
      <c r="AM6329" s="48" t="n"/>
      <c r="AN6329" s="48" t="n"/>
      <c r="AO6329" s="48" t="n"/>
    </row>
    <row r="6330">
      <c r="M6330" s="25" t="n"/>
      <c r="Q6330" s="25" t="n"/>
      <c r="U6330" s="194" t="n"/>
      <c r="AA6330" s="25" t="n"/>
      <c r="AB6330" s="25" t="n"/>
      <c r="AC6330" s="195" t="n"/>
      <c r="AD6330" s="25" t="n"/>
      <c r="AE6330" s="25" t="n"/>
      <c r="AG6330" s="25" t="n"/>
      <c r="AH6330" s="25" t="n"/>
      <c r="AI6330" s="394" t="n"/>
      <c r="AM6330" s="48" t="n"/>
      <c r="AN6330" s="48" t="n"/>
      <c r="AO6330" s="48" t="n"/>
    </row>
    <row r="6331">
      <c r="M6331" s="25" t="n"/>
      <c r="Q6331" s="25" t="n"/>
      <c r="U6331" s="194" t="n"/>
      <c r="AA6331" s="25" t="n"/>
      <c r="AB6331" s="25" t="n"/>
      <c r="AC6331" s="195" t="n"/>
      <c r="AD6331" s="25" t="n"/>
      <c r="AE6331" s="25" t="n"/>
      <c r="AG6331" s="25" t="n"/>
      <c r="AH6331" s="25" t="n"/>
      <c r="AI6331" s="394" t="n"/>
      <c r="AM6331" s="48" t="n"/>
      <c r="AN6331" s="48" t="n"/>
      <c r="AO6331" s="48" t="n"/>
    </row>
    <row r="6332">
      <c r="M6332" s="25" t="n"/>
      <c r="Q6332" s="25" t="n"/>
      <c r="U6332" s="194" t="n"/>
      <c r="AA6332" s="25" t="n"/>
      <c r="AB6332" s="25" t="n"/>
      <c r="AC6332" s="195" t="n"/>
      <c r="AD6332" s="25" t="n"/>
      <c r="AE6332" s="25" t="n"/>
      <c r="AG6332" s="25" t="n"/>
      <c r="AH6332" s="25" t="n"/>
      <c r="AI6332" s="394" t="n"/>
      <c r="AM6332" s="48" t="n"/>
      <c r="AN6332" s="48" t="n"/>
      <c r="AO6332" s="48" t="n"/>
    </row>
    <row r="6333">
      <c r="M6333" s="25" t="n"/>
      <c r="Q6333" s="25" t="n"/>
      <c r="U6333" s="194" t="n"/>
      <c r="AA6333" s="25" t="n"/>
      <c r="AB6333" s="25" t="n"/>
      <c r="AC6333" s="195" t="n"/>
      <c r="AD6333" s="25" t="n"/>
      <c r="AE6333" s="25" t="n"/>
      <c r="AG6333" s="25" t="n"/>
      <c r="AH6333" s="25" t="n"/>
      <c r="AI6333" s="394" t="n"/>
      <c r="AM6333" s="48" t="n"/>
      <c r="AN6333" s="48" t="n"/>
      <c r="AO6333" s="48" t="n"/>
    </row>
    <row r="6334">
      <c r="M6334" s="25" t="n"/>
      <c r="Q6334" s="25" t="n"/>
      <c r="U6334" s="194" t="n"/>
      <c r="AA6334" s="25" t="n"/>
      <c r="AB6334" s="25" t="n"/>
      <c r="AC6334" s="195" t="n"/>
      <c r="AD6334" s="25" t="n"/>
      <c r="AE6334" s="25" t="n"/>
      <c r="AG6334" s="25" t="n"/>
      <c r="AH6334" s="25" t="n"/>
      <c r="AI6334" s="394" t="n"/>
      <c r="AM6334" s="48" t="n"/>
      <c r="AN6334" s="48" t="n"/>
      <c r="AO6334" s="48" t="n"/>
    </row>
    <row r="6335">
      <c r="M6335" s="25" t="n"/>
      <c r="Q6335" s="25" t="n"/>
      <c r="U6335" s="194" t="n"/>
      <c r="AA6335" s="25" t="n"/>
      <c r="AB6335" s="25" t="n"/>
      <c r="AC6335" s="195" t="n"/>
      <c r="AD6335" s="25" t="n"/>
      <c r="AE6335" s="25" t="n"/>
      <c r="AG6335" s="25" t="n"/>
      <c r="AH6335" s="25" t="n"/>
      <c r="AI6335" s="394" t="n"/>
      <c r="AM6335" s="48" t="n"/>
      <c r="AN6335" s="48" t="n"/>
      <c r="AO6335" s="48" t="n"/>
    </row>
    <row r="6336">
      <c r="M6336" s="25" t="n"/>
      <c r="Q6336" s="25" t="n"/>
      <c r="U6336" s="194" t="n"/>
      <c r="AA6336" s="25" t="n"/>
      <c r="AB6336" s="25" t="n"/>
      <c r="AC6336" s="195" t="n"/>
      <c r="AD6336" s="25" t="n"/>
      <c r="AE6336" s="25" t="n"/>
      <c r="AG6336" s="25" t="n"/>
      <c r="AH6336" s="25" t="n"/>
      <c r="AI6336" s="394" t="n"/>
      <c r="AM6336" s="48" t="n"/>
      <c r="AN6336" s="48" t="n"/>
      <c r="AO6336" s="48" t="n"/>
    </row>
    <row r="6337">
      <c r="M6337" s="25" t="n"/>
      <c r="Q6337" s="25" t="n"/>
      <c r="U6337" s="194" t="n"/>
      <c r="AA6337" s="25" t="n"/>
      <c r="AB6337" s="25" t="n"/>
      <c r="AC6337" s="195" t="n"/>
      <c r="AD6337" s="25" t="n"/>
      <c r="AE6337" s="25" t="n"/>
      <c r="AG6337" s="25" t="n"/>
      <c r="AH6337" s="25" t="n"/>
      <c r="AI6337" s="394" t="n"/>
      <c r="AM6337" s="48" t="n"/>
      <c r="AN6337" s="48" t="n"/>
      <c r="AO6337" s="48" t="n"/>
    </row>
    <row r="6338">
      <c r="M6338" s="25" t="n"/>
      <c r="Q6338" s="25" t="n"/>
      <c r="U6338" s="194" t="n"/>
      <c r="AA6338" s="25" t="n"/>
      <c r="AB6338" s="25" t="n"/>
      <c r="AC6338" s="195" t="n"/>
      <c r="AD6338" s="25" t="n"/>
      <c r="AE6338" s="25" t="n"/>
      <c r="AG6338" s="25" t="n"/>
      <c r="AH6338" s="25" t="n"/>
      <c r="AI6338" s="394" t="n"/>
      <c r="AM6338" s="48" t="n"/>
      <c r="AN6338" s="48" t="n"/>
      <c r="AO6338" s="48" t="n"/>
    </row>
    <row r="6339">
      <c r="M6339" s="25" t="n"/>
      <c r="Q6339" s="25" t="n"/>
      <c r="U6339" s="194" t="n"/>
      <c r="AA6339" s="25" t="n"/>
      <c r="AB6339" s="25" t="n"/>
      <c r="AC6339" s="195" t="n"/>
      <c r="AD6339" s="25" t="n"/>
      <c r="AE6339" s="25" t="n"/>
      <c r="AG6339" s="25" t="n"/>
      <c r="AH6339" s="25" t="n"/>
      <c r="AI6339" s="394" t="n"/>
      <c r="AM6339" s="48" t="n"/>
      <c r="AN6339" s="48" t="n"/>
      <c r="AO6339" s="48" t="n"/>
    </row>
    <row r="6340">
      <c r="M6340" s="25" t="n"/>
      <c r="Q6340" s="25" t="n"/>
      <c r="U6340" s="194" t="n"/>
      <c r="AA6340" s="25" t="n"/>
      <c r="AB6340" s="25" t="n"/>
      <c r="AC6340" s="195" t="n"/>
      <c r="AD6340" s="25" t="n"/>
      <c r="AE6340" s="25" t="n"/>
      <c r="AG6340" s="25" t="n"/>
      <c r="AH6340" s="25" t="n"/>
      <c r="AI6340" s="394" t="n"/>
      <c r="AM6340" s="48" t="n"/>
      <c r="AN6340" s="48" t="n"/>
      <c r="AO6340" s="48" t="n"/>
    </row>
    <row r="6341">
      <c r="M6341" s="25" t="n"/>
      <c r="Q6341" s="25" t="n"/>
      <c r="U6341" s="194" t="n"/>
      <c r="AA6341" s="25" t="n"/>
      <c r="AB6341" s="25" t="n"/>
      <c r="AC6341" s="195" t="n"/>
      <c r="AD6341" s="25" t="n"/>
      <c r="AE6341" s="25" t="n"/>
      <c r="AG6341" s="25" t="n"/>
      <c r="AH6341" s="25" t="n"/>
      <c r="AI6341" s="394" t="n"/>
      <c r="AM6341" s="48" t="n"/>
      <c r="AN6341" s="48" t="n"/>
      <c r="AO6341" s="48" t="n"/>
    </row>
    <row r="6342">
      <c r="M6342" s="25" t="n"/>
      <c r="Q6342" s="25" t="n"/>
      <c r="U6342" s="194" t="n"/>
      <c r="AA6342" s="25" t="n"/>
      <c r="AB6342" s="25" t="n"/>
      <c r="AC6342" s="195" t="n"/>
      <c r="AD6342" s="25" t="n"/>
      <c r="AE6342" s="25" t="n"/>
      <c r="AG6342" s="25" t="n"/>
      <c r="AH6342" s="25" t="n"/>
      <c r="AI6342" s="394" t="n"/>
      <c r="AM6342" s="48" t="n"/>
      <c r="AN6342" s="48" t="n"/>
      <c r="AO6342" s="48" t="n"/>
    </row>
    <row r="6343">
      <c r="M6343" s="25" t="n"/>
      <c r="Q6343" s="25" t="n"/>
      <c r="U6343" s="194" t="n"/>
      <c r="AA6343" s="25" t="n"/>
      <c r="AB6343" s="25" t="n"/>
      <c r="AC6343" s="195" t="n"/>
      <c r="AD6343" s="25" t="n"/>
      <c r="AE6343" s="25" t="n"/>
      <c r="AG6343" s="25" t="n"/>
      <c r="AH6343" s="25" t="n"/>
      <c r="AI6343" s="394" t="n"/>
      <c r="AM6343" s="48" t="n"/>
      <c r="AN6343" s="48" t="n"/>
      <c r="AO6343" s="48" t="n"/>
    </row>
    <row r="6344">
      <c r="M6344" s="25" t="n"/>
      <c r="Q6344" s="25" t="n"/>
      <c r="U6344" s="194" t="n"/>
      <c r="AA6344" s="25" t="n"/>
      <c r="AB6344" s="25" t="n"/>
      <c r="AC6344" s="195" t="n"/>
      <c r="AD6344" s="25" t="n"/>
      <c r="AE6344" s="25" t="n"/>
      <c r="AG6344" s="25" t="n"/>
      <c r="AH6344" s="25" t="n"/>
      <c r="AI6344" s="394" t="n"/>
      <c r="AM6344" s="48" t="n"/>
      <c r="AN6344" s="48" t="n"/>
      <c r="AO6344" s="48" t="n"/>
    </row>
    <row r="6345">
      <c r="M6345" s="25" t="n"/>
      <c r="Q6345" s="25" t="n"/>
      <c r="U6345" s="194" t="n"/>
      <c r="AA6345" s="25" t="n"/>
      <c r="AB6345" s="25" t="n"/>
      <c r="AC6345" s="195" t="n"/>
      <c r="AD6345" s="25" t="n"/>
      <c r="AE6345" s="25" t="n"/>
      <c r="AG6345" s="25" t="n"/>
      <c r="AH6345" s="25" t="n"/>
      <c r="AI6345" s="394" t="n"/>
      <c r="AM6345" s="48" t="n"/>
      <c r="AN6345" s="48" t="n"/>
      <c r="AO6345" s="48" t="n"/>
    </row>
    <row r="6346">
      <c r="M6346" s="25" t="n"/>
      <c r="Q6346" s="25" t="n"/>
      <c r="U6346" s="194" t="n"/>
      <c r="AA6346" s="25" t="n"/>
      <c r="AB6346" s="25" t="n"/>
      <c r="AC6346" s="195" t="n"/>
      <c r="AD6346" s="25" t="n"/>
      <c r="AE6346" s="25" t="n"/>
      <c r="AG6346" s="25" t="n"/>
      <c r="AH6346" s="25" t="n"/>
      <c r="AI6346" s="394" t="n"/>
      <c r="AM6346" s="48" t="n"/>
      <c r="AN6346" s="48" t="n"/>
      <c r="AO6346" s="48" t="n"/>
    </row>
    <row r="6347">
      <c r="M6347" s="25" t="n"/>
      <c r="Q6347" s="25" t="n"/>
      <c r="U6347" s="194" t="n"/>
      <c r="AA6347" s="25" t="n"/>
      <c r="AB6347" s="25" t="n"/>
      <c r="AC6347" s="195" t="n"/>
      <c r="AD6347" s="25" t="n"/>
      <c r="AE6347" s="25" t="n"/>
      <c r="AG6347" s="25" t="n"/>
      <c r="AH6347" s="25" t="n"/>
      <c r="AI6347" s="394" t="n"/>
      <c r="AM6347" s="48" t="n"/>
      <c r="AN6347" s="48" t="n"/>
      <c r="AO6347" s="48" t="n"/>
    </row>
    <row r="6348">
      <c r="M6348" s="25" t="n"/>
      <c r="Q6348" s="25" t="n"/>
      <c r="U6348" s="194" t="n"/>
      <c r="AA6348" s="25" t="n"/>
      <c r="AB6348" s="25" t="n"/>
      <c r="AC6348" s="195" t="n"/>
      <c r="AD6348" s="25" t="n"/>
      <c r="AE6348" s="25" t="n"/>
      <c r="AG6348" s="25" t="n"/>
      <c r="AH6348" s="25" t="n"/>
      <c r="AI6348" s="394" t="n"/>
      <c r="AM6348" s="48" t="n"/>
      <c r="AN6348" s="48" t="n"/>
      <c r="AO6348" s="48" t="n"/>
    </row>
    <row r="6349">
      <c r="M6349" s="25" t="n"/>
      <c r="Q6349" s="25" t="n"/>
      <c r="U6349" s="194" t="n"/>
      <c r="AA6349" s="25" t="n"/>
      <c r="AB6349" s="25" t="n"/>
      <c r="AC6349" s="195" t="n"/>
      <c r="AD6349" s="25" t="n"/>
      <c r="AE6349" s="25" t="n"/>
      <c r="AG6349" s="25" t="n"/>
      <c r="AH6349" s="25" t="n"/>
      <c r="AI6349" s="394" t="n"/>
      <c r="AM6349" s="48" t="n"/>
      <c r="AN6349" s="48" t="n"/>
      <c r="AO6349" s="48" t="n"/>
    </row>
    <row r="6350">
      <c r="M6350" s="25" t="n"/>
      <c r="Q6350" s="25" t="n"/>
      <c r="U6350" s="194" t="n"/>
      <c r="AA6350" s="25" t="n"/>
      <c r="AB6350" s="25" t="n"/>
      <c r="AC6350" s="195" t="n"/>
      <c r="AD6350" s="25" t="n"/>
      <c r="AE6350" s="25" t="n"/>
      <c r="AG6350" s="25" t="n"/>
      <c r="AH6350" s="25" t="n"/>
      <c r="AI6350" s="394" t="n"/>
      <c r="AM6350" s="48" t="n"/>
      <c r="AN6350" s="48" t="n"/>
      <c r="AO6350" s="48" t="n"/>
    </row>
    <row r="6351">
      <c r="M6351" s="25" t="n"/>
      <c r="Q6351" s="25" t="n"/>
      <c r="U6351" s="194" t="n"/>
      <c r="AA6351" s="25" t="n"/>
      <c r="AB6351" s="25" t="n"/>
      <c r="AC6351" s="195" t="n"/>
      <c r="AD6351" s="25" t="n"/>
      <c r="AE6351" s="25" t="n"/>
      <c r="AG6351" s="25" t="n"/>
      <c r="AH6351" s="25" t="n"/>
      <c r="AI6351" s="394" t="n"/>
      <c r="AM6351" s="48" t="n"/>
      <c r="AN6351" s="48" t="n"/>
      <c r="AO6351" s="48" t="n"/>
    </row>
    <row r="6352">
      <c r="M6352" s="25" t="n"/>
      <c r="Q6352" s="25" t="n"/>
      <c r="U6352" s="194" t="n"/>
      <c r="AA6352" s="25" t="n"/>
      <c r="AB6352" s="25" t="n"/>
      <c r="AC6352" s="195" t="n"/>
      <c r="AD6352" s="25" t="n"/>
      <c r="AE6352" s="25" t="n"/>
      <c r="AG6352" s="25" t="n"/>
      <c r="AH6352" s="25" t="n"/>
      <c r="AI6352" s="394" t="n"/>
      <c r="AM6352" s="48" t="n"/>
      <c r="AN6352" s="48" t="n"/>
      <c r="AO6352" s="48" t="n"/>
    </row>
    <row r="6353">
      <c r="M6353" s="25" t="n"/>
      <c r="Q6353" s="25" t="n"/>
      <c r="U6353" s="194" t="n"/>
      <c r="AA6353" s="25" t="n"/>
      <c r="AB6353" s="25" t="n"/>
      <c r="AC6353" s="195" t="n"/>
      <c r="AD6353" s="25" t="n"/>
      <c r="AE6353" s="25" t="n"/>
      <c r="AG6353" s="25" t="n"/>
      <c r="AH6353" s="25" t="n"/>
      <c r="AI6353" s="394" t="n"/>
      <c r="AM6353" s="48" t="n"/>
      <c r="AN6353" s="48" t="n"/>
      <c r="AO6353" s="48" t="n"/>
    </row>
    <row r="6354">
      <c r="M6354" s="25" t="n"/>
      <c r="Q6354" s="25" t="n"/>
      <c r="U6354" s="194" t="n"/>
      <c r="AA6354" s="25" t="n"/>
      <c r="AB6354" s="25" t="n"/>
      <c r="AC6354" s="195" t="n"/>
      <c r="AD6354" s="25" t="n"/>
      <c r="AE6354" s="25" t="n"/>
      <c r="AG6354" s="25" t="n"/>
      <c r="AH6354" s="25" t="n"/>
      <c r="AI6354" s="394" t="n"/>
      <c r="AM6354" s="48" t="n"/>
      <c r="AN6354" s="48" t="n"/>
      <c r="AO6354" s="48" t="n"/>
    </row>
    <row r="6355">
      <c r="M6355" s="25" t="n"/>
      <c r="Q6355" s="25" t="n"/>
      <c r="U6355" s="194" t="n"/>
      <c r="AA6355" s="25" t="n"/>
      <c r="AB6355" s="25" t="n"/>
      <c r="AC6355" s="195" t="n"/>
      <c r="AD6355" s="25" t="n"/>
      <c r="AE6355" s="25" t="n"/>
      <c r="AG6355" s="25" t="n"/>
      <c r="AH6355" s="25" t="n"/>
      <c r="AI6355" s="394" t="n"/>
      <c r="AM6355" s="48" t="n"/>
      <c r="AN6355" s="48" t="n"/>
      <c r="AO6355" s="48" t="n"/>
    </row>
    <row r="6356">
      <c r="M6356" s="25" t="n"/>
      <c r="Q6356" s="25" t="n"/>
      <c r="U6356" s="194" t="n"/>
      <c r="AA6356" s="25" t="n"/>
      <c r="AB6356" s="25" t="n"/>
      <c r="AC6356" s="195" t="n"/>
      <c r="AD6356" s="25" t="n"/>
      <c r="AE6356" s="25" t="n"/>
      <c r="AG6356" s="25" t="n"/>
      <c r="AH6356" s="25" t="n"/>
      <c r="AI6356" s="394" t="n"/>
      <c r="AM6356" s="48" t="n"/>
      <c r="AN6356" s="48" t="n"/>
      <c r="AO6356" s="48" t="n"/>
    </row>
    <row r="6357">
      <c r="M6357" s="25" t="n"/>
      <c r="Q6357" s="25" t="n"/>
      <c r="U6357" s="194" t="n"/>
      <c r="AA6357" s="25" t="n"/>
      <c r="AB6357" s="25" t="n"/>
      <c r="AC6357" s="195" t="n"/>
      <c r="AD6357" s="25" t="n"/>
      <c r="AE6357" s="25" t="n"/>
      <c r="AG6357" s="25" t="n"/>
      <c r="AH6357" s="25" t="n"/>
      <c r="AI6357" s="394" t="n"/>
      <c r="AM6357" s="48" t="n"/>
      <c r="AN6357" s="48" t="n"/>
      <c r="AO6357" s="48" t="n"/>
    </row>
    <row r="6358">
      <c r="M6358" s="25" t="n"/>
      <c r="Q6358" s="25" t="n"/>
      <c r="U6358" s="194" t="n"/>
      <c r="AA6358" s="25" t="n"/>
      <c r="AB6358" s="25" t="n"/>
      <c r="AC6358" s="195" t="n"/>
      <c r="AD6358" s="25" t="n"/>
      <c r="AE6358" s="25" t="n"/>
      <c r="AG6358" s="25" t="n"/>
      <c r="AH6358" s="25" t="n"/>
      <c r="AI6358" s="394" t="n"/>
      <c r="AM6358" s="48" t="n"/>
      <c r="AN6358" s="48" t="n"/>
      <c r="AO6358" s="48" t="n"/>
    </row>
    <row r="6359">
      <c r="M6359" s="25" t="n"/>
      <c r="Q6359" s="25" t="n"/>
      <c r="U6359" s="194" t="n"/>
      <c r="AA6359" s="25" t="n"/>
      <c r="AB6359" s="25" t="n"/>
      <c r="AC6359" s="195" t="n"/>
      <c r="AD6359" s="25" t="n"/>
      <c r="AE6359" s="25" t="n"/>
      <c r="AG6359" s="25" t="n"/>
      <c r="AH6359" s="25" t="n"/>
      <c r="AI6359" s="394" t="n"/>
      <c r="AM6359" s="48" t="n"/>
      <c r="AN6359" s="48" t="n"/>
      <c r="AO6359" s="48" t="n"/>
    </row>
    <row r="6360">
      <c r="M6360" s="25" t="n"/>
      <c r="Q6360" s="25" t="n"/>
      <c r="U6360" s="194" t="n"/>
      <c r="AA6360" s="25" t="n"/>
      <c r="AB6360" s="25" t="n"/>
      <c r="AC6360" s="195" t="n"/>
      <c r="AD6360" s="25" t="n"/>
      <c r="AE6360" s="25" t="n"/>
      <c r="AG6360" s="25" t="n"/>
      <c r="AH6360" s="25" t="n"/>
      <c r="AI6360" s="394" t="n"/>
      <c r="AM6360" s="48" t="n"/>
      <c r="AN6360" s="48" t="n"/>
      <c r="AO6360" s="48" t="n"/>
    </row>
    <row r="6361">
      <c r="M6361" s="25" t="n"/>
      <c r="Q6361" s="25" t="n"/>
      <c r="U6361" s="194" t="n"/>
      <c r="AA6361" s="25" t="n"/>
      <c r="AB6361" s="25" t="n"/>
      <c r="AC6361" s="195" t="n"/>
      <c r="AD6361" s="25" t="n"/>
      <c r="AE6361" s="25" t="n"/>
      <c r="AG6361" s="25" t="n"/>
      <c r="AH6361" s="25" t="n"/>
      <c r="AI6361" s="394" t="n"/>
      <c r="AM6361" s="48" t="n"/>
      <c r="AN6361" s="48" t="n"/>
      <c r="AO6361" s="48" t="n"/>
    </row>
    <row r="6362">
      <c r="M6362" s="25" t="n"/>
      <c r="Q6362" s="25" t="n"/>
      <c r="U6362" s="194" t="n"/>
      <c r="AA6362" s="25" t="n"/>
      <c r="AB6362" s="25" t="n"/>
      <c r="AC6362" s="195" t="n"/>
      <c r="AD6362" s="25" t="n"/>
      <c r="AE6362" s="25" t="n"/>
      <c r="AG6362" s="25" t="n"/>
      <c r="AH6362" s="25" t="n"/>
      <c r="AI6362" s="394" t="n"/>
      <c r="AM6362" s="48" t="n"/>
      <c r="AN6362" s="48" t="n"/>
      <c r="AO6362" s="48" t="n"/>
    </row>
    <row r="6363">
      <c r="M6363" s="25" t="n"/>
      <c r="Q6363" s="25" t="n"/>
      <c r="U6363" s="194" t="n"/>
      <c r="AA6363" s="25" t="n"/>
      <c r="AB6363" s="25" t="n"/>
      <c r="AC6363" s="195" t="n"/>
      <c r="AD6363" s="25" t="n"/>
      <c r="AE6363" s="25" t="n"/>
      <c r="AG6363" s="25" t="n"/>
      <c r="AH6363" s="25" t="n"/>
      <c r="AI6363" s="394" t="n"/>
      <c r="AM6363" s="48" t="n"/>
      <c r="AN6363" s="48" t="n"/>
      <c r="AO6363" s="48" t="n"/>
    </row>
    <row r="6364">
      <c r="M6364" s="25" t="n"/>
      <c r="Q6364" s="25" t="n"/>
      <c r="U6364" s="194" t="n"/>
      <c r="AA6364" s="25" t="n"/>
      <c r="AB6364" s="25" t="n"/>
      <c r="AC6364" s="195" t="n"/>
      <c r="AD6364" s="25" t="n"/>
      <c r="AE6364" s="25" t="n"/>
      <c r="AG6364" s="25" t="n"/>
      <c r="AH6364" s="25" t="n"/>
      <c r="AI6364" s="394" t="n"/>
      <c r="AM6364" s="48" t="n"/>
      <c r="AN6364" s="48" t="n"/>
      <c r="AO6364" s="48" t="n"/>
    </row>
    <row r="6365">
      <c r="M6365" s="25" t="n"/>
      <c r="Q6365" s="25" t="n"/>
      <c r="U6365" s="194" t="n"/>
      <c r="AA6365" s="25" t="n"/>
      <c r="AB6365" s="25" t="n"/>
      <c r="AC6365" s="195" t="n"/>
      <c r="AD6365" s="25" t="n"/>
      <c r="AE6365" s="25" t="n"/>
      <c r="AG6365" s="25" t="n"/>
      <c r="AH6365" s="25" t="n"/>
      <c r="AI6365" s="394" t="n"/>
      <c r="AM6365" s="48" t="n"/>
      <c r="AN6365" s="48" t="n"/>
      <c r="AO6365" s="48" t="n"/>
    </row>
    <row r="6366">
      <c r="M6366" s="25" t="n"/>
      <c r="Q6366" s="25" t="n"/>
      <c r="U6366" s="194" t="n"/>
      <c r="AA6366" s="25" t="n"/>
      <c r="AB6366" s="25" t="n"/>
      <c r="AC6366" s="195" t="n"/>
      <c r="AD6366" s="25" t="n"/>
      <c r="AE6366" s="25" t="n"/>
      <c r="AG6366" s="25" t="n"/>
      <c r="AH6366" s="25" t="n"/>
      <c r="AI6366" s="394" t="n"/>
      <c r="AM6366" s="48" t="n"/>
      <c r="AN6366" s="48" t="n"/>
      <c r="AO6366" s="48" t="n"/>
    </row>
    <row r="6367">
      <c r="M6367" s="25" t="n"/>
      <c r="Q6367" s="25" t="n"/>
      <c r="U6367" s="194" t="n"/>
      <c r="AA6367" s="25" t="n"/>
      <c r="AB6367" s="25" t="n"/>
      <c r="AC6367" s="195" t="n"/>
      <c r="AD6367" s="25" t="n"/>
      <c r="AE6367" s="25" t="n"/>
      <c r="AG6367" s="25" t="n"/>
      <c r="AH6367" s="25" t="n"/>
      <c r="AI6367" s="394" t="n"/>
      <c r="AM6367" s="48" t="n"/>
      <c r="AN6367" s="48" t="n"/>
      <c r="AO6367" s="48" t="n"/>
    </row>
    <row r="6368">
      <c r="M6368" s="25" t="n"/>
      <c r="Q6368" s="25" t="n"/>
      <c r="U6368" s="194" t="n"/>
      <c r="AA6368" s="25" t="n"/>
      <c r="AB6368" s="25" t="n"/>
      <c r="AC6368" s="195" t="n"/>
      <c r="AD6368" s="25" t="n"/>
      <c r="AE6368" s="25" t="n"/>
      <c r="AG6368" s="25" t="n"/>
      <c r="AH6368" s="25" t="n"/>
      <c r="AI6368" s="394" t="n"/>
      <c r="AM6368" s="48" t="n"/>
      <c r="AN6368" s="48" t="n"/>
      <c r="AO6368" s="48" t="n"/>
    </row>
    <row r="6369">
      <c r="M6369" s="25" t="n"/>
      <c r="Q6369" s="25" t="n"/>
      <c r="U6369" s="194" t="n"/>
      <c r="AA6369" s="25" t="n"/>
      <c r="AB6369" s="25" t="n"/>
      <c r="AC6369" s="195" t="n"/>
      <c r="AD6369" s="25" t="n"/>
      <c r="AE6369" s="25" t="n"/>
      <c r="AG6369" s="25" t="n"/>
      <c r="AH6369" s="25" t="n"/>
      <c r="AI6369" s="394" t="n"/>
      <c r="AM6369" s="48" t="n"/>
      <c r="AN6369" s="48" t="n"/>
      <c r="AO6369" s="48" t="n"/>
    </row>
    <row r="6370">
      <c r="M6370" s="25" t="n"/>
      <c r="Q6370" s="25" t="n"/>
      <c r="U6370" s="194" t="n"/>
      <c r="AA6370" s="25" t="n"/>
      <c r="AB6370" s="25" t="n"/>
      <c r="AC6370" s="195" t="n"/>
      <c r="AD6370" s="25" t="n"/>
      <c r="AE6370" s="25" t="n"/>
      <c r="AG6370" s="25" t="n"/>
      <c r="AH6370" s="25" t="n"/>
      <c r="AI6370" s="394" t="n"/>
      <c r="AM6370" s="48" t="n"/>
      <c r="AN6370" s="48" t="n"/>
      <c r="AO6370" s="48" t="n"/>
    </row>
    <row r="6371">
      <c r="M6371" s="25" t="n"/>
      <c r="Q6371" s="25" t="n"/>
      <c r="U6371" s="194" t="n"/>
      <c r="AA6371" s="25" t="n"/>
      <c r="AB6371" s="25" t="n"/>
      <c r="AC6371" s="195" t="n"/>
      <c r="AD6371" s="25" t="n"/>
      <c r="AE6371" s="25" t="n"/>
      <c r="AG6371" s="25" t="n"/>
      <c r="AH6371" s="25" t="n"/>
      <c r="AI6371" s="394" t="n"/>
      <c r="AM6371" s="48" t="n"/>
      <c r="AN6371" s="48" t="n"/>
      <c r="AO6371" s="48" t="n"/>
    </row>
    <row r="6372">
      <c r="M6372" s="25" t="n"/>
      <c r="Q6372" s="25" t="n"/>
      <c r="U6372" s="194" t="n"/>
      <c r="AA6372" s="25" t="n"/>
      <c r="AB6372" s="25" t="n"/>
      <c r="AC6372" s="195" t="n"/>
      <c r="AD6372" s="25" t="n"/>
      <c r="AE6372" s="25" t="n"/>
      <c r="AG6372" s="25" t="n"/>
      <c r="AH6372" s="25" t="n"/>
      <c r="AI6372" s="394" t="n"/>
      <c r="AM6372" s="48" t="n"/>
      <c r="AN6372" s="48" t="n"/>
      <c r="AO6372" s="48" t="n"/>
    </row>
    <row r="6373">
      <c r="M6373" s="25" t="n"/>
      <c r="Q6373" s="25" t="n"/>
      <c r="U6373" s="194" t="n"/>
      <c r="AA6373" s="25" t="n"/>
      <c r="AB6373" s="25" t="n"/>
      <c r="AC6373" s="195" t="n"/>
      <c r="AD6373" s="25" t="n"/>
      <c r="AE6373" s="25" t="n"/>
      <c r="AG6373" s="25" t="n"/>
      <c r="AH6373" s="25" t="n"/>
      <c r="AI6373" s="394" t="n"/>
      <c r="AM6373" s="48" t="n"/>
      <c r="AN6373" s="48" t="n"/>
      <c r="AO6373" s="48" t="n"/>
    </row>
    <row r="6374">
      <c r="M6374" s="25" t="n"/>
      <c r="Q6374" s="25" t="n"/>
      <c r="U6374" s="194" t="n"/>
      <c r="AA6374" s="25" t="n"/>
      <c r="AB6374" s="25" t="n"/>
      <c r="AC6374" s="195" t="n"/>
      <c r="AD6374" s="25" t="n"/>
      <c r="AE6374" s="25" t="n"/>
      <c r="AG6374" s="25" t="n"/>
      <c r="AH6374" s="25" t="n"/>
      <c r="AI6374" s="394" t="n"/>
      <c r="AM6374" s="48" t="n"/>
      <c r="AN6374" s="48" t="n"/>
      <c r="AO6374" s="48" t="n"/>
    </row>
    <row r="6375">
      <c r="M6375" s="25" t="n"/>
      <c r="Q6375" s="25" t="n"/>
      <c r="U6375" s="194" t="n"/>
      <c r="AA6375" s="25" t="n"/>
      <c r="AB6375" s="25" t="n"/>
      <c r="AC6375" s="195" t="n"/>
      <c r="AD6375" s="25" t="n"/>
      <c r="AE6375" s="25" t="n"/>
      <c r="AG6375" s="25" t="n"/>
      <c r="AH6375" s="25" t="n"/>
      <c r="AI6375" s="394" t="n"/>
      <c r="AM6375" s="48" t="n"/>
      <c r="AN6375" s="48" t="n"/>
      <c r="AO6375" s="48" t="n"/>
    </row>
    <row r="6376">
      <c r="M6376" s="25" t="n"/>
      <c r="Q6376" s="25" t="n"/>
      <c r="U6376" s="194" t="n"/>
      <c r="AA6376" s="25" t="n"/>
      <c r="AB6376" s="25" t="n"/>
      <c r="AC6376" s="195" t="n"/>
      <c r="AD6376" s="25" t="n"/>
      <c r="AE6376" s="25" t="n"/>
      <c r="AG6376" s="25" t="n"/>
      <c r="AH6376" s="25" t="n"/>
      <c r="AI6376" s="394" t="n"/>
      <c r="AM6376" s="48" t="n"/>
      <c r="AN6376" s="48" t="n"/>
      <c r="AO6376" s="48" t="n"/>
    </row>
    <row r="6377">
      <c r="M6377" s="25" t="n"/>
      <c r="Q6377" s="25" t="n"/>
      <c r="U6377" s="194" t="n"/>
      <c r="AA6377" s="25" t="n"/>
      <c r="AB6377" s="25" t="n"/>
      <c r="AC6377" s="195" t="n"/>
      <c r="AD6377" s="25" t="n"/>
      <c r="AE6377" s="25" t="n"/>
      <c r="AG6377" s="25" t="n"/>
      <c r="AH6377" s="25" t="n"/>
      <c r="AI6377" s="394" t="n"/>
      <c r="AM6377" s="48" t="n"/>
      <c r="AN6377" s="48" t="n"/>
      <c r="AO6377" s="48" t="n"/>
    </row>
    <row r="6378">
      <c r="M6378" s="25" t="n"/>
      <c r="Q6378" s="25" t="n"/>
      <c r="U6378" s="194" t="n"/>
      <c r="AA6378" s="25" t="n"/>
      <c r="AB6378" s="25" t="n"/>
      <c r="AC6378" s="195" t="n"/>
      <c r="AD6378" s="25" t="n"/>
      <c r="AE6378" s="25" t="n"/>
      <c r="AG6378" s="25" t="n"/>
      <c r="AH6378" s="25" t="n"/>
      <c r="AI6378" s="394" t="n"/>
      <c r="AM6378" s="48" t="n"/>
      <c r="AN6378" s="48" t="n"/>
      <c r="AO6378" s="48" t="n"/>
    </row>
    <row r="6379">
      <c r="M6379" s="25" t="n"/>
      <c r="Q6379" s="25" t="n"/>
      <c r="U6379" s="194" t="n"/>
      <c r="AA6379" s="25" t="n"/>
      <c r="AB6379" s="25" t="n"/>
      <c r="AC6379" s="195" t="n"/>
      <c r="AD6379" s="25" t="n"/>
      <c r="AE6379" s="25" t="n"/>
      <c r="AG6379" s="25" t="n"/>
      <c r="AH6379" s="25" t="n"/>
      <c r="AI6379" s="394" t="n"/>
      <c r="AM6379" s="48" t="n"/>
      <c r="AN6379" s="48" t="n"/>
      <c r="AO6379" s="48" t="n"/>
    </row>
    <row r="6380">
      <c r="M6380" s="25" t="n"/>
      <c r="Q6380" s="25" t="n"/>
      <c r="U6380" s="194" t="n"/>
      <c r="AA6380" s="25" t="n"/>
      <c r="AB6380" s="25" t="n"/>
      <c r="AC6380" s="195" t="n"/>
      <c r="AD6380" s="25" t="n"/>
      <c r="AE6380" s="25" t="n"/>
      <c r="AG6380" s="25" t="n"/>
      <c r="AH6380" s="25" t="n"/>
      <c r="AI6380" s="394" t="n"/>
      <c r="AM6380" s="48" t="n"/>
      <c r="AN6380" s="48" t="n"/>
      <c r="AO6380" s="48" t="n"/>
    </row>
    <row r="6381">
      <c r="M6381" s="25" t="n"/>
      <c r="Q6381" s="25" t="n"/>
      <c r="U6381" s="194" t="n"/>
      <c r="AA6381" s="25" t="n"/>
      <c r="AB6381" s="25" t="n"/>
      <c r="AC6381" s="195" t="n"/>
      <c r="AD6381" s="25" t="n"/>
      <c r="AE6381" s="25" t="n"/>
      <c r="AG6381" s="25" t="n"/>
      <c r="AH6381" s="25" t="n"/>
      <c r="AI6381" s="394" t="n"/>
      <c r="AM6381" s="48" t="n"/>
      <c r="AN6381" s="48" t="n"/>
      <c r="AO6381" s="48" t="n"/>
    </row>
    <row r="6382">
      <c r="M6382" s="25" t="n"/>
      <c r="Q6382" s="25" t="n"/>
      <c r="U6382" s="194" t="n"/>
      <c r="AA6382" s="25" t="n"/>
      <c r="AB6382" s="25" t="n"/>
      <c r="AC6382" s="195" t="n"/>
      <c r="AD6382" s="25" t="n"/>
      <c r="AE6382" s="25" t="n"/>
      <c r="AG6382" s="25" t="n"/>
      <c r="AH6382" s="25" t="n"/>
      <c r="AI6382" s="394" t="n"/>
      <c r="AM6382" s="48" t="n"/>
      <c r="AN6382" s="48" t="n"/>
      <c r="AO6382" s="48" t="n"/>
    </row>
    <row r="6383">
      <c r="M6383" s="25" t="n"/>
      <c r="Q6383" s="25" t="n"/>
      <c r="U6383" s="194" t="n"/>
      <c r="AA6383" s="25" t="n"/>
      <c r="AB6383" s="25" t="n"/>
      <c r="AC6383" s="195" t="n"/>
      <c r="AD6383" s="25" t="n"/>
      <c r="AE6383" s="25" t="n"/>
      <c r="AG6383" s="25" t="n"/>
      <c r="AH6383" s="25" t="n"/>
      <c r="AI6383" s="394" t="n"/>
      <c r="AM6383" s="48" t="n"/>
      <c r="AN6383" s="48" t="n"/>
      <c r="AO6383" s="48" t="n"/>
    </row>
    <row r="6384">
      <c r="M6384" s="25" t="n"/>
      <c r="Q6384" s="25" t="n"/>
      <c r="U6384" s="194" t="n"/>
      <c r="AA6384" s="25" t="n"/>
      <c r="AB6384" s="25" t="n"/>
      <c r="AC6384" s="195" t="n"/>
      <c r="AD6384" s="25" t="n"/>
      <c r="AE6384" s="25" t="n"/>
      <c r="AG6384" s="25" t="n"/>
      <c r="AH6384" s="25" t="n"/>
      <c r="AI6384" s="394" t="n"/>
      <c r="AM6384" s="48" t="n"/>
      <c r="AN6384" s="48" t="n"/>
      <c r="AO6384" s="48" t="n"/>
    </row>
    <row r="6385">
      <c r="M6385" s="25" t="n"/>
      <c r="Q6385" s="25" t="n"/>
      <c r="U6385" s="194" t="n"/>
      <c r="AA6385" s="25" t="n"/>
      <c r="AB6385" s="25" t="n"/>
      <c r="AC6385" s="195" t="n"/>
      <c r="AD6385" s="25" t="n"/>
      <c r="AE6385" s="25" t="n"/>
      <c r="AG6385" s="25" t="n"/>
      <c r="AH6385" s="25" t="n"/>
      <c r="AI6385" s="394" t="n"/>
      <c r="AM6385" s="48" t="n"/>
      <c r="AN6385" s="48" t="n"/>
      <c r="AO6385" s="48" t="n"/>
    </row>
    <row r="6386">
      <c r="M6386" s="25" t="n"/>
      <c r="Q6386" s="25" t="n"/>
      <c r="U6386" s="194" t="n"/>
      <c r="AA6386" s="25" t="n"/>
      <c r="AB6386" s="25" t="n"/>
      <c r="AC6386" s="195" t="n"/>
      <c r="AD6386" s="25" t="n"/>
      <c r="AE6386" s="25" t="n"/>
      <c r="AG6386" s="25" t="n"/>
      <c r="AH6386" s="25" t="n"/>
      <c r="AI6386" s="394" t="n"/>
      <c r="AM6386" s="48" t="n"/>
      <c r="AN6386" s="48" t="n"/>
      <c r="AO6386" s="48" t="n"/>
    </row>
    <row r="6387">
      <c r="M6387" s="25" t="n"/>
      <c r="Q6387" s="25" t="n"/>
      <c r="U6387" s="194" t="n"/>
      <c r="AA6387" s="25" t="n"/>
      <c r="AB6387" s="25" t="n"/>
      <c r="AC6387" s="195" t="n"/>
      <c r="AD6387" s="25" t="n"/>
      <c r="AE6387" s="25" t="n"/>
      <c r="AG6387" s="25" t="n"/>
      <c r="AH6387" s="25" t="n"/>
      <c r="AI6387" s="394" t="n"/>
      <c r="AM6387" s="48" t="n"/>
      <c r="AN6387" s="48" t="n"/>
      <c r="AO6387" s="48" t="n"/>
    </row>
    <row r="6388">
      <c r="M6388" s="25" t="n"/>
      <c r="Q6388" s="25" t="n"/>
      <c r="U6388" s="194" t="n"/>
      <c r="AA6388" s="25" t="n"/>
      <c r="AB6388" s="25" t="n"/>
      <c r="AC6388" s="195" t="n"/>
      <c r="AD6388" s="25" t="n"/>
      <c r="AE6388" s="25" t="n"/>
      <c r="AG6388" s="25" t="n"/>
      <c r="AH6388" s="25" t="n"/>
      <c r="AI6388" s="394" t="n"/>
      <c r="AM6388" s="48" t="n"/>
      <c r="AN6388" s="48" t="n"/>
      <c r="AO6388" s="48" t="n"/>
    </row>
    <row r="6389">
      <c r="M6389" s="25" t="n"/>
      <c r="Q6389" s="25" t="n"/>
      <c r="U6389" s="194" t="n"/>
      <c r="AA6389" s="25" t="n"/>
      <c r="AB6389" s="25" t="n"/>
      <c r="AC6389" s="195" t="n"/>
      <c r="AD6389" s="25" t="n"/>
      <c r="AE6389" s="25" t="n"/>
      <c r="AG6389" s="25" t="n"/>
      <c r="AH6389" s="25" t="n"/>
      <c r="AI6389" s="394" t="n"/>
      <c r="AM6389" s="48" t="n"/>
      <c r="AN6389" s="48" t="n"/>
      <c r="AO6389" s="48" t="n"/>
    </row>
    <row r="6390">
      <c r="M6390" s="25" t="n"/>
      <c r="Q6390" s="25" t="n"/>
      <c r="U6390" s="194" t="n"/>
      <c r="AA6390" s="25" t="n"/>
      <c r="AB6390" s="25" t="n"/>
      <c r="AC6390" s="195" t="n"/>
      <c r="AD6390" s="25" t="n"/>
      <c r="AE6390" s="25" t="n"/>
      <c r="AG6390" s="25" t="n"/>
      <c r="AH6390" s="25" t="n"/>
      <c r="AI6390" s="394" t="n"/>
      <c r="AM6390" s="48" t="n"/>
      <c r="AN6390" s="48" t="n"/>
      <c r="AO6390" s="48" t="n"/>
    </row>
    <row r="6391">
      <c r="M6391" s="25" t="n"/>
      <c r="Q6391" s="25" t="n"/>
      <c r="U6391" s="194" t="n"/>
      <c r="AA6391" s="25" t="n"/>
      <c r="AB6391" s="25" t="n"/>
      <c r="AC6391" s="195" t="n"/>
      <c r="AD6391" s="25" t="n"/>
      <c r="AE6391" s="25" t="n"/>
      <c r="AG6391" s="25" t="n"/>
      <c r="AH6391" s="25" t="n"/>
      <c r="AI6391" s="394" t="n"/>
      <c r="AM6391" s="48" t="n"/>
      <c r="AN6391" s="48" t="n"/>
      <c r="AO6391" s="48" t="n"/>
    </row>
    <row r="6392">
      <c r="M6392" s="25" t="n"/>
      <c r="Q6392" s="25" t="n"/>
      <c r="U6392" s="194" t="n"/>
      <c r="AA6392" s="25" t="n"/>
      <c r="AB6392" s="25" t="n"/>
      <c r="AC6392" s="195" t="n"/>
      <c r="AD6392" s="25" t="n"/>
      <c r="AE6392" s="25" t="n"/>
      <c r="AG6392" s="25" t="n"/>
      <c r="AH6392" s="25" t="n"/>
      <c r="AI6392" s="394" t="n"/>
      <c r="AM6392" s="48" t="n"/>
      <c r="AN6392" s="48" t="n"/>
      <c r="AO6392" s="48" t="n"/>
    </row>
    <row r="6393">
      <c r="M6393" s="25" t="n"/>
      <c r="Q6393" s="25" t="n"/>
      <c r="U6393" s="194" t="n"/>
      <c r="AA6393" s="25" t="n"/>
      <c r="AB6393" s="25" t="n"/>
      <c r="AC6393" s="195" t="n"/>
      <c r="AD6393" s="25" t="n"/>
      <c r="AE6393" s="25" t="n"/>
      <c r="AG6393" s="25" t="n"/>
      <c r="AH6393" s="25" t="n"/>
      <c r="AI6393" s="394" t="n"/>
      <c r="AM6393" s="48" t="n"/>
      <c r="AN6393" s="48" t="n"/>
      <c r="AO6393" s="48" t="n"/>
    </row>
    <row r="6394">
      <c r="M6394" s="25" t="n"/>
      <c r="Q6394" s="25" t="n"/>
      <c r="U6394" s="194" t="n"/>
      <c r="AA6394" s="25" t="n"/>
      <c r="AB6394" s="25" t="n"/>
      <c r="AC6394" s="195" t="n"/>
      <c r="AD6394" s="25" t="n"/>
      <c r="AE6394" s="25" t="n"/>
      <c r="AG6394" s="25" t="n"/>
      <c r="AH6394" s="25" t="n"/>
      <c r="AI6394" s="394" t="n"/>
      <c r="AM6394" s="48" t="n"/>
      <c r="AN6394" s="48" t="n"/>
      <c r="AO6394" s="48" t="n"/>
    </row>
    <row r="6395">
      <c r="M6395" s="25" t="n"/>
      <c r="Q6395" s="25" t="n"/>
      <c r="U6395" s="194" t="n"/>
      <c r="AA6395" s="25" t="n"/>
      <c r="AB6395" s="25" t="n"/>
      <c r="AC6395" s="195" t="n"/>
      <c r="AD6395" s="25" t="n"/>
      <c r="AE6395" s="25" t="n"/>
      <c r="AG6395" s="25" t="n"/>
      <c r="AH6395" s="25" t="n"/>
      <c r="AI6395" s="394" t="n"/>
      <c r="AM6395" s="48" t="n"/>
      <c r="AN6395" s="48" t="n"/>
      <c r="AO6395" s="48" t="n"/>
    </row>
    <row r="6396">
      <c r="M6396" s="25" t="n"/>
      <c r="Q6396" s="25" t="n"/>
      <c r="U6396" s="194" t="n"/>
      <c r="AA6396" s="25" t="n"/>
      <c r="AB6396" s="25" t="n"/>
      <c r="AC6396" s="195" t="n"/>
      <c r="AD6396" s="25" t="n"/>
      <c r="AE6396" s="25" t="n"/>
      <c r="AG6396" s="25" t="n"/>
      <c r="AH6396" s="25" t="n"/>
      <c r="AI6396" s="394" t="n"/>
      <c r="AM6396" s="48" t="n"/>
      <c r="AN6396" s="48" t="n"/>
      <c r="AO6396" s="48" t="n"/>
    </row>
    <row r="6397">
      <c r="M6397" s="25" t="n"/>
      <c r="Q6397" s="25" t="n"/>
      <c r="U6397" s="194" t="n"/>
      <c r="AA6397" s="25" t="n"/>
      <c r="AB6397" s="25" t="n"/>
      <c r="AC6397" s="195" t="n"/>
      <c r="AD6397" s="25" t="n"/>
      <c r="AE6397" s="25" t="n"/>
      <c r="AG6397" s="25" t="n"/>
      <c r="AH6397" s="25" t="n"/>
      <c r="AI6397" s="394" t="n"/>
      <c r="AM6397" s="48" t="n"/>
      <c r="AN6397" s="48" t="n"/>
      <c r="AO6397" s="48" t="n"/>
    </row>
    <row r="6398">
      <c r="M6398" s="25" t="n"/>
      <c r="Q6398" s="25" t="n"/>
      <c r="U6398" s="194" t="n"/>
      <c r="AA6398" s="25" t="n"/>
      <c r="AB6398" s="25" t="n"/>
      <c r="AC6398" s="195" t="n"/>
      <c r="AD6398" s="25" t="n"/>
      <c r="AE6398" s="25" t="n"/>
      <c r="AG6398" s="25" t="n"/>
      <c r="AH6398" s="25" t="n"/>
      <c r="AI6398" s="394" t="n"/>
      <c r="AM6398" s="48" t="n"/>
      <c r="AN6398" s="48" t="n"/>
      <c r="AO6398" s="48" t="n"/>
    </row>
    <row r="6399">
      <c r="M6399" s="25" t="n"/>
      <c r="Q6399" s="25" t="n"/>
      <c r="U6399" s="194" t="n"/>
      <c r="AA6399" s="25" t="n"/>
      <c r="AB6399" s="25" t="n"/>
      <c r="AC6399" s="195" t="n"/>
      <c r="AD6399" s="25" t="n"/>
      <c r="AE6399" s="25" t="n"/>
      <c r="AG6399" s="25" t="n"/>
      <c r="AH6399" s="25" t="n"/>
      <c r="AI6399" s="394" t="n"/>
      <c r="AM6399" s="48" t="n"/>
      <c r="AN6399" s="48" t="n"/>
      <c r="AO6399" s="48" t="n"/>
    </row>
    <row r="6400">
      <c r="M6400" s="25" t="n"/>
      <c r="Q6400" s="25" t="n"/>
      <c r="U6400" s="194" t="n"/>
      <c r="AA6400" s="25" t="n"/>
      <c r="AB6400" s="25" t="n"/>
      <c r="AC6400" s="195" t="n"/>
      <c r="AD6400" s="25" t="n"/>
      <c r="AE6400" s="25" t="n"/>
      <c r="AG6400" s="25" t="n"/>
      <c r="AH6400" s="25" t="n"/>
      <c r="AI6400" s="394" t="n"/>
      <c r="AM6400" s="48" t="n"/>
      <c r="AN6400" s="48" t="n"/>
      <c r="AO6400" s="48" t="n"/>
    </row>
    <row r="6401">
      <c r="M6401" s="25" t="n"/>
      <c r="Q6401" s="25" t="n"/>
      <c r="U6401" s="194" t="n"/>
      <c r="AA6401" s="25" t="n"/>
      <c r="AB6401" s="25" t="n"/>
      <c r="AC6401" s="195" t="n"/>
      <c r="AD6401" s="25" t="n"/>
      <c r="AE6401" s="25" t="n"/>
      <c r="AG6401" s="25" t="n"/>
      <c r="AH6401" s="25" t="n"/>
      <c r="AI6401" s="394" t="n"/>
      <c r="AM6401" s="48" t="n"/>
      <c r="AN6401" s="48" t="n"/>
      <c r="AO6401" s="48" t="n"/>
    </row>
    <row r="6402">
      <c r="M6402" s="25" t="n"/>
      <c r="Q6402" s="25" t="n"/>
      <c r="U6402" s="194" t="n"/>
      <c r="AA6402" s="25" t="n"/>
      <c r="AB6402" s="25" t="n"/>
      <c r="AC6402" s="195" t="n"/>
      <c r="AD6402" s="25" t="n"/>
      <c r="AE6402" s="25" t="n"/>
      <c r="AG6402" s="25" t="n"/>
      <c r="AH6402" s="25" t="n"/>
      <c r="AI6402" s="394" t="n"/>
      <c r="AM6402" s="48" t="n"/>
      <c r="AN6402" s="48" t="n"/>
      <c r="AO6402" s="48" t="n"/>
    </row>
    <row r="6403">
      <c r="M6403" s="25" t="n"/>
      <c r="Q6403" s="25" t="n"/>
      <c r="U6403" s="194" t="n"/>
      <c r="AA6403" s="25" t="n"/>
      <c r="AB6403" s="25" t="n"/>
      <c r="AC6403" s="195" t="n"/>
      <c r="AD6403" s="25" t="n"/>
      <c r="AE6403" s="25" t="n"/>
      <c r="AG6403" s="25" t="n"/>
      <c r="AH6403" s="25" t="n"/>
      <c r="AI6403" s="394" t="n"/>
      <c r="AM6403" s="48" t="n"/>
      <c r="AN6403" s="48" t="n"/>
      <c r="AO6403" s="48" t="n"/>
    </row>
    <row r="6404">
      <c r="M6404" s="25" t="n"/>
      <c r="Q6404" s="25" t="n"/>
      <c r="U6404" s="194" t="n"/>
      <c r="AA6404" s="25" t="n"/>
      <c r="AB6404" s="25" t="n"/>
      <c r="AC6404" s="195" t="n"/>
      <c r="AD6404" s="25" t="n"/>
      <c r="AE6404" s="25" t="n"/>
      <c r="AG6404" s="25" t="n"/>
      <c r="AH6404" s="25" t="n"/>
      <c r="AI6404" s="394" t="n"/>
      <c r="AM6404" s="48" t="n"/>
      <c r="AN6404" s="48" t="n"/>
      <c r="AO6404" s="48" t="n"/>
    </row>
    <row r="6405">
      <c r="M6405" s="25" t="n"/>
      <c r="Q6405" s="25" t="n"/>
      <c r="U6405" s="194" t="n"/>
      <c r="AA6405" s="25" t="n"/>
      <c r="AB6405" s="25" t="n"/>
      <c r="AC6405" s="195" t="n"/>
      <c r="AD6405" s="25" t="n"/>
      <c r="AE6405" s="25" t="n"/>
      <c r="AG6405" s="25" t="n"/>
      <c r="AH6405" s="25" t="n"/>
      <c r="AI6405" s="394" t="n"/>
      <c r="AM6405" s="48" t="n"/>
      <c r="AN6405" s="48" t="n"/>
      <c r="AO6405" s="48" t="n"/>
    </row>
    <row r="6406">
      <c r="M6406" s="25" t="n"/>
      <c r="Q6406" s="25" t="n"/>
      <c r="U6406" s="194" t="n"/>
      <c r="AA6406" s="25" t="n"/>
      <c r="AB6406" s="25" t="n"/>
      <c r="AC6406" s="195" t="n"/>
      <c r="AD6406" s="25" t="n"/>
      <c r="AE6406" s="25" t="n"/>
      <c r="AG6406" s="25" t="n"/>
      <c r="AH6406" s="25" t="n"/>
      <c r="AI6406" s="394" t="n"/>
      <c r="AM6406" s="48" t="n"/>
      <c r="AN6406" s="48" t="n"/>
      <c r="AO6406" s="48" t="n"/>
    </row>
    <row r="6407">
      <c r="M6407" s="25" t="n"/>
      <c r="Q6407" s="25" t="n"/>
      <c r="U6407" s="194" t="n"/>
      <c r="AA6407" s="25" t="n"/>
      <c r="AB6407" s="25" t="n"/>
      <c r="AC6407" s="195" t="n"/>
      <c r="AD6407" s="25" t="n"/>
      <c r="AE6407" s="25" t="n"/>
      <c r="AG6407" s="25" t="n"/>
      <c r="AH6407" s="25" t="n"/>
      <c r="AI6407" s="394" t="n"/>
      <c r="AM6407" s="48" t="n"/>
      <c r="AN6407" s="48" t="n"/>
      <c r="AO6407" s="48" t="n"/>
    </row>
    <row r="6408">
      <c r="M6408" s="25" t="n"/>
      <c r="Q6408" s="25" t="n"/>
      <c r="U6408" s="194" t="n"/>
      <c r="AA6408" s="25" t="n"/>
      <c r="AB6408" s="25" t="n"/>
      <c r="AC6408" s="195" t="n"/>
      <c r="AD6408" s="25" t="n"/>
      <c r="AE6408" s="25" t="n"/>
      <c r="AG6408" s="25" t="n"/>
      <c r="AH6408" s="25" t="n"/>
      <c r="AI6408" s="394" t="n"/>
      <c r="AM6408" s="48" t="n"/>
      <c r="AN6408" s="48" t="n"/>
      <c r="AO6408" s="48" t="n"/>
    </row>
    <row r="6409">
      <c r="M6409" s="25" t="n"/>
      <c r="Q6409" s="25" t="n"/>
      <c r="U6409" s="194" t="n"/>
      <c r="AA6409" s="25" t="n"/>
      <c r="AB6409" s="25" t="n"/>
      <c r="AC6409" s="195" t="n"/>
      <c r="AD6409" s="25" t="n"/>
      <c r="AE6409" s="25" t="n"/>
      <c r="AG6409" s="25" t="n"/>
      <c r="AH6409" s="25" t="n"/>
      <c r="AI6409" s="394" t="n"/>
      <c r="AM6409" s="48" t="n"/>
      <c r="AN6409" s="48" t="n"/>
      <c r="AO6409" s="48" t="n"/>
    </row>
    <row r="6410">
      <c r="M6410" s="25" t="n"/>
      <c r="Q6410" s="25" t="n"/>
      <c r="U6410" s="194" t="n"/>
      <c r="AA6410" s="25" t="n"/>
      <c r="AB6410" s="25" t="n"/>
      <c r="AC6410" s="195" t="n"/>
      <c r="AD6410" s="25" t="n"/>
      <c r="AE6410" s="25" t="n"/>
      <c r="AG6410" s="25" t="n"/>
      <c r="AH6410" s="25" t="n"/>
      <c r="AI6410" s="394" t="n"/>
      <c r="AM6410" s="48" t="n"/>
      <c r="AN6410" s="48" t="n"/>
      <c r="AO6410" s="48" t="n"/>
    </row>
    <row r="6411">
      <c r="M6411" s="25" t="n"/>
      <c r="Q6411" s="25" t="n"/>
      <c r="U6411" s="194" t="n"/>
      <c r="AA6411" s="25" t="n"/>
      <c r="AB6411" s="25" t="n"/>
      <c r="AC6411" s="195" t="n"/>
      <c r="AD6411" s="25" t="n"/>
      <c r="AE6411" s="25" t="n"/>
      <c r="AG6411" s="25" t="n"/>
      <c r="AH6411" s="25" t="n"/>
      <c r="AI6411" s="394" t="n"/>
      <c r="AM6411" s="48" t="n"/>
      <c r="AN6411" s="48" t="n"/>
      <c r="AO6411" s="48" t="n"/>
    </row>
    <row r="6412">
      <c r="M6412" s="25" t="n"/>
      <c r="Q6412" s="25" t="n"/>
      <c r="U6412" s="194" t="n"/>
      <c r="AA6412" s="25" t="n"/>
      <c r="AB6412" s="25" t="n"/>
      <c r="AC6412" s="195" t="n"/>
      <c r="AD6412" s="25" t="n"/>
      <c r="AE6412" s="25" t="n"/>
      <c r="AG6412" s="25" t="n"/>
      <c r="AH6412" s="25" t="n"/>
      <c r="AI6412" s="394" t="n"/>
      <c r="AM6412" s="48" t="n"/>
      <c r="AN6412" s="48" t="n"/>
      <c r="AO6412" s="48" t="n"/>
    </row>
    <row r="6413">
      <c r="M6413" s="25" t="n"/>
      <c r="Q6413" s="25" t="n"/>
      <c r="U6413" s="194" t="n"/>
      <c r="AA6413" s="25" t="n"/>
      <c r="AB6413" s="25" t="n"/>
      <c r="AC6413" s="195" t="n"/>
      <c r="AD6413" s="25" t="n"/>
      <c r="AE6413" s="25" t="n"/>
      <c r="AG6413" s="25" t="n"/>
      <c r="AH6413" s="25" t="n"/>
      <c r="AI6413" s="394" t="n"/>
      <c r="AM6413" s="48" t="n"/>
      <c r="AN6413" s="48" t="n"/>
      <c r="AO6413" s="48" t="n"/>
    </row>
    <row r="6414">
      <c r="M6414" s="25" t="n"/>
      <c r="Q6414" s="25" t="n"/>
      <c r="U6414" s="194" t="n"/>
      <c r="AA6414" s="25" t="n"/>
      <c r="AB6414" s="25" t="n"/>
      <c r="AC6414" s="195" t="n"/>
      <c r="AD6414" s="25" t="n"/>
      <c r="AE6414" s="25" t="n"/>
      <c r="AG6414" s="25" t="n"/>
      <c r="AH6414" s="25" t="n"/>
      <c r="AI6414" s="394" t="n"/>
      <c r="AM6414" s="48" t="n"/>
      <c r="AN6414" s="48" t="n"/>
      <c r="AO6414" s="48" t="n"/>
    </row>
    <row r="6415">
      <c r="M6415" s="25" t="n"/>
      <c r="Q6415" s="25" t="n"/>
      <c r="U6415" s="194" t="n"/>
      <c r="AA6415" s="25" t="n"/>
      <c r="AB6415" s="25" t="n"/>
      <c r="AC6415" s="195" t="n"/>
      <c r="AD6415" s="25" t="n"/>
      <c r="AE6415" s="25" t="n"/>
      <c r="AG6415" s="25" t="n"/>
      <c r="AH6415" s="25" t="n"/>
      <c r="AI6415" s="394" t="n"/>
      <c r="AM6415" s="48" t="n"/>
      <c r="AN6415" s="48" t="n"/>
      <c r="AO6415" s="48" t="n"/>
    </row>
    <row r="6416">
      <c r="M6416" s="25" t="n"/>
      <c r="Q6416" s="25" t="n"/>
      <c r="U6416" s="194" t="n"/>
      <c r="AA6416" s="25" t="n"/>
      <c r="AB6416" s="25" t="n"/>
      <c r="AC6416" s="195" t="n"/>
      <c r="AD6416" s="25" t="n"/>
      <c r="AE6416" s="25" t="n"/>
      <c r="AG6416" s="25" t="n"/>
      <c r="AH6416" s="25" t="n"/>
      <c r="AI6416" s="394" t="n"/>
      <c r="AM6416" s="48" t="n"/>
      <c r="AN6416" s="48" t="n"/>
      <c r="AO6416" s="48" t="n"/>
    </row>
    <row r="6417">
      <c r="M6417" s="25" t="n"/>
      <c r="Q6417" s="25" t="n"/>
      <c r="U6417" s="194" t="n"/>
      <c r="AA6417" s="25" t="n"/>
      <c r="AB6417" s="25" t="n"/>
      <c r="AC6417" s="195" t="n"/>
      <c r="AD6417" s="25" t="n"/>
      <c r="AE6417" s="25" t="n"/>
      <c r="AG6417" s="25" t="n"/>
      <c r="AH6417" s="25" t="n"/>
      <c r="AI6417" s="394" t="n"/>
      <c r="AM6417" s="48" t="n"/>
      <c r="AN6417" s="48" t="n"/>
      <c r="AO6417" s="48" t="n"/>
    </row>
    <row r="6418">
      <c r="M6418" s="25" t="n"/>
      <c r="Q6418" s="25" t="n"/>
      <c r="U6418" s="194" t="n"/>
      <c r="AA6418" s="25" t="n"/>
      <c r="AB6418" s="25" t="n"/>
      <c r="AC6418" s="195" t="n"/>
      <c r="AD6418" s="25" t="n"/>
      <c r="AE6418" s="25" t="n"/>
      <c r="AG6418" s="25" t="n"/>
      <c r="AH6418" s="25" t="n"/>
      <c r="AI6418" s="394" t="n"/>
      <c r="AM6418" s="48" t="n"/>
      <c r="AN6418" s="48" t="n"/>
      <c r="AO6418" s="48" t="n"/>
    </row>
    <row r="6419">
      <c r="M6419" s="25" t="n"/>
      <c r="Q6419" s="25" t="n"/>
      <c r="U6419" s="194" t="n"/>
      <c r="AA6419" s="25" t="n"/>
      <c r="AB6419" s="25" t="n"/>
      <c r="AC6419" s="195" t="n"/>
      <c r="AD6419" s="25" t="n"/>
      <c r="AE6419" s="25" t="n"/>
      <c r="AG6419" s="25" t="n"/>
      <c r="AH6419" s="25" t="n"/>
      <c r="AI6419" s="394" t="n"/>
      <c r="AM6419" s="48" t="n"/>
      <c r="AN6419" s="48" t="n"/>
      <c r="AO6419" s="48" t="n"/>
    </row>
    <row r="6420">
      <c r="M6420" s="25" t="n"/>
      <c r="Q6420" s="25" t="n"/>
      <c r="U6420" s="194" t="n"/>
      <c r="AA6420" s="25" t="n"/>
      <c r="AB6420" s="25" t="n"/>
      <c r="AC6420" s="195" t="n"/>
      <c r="AD6420" s="25" t="n"/>
      <c r="AE6420" s="25" t="n"/>
      <c r="AG6420" s="25" t="n"/>
      <c r="AH6420" s="25" t="n"/>
      <c r="AI6420" s="394" t="n"/>
      <c r="AM6420" s="48" t="n"/>
      <c r="AN6420" s="48" t="n"/>
      <c r="AO6420" s="48" t="n"/>
    </row>
    <row r="6421">
      <c r="M6421" s="25" t="n"/>
      <c r="Q6421" s="25" t="n"/>
      <c r="U6421" s="194" t="n"/>
      <c r="AA6421" s="25" t="n"/>
      <c r="AB6421" s="25" t="n"/>
      <c r="AC6421" s="195" t="n"/>
      <c r="AD6421" s="25" t="n"/>
      <c r="AE6421" s="25" t="n"/>
      <c r="AG6421" s="25" t="n"/>
      <c r="AH6421" s="25" t="n"/>
      <c r="AI6421" s="394" t="n"/>
      <c r="AM6421" s="48" t="n"/>
      <c r="AN6421" s="48" t="n"/>
      <c r="AO6421" s="48" t="n"/>
    </row>
    <row r="6422">
      <c r="M6422" s="25" t="n"/>
      <c r="Q6422" s="25" t="n"/>
      <c r="U6422" s="194" t="n"/>
      <c r="AA6422" s="25" t="n"/>
      <c r="AB6422" s="25" t="n"/>
      <c r="AC6422" s="195" t="n"/>
      <c r="AD6422" s="25" t="n"/>
      <c r="AE6422" s="25" t="n"/>
      <c r="AG6422" s="25" t="n"/>
      <c r="AH6422" s="25" t="n"/>
      <c r="AI6422" s="394" t="n"/>
      <c r="AM6422" s="48" t="n"/>
      <c r="AN6422" s="48" t="n"/>
      <c r="AO6422" s="48" t="n"/>
    </row>
    <row r="6423">
      <c r="M6423" s="25" t="n"/>
      <c r="Q6423" s="25" t="n"/>
      <c r="U6423" s="194" t="n"/>
      <c r="AA6423" s="25" t="n"/>
      <c r="AB6423" s="25" t="n"/>
      <c r="AC6423" s="195" t="n"/>
      <c r="AD6423" s="25" t="n"/>
      <c r="AE6423" s="25" t="n"/>
      <c r="AG6423" s="25" t="n"/>
      <c r="AH6423" s="25" t="n"/>
      <c r="AI6423" s="394" t="n"/>
      <c r="AM6423" s="48" t="n"/>
      <c r="AN6423" s="48" t="n"/>
      <c r="AO6423" s="48" t="n"/>
    </row>
    <row r="6424">
      <c r="M6424" s="25" t="n"/>
      <c r="Q6424" s="25" t="n"/>
      <c r="U6424" s="194" t="n"/>
      <c r="AA6424" s="25" t="n"/>
      <c r="AB6424" s="25" t="n"/>
      <c r="AC6424" s="195" t="n"/>
      <c r="AD6424" s="25" t="n"/>
      <c r="AE6424" s="25" t="n"/>
      <c r="AG6424" s="25" t="n"/>
      <c r="AH6424" s="25" t="n"/>
      <c r="AI6424" s="394" t="n"/>
      <c r="AM6424" s="48" t="n"/>
      <c r="AN6424" s="48" t="n"/>
      <c r="AO6424" s="48" t="n"/>
    </row>
    <row r="6425">
      <c r="M6425" s="25" t="n"/>
      <c r="Q6425" s="25" t="n"/>
      <c r="U6425" s="194" t="n"/>
      <c r="AA6425" s="25" t="n"/>
      <c r="AB6425" s="25" t="n"/>
      <c r="AC6425" s="195" t="n"/>
      <c r="AD6425" s="25" t="n"/>
      <c r="AE6425" s="25" t="n"/>
      <c r="AG6425" s="25" t="n"/>
      <c r="AH6425" s="25" t="n"/>
      <c r="AI6425" s="394" t="n"/>
      <c r="AM6425" s="48" t="n"/>
      <c r="AN6425" s="48" t="n"/>
      <c r="AO6425" s="48" t="n"/>
    </row>
    <row r="6426">
      <c r="M6426" s="25" t="n"/>
      <c r="Q6426" s="25" t="n"/>
      <c r="U6426" s="194" t="n"/>
      <c r="AA6426" s="25" t="n"/>
      <c r="AB6426" s="25" t="n"/>
      <c r="AC6426" s="195" t="n"/>
      <c r="AD6426" s="25" t="n"/>
      <c r="AE6426" s="25" t="n"/>
      <c r="AG6426" s="25" t="n"/>
      <c r="AH6426" s="25" t="n"/>
      <c r="AI6426" s="394" t="n"/>
      <c r="AM6426" s="48" t="n"/>
      <c r="AN6426" s="48" t="n"/>
      <c r="AO6426" s="48" t="n"/>
    </row>
    <row r="6427">
      <c r="M6427" s="25" t="n"/>
      <c r="Q6427" s="25" t="n"/>
      <c r="U6427" s="194" t="n"/>
      <c r="AA6427" s="25" t="n"/>
      <c r="AB6427" s="25" t="n"/>
      <c r="AC6427" s="195" t="n"/>
      <c r="AD6427" s="25" t="n"/>
      <c r="AE6427" s="25" t="n"/>
      <c r="AG6427" s="25" t="n"/>
      <c r="AH6427" s="25" t="n"/>
      <c r="AI6427" s="394" t="n"/>
      <c r="AM6427" s="48" t="n"/>
      <c r="AN6427" s="48" t="n"/>
      <c r="AO6427" s="48" t="n"/>
    </row>
    <row r="6428">
      <c r="M6428" s="25" t="n"/>
      <c r="Q6428" s="25" t="n"/>
      <c r="U6428" s="194" t="n"/>
      <c r="AA6428" s="25" t="n"/>
      <c r="AB6428" s="25" t="n"/>
      <c r="AC6428" s="195" t="n"/>
      <c r="AD6428" s="25" t="n"/>
      <c r="AE6428" s="25" t="n"/>
      <c r="AG6428" s="25" t="n"/>
      <c r="AH6428" s="25" t="n"/>
      <c r="AI6428" s="394" t="n"/>
      <c r="AM6428" s="48" t="n"/>
      <c r="AN6428" s="48" t="n"/>
      <c r="AO6428" s="48" t="n"/>
    </row>
    <row r="6429">
      <c r="M6429" s="25" t="n"/>
      <c r="Q6429" s="25" t="n"/>
      <c r="U6429" s="194" t="n"/>
      <c r="AA6429" s="25" t="n"/>
      <c r="AB6429" s="25" t="n"/>
      <c r="AC6429" s="195" t="n"/>
      <c r="AD6429" s="25" t="n"/>
      <c r="AE6429" s="25" t="n"/>
      <c r="AG6429" s="25" t="n"/>
      <c r="AH6429" s="25" t="n"/>
      <c r="AI6429" s="394" t="n"/>
      <c r="AM6429" s="48" t="n"/>
      <c r="AN6429" s="48" t="n"/>
      <c r="AO6429" s="48" t="n"/>
    </row>
    <row r="6430">
      <c r="M6430" s="25" t="n"/>
      <c r="Q6430" s="25" t="n"/>
      <c r="U6430" s="194" t="n"/>
      <c r="AA6430" s="25" t="n"/>
      <c r="AB6430" s="25" t="n"/>
      <c r="AC6430" s="195" t="n"/>
      <c r="AD6430" s="25" t="n"/>
      <c r="AE6430" s="25" t="n"/>
      <c r="AG6430" s="25" t="n"/>
      <c r="AH6430" s="25" t="n"/>
      <c r="AI6430" s="394" t="n"/>
      <c r="AM6430" s="48" t="n"/>
      <c r="AN6430" s="48" t="n"/>
      <c r="AO6430" s="48" t="n"/>
    </row>
    <row r="6431">
      <c r="M6431" s="25" t="n"/>
      <c r="Q6431" s="25" t="n"/>
      <c r="U6431" s="194" t="n"/>
      <c r="AA6431" s="25" t="n"/>
      <c r="AB6431" s="25" t="n"/>
      <c r="AC6431" s="195" t="n"/>
      <c r="AD6431" s="25" t="n"/>
      <c r="AE6431" s="25" t="n"/>
      <c r="AG6431" s="25" t="n"/>
      <c r="AH6431" s="25" t="n"/>
      <c r="AI6431" s="394" t="n"/>
      <c r="AM6431" s="48" t="n"/>
      <c r="AN6431" s="48" t="n"/>
      <c r="AO6431" s="48" t="n"/>
    </row>
    <row r="6432">
      <c r="M6432" s="25" t="n"/>
      <c r="Q6432" s="25" t="n"/>
      <c r="U6432" s="194" t="n"/>
      <c r="AA6432" s="25" t="n"/>
      <c r="AB6432" s="25" t="n"/>
      <c r="AC6432" s="195" t="n"/>
      <c r="AD6432" s="25" t="n"/>
      <c r="AE6432" s="25" t="n"/>
      <c r="AG6432" s="25" t="n"/>
      <c r="AH6432" s="25" t="n"/>
      <c r="AI6432" s="394" t="n"/>
      <c r="AM6432" s="48" t="n"/>
      <c r="AN6432" s="48" t="n"/>
      <c r="AO6432" s="48" t="n"/>
    </row>
    <row r="6433">
      <c r="M6433" s="25" t="n"/>
      <c r="Q6433" s="25" t="n"/>
      <c r="U6433" s="194" t="n"/>
      <c r="AA6433" s="25" t="n"/>
      <c r="AB6433" s="25" t="n"/>
      <c r="AC6433" s="195" t="n"/>
      <c r="AD6433" s="25" t="n"/>
      <c r="AE6433" s="25" t="n"/>
      <c r="AG6433" s="25" t="n"/>
      <c r="AH6433" s="25" t="n"/>
      <c r="AI6433" s="394" t="n"/>
      <c r="AM6433" s="48" t="n"/>
      <c r="AN6433" s="48" t="n"/>
      <c r="AO6433" s="48" t="n"/>
    </row>
    <row r="6434">
      <c r="M6434" s="25" t="n"/>
      <c r="Q6434" s="25" t="n"/>
      <c r="U6434" s="194" t="n"/>
      <c r="AA6434" s="25" t="n"/>
      <c r="AB6434" s="25" t="n"/>
      <c r="AC6434" s="195" t="n"/>
      <c r="AD6434" s="25" t="n"/>
      <c r="AE6434" s="25" t="n"/>
      <c r="AG6434" s="25" t="n"/>
      <c r="AH6434" s="25" t="n"/>
      <c r="AI6434" s="394" t="n"/>
      <c r="AM6434" s="48" t="n"/>
      <c r="AN6434" s="48" t="n"/>
      <c r="AO6434" s="48" t="n"/>
    </row>
    <row r="6435">
      <c r="M6435" s="25" t="n"/>
      <c r="Q6435" s="25" t="n"/>
      <c r="U6435" s="194" t="n"/>
      <c r="AA6435" s="25" t="n"/>
      <c r="AB6435" s="25" t="n"/>
      <c r="AC6435" s="195" t="n"/>
      <c r="AD6435" s="25" t="n"/>
      <c r="AE6435" s="25" t="n"/>
      <c r="AG6435" s="25" t="n"/>
      <c r="AH6435" s="25" t="n"/>
      <c r="AI6435" s="394" t="n"/>
      <c r="AM6435" s="48" t="n"/>
      <c r="AN6435" s="48" t="n"/>
      <c r="AO6435" s="48" t="n"/>
    </row>
    <row r="6436">
      <c r="M6436" s="25" t="n"/>
      <c r="Q6436" s="25" t="n"/>
      <c r="U6436" s="194" t="n"/>
      <c r="AA6436" s="25" t="n"/>
      <c r="AB6436" s="25" t="n"/>
      <c r="AC6436" s="195" t="n"/>
      <c r="AD6436" s="25" t="n"/>
      <c r="AE6436" s="25" t="n"/>
      <c r="AG6436" s="25" t="n"/>
      <c r="AH6436" s="25" t="n"/>
      <c r="AI6436" s="394" t="n"/>
      <c r="AM6436" s="48" t="n"/>
      <c r="AN6436" s="48" t="n"/>
      <c r="AO6436" s="48" t="n"/>
    </row>
    <row r="6437">
      <c r="M6437" s="25" t="n"/>
      <c r="Q6437" s="25" t="n"/>
      <c r="U6437" s="194" t="n"/>
      <c r="AA6437" s="25" t="n"/>
      <c r="AB6437" s="25" t="n"/>
      <c r="AC6437" s="195" t="n"/>
      <c r="AD6437" s="25" t="n"/>
      <c r="AE6437" s="25" t="n"/>
      <c r="AG6437" s="25" t="n"/>
      <c r="AH6437" s="25" t="n"/>
      <c r="AI6437" s="394" t="n"/>
      <c r="AM6437" s="48" t="n"/>
      <c r="AN6437" s="48" t="n"/>
      <c r="AO6437" s="48" t="n"/>
    </row>
    <row r="6438">
      <c r="M6438" s="25" t="n"/>
      <c r="Q6438" s="25" t="n"/>
      <c r="U6438" s="194" t="n"/>
      <c r="AA6438" s="25" t="n"/>
      <c r="AB6438" s="25" t="n"/>
      <c r="AC6438" s="195" t="n"/>
      <c r="AD6438" s="25" t="n"/>
      <c r="AE6438" s="25" t="n"/>
      <c r="AG6438" s="25" t="n"/>
      <c r="AH6438" s="25" t="n"/>
      <c r="AI6438" s="394" t="n"/>
      <c r="AM6438" s="48" t="n"/>
      <c r="AN6438" s="48" t="n"/>
      <c r="AO6438" s="48" t="n"/>
    </row>
    <row r="6439">
      <c r="M6439" s="25" t="n"/>
      <c r="Q6439" s="25" t="n"/>
      <c r="U6439" s="194" t="n"/>
      <c r="AA6439" s="25" t="n"/>
      <c r="AB6439" s="25" t="n"/>
      <c r="AC6439" s="195" t="n"/>
      <c r="AD6439" s="25" t="n"/>
      <c r="AE6439" s="25" t="n"/>
      <c r="AG6439" s="25" t="n"/>
      <c r="AH6439" s="25" t="n"/>
      <c r="AI6439" s="394" t="n"/>
      <c r="AM6439" s="48" t="n"/>
      <c r="AN6439" s="48" t="n"/>
      <c r="AO6439" s="48" t="n"/>
    </row>
    <row r="6440">
      <c r="M6440" s="25" t="n"/>
      <c r="Q6440" s="25" t="n"/>
      <c r="U6440" s="194" t="n"/>
      <c r="AA6440" s="25" t="n"/>
      <c r="AB6440" s="25" t="n"/>
      <c r="AC6440" s="195" t="n"/>
      <c r="AD6440" s="25" t="n"/>
      <c r="AE6440" s="25" t="n"/>
      <c r="AG6440" s="25" t="n"/>
      <c r="AH6440" s="25" t="n"/>
      <c r="AI6440" s="394" t="n"/>
      <c r="AM6440" s="48" t="n"/>
      <c r="AN6440" s="48" t="n"/>
      <c r="AO6440" s="48" t="n"/>
    </row>
    <row r="6441">
      <c r="M6441" s="25" t="n"/>
      <c r="Q6441" s="25" t="n"/>
      <c r="U6441" s="194" t="n"/>
      <c r="AA6441" s="25" t="n"/>
      <c r="AB6441" s="25" t="n"/>
      <c r="AC6441" s="195" t="n"/>
      <c r="AD6441" s="25" t="n"/>
      <c r="AE6441" s="25" t="n"/>
      <c r="AG6441" s="25" t="n"/>
      <c r="AH6441" s="25" t="n"/>
      <c r="AI6441" s="394" t="n"/>
      <c r="AM6441" s="48" t="n"/>
      <c r="AN6441" s="48" t="n"/>
      <c r="AO6441" s="48" t="n"/>
    </row>
    <row r="6442">
      <c r="M6442" s="25" t="n"/>
      <c r="Q6442" s="25" t="n"/>
      <c r="U6442" s="194" t="n"/>
      <c r="AA6442" s="25" t="n"/>
      <c r="AB6442" s="25" t="n"/>
      <c r="AC6442" s="195" t="n"/>
      <c r="AD6442" s="25" t="n"/>
      <c r="AE6442" s="25" t="n"/>
      <c r="AG6442" s="25" t="n"/>
      <c r="AH6442" s="25" t="n"/>
      <c r="AI6442" s="394" t="n"/>
      <c r="AM6442" s="48" t="n"/>
      <c r="AN6442" s="48" t="n"/>
      <c r="AO6442" s="48" t="n"/>
    </row>
    <row r="6443">
      <c r="M6443" s="25" t="n"/>
      <c r="Q6443" s="25" t="n"/>
      <c r="U6443" s="194" t="n"/>
      <c r="AA6443" s="25" t="n"/>
      <c r="AB6443" s="25" t="n"/>
      <c r="AC6443" s="195" t="n"/>
      <c r="AD6443" s="25" t="n"/>
      <c r="AE6443" s="25" t="n"/>
      <c r="AG6443" s="25" t="n"/>
      <c r="AH6443" s="25" t="n"/>
      <c r="AI6443" s="394" t="n"/>
      <c r="AM6443" s="48" t="n"/>
      <c r="AN6443" s="48" t="n"/>
      <c r="AO6443" s="48" t="n"/>
    </row>
    <row r="6444">
      <c r="M6444" s="25" t="n"/>
      <c r="Q6444" s="25" t="n"/>
      <c r="U6444" s="194" t="n"/>
      <c r="AA6444" s="25" t="n"/>
      <c r="AB6444" s="25" t="n"/>
      <c r="AC6444" s="195" t="n"/>
      <c r="AD6444" s="25" t="n"/>
      <c r="AE6444" s="25" t="n"/>
      <c r="AG6444" s="25" t="n"/>
      <c r="AH6444" s="25" t="n"/>
      <c r="AI6444" s="394" t="n"/>
      <c r="AM6444" s="48" t="n"/>
      <c r="AN6444" s="48" t="n"/>
      <c r="AO6444" s="48" t="n"/>
    </row>
    <row r="6445">
      <c r="M6445" s="25" t="n"/>
      <c r="Q6445" s="25" t="n"/>
      <c r="U6445" s="194" t="n"/>
      <c r="AA6445" s="25" t="n"/>
      <c r="AB6445" s="25" t="n"/>
      <c r="AC6445" s="195" t="n"/>
      <c r="AD6445" s="25" t="n"/>
      <c r="AE6445" s="25" t="n"/>
      <c r="AG6445" s="25" t="n"/>
      <c r="AH6445" s="25" t="n"/>
      <c r="AI6445" s="394" t="n"/>
      <c r="AM6445" s="48" t="n"/>
      <c r="AN6445" s="48" t="n"/>
      <c r="AO6445" s="48" t="n"/>
    </row>
    <row r="6446">
      <c r="M6446" s="25" t="n"/>
      <c r="Q6446" s="25" t="n"/>
      <c r="U6446" s="194" t="n"/>
      <c r="AA6446" s="25" t="n"/>
      <c r="AB6446" s="25" t="n"/>
      <c r="AC6446" s="195" t="n"/>
      <c r="AD6446" s="25" t="n"/>
      <c r="AE6446" s="25" t="n"/>
      <c r="AG6446" s="25" t="n"/>
      <c r="AH6446" s="25" t="n"/>
      <c r="AI6446" s="394" t="n"/>
      <c r="AM6446" s="48" t="n"/>
      <c r="AN6446" s="48" t="n"/>
      <c r="AO6446" s="48" t="n"/>
    </row>
    <row r="6447">
      <c r="M6447" s="25" t="n"/>
      <c r="Q6447" s="25" t="n"/>
      <c r="U6447" s="194" t="n"/>
      <c r="AA6447" s="25" t="n"/>
      <c r="AB6447" s="25" t="n"/>
      <c r="AC6447" s="195" t="n"/>
      <c r="AD6447" s="25" t="n"/>
      <c r="AE6447" s="25" t="n"/>
      <c r="AG6447" s="25" t="n"/>
      <c r="AH6447" s="25" t="n"/>
      <c r="AI6447" s="394" t="n"/>
      <c r="AM6447" s="48" t="n"/>
      <c r="AN6447" s="48" t="n"/>
      <c r="AO6447" s="48" t="n"/>
    </row>
    <row r="6448">
      <c r="M6448" s="25" t="n"/>
      <c r="Q6448" s="25" t="n"/>
      <c r="U6448" s="194" t="n"/>
      <c r="AA6448" s="25" t="n"/>
      <c r="AB6448" s="25" t="n"/>
      <c r="AC6448" s="195" t="n"/>
      <c r="AD6448" s="25" t="n"/>
      <c r="AE6448" s="25" t="n"/>
      <c r="AG6448" s="25" t="n"/>
      <c r="AH6448" s="25" t="n"/>
      <c r="AI6448" s="394" t="n"/>
      <c r="AM6448" s="48" t="n"/>
      <c r="AN6448" s="48" t="n"/>
      <c r="AO6448" s="48" t="n"/>
    </row>
    <row r="6449">
      <c r="M6449" s="25" t="n"/>
      <c r="Q6449" s="25" t="n"/>
      <c r="U6449" s="194" t="n"/>
      <c r="AA6449" s="25" t="n"/>
      <c r="AB6449" s="25" t="n"/>
      <c r="AC6449" s="195" t="n"/>
      <c r="AD6449" s="25" t="n"/>
      <c r="AE6449" s="25" t="n"/>
      <c r="AG6449" s="25" t="n"/>
      <c r="AH6449" s="25" t="n"/>
      <c r="AI6449" s="394" t="n"/>
      <c r="AM6449" s="48" t="n"/>
      <c r="AN6449" s="48" t="n"/>
      <c r="AO6449" s="48" t="n"/>
    </row>
    <row r="6450">
      <c r="M6450" s="25" t="n"/>
      <c r="Q6450" s="25" t="n"/>
      <c r="U6450" s="194" t="n"/>
      <c r="AA6450" s="25" t="n"/>
      <c r="AB6450" s="25" t="n"/>
      <c r="AC6450" s="195" t="n"/>
      <c r="AD6450" s="25" t="n"/>
      <c r="AE6450" s="25" t="n"/>
      <c r="AG6450" s="25" t="n"/>
      <c r="AH6450" s="25" t="n"/>
      <c r="AI6450" s="394" t="n"/>
      <c r="AM6450" s="48" t="n"/>
      <c r="AN6450" s="48" t="n"/>
      <c r="AO6450" s="48" t="n"/>
    </row>
    <row r="6451">
      <c r="M6451" s="25" t="n"/>
      <c r="Q6451" s="25" t="n"/>
      <c r="U6451" s="194" t="n"/>
      <c r="AA6451" s="25" t="n"/>
      <c r="AB6451" s="25" t="n"/>
      <c r="AC6451" s="195" t="n"/>
      <c r="AD6451" s="25" t="n"/>
      <c r="AE6451" s="25" t="n"/>
      <c r="AG6451" s="25" t="n"/>
      <c r="AH6451" s="25" t="n"/>
      <c r="AI6451" s="394" t="n"/>
      <c r="AM6451" s="48" t="n"/>
      <c r="AN6451" s="48" t="n"/>
      <c r="AO6451" s="48" t="n"/>
    </row>
    <row r="6452">
      <c r="M6452" s="25" t="n"/>
      <c r="Q6452" s="25" t="n"/>
      <c r="U6452" s="194" t="n"/>
      <c r="AA6452" s="25" t="n"/>
      <c r="AB6452" s="25" t="n"/>
      <c r="AC6452" s="195" t="n"/>
      <c r="AD6452" s="25" t="n"/>
      <c r="AE6452" s="25" t="n"/>
      <c r="AG6452" s="25" t="n"/>
      <c r="AH6452" s="25" t="n"/>
      <c r="AI6452" s="394" t="n"/>
      <c r="AM6452" s="48" t="n"/>
      <c r="AN6452" s="48" t="n"/>
      <c r="AO6452" s="48" t="n"/>
    </row>
    <row r="6453">
      <c r="M6453" s="25" t="n"/>
      <c r="Q6453" s="25" t="n"/>
      <c r="U6453" s="194" t="n"/>
      <c r="AA6453" s="25" t="n"/>
      <c r="AB6453" s="25" t="n"/>
      <c r="AC6453" s="195" t="n"/>
      <c r="AD6453" s="25" t="n"/>
      <c r="AE6453" s="25" t="n"/>
      <c r="AG6453" s="25" t="n"/>
      <c r="AH6453" s="25" t="n"/>
      <c r="AI6453" s="394" t="n"/>
      <c r="AM6453" s="48" t="n"/>
      <c r="AN6453" s="48" t="n"/>
      <c r="AO6453" s="48" t="n"/>
    </row>
    <row r="6454">
      <c r="M6454" s="25" t="n"/>
      <c r="Q6454" s="25" t="n"/>
      <c r="U6454" s="194" t="n"/>
      <c r="AA6454" s="25" t="n"/>
      <c r="AB6454" s="25" t="n"/>
      <c r="AC6454" s="195" t="n"/>
      <c r="AD6454" s="25" t="n"/>
      <c r="AE6454" s="25" t="n"/>
      <c r="AG6454" s="25" t="n"/>
      <c r="AH6454" s="25" t="n"/>
      <c r="AI6454" s="394" t="n"/>
      <c r="AM6454" s="48" t="n"/>
      <c r="AN6454" s="48" t="n"/>
      <c r="AO6454" s="48" t="n"/>
    </row>
    <row r="6455">
      <c r="M6455" s="25" t="n"/>
      <c r="Q6455" s="25" t="n"/>
      <c r="U6455" s="194" t="n"/>
      <c r="AA6455" s="25" t="n"/>
      <c r="AB6455" s="25" t="n"/>
      <c r="AC6455" s="195" t="n"/>
      <c r="AD6455" s="25" t="n"/>
      <c r="AE6455" s="25" t="n"/>
      <c r="AG6455" s="25" t="n"/>
      <c r="AH6455" s="25" t="n"/>
      <c r="AI6455" s="394" t="n"/>
      <c r="AM6455" s="48" t="n"/>
      <c r="AN6455" s="48" t="n"/>
      <c r="AO6455" s="48" t="n"/>
    </row>
    <row r="6456">
      <c r="M6456" s="25" t="n"/>
      <c r="Q6456" s="25" t="n"/>
      <c r="U6456" s="194" t="n"/>
      <c r="AA6456" s="25" t="n"/>
      <c r="AB6456" s="25" t="n"/>
      <c r="AC6456" s="195" t="n"/>
      <c r="AD6456" s="25" t="n"/>
      <c r="AE6456" s="25" t="n"/>
      <c r="AG6456" s="25" t="n"/>
      <c r="AH6456" s="25" t="n"/>
      <c r="AI6456" s="394" t="n"/>
      <c r="AM6456" s="48" t="n"/>
      <c r="AN6456" s="48" t="n"/>
      <c r="AO6456" s="48" t="n"/>
    </row>
    <row r="6457">
      <c r="M6457" s="25" t="n"/>
      <c r="Q6457" s="25" t="n"/>
      <c r="U6457" s="194" t="n"/>
      <c r="AA6457" s="25" t="n"/>
      <c r="AB6457" s="25" t="n"/>
      <c r="AC6457" s="195" t="n"/>
      <c r="AD6457" s="25" t="n"/>
      <c r="AE6457" s="25" t="n"/>
      <c r="AG6457" s="25" t="n"/>
      <c r="AH6457" s="25" t="n"/>
      <c r="AI6457" s="394" t="n"/>
      <c r="AM6457" s="48" t="n"/>
      <c r="AN6457" s="48" t="n"/>
      <c r="AO6457" s="48" t="n"/>
    </row>
    <row r="6458">
      <c r="M6458" s="25" t="n"/>
      <c r="Q6458" s="25" t="n"/>
      <c r="U6458" s="194" t="n"/>
      <c r="AA6458" s="25" t="n"/>
      <c r="AB6458" s="25" t="n"/>
      <c r="AC6458" s="195" t="n"/>
      <c r="AD6458" s="25" t="n"/>
      <c r="AE6458" s="25" t="n"/>
      <c r="AG6458" s="25" t="n"/>
      <c r="AH6458" s="25" t="n"/>
      <c r="AI6458" s="394" t="n"/>
      <c r="AM6458" s="48" t="n"/>
      <c r="AN6458" s="48" t="n"/>
      <c r="AO6458" s="48" t="n"/>
    </row>
    <row r="6459">
      <c r="M6459" s="25" t="n"/>
      <c r="Q6459" s="25" t="n"/>
      <c r="U6459" s="194" t="n"/>
      <c r="AA6459" s="25" t="n"/>
      <c r="AB6459" s="25" t="n"/>
      <c r="AC6459" s="195" t="n"/>
      <c r="AD6459" s="25" t="n"/>
      <c r="AE6459" s="25" t="n"/>
      <c r="AG6459" s="25" t="n"/>
      <c r="AH6459" s="25" t="n"/>
      <c r="AI6459" s="394" t="n"/>
      <c r="AM6459" s="48" t="n"/>
      <c r="AN6459" s="48" t="n"/>
      <c r="AO6459" s="48" t="n"/>
    </row>
    <row r="6460">
      <c r="M6460" s="25" t="n"/>
      <c r="Q6460" s="25" t="n"/>
      <c r="U6460" s="194" t="n"/>
      <c r="AA6460" s="25" t="n"/>
      <c r="AB6460" s="25" t="n"/>
      <c r="AC6460" s="195" t="n"/>
      <c r="AD6460" s="25" t="n"/>
      <c r="AE6460" s="25" t="n"/>
      <c r="AG6460" s="25" t="n"/>
      <c r="AH6460" s="25" t="n"/>
      <c r="AI6460" s="394" t="n"/>
      <c r="AM6460" s="48" t="n"/>
      <c r="AN6460" s="48" t="n"/>
      <c r="AO6460" s="48" t="n"/>
    </row>
    <row r="6461">
      <c r="M6461" s="25" t="n"/>
      <c r="Q6461" s="25" t="n"/>
      <c r="U6461" s="194" t="n"/>
      <c r="AA6461" s="25" t="n"/>
      <c r="AB6461" s="25" t="n"/>
      <c r="AC6461" s="195" t="n"/>
      <c r="AD6461" s="25" t="n"/>
      <c r="AE6461" s="25" t="n"/>
      <c r="AG6461" s="25" t="n"/>
      <c r="AH6461" s="25" t="n"/>
      <c r="AI6461" s="394" t="n"/>
      <c r="AM6461" s="48" t="n"/>
      <c r="AN6461" s="48" t="n"/>
      <c r="AO6461" s="48" t="n"/>
    </row>
    <row r="6462">
      <c r="M6462" s="25" t="n"/>
      <c r="Q6462" s="25" t="n"/>
      <c r="U6462" s="194" t="n"/>
      <c r="AA6462" s="25" t="n"/>
      <c r="AB6462" s="25" t="n"/>
      <c r="AC6462" s="195" t="n"/>
      <c r="AD6462" s="25" t="n"/>
      <c r="AE6462" s="25" t="n"/>
      <c r="AG6462" s="25" t="n"/>
      <c r="AH6462" s="25" t="n"/>
      <c r="AI6462" s="394" t="n"/>
      <c r="AM6462" s="48" t="n"/>
      <c r="AN6462" s="48" t="n"/>
      <c r="AO6462" s="48" t="n"/>
    </row>
    <row r="6463">
      <c r="M6463" s="25" t="n"/>
      <c r="Q6463" s="25" t="n"/>
      <c r="U6463" s="194" t="n"/>
      <c r="AA6463" s="25" t="n"/>
      <c r="AB6463" s="25" t="n"/>
      <c r="AC6463" s="195" t="n"/>
      <c r="AD6463" s="25" t="n"/>
      <c r="AE6463" s="25" t="n"/>
      <c r="AG6463" s="25" t="n"/>
      <c r="AH6463" s="25" t="n"/>
      <c r="AI6463" s="394" t="n"/>
      <c r="AM6463" s="48" t="n"/>
      <c r="AN6463" s="48" t="n"/>
      <c r="AO6463" s="48" t="n"/>
    </row>
    <row r="6464">
      <c r="M6464" s="25" t="n"/>
      <c r="Q6464" s="25" t="n"/>
      <c r="U6464" s="194" t="n"/>
      <c r="AA6464" s="25" t="n"/>
      <c r="AB6464" s="25" t="n"/>
      <c r="AC6464" s="195" t="n"/>
      <c r="AD6464" s="25" t="n"/>
      <c r="AE6464" s="25" t="n"/>
      <c r="AG6464" s="25" t="n"/>
      <c r="AH6464" s="25" t="n"/>
      <c r="AI6464" s="394" t="n"/>
      <c r="AM6464" s="48" t="n"/>
      <c r="AN6464" s="48" t="n"/>
      <c r="AO6464" s="48" t="n"/>
    </row>
    <row r="6465">
      <c r="M6465" s="25" t="n"/>
      <c r="Q6465" s="25" t="n"/>
      <c r="U6465" s="194" t="n"/>
      <c r="AA6465" s="25" t="n"/>
      <c r="AB6465" s="25" t="n"/>
      <c r="AC6465" s="195" t="n"/>
      <c r="AD6465" s="25" t="n"/>
      <c r="AE6465" s="25" t="n"/>
      <c r="AG6465" s="25" t="n"/>
      <c r="AH6465" s="25" t="n"/>
      <c r="AI6465" s="394" t="n"/>
      <c r="AM6465" s="48" t="n"/>
      <c r="AN6465" s="48" t="n"/>
      <c r="AO6465" s="48" t="n"/>
    </row>
    <row r="6466">
      <c r="M6466" s="25" t="n"/>
      <c r="Q6466" s="25" t="n"/>
      <c r="U6466" s="194" t="n"/>
      <c r="AA6466" s="25" t="n"/>
      <c r="AB6466" s="25" t="n"/>
      <c r="AC6466" s="195" t="n"/>
      <c r="AD6466" s="25" t="n"/>
      <c r="AE6466" s="25" t="n"/>
      <c r="AG6466" s="25" t="n"/>
      <c r="AH6466" s="25" t="n"/>
      <c r="AI6466" s="394" t="n"/>
      <c r="AM6466" s="48" t="n"/>
      <c r="AN6466" s="48" t="n"/>
      <c r="AO6466" s="48" t="n"/>
    </row>
    <row r="6467">
      <c r="M6467" s="25" t="n"/>
      <c r="Q6467" s="25" t="n"/>
      <c r="U6467" s="194" t="n"/>
      <c r="AA6467" s="25" t="n"/>
      <c r="AB6467" s="25" t="n"/>
      <c r="AC6467" s="195" t="n"/>
      <c r="AD6467" s="25" t="n"/>
      <c r="AE6467" s="25" t="n"/>
      <c r="AG6467" s="25" t="n"/>
      <c r="AH6467" s="25" t="n"/>
      <c r="AI6467" s="394" t="n"/>
      <c r="AM6467" s="48" t="n"/>
      <c r="AN6467" s="48" t="n"/>
      <c r="AO6467" s="48" t="n"/>
    </row>
    <row r="6468">
      <c r="M6468" s="25" t="n"/>
      <c r="Q6468" s="25" t="n"/>
      <c r="U6468" s="194" t="n"/>
      <c r="AA6468" s="25" t="n"/>
      <c r="AB6468" s="25" t="n"/>
      <c r="AC6468" s="195" t="n"/>
      <c r="AD6468" s="25" t="n"/>
      <c r="AE6468" s="25" t="n"/>
      <c r="AG6468" s="25" t="n"/>
      <c r="AH6468" s="25" t="n"/>
      <c r="AI6468" s="394" t="n"/>
      <c r="AM6468" s="48" t="n"/>
      <c r="AN6468" s="48" t="n"/>
      <c r="AO6468" s="48" t="n"/>
    </row>
    <row r="6469">
      <c r="M6469" s="25" t="n"/>
      <c r="Q6469" s="25" t="n"/>
      <c r="U6469" s="194" t="n"/>
      <c r="AA6469" s="25" t="n"/>
      <c r="AB6469" s="25" t="n"/>
      <c r="AC6469" s="195" t="n"/>
      <c r="AD6469" s="25" t="n"/>
      <c r="AE6469" s="25" t="n"/>
      <c r="AG6469" s="25" t="n"/>
      <c r="AH6469" s="25" t="n"/>
      <c r="AI6469" s="394" t="n"/>
      <c r="AM6469" s="48" t="n"/>
      <c r="AN6469" s="48" t="n"/>
      <c r="AO6469" s="48" t="n"/>
    </row>
    <row r="6470">
      <c r="M6470" s="25" t="n"/>
      <c r="Q6470" s="25" t="n"/>
      <c r="U6470" s="194" t="n"/>
      <c r="AA6470" s="25" t="n"/>
      <c r="AB6470" s="25" t="n"/>
      <c r="AC6470" s="195" t="n"/>
      <c r="AD6470" s="25" t="n"/>
      <c r="AE6470" s="25" t="n"/>
      <c r="AG6470" s="25" t="n"/>
      <c r="AH6470" s="25" t="n"/>
      <c r="AI6470" s="394" t="n"/>
      <c r="AM6470" s="48" t="n"/>
      <c r="AN6470" s="48" t="n"/>
      <c r="AO6470" s="48" t="n"/>
    </row>
    <row r="6471">
      <c r="M6471" s="25" t="n"/>
      <c r="Q6471" s="25" t="n"/>
      <c r="U6471" s="194" t="n"/>
      <c r="AA6471" s="25" t="n"/>
      <c r="AB6471" s="25" t="n"/>
      <c r="AC6471" s="195" t="n"/>
      <c r="AD6471" s="25" t="n"/>
      <c r="AE6471" s="25" t="n"/>
      <c r="AG6471" s="25" t="n"/>
      <c r="AH6471" s="25" t="n"/>
      <c r="AI6471" s="394" t="n"/>
      <c r="AM6471" s="48" t="n"/>
      <c r="AN6471" s="48" t="n"/>
      <c r="AO6471" s="48" t="n"/>
    </row>
    <row r="6472">
      <c r="M6472" s="25" t="n"/>
      <c r="Q6472" s="25" t="n"/>
      <c r="U6472" s="194" t="n"/>
      <c r="AA6472" s="25" t="n"/>
      <c r="AB6472" s="25" t="n"/>
      <c r="AC6472" s="195" t="n"/>
      <c r="AD6472" s="25" t="n"/>
      <c r="AE6472" s="25" t="n"/>
      <c r="AG6472" s="25" t="n"/>
      <c r="AH6472" s="25" t="n"/>
      <c r="AI6472" s="394" t="n"/>
      <c r="AM6472" s="48" t="n"/>
      <c r="AN6472" s="48" t="n"/>
      <c r="AO6472" s="48" t="n"/>
    </row>
    <row r="6473">
      <c r="M6473" s="25" t="n"/>
      <c r="Q6473" s="25" t="n"/>
      <c r="U6473" s="194" t="n"/>
      <c r="AA6473" s="25" t="n"/>
      <c r="AB6473" s="25" t="n"/>
      <c r="AC6473" s="195" t="n"/>
      <c r="AD6473" s="25" t="n"/>
      <c r="AE6473" s="25" t="n"/>
      <c r="AG6473" s="25" t="n"/>
      <c r="AH6473" s="25" t="n"/>
      <c r="AI6473" s="394" t="n"/>
      <c r="AM6473" s="48" t="n"/>
      <c r="AN6473" s="48" t="n"/>
      <c r="AO6473" s="48" t="n"/>
    </row>
    <row r="6474">
      <c r="M6474" s="25" t="n"/>
      <c r="Q6474" s="25" t="n"/>
      <c r="U6474" s="194" t="n"/>
      <c r="AA6474" s="25" t="n"/>
      <c r="AB6474" s="25" t="n"/>
      <c r="AC6474" s="195" t="n"/>
      <c r="AD6474" s="25" t="n"/>
      <c r="AE6474" s="25" t="n"/>
      <c r="AG6474" s="25" t="n"/>
      <c r="AH6474" s="25" t="n"/>
      <c r="AI6474" s="394" t="n"/>
      <c r="AM6474" s="48" t="n"/>
      <c r="AN6474" s="48" t="n"/>
      <c r="AO6474" s="48" t="n"/>
    </row>
    <row r="6475">
      <c r="M6475" s="25" t="n"/>
      <c r="Q6475" s="25" t="n"/>
      <c r="U6475" s="194" t="n"/>
      <c r="AA6475" s="25" t="n"/>
      <c r="AB6475" s="25" t="n"/>
      <c r="AC6475" s="195" t="n"/>
      <c r="AD6475" s="25" t="n"/>
      <c r="AE6475" s="25" t="n"/>
      <c r="AG6475" s="25" t="n"/>
      <c r="AH6475" s="25" t="n"/>
      <c r="AI6475" s="394" t="n"/>
      <c r="AM6475" s="48" t="n"/>
      <c r="AN6475" s="48" t="n"/>
      <c r="AO6475" s="48" t="n"/>
    </row>
    <row r="6476">
      <c r="M6476" s="25" t="n"/>
      <c r="Q6476" s="25" t="n"/>
      <c r="U6476" s="194" t="n"/>
      <c r="AA6476" s="25" t="n"/>
      <c r="AB6476" s="25" t="n"/>
      <c r="AC6476" s="195" t="n"/>
      <c r="AD6476" s="25" t="n"/>
      <c r="AE6476" s="25" t="n"/>
      <c r="AG6476" s="25" t="n"/>
      <c r="AH6476" s="25" t="n"/>
      <c r="AI6476" s="394" t="n"/>
      <c r="AM6476" s="48" t="n"/>
      <c r="AN6476" s="48" t="n"/>
      <c r="AO6476" s="48" t="n"/>
    </row>
    <row r="6477">
      <c r="M6477" s="25" t="n"/>
      <c r="Q6477" s="25" t="n"/>
      <c r="U6477" s="194" t="n"/>
      <c r="AA6477" s="25" t="n"/>
      <c r="AB6477" s="25" t="n"/>
      <c r="AC6477" s="195" t="n"/>
      <c r="AD6477" s="25" t="n"/>
      <c r="AE6477" s="25" t="n"/>
      <c r="AG6477" s="25" t="n"/>
      <c r="AH6477" s="25" t="n"/>
      <c r="AI6477" s="394" t="n"/>
      <c r="AM6477" s="48" t="n"/>
      <c r="AN6477" s="48" t="n"/>
      <c r="AO6477" s="48" t="n"/>
    </row>
    <row r="6478">
      <c r="M6478" s="25" t="n"/>
      <c r="Q6478" s="25" t="n"/>
      <c r="U6478" s="194" t="n"/>
      <c r="AA6478" s="25" t="n"/>
      <c r="AB6478" s="25" t="n"/>
      <c r="AC6478" s="195" t="n"/>
      <c r="AD6478" s="25" t="n"/>
      <c r="AE6478" s="25" t="n"/>
      <c r="AG6478" s="25" t="n"/>
      <c r="AH6478" s="25" t="n"/>
      <c r="AI6478" s="394" t="n"/>
      <c r="AM6478" s="48" t="n"/>
      <c r="AN6478" s="48" t="n"/>
      <c r="AO6478" s="48" t="n"/>
    </row>
    <row r="6479">
      <c r="M6479" s="25" t="n"/>
      <c r="Q6479" s="25" t="n"/>
      <c r="U6479" s="194" t="n"/>
      <c r="AA6479" s="25" t="n"/>
      <c r="AB6479" s="25" t="n"/>
      <c r="AC6479" s="195" t="n"/>
      <c r="AD6479" s="25" t="n"/>
      <c r="AE6479" s="25" t="n"/>
      <c r="AG6479" s="25" t="n"/>
      <c r="AH6479" s="25" t="n"/>
      <c r="AI6479" s="394" t="n"/>
      <c r="AM6479" s="48" t="n"/>
      <c r="AN6479" s="48" t="n"/>
      <c r="AO6479" s="48" t="n"/>
    </row>
    <row r="6480">
      <c r="M6480" s="25" t="n"/>
      <c r="Q6480" s="25" t="n"/>
      <c r="U6480" s="194" t="n"/>
      <c r="AA6480" s="25" t="n"/>
      <c r="AB6480" s="25" t="n"/>
      <c r="AC6480" s="195" t="n"/>
      <c r="AD6480" s="25" t="n"/>
      <c r="AE6480" s="25" t="n"/>
      <c r="AG6480" s="25" t="n"/>
      <c r="AH6480" s="25" t="n"/>
      <c r="AI6480" s="394" t="n"/>
      <c r="AM6480" s="48" t="n"/>
      <c r="AN6480" s="48" t="n"/>
      <c r="AO6480" s="48" t="n"/>
    </row>
    <row r="6481">
      <c r="M6481" s="25" t="n"/>
      <c r="Q6481" s="25" t="n"/>
      <c r="U6481" s="194" t="n"/>
      <c r="AA6481" s="25" t="n"/>
      <c r="AB6481" s="25" t="n"/>
      <c r="AC6481" s="195" t="n"/>
      <c r="AD6481" s="25" t="n"/>
      <c r="AE6481" s="25" t="n"/>
      <c r="AG6481" s="25" t="n"/>
      <c r="AH6481" s="25" t="n"/>
      <c r="AI6481" s="394" t="n"/>
      <c r="AM6481" s="48" t="n"/>
      <c r="AN6481" s="48" t="n"/>
      <c r="AO6481" s="48" t="n"/>
    </row>
    <row r="6482">
      <c r="M6482" s="25" t="n"/>
      <c r="Q6482" s="25" t="n"/>
      <c r="U6482" s="194" t="n"/>
      <c r="AA6482" s="25" t="n"/>
      <c r="AB6482" s="25" t="n"/>
      <c r="AC6482" s="195" t="n"/>
      <c r="AD6482" s="25" t="n"/>
      <c r="AE6482" s="25" t="n"/>
      <c r="AG6482" s="25" t="n"/>
      <c r="AH6482" s="25" t="n"/>
      <c r="AI6482" s="394" t="n"/>
      <c r="AM6482" s="48" t="n"/>
      <c r="AN6482" s="48" t="n"/>
      <c r="AO6482" s="48" t="n"/>
    </row>
    <row r="6483">
      <c r="M6483" s="25" t="n"/>
      <c r="Q6483" s="25" t="n"/>
      <c r="U6483" s="194" t="n"/>
      <c r="AA6483" s="25" t="n"/>
      <c r="AB6483" s="25" t="n"/>
      <c r="AC6483" s="195" t="n"/>
      <c r="AD6483" s="25" t="n"/>
      <c r="AE6483" s="25" t="n"/>
      <c r="AG6483" s="25" t="n"/>
      <c r="AH6483" s="25" t="n"/>
      <c r="AI6483" s="394" t="n"/>
      <c r="AM6483" s="48" t="n"/>
      <c r="AN6483" s="48" t="n"/>
      <c r="AO6483" s="48" t="n"/>
    </row>
    <row r="6484">
      <c r="M6484" s="25" t="n"/>
      <c r="Q6484" s="25" t="n"/>
      <c r="U6484" s="194" t="n"/>
      <c r="AA6484" s="25" t="n"/>
      <c r="AB6484" s="25" t="n"/>
      <c r="AC6484" s="195" t="n"/>
      <c r="AD6484" s="25" t="n"/>
      <c r="AE6484" s="25" t="n"/>
      <c r="AG6484" s="25" t="n"/>
      <c r="AH6484" s="25" t="n"/>
      <c r="AI6484" s="394" t="n"/>
      <c r="AM6484" s="48" t="n"/>
      <c r="AN6484" s="48" t="n"/>
      <c r="AO6484" s="48" t="n"/>
    </row>
    <row r="6485">
      <c r="M6485" s="25" t="n"/>
      <c r="Q6485" s="25" t="n"/>
      <c r="U6485" s="194" t="n"/>
      <c r="AA6485" s="25" t="n"/>
      <c r="AB6485" s="25" t="n"/>
      <c r="AC6485" s="195" t="n"/>
      <c r="AD6485" s="25" t="n"/>
      <c r="AE6485" s="25" t="n"/>
      <c r="AG6485" s="25" t="n"/>
      <c r="AH6485" s="25" t="n"/>
      <c r="AI6485" s="394" t="n"/>
      <c r="AM6485" s="48" t="n"/>
      <c r="AN6485" s="48" t="n"/>
      <c r="AO6485" s="48" t="n"/>
    </row>
    <row r="6486">
      <c r="M6486" s="25" t="n"/>
      <c r="Q6486" s="25" t="n"/>
      <c r="U6486" s="194" t="n"/>
      <c r="AA6486" s="25" t="n"/>
      <c r="AB6486" s="25" t="n"/>
      <c r="AC6486" s="195" t="n"/>
      <c r="AD6486" s="25" t="n"/>
      <c r="AE6486" s="25" t="n"/>
      <c r="AG6486" s="25" t="n"/>
      <c r="AH6486" s="25" t="n"/>
      <c r="AI6486" s="394" t="n"/>
      <c r="AM6486" s="48" t="n"/>
      <c r="AN6486" s="48" t="n"/>
      <c r="AO6486" s="48" t="n"/>
    </row>
    <row r="6487">
      <c r="M6487" s="25" t="n"/>
      <c r="Q6487" s="25" t="n"/>
      <c r="U6487" s="194" t="n"/>
      <c r="AA6487" s="25" t="n"/>
      <c r="AB6487" s="25" t="n"/>
      <c r="AC6487" s="195" t="n"/>
      <c r="AD6487" s="25" t="n"/>
      <c r="AE6487" s="25" t="n"/>
      <c r="AG6487" s="25" t="n"/>
      <c r="AH6487" s="25" t="n"/>
      <c r="AI6487" s="394" t="n"/>
      <c r="AM6487" s="48" t="n"/>
      <c r="AN6487" s="48" t="n"/>
      <c r="AO6487" s="48" t="n"/>
    </row>
    <row r="6488">
      <c r="M6488" s="25" t="n"/>
      <c r="Q6488" s="25" t="n"/>
      <c r="U6488" s="194" t="n"/>
      <c r="AA6488" s="25" t="n"/>
      <c r="AB6488" s="25" t="n"/>
      <c r="AC6488" s="195" t="n"/>
      <c r="AD6488" s="25" t="n"/>
      <c r="AE6488" s="25" t="n"/>
      <c r="AG6488" s="25" t="n"/>
      <c r="AH6488" s="25" t="n"/>
      <c r="AI6488" s="394" t="n"/>
      <c r="AM6488" s="48" t="n"/>
      <c r="AN6488" s="48" t="n"/>
      <c r="AO6488" s="48" t="n"/>
    </row>
    <row r="6489">
      <c r="M6489" s="25" t="n"/>
      <c r="Q6489" s="25" t="n"/>
      <c r="U6489" s="194" t="n"/>
      <c r="AA6489" s="25" t="n"/>
      <c r="AB6489" s="25" t="n"/>
      <c r="AC6489" s="195" t="n"/>
      <c r="AD6489" s="25" t="n"/>
      <c r="AE6489" s="25" t="n"/>
      <c r="AG6489" s="25" t="n"/>
      <c r="AH6489" s="25" t="n"/>
      <c r="AI6489" s="394" t="n"/>
      <c r="AM6489" s="48" t="n"/>
      <c r="AN6489" s="48" t="n"/>
      <c r="AO6489" s="48" t="n"/>
    </row>
    <row r="6490">
      <c r="M6490" s="25" t="n"/>
      <c r="Q6490" s="25" t="n"/>
      <c r="U6490" s="194" t="n"/>
      <c r="AA6490" s="25" t="n"/>
      <c r="AB6490" s="25" t="n"/>
      <c r="AC6490" s="195" t="n"/>
      <c r="AD6490" s="25" t="n"/>
      <c r="AE6490" s="25" t="n"/>
      <c r="AG6490" s="25" t="n"/>
      <c r="AH6490" s="25" t="n"/>
      <c r="AI6490" s="394" t="n"/>
      <c r="AM6490" s="48" t="n"/>
      <c r="AN6490" s="48" t="n"/>
      <c r="AO6490" s="48" t="n"/>
    </row>
    <row r="6491">
      <c r="M6491" s="25" t="n"/>
      <c r="Q6491" s="25" t="n"/>
      <c r="U6491" s="194" t="n"/>
      <c r="AA6491" s="25" t="n"/>
      <c r="AB6491" s="25" t="n"/>
      <c r="AC6491" s="195" t="n"/>
      <c r="AD6491" s="25" t="n"/>
      <c r="AE6491" s="25" t="n"/>
      <c r="AG6491" s="25" t="n"/>
      <c r="AH6491" s="25" t="n"/>
      <c r="AI6491" s="394" t="n"/>
      <c r="AM6491" s="48" t="n"/>
      <c r="AN6491" s="48" t="n"/>
      <c r="AO6491" s="48" t="n"/>
    </row>
    <row r="6492">
      <c r="M6492" s="25" t="n"/>
      <c r="Q6492" s="25" t="n"/>
      <c r="U6492" s="194" t="n"/>
      <c r="AA6492" s="25" t="n"/>
      <c r="AB6492" s="25" t="n"/>
      <c r="AC6492" s="195" t="n"/>
      <c r="AD6492" s="25" t="n"/>
      <c r="AE6492" s="25" t="n"/>
      <c r="AG6492" s="25" t="n"/>
      <c r="AH6492" s="25" t="n"/>
      <c r="AI6492" s="394" t="n"/>
      <c r="AM6492" s="48" t="n"/>
      <c r="AN6492" s="48" t="n"/>
      <c r="AO6492" s="48" t="n"/>
    </row>
    <row r="6493">
      <c r="M6493" s="25" t="n"/>
      <c r="Q6493" s="25" t="n"/>
      <c r="U6493" s="194" t="n"/>
      <c r="AA6493" s="25" t="n"/>
      <c r="AB6493" s="25" t="n"/>
      <c r="AC6493" s="195" t="n"/>
      <c r="AD6493" s="25" t="n"/>
      <c r="AE6493" s="25" t="n"/>
      <c r="AG6493" s="25" t="n"/>
      <c r="AH6493" s="25" t="n"/>
      <c r="AI6493" s="394" t="n"/>
      <c r="AM6493" s="48" t="n"/>
      <c r="AN6493" s="48" t="n"/>
      <c r="AO6493" s="48" t="n"/>
    </row>
    <row r="6494">
      <c r="M6494" s="25" t="n"/>
      <c r="Q6494" s="25" t="n"/>
      <c r="U6494" s="194" t="n"/>
      <c r="AA6494" s="25" t="n"/>
      <c r="AB6494" s="25" t="n"/>
      <c r="AC6494" s="195" t="n"/>
      <c r="AD6494" s="25" t="n"/>
      <c r="AE6494" s="25" t="n"/>
      <c r="AG6494" s="25" t="n"/>
      <c r="AH6494" s="25" t="n"/>
      <c r="AI6494" s="394" t="n"/>
      <c r="AM6494" s="48" t="n"/>
      <c r="AN6494" s="48" t="n"/>
      <c r="AO6494" s="48" t="n"/>
    </row>
    <row r="6495">
      <c r="M6495" s="25" t="n"/>
      <c r="Q6495" s="25" t="n"/>
      <c r="U6495" s="194" t="n"/>
      <c r="AA6495" s="25" t="n"/>
      <c r="AB6495" s="25" t="n"/>
      <c r="AC6495" s="195" t="n"/>
      <c r="AD6495" s="25" t="n"/>
      <c r="AE6495" s="25" t="n"/>
      <c r="AG6495" s="25" t="n"/>
      <c r="AH6495" s="25" t="n"/>
      <c r="AI6495" s="394" t="n"/>
      <c r="AM6495" s="48" t="n"/>
      <c r="AN6495" s="48" t="n"/>
      <c r="AO6495" s="48" t="n"/>
    </row>
    <row r="6496">
      <c r="M6496" s="25" t="n"/>
      <c r="Q6496" s="25" t="n"/>
      <c r="U6496" s="194" t="n"/>
      <c r="AA6496" s="25" t="n"/>
      <c r="AB6496" s="25" t="n"/>
      <c r="AC6496" s="195" t="n"/>
      <c r="AD6496" s="25" t="n"/>
      <c r="AE6496" s="25" t="n"/>
      <c r="AG6496" s="25" t="n"/>
      <c r="AH6496" s="25" t="n"/>
      <c r="AI6496" s="394" t="n"/>
      <c r="AM6496" s="48" t="n"/>
      <c r="AN6496" s="48" t="n"/>
      <c r="AO6496" s="48" t="n"/>
    </row>
    <row r="6497">
      <c r="M6497" s="25" t="n"/>
      <c r="Q6497" s="25" t="n"/>
      <c r="U6497" s="194" t="n"/>
      <c r="AA6497" s="25" t="n"/>
      <c r="AB6497" s="25" t="n"/>
      <c r="AC6497" s="195" t="n"/>
      <c r="AD6497" s="25" t="n"/>
      <c r="AE6497" s="25" t="n"/>
      <c r="AG6497" s="25" t="n"/>
      <c r="AH6497" s="25" t="n"/>
      <c r="AI6497" s="394" t="n"/>
      <c r="AM6497" s="48" t="n"/>
      <c r="AN6497" s="48" t="n"/>
      <c r="AO6497" s="48" t="n"/>
    </row>
    <row r="6498">
      <c r="M6498" s="25" t="n"/>
      <c r="Q6498" s="25" t="n"/>
      <c r="U6498" s="194" t="n"/>
      <c r="AA6498" s="25" t="n"/>
      <c r="AB6498" s="25" t="n"/>
      <c r="AC6498" s="195" t="n"/>
      <c r="AD6498" s="25" t="n"/>
      <c r="AE6498" s="25" t="n"/>
      <c r="AG6498" s="25" t="n"/>
      <c r="AH6498" s="25" t="n"/>
      <c r="AI6498" s="394" t="n"/>
      <c r="AM6498" s="48" t="n"/>
      <c r="AN6498" s="48" t="n"/>
      <c r="AO6498" s="48" t="n"/>
    </row>
    <row r="6499">
      <c r="M6499" s="25" t="n"/>
      <c r="Q6499" s="25" t="n"/>
      <c r="U6499" s="194" t="n"/>
      <c r="AA6499" s="25" t="n"/>
      <c r="AB6499" s="25" t="n"/>
      <c r="AC6499" s="195" t="n"/>
      <c r="AD6499" s="25" t="n"/>
      <c r="AE6499" s="25" t="n"/>
      <c r="AG6499" s="25" t="n"/>
      <c r="AH6499" s="25" t="n"/>
      <c r="AI6499" s="394" t="n"/>
      <c r="AM6499" s="48" t="n"/>
      <c r="AN6499" s="48" t="n"/>
      <c r="AO6499" s="48" t="n"/>
    </row>
    <row r="6500">
      <c r="M6500" s="25" t="n"/>
      <c r="Q6500" s="25" t="n"/>
      <c r="U6500" s="194" t="n"/>
      <c r="AA6500" s="25" t="n"/>
      <c r="AB6500" s="25" t="n"/>
      <c r="AC6500" s="195" t="n"/>
      <c r="AD6500" s="25" t="n"/>
      <c r="AE6500" s="25" t="n"/>
      <c r="AG6500" s="25" t="n"/>
      <c r="AH6500" s="25" t="n"/>
      <c r="AI6500" s="394" t="n"/>
      <c r="AM6500" s="48" t="n"/>
      <c r="AN6500" s="48" t="n"/>
      <c r="AO6500" s="48" t="n"/>
    </row>
    <row r="6501">
      <c r="M6501" s="25" t="n"/>
      <c r="Q6501" s="25" t="n"/>
      <c r="U6501" s="194" t="n"/>
      <c r="AA6501" s="25" t="n"/>
      <c r="AB6501" s="25" t="n"/>
      <c r="AC6501" s="195" t="n"/>
      <c r="AD6501" s="25" t="n"/>
      <c r="AE6501" s="25" t="n"/>
      <c r="AG6501" s="25" t="n"/>
      <c r="AH6501" s="25" t="n"/>
      <c r="AI6501" s="394" t="n"/>
      <c r="AM6501" s="48" t="n"/>
      <c r="AN6501" s="48" t="n"/>
      <c r="AO6501" s="48" t="n"/>
    </row>
    <row r="6502">
      <c r="M6502" s="25" t="n"/>
      <c r="Q6502" s="25" t="n"/>
      <c r="U6502" s="194" t="n"/>
      <c r="AA6502" s="25" t="n"/>
      <c r="AB6502" s="25" t="n"/>
      <c r="AC6502" s="195" t="n"/>
      <c r="AD6502" s="25" t="n"/>
      <c r="AE6502" s="25" t="n"/>
      <c r="AG6502" s="25" t="n"/>
      <c r="AH6502" s="25" t="n"/>
      <c r="AI6502" s="394" t="n"/>
      <c r="AM6502" s="48" t="n"/>
      <c r="AN6502" s="48" t="n"/>
      <c r="AO6502" s="48" t="n"/>
    </row>
    <row r="6503">
      <c r="M6503" s="25" t="n"/>
      <c r="Q6503" s="25" t="n"/>
      <c r="U6503" s="194" t="n"/>
      <c r="AA6503" s="25" t="n"/>
      <c r="AB6503" s="25" t="n"/>
      <c r="AC6503" s="195" t="n"/>
      <c r="AD6503" s="25" t="n"/>
      <c r="AE6503" s="25" t="n"/>
      <c r="AG6503" s="25" t="n"/>
      <c r="AH6503" s="25" t="n"/>
      <c r="AI6503" s="394" t="n"/>
      <c r="AM6503" s="48" t="n"/>
      <c r="AN6503" s="48" t="n"/>
      <c r="AO6503" s="48" t="n"/>
    </row>
    <row r="6504">
      <c r="M6504" s="25" t="n"/>
      <c r="Q6504" s="25" t="n"/>
      <c r="U6504" s="194" t="n"/>
      <c r="AA6504" s="25" t="n"/>
      <c r="AB6504" s="25" t="n"/>
      <c r="AC6504" s="195" t="n"/>
      <c r="AD6504" s="25" t="n"/>
      <c r="AE6504" s="25" t="n"/>
      <c r="AG6504" s="25" t="n"/>
      <c r="AH6504" s="25" t="n"/>
      <c r="AI6504" s="394" t="n"/>
      <c r="AM6504" s="48" t="n"/>
      <c r="AN6504" s="48" t="n"/>
      <c r="AO6504" s="48" t="n"/>
    </row>
    <row r="6505">
      <c r="M6505" s="25" t="n"/>
      <c r="Q6505" s="25" t="n"/>
      <c r="U6505" s="194" t="n"/>
      <c r="AA6505" s="25" t="n"/>
      <c r="AB6505" s="25" t="n"/>
      <c r="AC6505" s="195" t="n"/>
      <c r="AD6505" s="25" t="n"/>
      <c r="AE6505" s="25" t="n"/>
      <c r="AG6505" s="25" t="n"/>
      <c r="AH6505" s="25" t="n"/>
      <c r="AI6505" s="394" t="n"/>
      <c r="AM6505" s="48" t="n"/>
      <c r="AN6505" s="48" t="n"/>
      <c r="AO6505" s="48" t="n"/>
    </row>
    <row r="6506">
      <c r="M6506" s="25" t="n"/>
      <c r="Q6506" s="25" t="n"/>
      <c r="U6506" s="194" t="n"/>
      <c r="AA6506" s="25" t="n"/>
      <c r="AB6506" s="25" t="n"/>
      <c r="AC6506" s="195" t="n"/>
      <c r="AD6506" s="25" t="n"/>
      <c r="AE6506" s="25" t="n"/>
      <c r="AG6506" s="25" t="n"/>
      <c r="AH6506" s="25" t="n"/>
      <c r="AI6506" s="394" t="n"/>
      <c r="AM6506" s="48" t="n"/>
      <c r="AN6506" s="48" t="n"/>
      <c r="AO6506" s="48" t="n"/>
    </row>
    <row r="6507">
      <c r="M6507" s="25" t="n"/>
      <c r="Q6507" s="25" t="n"/>
      <c r="U6507" s="194" t="n"/>
      <c r="AA6507" s="25" t="n"/>
      <c r="AB6507" s="25" t="n"/>
      <c r="AC6507" s="195" t="n"/>
      <c r="AD6507" s="25" t="n"/>
      <c r="AE6507" s="25" t="n"/>
      <c r="AG6507" s="25" t="n"/>
      <c r="AH6507" s="25" t="n"/>
      <c r="AI6507" s="394" t="n"/>
      <c r="AM6507" s="48" t="n"/>
      <c r="AN6507" s="48" t="n"/>
      <c r="AO6507" s="48" t="n"/>
    </row>
    <row r="6508">
      <c r="M6508" s="25" t="n"/>
      <c r="Q6508" s="25" t="n"/>
      <c r="U6508" s="194" t="n"/>
      <c r="AA6508" s="25" t="n"/>
      <c r="AB6508" s="25" t="n"/>
      <c r="AC6508" s="195" t="n"/>
      <c r="AD6508" s="25" t="n"/>
      <c r="AE6508" s="25" t="n"/>
      <c r="AG6508" s="25" t="n"/>
      <c r="AH6508" s="25" t="n"/>
      <c r="AI6508" s="394" t="n"/>
      <c r="AM6508" s="48" t="n"/>
      <c r="AN6508" s="48" t="n"/>
      <c r="AO6508" s="48" t="n"/>
    </row>
    <row r="6509">
      <c r="M6509" s="25" t="n"/>
      <c r="Q6509" s="25" t="n"/>
      <c r="U6509" s="194" t="n"/>
      <c r="AA6509" s="25" t="n"/>
      <c r="AB6509" s="25" t="n"/>
      <c r="AC6509" s="195" t="n"/>
      <c r="AD6509" s="25" t="n"/>
      <c r="AE6509" s="25" t="n"/>
      <c r="AG6509" s="25" t="n"/>
      <c r="AH6509" s="25" t="n"/>
      <c r="AI6509" s="394" t="n"/>
      <c r="AM6509" s="48" t="n"/>
      <c r="AN6509" s="48" t="n"/>
      <c r="AO6509" s="48" t="n"/>
    </row>
    <row r="6510">
      <c r="M6510" s="25" t="n"/>
      <c r="Q6510" s="25" t="n"/>
      <c r="U6510" s="194" t="n"/>
      <c r="AA6510" s="25" t="n"/>
      <c r="AB6510" s="25" t="n"/>
      <c r="AC6510" s="195" t="n"/>
      <c r="AD6510" s="25" t="n"/>
      <c r="AE6510" s="25" t="n"/>
      <c r="AG6510" s="25" t="n"/>
      <c r="AH6510" s="25" t="n"/>
      <c r="AI6510" s="394" t="n"/>
      <c r="AM6510" s="48" t="n"/>
      <c r="AN6510" s="48" t="n"/>
      <c r="AO6510" s="48" t="n"/>
    </row>
    <row r="6511">
      <c r="M6511" s="25" t="n"/>
      <c r="Q6511" s="25" t="n"/>
      <c r="U6511" s="194" t="n"/>
      <c r="AA6511" s="25" t="n"/>
      <c r="AB6511" s="25" t="n"/>
      <c r="AC6511" s="195" t="n"/>
      <c r="AD6511" s="25" t="n"/>
      <c r="AE6511" s="25" t="n"/>
      <c r="AG6511" s="25" t="n"/>
      <c r="AH6511" s="25" t="n"/>
      <c r="AI6511" s="394" t="n"/>
      <c r="AM6511" s="48" t="n"/>
      <c r="AN6511" s="48" t="n"/>
      <c r="AO6511" s="48" t="n"/>
    </row>
    <row r="6512">
      <c r="M6512" s="25" t="n"/>
      <c r="Q6512" s="25" t="n"/>
      <c r="U6512" s="194" t="n"/>
      <c r="AA6512" s="25" t="n"/>
      <c r="AB6512" s="25" t="n"/>
      <c r="AC6512" s="195" t="n"/>
      <c r="AD6512" s="25" t="n"/>
      <c r="AE6512" s="25" t="n"/>
      <c r="AG6512" s="25" t="n"/>
      <c r="AH6512" s="25" t="n"/>
      <c r="AI6512" s="394" t="n"/>
      <c r="AM6512" s="48" t="n"/>
      <c r="AN6512" s="48" t="n"/>
      <c r="AO6512" s="48" t="n"/>
    </row>
    <row r="6513">
      <c r="M6513" s="25" t="n"/>
      <c r="Q6513" s="25" t="n"/>
      <c r="U6513" s="194" t="n"/>
      <c r="AA6513" s="25" t="n"/>
      <c r="AB6513" s="25" t="n"/>
      <c r="AC6513" s="195" t="n"/>
      <c r="AD6513" s="25" t="n"/>
      <c r="AE6513" s="25" t="n"/>
      <c r="AG6513" s="25" t="n"/>
      <c r="AH6513" s="25" t="n"/>
      <c r="AI6513" s="394" t="n"/>
      <c r="AM6513" s="48" t="n"/>
      <c r="AN6513" s="48" t="n"/>
      <c r="AO6513" s="48" t="n"/>
    </row>
    <row r="6514">
      <c r="M6514" s="25" t="n"/>
      <c r="Q6514" s="25" t="n"/>
      <c r="U6514" s="194" t="n"/>
      <c r="AA6514" s="25" t="n"/>
      <c r="AB6514" s="25" t="n"/>
      <c r="AC6514" s="195" t="n"/>
      <c r="AD6514" s="25" t="n"/>
      <c r="AE6514" s="25" t="n"/>
      <c r="AG6514" s="25" t="n"/>
      <c r="AH6514" s="25" t="n"/>
      <c r="AI6514" s="394" t="n"/>
      <c r="AM6514" s="48" t="n"/>
      <c r="AN6514" s="48" t="n"/>
      <c r="AO6514" s="48" t="n"/>
    </row>
    <row r="6515">
      <c r="M6515" s="25" t="n"/>
      <c r="Q6515" s="25" t="n"/>
      <c r="U6515" s="194" t="n"/>
      <c r="AA6515" s="25" t="n"/>
      <c r="AB6515" s="25" t="n"/>
      <c r="AC6515" s="195" t="n"/>
      <c r="AD6515" s="25" t="n"/>
      <c r="AE6515" s="25" t="n"/>
      <c r="AG6515" s="25" t="n"/>
      <c r="AH6515" s="25" t="n"/>
      <c r="AI6515" s="394" t="n"/>
      <c r="AM6515" s="48" t="n"/>
      <c r="AN6515" s="48" t="n"/>
      <c r="AO6515" s="48" t="n"/>
    </row>
    <row r="6516">
      <c r="M6516" s="25" t="n"/>
      <c r="Q6516" s="25" t="n"/>
      <c r="U6516" s="194" t="n"/>
      <c r="AA6516" s="25" t="n"/>
      <c r="AB6516" s="25" t="n"/>
      <c r="AC6516" s="195" t="n"/>
      <c r="AD6516" s="25" t="n"/>
      <c r="AE6516" s="25" t="n"/>
      <c r="AG6516" s="25" t="n"/>
      <c r="AH6516" s="25" t="n"/>
      <c r="AI6516" s="394" t="n"/>
      <c r="AM6516" s="48" t="n"/>
      <c r="AN6516" s="48" t="n"/>
      <c r="AO6516" s="48" t="n"/>
    </row>
    <row r="6517">
      <c r="M6517" s="25" t="n"/>
      <c r="Q6517" s="25" t="n"/>
      <c r="U6517" s="194" t="n"/>
      <c r="AA6517" s="25" t="n"/>
      <c r="AB6517" s="25" t="n"/>
      <c r="AC6517" s="195" t="n"/>
      <c r="AD6517" s="25" t="n"/>
      <c r="AE6517" s="25" t="n"/>
      <c r="AG6517" s="25" t="n"/>
      <c r="AH6517" s="25" t="n"/>
      <c r="AI6517" s="394" t="n"/>
      <c r="AM6517" s="48" t="n"/>
      <c r="AN6517" s="48" t="n"/>
      <c r="AO6517" s="48" t="n"/>
    </row>
    <row r="6518">
      <c r="M6518" s="25" t="n"/>
      <c r="Q6518" s="25" t="n"/>
      <c r="U6518" s="194" t="n"/>
      <c r="AA6518" s="25" t="n"/>
      <c r="AB6518" s="25" t="n"/>
      <c r="AC6518" s="195" t="n"/>
      <c r="AD6518" s="25" t="n"/>
      <c r="AE6518" s="25" t="n"/>
      <c r="AG6518" s="25" t="n"/>
      <c r="AH6518" s="25" t="n"/>
      <c r="AI6518" s="394" t="n"/>
      <c r="AM6518" s="48" t="n"/>
      <c r="AN6518" s="48" t="n"/>
      <c r="AO6518" s="48" t="n"/>
    </row>
    <row r="6519">
      <c r="M6519" s="25" t="n"/>
      <c r="Q6519" s="25" t="n"/>
      <c r="U6519" s="194" t="n"/>
      <c r="AA6519" s="25" t="n"/>
      <c r="AB6519" s="25" t="n"/>
      <c r="AC6519" s="195" t="n"/>
      <c r="AD6519" s="25" t="n"/>
      <c r="AE6519" s="25" t="n"/>
      <c r="AG6519" s="25" t="n"/>
      <c r="AH6519" s="25" t="n"/>
      <c r="AI6519" s="394" t="n"/>
      <c r="AM6519" s="48" t="n"/>
      <c r="AN6519" s="48" t="n"/>
      <c r="AO6519" s="48" t="n"/>
    </row>
    <row r="6520">
      <c r="M6520" s="25" t="n"/>
      <c r="Q6520" s="25" t="n"/>
      <c r="U6520" s="194" t="n"/>
      <c r="AA6520" s="25" t="n"/>
      <c r="AB6520" s="25" t="n"/>
      <c r="AC6520" s="195" t="n"/>
      <c r="AD6520" s="25" t="n"/>
      <c r="AE6520" s="25" t="n"/>
      <c r="AG6520" s="25" t="n"/>
      <c r="AH6520" s="25" t="n"/>
      <c r="AI6520" s="394" t="n"/>
      <c r="AM6520" s="48" t="n"/>
      <c r="AN6520" s="48" t="n"/>
      <c r="AO6520" s="48" t="n"/>
    </row>
    <row r="6521">
      <c r="M6521" s="25" t="n"/>
      <c r="Q6521" s="25" t="n"/>
      <c r="U6521" s="194" t="n"/>
      <c r="AA6521" s="25" t="n"/>
      <c r="AB6521" s="25" t="n"/>
      <c r="AC6521" s="195" t="n"/>
      <c r="AD6521" s="25" t="n"/>
      <c r="AE6521" s="25" t="n"/>
      <c r="AG6521" s="25" t="n"/>
      <c r="AH6521" s="25" t="n"/>
      <c r="AI6521" s="394" t="n"/>
      <c r="AM6521" s="48" t="n"/>
      <c r="AN6521" s="48" t="n"/>
      <c r="AO6521" s="48" t="n"/>
    </row>
    <row r="6522">
      <c r="M6522" s="25" t="n"/>
      <c r="Q6522" s="25" t="n"/>
      <c r="U6522" s="194" t="n"/>
      <c r="AA6522" s="25" t="n"/>
      <c r="AB6522" s="25" t="n"/>
      <c r="AC6522" s="195" t="n"/>
      <c r="AD6522" s="25" t="n"/>
      <c r="AE6522" s="25" t="n"/>
      <c r="AG6522" s="25" t="n"/>
      <c r="AH6522" s="25" t="n"/>
      <c r="AI6522" s="394" t="n"/>
      <c r="AM6522" s="48" t="n"/>
      <c r="AN6522" s="48" t="n"/>
      <c r="AO6522" s="48" t="n"/>
    </row>
    <row r="6523">
      <c r="M6523" s="25" t="n"/>
      <c r="Q6523" s="25" t="n"/>
      <c r="U6523" s="194" t="n"/>
      <c r="AA6523" s="25" t="n"/>
      <c r="AB6523" s="25" t="n"/>
      <c r="AC6523" s="195" t="n"/>
      <c r="AD6523" s="25" t="n"/>
      <c r="AE6523" s="25" t="n"/>
      <c r="AG6523" s="25" t="n"/>
      <c r="AH6523" s="25" t="n"/>
      <c r="AI6523" s="394" t="n"/>
      <c r="AM6523" s="48" t="n"/>
      <c r="AN6523" s="48" t="n"/>
      <c r="AO6523" s="48" t="n"/>
    </row>
    <row r="6524">
      <c r="M6524" s="25" t="n"/>
      <c r="Q6524" s="25" t="n"/>
      <c r="U6524" s="194" t="n"/>
      <c r="AA6524" s="25" t="n"/>
      <c r="AB6524" s="25" t="n"/>
      <c r="AC6524" s="195" t="n"/>
      <c r="AD6524" s="25" t="n"/>
      <c r="AE6524" s="25" t="n"/>
      <c r="AG6524" s="25" t="n"/>
      <c r="AH6524" s="25" t="n"/>
      <c r="AI6524" s="394" t="n"/>
      <c r="AM6524" s="48" t="n"/>
      <c r="AN6524" s="48" t="n"/>
      <c r="AO6524" s="48" t="n"/>
    </row>
    <row r="6525">
      <c r="M6525" s="25" t="n"/>
      <c r="Q6525" s="25" t="n"/>
      <c r="U6525" s="194" t="n"/>
      <c r="AA6525" s="25" t="n"/>
      <c r="AB6525" s="25" t="n"/>
      <c r="AC6525" s="195" t="n"/>
      <c r="AD6525" s="25" t="n"/>
      <c r="AE6525" s="25" t="n"/>
      <c r="AG6525" s="25" t="n"/>
      <c r="AH6525" s="25" t="n"/>
      <c r="AI6525" s="394" t="n"/>
      <c r="AM6525" s="48" t="n"/>
      <c r="AN6525" s="48" t="n"/>
      <c r="AO6525" s="48" t="n"/>
    </row>
    <row r="6526">
      <c r="M6526" s="25" t="n"/>
      <c r="Q6526" s="25" t="n"/>
      <c r="U6526" s="194" t="n"/>
      <c r="AA6526" s="25" t="n"/>
      <c r="AB6526" s="25" t="n"/>
      <c r="AC6526" s="195" t="n"/>
      <c r="AD6526" s="25" t="n"/>
      <c r="AE6526" s="25" t="n"/>
      <c r="AG6526" s="25" t="n"/>
      <c r="AH6526" s="25" t="n"/>
      <c r="AI6526" s="394" t="n"/>
      <c r="AM6526" s="48" t="n"/>
      <c r="AN6526" s="48" t="n"/>
      <c r="AO6526" s="48" t="n"/>
    </row>
    <row r="6527">
      <c r="M6527" s="25" t="n"/>
      <c r="Q6527" s="25" t="n"/>
      <c r="U6527" s="194" t="n"/>
      <c r="AA6527" s="25" t="n"/>
      <c r="AB6527" s="25" t="n"/>
      <c r="AC6527" s="195" t="n"/>
      <c r="AD6527" s="25" t="n"/>
      <c r="AE6527" s="25" t="n"/>
      <c r="AG6527" s="25" t="n"/>
      <c r="AH6527" s="25" t="n"/>
      <c r="AI6527" s="394" t="n"/>
      <c r="AM6527" s="48" t="n"/>
      <c r="AN6527" s="48" t="n"/>
      <c r="AO6527" s="48" t="n"/>
    </row>
    <row r="6528">
      <c r="M6528" s="25" t="n"/>
      <c r="Q6528" s="25" t="n"/>
      <c r="U6528" s="194" t="n"/>
      <c r="AA6528" s="25" t="n"/>
      <c r="AB6528" s="25" t="n"/>
      <c r="AC6528" s="195" t="n"/>
      <c r="AD6528" s="25" t="n"/>
      <c r="AE6528" s="25" t="n"/>
      <c r="AG6528" s="25" t="n"/>
      <c r="AH6528" s="25" t="n"/>
      <c r="AI6528" s="394" t="n"/>
      <c r="AM6528" s="48" t="n"/>
      <c r="AN6528" s="48" t="n"/>
      <c r="AO6528" s="48" t="n"/>
    </row>
    <row r="6529">
      <c r="M6529" s="25" t="n"/>
      <c r="Q6529" s="25" t="n"/>
      <c r="U6529" s="194" t="n"/>
      <c r="AA6529" s="25" t="n"/>
      <c r="AB6529" s="25" t="n"/>
      <c r="AC6529" s="195" t="n"/>
      <c r="AD6529" s="25" t="n"/>
      <c r="AE6529" s="25" t="n"/>
      <c r="AG6529" s="25" t="n"/>
      <c r="AH6529" s="25" t="n"/>
      <c r="AI6529" s="394" t="n"/>
      <c r="AM6529" s="48" t="n"/>
      <c r="AN6529" s="48" t="n"/>
      <c r="AO6529" s="48" t="n"/>
    </row>
    <row r="6530">
      <c r="M6530" s="25" t="n"/>
      <c r="Q6530" s="25" t="n"/>
      <c r="U6530" s="194" t="n"/>
      <c r="AA6530" s="25" t="n"/>
      <c r="AB6530" s="25" t="n"/>
      <c r="AC6530" s="195" t="n"/>
      <c r="AD6530" s="25" t="n"/>
      <c r="AE6530" s="25" t="n"/>
      <c r="AG6530" s="25" t="n"/>
      <c r="AH6530" s="25" t="n"/>
      <c r="AI6530" s="394" t="n"/>
      <c r="AM6530" s="48" t="n"/>
      <c r="AN6530" s="48" t="n"/>
      <c r="AO6530" s="48" t="n"/>
    </row>
    <row r="6531">
      <c r="M6531" s="25" t="n"/>
      <c r="Q6531" s="25" t="n"/>
      <c r="U6531" s="194" t="n"/>
      <c r="AA6531" s="25" t="n"/>
      <c r="AB6531" s="25" t="n"/>
      <c r="AC6531" s="195" t="n"/>
      <c r="AD6531" s="25" t="n"/>
      <c r="AE6531" s="25" t="n"/>
      <c r="AG6531" s="25" t="n"/>
      <c r="AH6531" s="25" t="n"/>
      <c r="AI6531" s="394" t="n"/>
      <c r="AM6531" s="48" t="n"/>
      <c r="AN6531" s="48" t="n"/>
      <c r="AO6531" s="48" t="n"/>
    </row>
    <row r="6532">
      <c r="M6532" s="25" t="n"/>
      <c r="Q6532" s="25" t="n"/>
      <c r="U6532" s="194" t="n"/>
      <c r="AA6532" s="25" t="n"/>
      <c r="AB6532" s="25" t="n"/>
      <c r="AC6532" s="195" t="n"/>
      <c r="AD6532" s="25" t="n"/>
      <c r="AE6532" s="25" t="n"/>
      <c r="AG6532" s="25" t="n"/>
      <c r="AH6532" s="25" t="n"/>
      <c r="AI6532" s="394" t="n"/>
      <c r="AM6532" s="48" t="n"/>
      <c r="AN6532" s="48" t="n"/>
      <c r="AO6532" s="48" t="n"/>
    </row>
    <row r="6533">
      <c r="M6533" s="25" t="n"/>
      <c r="Q6533" s="25" t="n"/>
      <c r="U6533" s="194" t="n"/>
      <c r="AA6533" s="25" t="n"/>
      <c r="AB6533" s="25" t="n"/>
      <c r="AC6533" s="195" t="n"/>
      <c r="AD6533" s="25" t="n"/>
      <c r="AE6533" s="25" t="n"/>
      <c r="AG6533" s="25" t="n"/>
      <c r="AH6533" s="25" t="n"/>
      <c r="AI6533" s="394" t="n"/>
      <c r="AM6533" s="48" t="n"/>
      <c r="AN6533" s="48" t="n"/>
      <c r="AO6533" s="48" t="n"/>
    </row>
    <row r="6534">
      <c r="M6534" s="25" t="n"/>
      <c r="Q6534" s="25" t="n"/>
      <c r="U6534" s="194" t="n"/>
      <c r="AA6534" s="25" t="n"/>
      <c r="AB6534" s="25" t="n"/>
      <c r="AC6534" s="195" t="n"/>
      <c r="AD6534" s="25" t="n"/>
      <c r="AE6534" s="25" t="n"/>
      <c r="AG6534" s="25" t="n"/>
      <c r="AH6534" s="25" t="n"/>
      <c r="AI6534" s="394" t="n"/>
      <c r="AM6534" s="48" t="n"/>
      <c r="AN6534" s="48" t="n"/>
      <c r="AO6534" s="48" t="n"/>
    </row>
    <row r="6535">
      <c r="M6535" s="25" t="n"/>
      <c r="Q6535" s="25" t="n"/>
      <c r="U6535" s="194" t="n"/>
      <c r="AA6535" s="25" t="n"/>
      <c r="AB6535" s="25" t="n"/>
      <c r="AC6535" s="195" t="n"/>
      <c r="AD6535" s="25" t="n"/>
      <c r="AE6535" s="25" t="n"/>
      <c r="AG6535" s="25" t="n"/>
      <c r="AH6535" s="25" t="n"/>
      <c r="AI6535" s="394" t="n"/>
      <c r="AM6535" s="48" t="n"/>
      <c r="AN6535" s="48" t="n"/>
      <c r="AO6535" s="48" t="n"/>
    </row>
    <row r="6536">
      <c r="M6536" s="25" t="n"/>
      <c r="Q6536" s="25" t="n"/>
      <c r="U6536" s="194" t="n"/>
      <c r="AA6536" s="25" t="n"/>
      <c r="AB6536" s="25" t="n"/>
      <c r="AC6536" s="195" t="n"/>
      <c r="AD6536" s="25" t="n"/>
      <c r="AE6536" s="25" t="n"/>
      <c r="AG6536" s="25" t="n"/>
      <c r="AH6536" s="25" t="n"/>
      <c r="AI6536" s="394" t="n"/>
      <c r="AM6536" s="48" t="n"/>
      <c r="AN6536" s="48" t="n"/>
      <c r="AO6536" s="48" t="n"/>
    </row>
    <row r="6537">
      <c r="M6537" s="25" t="n"/>
      <c r="Q6537" s="25" t="n"/>
      <c r="U6537" s="194" t="n"/>
      <c r="AA6537" s="25" t="n"/>
      <c r="AB6537" s="25" t="n"/>
      <c r="AC6537" s="195" t="n"/>
      <c r="AD6537" s="25" t="n"/>
      <c r="AE6537" s="25" t="n"/>
      <c r="AG6537" s="25" t="n"/>
      <c r="AH6537" s="25" t="n"/>
      <c r="AI6537" s="394" t="n"/>
      <c r="AM6537" s="48" t="n"/>
      <c r="AN6537" s="48" t="n"/>
      <c r="AO6537" s="48" t="n"/>
    </row>
    <row r="6538">
      <c r="M6538" s="25" t="n"/>
      <c r="Q6538" s="25" t="n"/>
      <c r="U6538" s="194" t="n"/>
      <c r="AA6538" s="25" t="n"/>
      <c r="AB6538" s="25" t="n"/>
      <c r="AC6538" s="195" t="n"/>
      <c r="AD6538" s="25" t="n"/>
      <c r="AE6538" s="25" t="n"/>
      <c r="AG6538" s="25" t="n"/>
      <c r="AH6538" s="25" t="n"/>
      <c r="AI6538" s="394" t="n"/>
      <c r="AM6538" s="48" t="n"/>
      <c r="AN6538" s="48" t="n"/>
      <c r="AO6538" s="48" t="n"/>
    </row>
    <row r="6539">
      <c r="M6539" s="25" t="n"/>
      <c r="Q6539" s="25" t="n"/>
      <c r="U6539" s="194" t="n"/>
      <c r="AA6539" s="25" t="n"/>
      <c r="AB6539" s="25" t="n"/>
      <c r="AC6539" s="195" t="n"/>
      <c r="AD6539" s="25" t="n"/>
      <c r="AE6539" s="25" t="n"/>
      <c r="AG6539" s="25" t="n"/>
      <c r="AH6539" s="25" t="n"/>
      <c r="AI6539" s="394" t="n"/>
      <c r="AM6539" s="48" t="n"/>
      <c r="AN6539" s="48" t="n"/>
      <c r="AO6539" s="48" t="n"/>
    </row>
    <row r="6540">
      <c r="M6540" s="25" t="n"/>
      <c r="Q6540" s="25" t="n"/>
      <c r="U6540" s="194" t="n"/>
      <c r="AA6540" s="25" t="n"/>
      <c r="AB6540" s="25" t="n"/>
      <c r="AC6540" s="195" t="n"/>
      <c r="AD6540" s="25" t="n"/>
      <c r="AE6540" s="25" t="n"/>
      <c r="AG6540" s="25" t="n"/>
      <c r="AH6540" s="25" t="n"/>
      <c r="AI6540" s="394" t="n"/>
      <c r="AM6540" s="48" t="n"/>
      <c r="AN6540" s="48" t="n"/>
      <c r="AO6540" s="48" t="n"/>
    </row>
    <row r="6541">
      <c r="M6541" s="25" t="n"/>
      <c r="Q6541" s="25" t="n"/>
      <c r="U6541" s="194" t="n"/>
      <c r="AA6541" s="25" t="n"/>
      <c r="AB6541" s="25" t="n"/>
      <c r="AC6541" s="195" t="n"/>
      <c r="AD6541" s="25" t="n"/>
      <c r="AE6541" s="25" t="n"/>
      <c r="AG6541" s="25" t="n"/>
      <c r="AH6541" s="25" t="n"/>
      <c r="AI6541" s="394" t="n"/>
      <c r="AM6541" s="48" t="n"/>
      <c r="AN6541" s="48" t="n"/>
      <c r="AO6541" s="48" t="n"/>
    </row>
    <row r="6542">
      <c r="M6542" s="25" t="n"/>
      <c r="Q6542" s="25" t="n"/>
      <c r="U6542" s="194" t="n"/>
      <c r="AA6542" s="25" t="n"/>
      <c r="AB6542" s="25" t="n"/>
      <c r="AC6542" s="195" t="n"/>
      <c r="AD6542" s="25" t="n"/>
      <c r="AE6542" s="25" t="n"/>
      <c r="AG6542" s="25" t="n"/>
      <c r="AH6542" s="25" t="n"/>
      <c r="AI6542" s="394" t="n"/>
      <c r="AM6542" s="48" t="n"/>
      <c r="AN6542" s="48" t="n"/>
      <c r="AO6542" s="48" t="n"/>
    </row>
    <row r="6543">
      <c r="M6543" s="25" t="n"/>
      <c r="Q6543" s="25" t="n"/>
      <c r="U6543" s="194" t="n"/>
      <c r="AA6543" s="25" t="n"/>
      <c r="AB6543" s="25" t="n"/>
      <c r="AC6543" s="195" t="n"/>
      <c r="AD6543" s="25" t="n"/>
      <c r="AE6543" s="25" t="n"/>
      <c r="AG6543" s="25" t="n"/>
      <c r="AH6543" s="25" t="n"/>
      <c r="AI6543" s="394" t="n"/>
      <c r="AM6543" s="48" t="n"/>
      <c r="AN6543" s="48" t="n"/>
      <c r="AO6543" s="48" t="n"/>
    </row>
    <row r="6544">
      <c r="M6544" s="25" t="n"/>
      <c r="Q6544" s="25" t="n"/>
      <c r="U6544" s="194" t="n"/>
      <c r="AA6544" s="25" t="n"/>
      <c r="AB6544" s="25" t="n"/>
      <c r="AC6544" s="195" t="n"/>
      <c r="AD6544" s="25" t="n"/>
      <c r="AE6544" s="25" t="n"/>
      <c r="AG6544" s="25" t="n"/>
      <c r="AH6544" s="25" t="n"/>
      <c r="AI6544" s="394" t="n"/>
      <c r="AM6544" s="48" t="n"/>
      <c r="AN6544" s="48" t="n"/>
      <c r="AO6544" s="48" t="n"/>
    </row>
    <row r="6545">
      <c r="M6545" s="25" t="n"/>
      <c r="Q6545" s="25" t="n"/>
      <c r="U6545" s="194" t="n"/>
      <c r="AA6545" s="25" t="n"/>
      <c r="AB6545" s="25" t="n"/>
      <c r="AC6545" s="195" t="n"/>
      <c r="AD6545" s="25" t="n"/>
      <c r="AE6545" s="25" t="n"/>
      <c r="AG6545" s="25" t="n"/>
      <c r="AH6545" s="25" t="n"/>
      <c r="AI6545" s="394" t="n"/>
      <c r="AM6545" s="48" t="n"/>
      <c r="AN6545" s="48" t="n"/>
      <c r="AO6545" s="48" t="n"/>
    </row>
    <row r="6546">
      <c r="M6546" s="25" t="n"/>
      <c r="Q6546" s="25" t="n"/>
      <c r="U6546" s="194" t="n"/>
      <c r="AA6546" s="25" t="n"/>
      <c r="AB6546" s="25" t="n"/>
      <c r="AC6546" s="195" t="n"/>
      <c r="AD6546" s="25" t="n"/>
      <c r="AE6546" s="25" t="n"/>
      <c r="AG6546" s="25" t="n"/>
      <c r="AH6546" s="25" t="n"/>
      <c r="AI6546" s="394" t="n"/>
      <c r="AM6546" s="48" t="n"/>
      <c r="AN6546" s="48" t="n"/>
      <c r="AO6546" s="48" t="n"/>
    </row>
    <row r="6547">
      <c r="M6547" s="25" t="n"/>
      <c r="Q6547" s="25" t="n"/>
      <c r="U6547" s="194" t="n"/>
      <c r="AA6547" s="25" t="n"/>
      <c r="AB6547" s="25" t="n"/>
      <c r="AC6547" s="195" t="n"/>
      <c r="AD6547" s="25" t="n"/>
      <c r="AE6547" s="25" t="n"/>
      <c r="AG6547" s="25" t="n"/>
      <c r="AH6547" s="25" t="n"/>
      <c r="AI6547" s="394" t="n"/>
      <c r="AM6547" s="48" t="n"/>
      <c r="AN6547" s="48" t="n"/>
      <c r="AO6547" s="48" t="n"/>
    </row>
    <row r="6548">
      <c r="M6548" s="25" t="n"/>
      <c r="Q6548" s="25" t="n"/>
      <c r="U6548" s="194" t="n"/>
      <c r="AA6548" s="25" t="n"/>
      <c r="AB6548" s="25" t="n"/>
      <c r="AC6548" s="195" t="n"/>
      <c r="AD6548" s="25" t="n"/>
      <c r="AE6548" s="25" t="n"/>
      <c r="AG6548" s="25" t="n"/>
      <c r="AH6548" s="25" t="n"/>
      <c r="AI6548" s="394" t="n"/>
      <c r="AM6548" s="48" t="n"/>
      <c r="AN6548" s="48" t="n"/>
      <c r="AO6548" s="48" t="n"/>
    </row>
    <row r="6549">
      <c r="M6549" s="25" t="n"/>
      <c r="Q6549" s="25" t="n"/>
      <c r="U6549" s="194" t="n"/>
      <c r="AA6549" s="25" t="n"/>
      <c r="AB6549" s="25" t="n"/>
      <c r="AC6549" s="195" t="n"/>
      <c r="AD6549" s="25" t="n"/>
      <c r="AE6549" s="25" t="n"/>
      <c r="AG6549" s="25" t="n"/>
      <c r="AH6549" s="25" t="n"/>
      <c r="AI6549" s="394" t="n"/>
      <c r="AM6549" s="48" t="n"/>
      <c r="AN6549" s="48" t="n"/>
      <c r="AO6549" s="48" t="n"/>
    </row>
    <row r="6550">
      <c r="M6550" s="25" t="n"/>
      <c r="Q6550" s="25" t="n"/>
      <c r="U6550" s="194" t="n"/>
      <c r="AA6550" s="25" t="n"/>
      <c r="AB6550" s="25" t="n"/>
      <c r="AC6550" s="195" t="n"/>
      <c r="AD6550" s="25" t="n"/>
      <c r="AE6550" s="25" t="n"/>
      <c r="AG6550" s="25" t="n"/>
      <c r="AH6550" s="25" t="n"/>
      <c r="AI6550" s="394" t="n"/>
      <c r="AM6550" s="48" t="n"/>
      <c r="AN6550" s="48" t="n"/>
      <c r="AO6550" s="48" t="n"/>
    </row>
    <row r="6551">
      <c r="M6551" s="25" t="n"/>
      <c r="Q6551" s="25" t="n"/>
      <c r="U6551" s="194" t="n"/>
      <c r="AA6551" s="25" t="n"/>
      <c r="AB6551" s="25" t="n"/>
      <c r="AC6551" s="195" t="n"/>
      <c r="AD6551" s="25" t="n"/>
      <c r="AE6551" s="25" t="n"/>
      <c r="AG6551" s="25" t="n"/>
      <c r="AH6551" s="25" t="n"/>
      <c r="AI6551" s="394" t="n"/>
      <c r="AM6551" s="48" t="n"/>
      <c r="AN6551" s="48" t="n"/>
      <c r="AO6551" s="48" t="n"/>
    </row>
    <row r="6552">
      <c r="M6552" s="25" t="n"/>
      <c r="Q6552" s="25" t="n"/>
      <c r="U6552" s="194" t="n"/>
      <c r="AA6552" s="25" t="n"/>
      <c r="AB6552" s="25" t="n"/>
      <c r="AC6552" s="195" t="n"/>
      <c r="AD6552" s="25" t="n"/>
      <c r="AE6552" s="25" t="n"/>
      <c r="AG6552" s="25" t="n"/>
      <c r="AH6552" s="25" t="n"/>
      <c r="AI6552" s="394" t="n"/>
      <c r="AM6552" s="48" t="n"/>
      <c r="AN6552" s="48" t="n"/>
      <c r="AO6552" s="48" t="n"/>
    </row>
    <row r="6553">
      <c r="M6553" s="25" t="n"/>
      <c r="Q6553" s="25" t="n"/>
      <c r="U6553" s="194" t="n"/>
      <c r="AA6553" s="25" t="n"/>
      <c r="AB6553" s="25" t="n"/>
      <c r="AC6553" s="195" t="n"/>
      <c r="AD6553" s="25" t="n"/>
      <c r="AE6553" s="25" t="n"/>
      <c r="AG6553" s="25" t="n"/>
      <c r="AH6553" s="25" t="n"/>
      <c r="AI6553" s="394" t="n"/>
      <c r="AM6553" s="48" t="n"/>
      <c r="AN6553" s="48" t="n"/>
      <c r="AO6553" s="48" t="n"/>
    </row>
    <row r="6554">
      <c r="M6554" s="25" t="n"/>
      <c r="Q6554" s="25" t="n"/>
      <c r="U6554" s="194" t="n"/>
      <c r="AA6554" s="25" t="n"/>
      <c r="AB6554" s="25" t="n"/>
      <c r="AC6554" s="195" t="n"/>
      <c r="AD6554" s="25" t="n"/>
      <c r="AE6554" s="25" t="n"/>
      <c r="AG6554" s="25" t="n"/>
      <c r="AH6554" s="25" t="n"/>
      <c r="AI6554" s="394" t="n"/>
      <c r="AM6554" s="48" t="n"/>
      <c r="AN6554" s="48" t="n"/>
      <c r="AO6554" s="48" t="n"/>
    </row>
    <row r="6555">
      <c r="M6555" s="25" t="n"/>
      <c r="Q6555" s="25" t="n"/>
      <c r="U6555" s="194" t="n"/>
      <c r="AA6555" s="25" t="n"/>
      <c r="AB6555" s="25" t="n"/>
      <c r="AC6555" s="195" t="n"/>
      <c r="AD6555" s="25" t="n"/>
      <c r="AE6555" s="25" t="n"/>
      <c r="AG6555" s="25" t="n"/>
      <c r="AH6555" s="25" t="n"/>
      <c r="AI6555" s="394" t="n"/>
      <c r="AM6555" s="48" t="n"/>
      <c r="AN6555" s="48" t="n"/>
      <c r="AO6555" s="48" t="n"/>
    </row>
    <row r="6556">
      <c r="M6556" s="25" t="n"/>
      <c r="Q6556" s="25" t="n"/>
      <c r="U6556" s="194" t="n"/>
      <c r="AA6556" s="25" t="n"/>
      <c r="AB6556" s="25" t="n"/>
      <c r="AC6556" s="195" t="n"/>
      <c r="AD6556" s="25" t="n"/>
      <c r="AE6556" s="25" t="n"/>
      <c r="AG6556" s="25" t="n"/>
      <c r="AH6556" s="25" t="n"/>
      <c r="AI6556" s="394" t="n"/>
      <c r="AM6556" s="48" t="n"/>
      <c r="AN6556" s="48" t="n"/>
      <c r="AO6556" s="48" t="n"/>
    </row>
    <row r="6557">
      <c r="M6557" s="25" t="n"/>
      <c r="Q6557" s="25" t="n"/>
      <c r="U6557" s="194" t="n"/>
      <c r="AA6557" s="25" t="n"/>
      <c r="AB6557" s="25" t="n"/>
      <c r="AC6557" s="195" t="n"/>
      <c r="AD6557" s="25" t="n"/>
      <c r="AE6557" s="25" t="n"/>
      <c r="AG6557" s="25" t="n"/>
      <c r="AH6557" s="25" t="n"/>
      <c r="AI6557" s="394" t="n"/>
      <c r="AM6557" s="48" t="n"/>
      <c r="AN6557" s="48" t="n"/>
      <c r="AO6557" s="48" t="n"/>
    </row>
    <row r="6558">
      <c r="M6558" s="25" t="n"/>
      <c r="Q6558" s="25" t="n"/>
      <c r="U6558" s="194" t="n"/>
      <c r="AA6558" s="25" t="n"/>
      <c r="AB6558" s="25" t="n"/>
      <c r="AC6558" s="195" t="n"/>
      <c r="AD6558" s="25" t="n"/>
      <c r="AE6558" s="25" t="n"/>
      <c r="AG6558" s="25" t="n"/>
      <c r="AH6558" s="25" t="n"/>
      <c r="AI6558" s="394" t="n"/>
      <c r="AM6558" s="48" t="n"/>
      <c r="AN6558" s="48" t="n"/>
      <c r="AO6558" s="48" t="n"/>
    </row>
    <row r="6559">
      <c r="M6559" s="25" t="n"/>
      <c r="Q6559" s="25" t="n"/>
      <c r="U6559" s="194" t="n"/>
      <c r="AA6559" s="25" t="n"/>
      <c r="AB6559" s="25" t="n"/>
      <c r="AC6559" s="195" t="n"/>
      <c r="AD6559" s="25" t="n"/>
      <c r="AE6559" s="25" t="n"/>
      <c r="AG6559" s="25" t="n"/>
      <c r="AH6559" s="25" t="n"/>
      <c r="AI6559" s="394" t="n"/>
      <c r="AM6559" s="48" t="n"/>
      <c r="AN6559" s="48" t="n"/>
      <c r="AO6559" s="48" t="n"/>
    </row>
    <row r="6560">
      <c r="M6560" s="25" t="n"/>
      <c r="Q6560" s="25" t="n"/>
      <c r="U6560" s="194" t="n"/>
      <c r="AA6560" s="25" t="n"/>
      <c r="AB6560" s="25" t="n"/>
      <c r="AC6560" s="195" t="n"/>
      <c r="AD6560" s="25" t="n"/>
      <c r="AE6560" s="25" t="n"/>
      <c r="AG6560" s="25" t="n"/>
      <c r="AH6560" s="25" t="n"/>
      <c r="AI6560" s="394" t="n"/>
      <c r="AM6560" s="48" t="n"/>
      <c r="AN6560" s="48" t="n"/>
      <c r="AO6560" s="48" t="n"/>
    </row>
    <row r="6561">
      <c r="M6561" s="25" t="n"/>
      <c r="Q6561" s="25" t="n"/>
      <c r="U6561" s="194" t="n"/>
      <c r="AA6561" s="25" t="n"/>
      <c r="AB6561" s="25" t="n"/>
      <c r="AC6561" s="195" t="n"/>
      <c r="AD6561" s="25" t="n"/>
      <c r="AE6561" s="25" t="n"/>
      <c r="AG6561" s="25" t="n"/>
      <c r="AH6561" s="25" t="n"/>
      <c r="AI6561" s="394" t="n"/>
      <c r="AM6561" s="48" t="n"/>
      <c r="AN6561" s="48" t="n"/>
      <c r="AO6561" s="48" t="n"/>
    </row>
    <row r="6562">
      <c r="M6562" s="25" t="n"/>
      <c r="Q6562" s="25" t="n"/>
      <c r="U6562" s="194" t="n"/>
      <c r="AA6562" s="25" t="n"/>
      <c r="AB6562" s="25" t="n"/>
      <c r="AC6562" s="195" t="n"/>
      <c r="AD6562" s="25" t="n"/>
      <c r="AE6562" s="25" t="n"/>
      <c r="AG6562" s="25" t="n"/>
      <c r="AH6562" s="25" t="n"/>
      <c r="AI6562" s="394" t="n"/>
      <c r="AM6562" s="48" t="n"/>
      <c r="AN6562" s="48" t="n"/>
      <c r="AO6562" s="48" t="n"/>
    </row>
    <row r="6563">
      <c r="M6563" s="25" t="n"/>
      <c r="Q6563" s="25" t="n"/>
      <c r="U6563" s="194" t="n"/>
      <c r="AA6563" s="25" t="n"/>
      <c r="AB6563" s="25" t="n"/>
      <c r="AC6563" s="195" t="n"/>
      <c r="AD6563" s="25" t="n"/>
      <c r="AE6563" s="25" t="n"/>
      <c r="AG6563" s="25" t="n"/>
      <c r="AH6563" s="25" t="n"/>
      <c r="AI6563" s="394" t="n"/>
      <c r="AM6563" s="48" t="n"/>
      <c r="AN6563" s="48" t="n"/>
      <c r="AO6563" s="48" t="n"/>
    </row>
    <row r="6564">
      <c r="M6564" s="25" t="n"/>
      <c r="Q6564" s="25" t="n"/>
      <c r="U6564" s="194" t="n"/>
      <c r="AA6564" s="25" t="n"/>
      <c r="AB6564" s="25" t="n"/>
      <c r="AC6564" s="195" t="n"/>
      <c r="AD6564" s="25" t="n"/>
      <c r="AE6564" s="25" t="n"/>
      <c r="AG6564" s="25" t="n"/>
      <c r="AH6564" s="25" t="n"/>
      <c r="AI6564" s="394" t="n"/>
      <c r="AM6564" s="48" t="n"/>
      <c r="AN6564" s="48" t="n"/>
      <c r="AO6564" s="48" t="n"/>
    </row>
    <row r="6565">
      <c r="M6565" s="25" t="n"/>
      <c r="Q6565" s="25" t="n"/>
      <c r="U6565" s="194" t="n"/>
      <c r="AA6565" s="25" t="n"/>
      <c r="AB6565" s="25" t="n"/>
      <c r="AC6565" s="195" t="n"/>
      <c r="AD6565" s="25" t="n"/>
      <c r="AE6565" s="25" t="n"/>
      <c r="AG6565" s="25" t="n"/>
      <c r="AH6565" s="25" t="n"/>
      <c r="AI6565" s="394" t="n"/>
      <c r="AM6565" s="48" t="n"/>
      <c r="AN6565" s="48" t="n"/>
      <c r="AO6565" s="48" t="n"/>
    </row>
    <row r="6566">
      <c r="M6566" s="25" t="n"/>
      <c r="Q6566" s="25" t="n"/>
      <c r="U6566" s="194" t="n"/>
      <c r="AA6566" s="25" t="n"/>
      <c r="AB6566" s="25" t="n"/>
      <c r="AC6566" s="195" t="n"/>
      <c r="AD6566" s="25" t="n"/>
      <c r="AE6566" s="25" t="n"/>
      <c r="AG6566" s="25" t="n"/>
      <c r="AH6566" s="25" t="n"/>
      <c r="AI6566" s="394" t="n"/>
      <c r="AM6566" s="48" t="n"/>
      <c r="AN6566" s="48" t="n"/>
      <c r="AO6566" s="48" t="n"/>
    </row>
    <row r="6567">
      <c r="M6567" s="25" t="n"/>
      <c r="O6567" s="90" t="n"/>
      <c r="Q6567" s="25" t="n"/>
      <c r="U6567" s="194" t="n"/>
      <c r="AA6567" s="25" t="n"/>
      <c r="AB6567" s="25" t="n"/>
      <c r="AC6567" s="195" t="n"/>
      <c r="AD6567" s="25" t="n"/>
      <c r="AE6567" s="25" t="n"/>
      <c r="AG6567" s="25" t="n"/>
      <c r="AH6567" s="25" t="n"/>
      <c r="AI6567" s="394" t="n"/>
      <c r="AM6567" s="48" t="n"/>
      <c r="AN6567" s="48" t="n"/>
      <c r="AO6567" s="48" t="n"/>
    </row>
    <row r="6568">
      <c r="M6568" s="25" t="n"/>
      <c r="Q6568" s="25" t="n"/>
      <c r="U6568" s="194" t="n"/>
      <c r="AA6568" s="25" t="n"/>
      <c r="AB6568" s="25" t="n"/>
      <c r="AC6568" s="195" t="n"/>
      <c r="AD6568" s="25" t="n"/>
      <c r="AE6568" s="25" t="n"/>
      <c r="AG6568" s="25" t="n"/>
      <c r="AH6568" s="25" t="n"/>
      <c r="AI6568" s="394" t="n"/>
      <c r="AM6568" s="48" t="n"/>
      <c r="AN6568" s="48" t="n"/>
      <c r="AO6568" s="48" t="n"/>
    </row>
    <row r="6569">
      <c r="M6569" s="25" t="n"/>
      <c r="Q6569" s="25" t="n"/>
      <c r="U6569" s="194" t="n"/>
      <c r="AA6569" s="25" t="n"/>
      <c r="AB6569" s="25" t="n"/>
      <c r="AC6569" s="195" t="n"/>
      <c r="AD6569" s="25" t="n"/>
      <c r="AE6569" s="25" t="n"/>
      <c r="AG6569" s="25" t="n"/>
      <c r="AH6569" s="25" t="n"/>
      <c r="AI6569" s="394" t="n"/>
      <c r="AM6569" s="48" t="n"/>
      <c r="AN6569" s="48" t="n"/>
      <c r="AO6569" s="48" t="n"/>
    </row>
    <row r="6570">
      <c r="M6570" s="25" t="n"/>
      <c r="Q6570" s="25" t="n"/>
      <c r="U6570" s="194" t="n"/>
      <c r="AA6570" s="25" t="n"/>
      <c r="AB6570" s="25" t="n"/>
      <c r="AC6570" s="195" t="n"/>
      <c r="AD6570" s="25" t="n"/>
      <c r="AE6570" s="25" t="n"/>
      <c r="AG6570" s="25" t="n"/>
      <c r="AH6570" s="25" t="n"/>
      <c r="AI6570" s="394" t="n"/>
      <c r="AM6570" s="48" t="n"/>
      <c r="AN6570" s="48" t="n"/>
      <c r="AO6570" s="48" t="n"/>
    </row>
    <row r="6571">
      <c r="M6571" s="25" t="n"/>
      <c r="Q6571" s="25" t="n"/>
      <c r="U6571" s="194" t="n"/>
      <c r="AA6571" s="25" t="n"/>
      <c r="AB6571" s="25" t="n"/>
      <c r="AC6571" s="195" t="n"/>
      <c r="AD6571" s="25" t="n"/>
      <c r="AE6571" s="25" t="n"/>
      <c r="AG6571" s="25" t="n"/>
      <c r="AH6571" s="25" t="n"/>
      <c r="AI6571" s="394" t="n"/>
      <c r="AM6571" s="48" t="n"/>
      <c r="AN6571" s="48" t="n"/>
      <c r="AO6571" s="48" t="n"/>
    </row>
    <row r="6572">
      <c r="M6572" s="25" t="n"/>
      <c r="Q6572" s="25" t="n"/>
      <c r="U6572" s="194" t="n"/>
      <c r="AA6572" s="25" t="n"/>
      <c r="AB6572" s="25" t="n"/>
      <c r="AC6572" s="195" t="n"/>
      <c r="AD6572" s="25" t="n"/>
      <c r="AE6572" s="25" t="n"/>
      <c r="AG6572" s="25" t="n"/>
      <c r="AH6572" s="25" t="n"/>
      <c r="AI6572" s="394" t="n"/>
      <c r="AM6572" s="48" t="n"/>
      <c r="AN6572" s="48" t="n"/>
      <c r="AO6572" s="48" t="n"/>
    </row>
    <row r="6573">
      <c r="M6573" s="25" t="n"/>
      <c r="Q6573" s="25" t="n"/>
      <c r="U6573" s="194" t="n"/>
      <c r="AA6573" s="25" t="n"/>
      <c r="AB6573" s="25" t="n"/>
      <c r="AC6573" s="195" t="n"/>
      <c r="AD6573" s="25" t="n"/>
      <c r="AE6573" s="25" t="n"/>
      <c r="AG6573" s="25" t="n"/>
      <c r="AH6573" s="25" t="n"/>
      <c r="AI6573" s="394" t="n"/>
      <c r="AM6573" s="48" t="n"/>
      <c r="AN6573" s="48" t="n"/>
      <c r="AO6573" s="48" t="n"/>
    </row>
    <row r="6574">
      <c r="M6574" s="25" t="n"/>
      <c r="Q6574" s="25" t="n"/>
      <c r="U6574" s="194" t="n"/>
      <c r="AA6574" s="25" t="n"/>
      <c r="AB6574" s="25" t="n"/>
      <c r="AC6574" s="195" t="n"/>
      <c r="AD6574" s="25" t="n"/>
      <c r="AE6574" s="25" t="n"/>
      <c r="AG6574" s="25" t="n"/>
      <c r="AH6574" s="25" t="n"/>
      <c r="AI6574" s="394" t="n"/>
      <c r="AM6574" s="48" t="n"/>
      <c r="AN6574" s="48" t="n"/>
      <c r="AO6574" s="48" t="n"/>
    </row>
    <row r="6575">
      <c r="M6575" s="25" t="n"/>
      <c r="Q6575" s="25" t="n"/>
      <c r="U6575" s="194" t="n"/>
      <c r="AA6575" s="25" t="n"/>
      <c r="AB6575" s="25" t="n"/>
      <c r="AC6575" s="195" t="n"/>
      <c r="AD6575" s="25" t="n"/>
      <c r="AE6575" s="25" t="n"/>
      <c r="AG6575" s="25" t="n"/>
      <c r="AH6575" s="25" t="n"/>
      <c r="AI6575" s="394" t="n"/>
      <c r="AM6575" s="48" t="n"/>
      <c r="AN6575" s="48" t="n"/>
      <c r="AO6575" s="48" t="n"/>
    </row>
    <row r="6576">
      <c r="M6576" s="25" t="n"/>
      <c r="Q6576" s="25" t="n"/>
      <c r="U6576" s="194" t="n"/>
      <c r="AA6576" s="25" t="n"/>
      <c r="AB6576" s="25" t="n"/>
      <c r="AC6576" s="195" t="n"/>
      <c r="AD6576" s="25" t="n"/>
      <c r="AE6576" s="25" t="n"/>
      <c r="AG6576" s="25" t="n"/>
      <c r="AH6576" s="25" t="n"/>
      <c r="AI6576" s="394" t="n"/>
      <c r="AM6576" s="48" t="n"/>
      <c r="AN6576" s="48" t="n"/>
      <c r="AO6576" s="48" t="n"/>
    </row>
    <row r="6577">
      <c r="M6577" s="25" t="n"/>
      <c r="Q6577" s="25" t="n"/>
      <c r="U6577" s="194" t="n"/>
      <c r="AA6577" s="25" t="n"/>
      <c r="AB6577" s="25" t="n"/>
      <c r="AC6577" s="195" t="n"/>
      <c r="AD6577" s="25" t="n"/>
      <c r="AE6577" s="25" t="n"/>
      <c r="AG6577" s="25" t="n"/>
      <c r="AH6577" s="25" t="n"/>
      <c r="AI6577" s="394" t="n"/>
      <c r="AM6577" s="48" t="n"/>
      <c r="AN6577" s="48" t="n"/>
      <c r="AO6577" s="48" t="n"/>
    </row>
    <row r="6578">
      <c r="M6578" s="25" t="n"/>
      <c r="Q6578" s="25" t="n"/>
      <c r="U6578" s="194" t="n"/>
      <c r="AA6578" s="25" t="n"/>
      <c r="AB6578" s="25" t="n"/>
      <c r="AC6578" s="195" t="n"/>
      <c r="AD6578" s="25" t="n"/>
      <c r="AE6578" s="25" t="n"/>
      <c r="AG6578" s="25" t="n"/>
      <c r="AH6578" s="25" t="n"/>
      <c r="AI6578" s="394" t="n"/>
      <c r="AM6578" s="48" t="n"/>
      <c r="AN6578" s="48" t="n"/>
      <c r="AO6578" s="48" t="n"/>
    </row>
    <row r="6579">
      <c r="M6579" s="25" t="n"/>
      <c r="Q6579" s="25" t="n"/>
      <c r="U6579" s="194" t="n"/>
      <c r="AA6579" s="25" t="n"/>
      <c r="AB6579" s="25" t="n"/>
      <c r="AC6579" s="195" t="n"/>
      <c r="AD6579" s="25" t="n"/>
      <c r="AE6579" s="25" t="n"/>
      <c r="AG6579" s="25" t="n"/>
      <c r="AH6579" s="25" t="n"/>
      <c r="AI6579" s="394" t="n"/>
      <c r="AM6579" s="48" t="n"/>
      <c r="AN6579" s="48" t="n"/>
      <c r="AO6579" s="48" t="n"/>
    </row>
    <row r="6580">
      <c r="M6580" s="25" t="n"/>
      <c r="Q6580" s="25" t="n"/>
      <c r="U6580" s="194" t="n"/>
      <c r="AA6580" s="25" t="n"/>
      <c r="AB6580" s="25" t="n"/>
      <c r="AC6580" s="195" t="n"/>
      <c r="AD6580" s="25" t="n"/>
      <c r="AE6580" s="25" t="n"/>
      <c r="AG6580" s="25" t="n"/>
      <c r="AH6580" s="25" t="n"/>
      <c r="AI6580" s="394" t="n"/>
      <c r="AM6580" s="48" t="n"/>
      <c r="AN6580" s="48" t="n"/>
      <c r="AO6580" s="48" t="n"/>
    </row>
    <row r="6581">
      <c r="M6581" s="25" t="n"/>
      <c r="Q6581" s="25" t="n"/>
      <c r="U6581" s="194" t="n"/>
      <c r="AA6581" s="25" t="n"/>
      <c r="AB6581" s="25" t="n"/>
      <c r="AC6581" s="195" t="n"/>
      <c r="AD6581" s="25" t="n"/>
      <c r="AE6581" s="25" t="n"/>
      <c r="AG6581" s="25" t="n"/>
      <c r="AH6581" s="25" t="n"/>
      <c r="AI6581" s="394" t="n"/>
      <c r="AM6581" s="48" t="n"/>
      <c r="AN6581" s="48" t="n"/>
      <c r="AO6581" s="48" t="n"/>
    </row>
    <row r="6582">
      <c r="M6582" s="25" t="n"/>
      <c r="Q6582" s="25" t="n"/>
      <c r="U6582" s="194" t="n"/>
      <c r="AA6582" s="25" t="n"/>
      <c r="AB6582" s="25" t="n"/>
      <c r="AC6582" s="195" t="n"/>
      <c r="AD6582" s="25" t="n"/>
      <c r="AE6582" s="25" t="n"/>
      <c r="AG6582" s="25" t="n"/>
      <c r="AH6582" s="25" t="n"/>
      <c r="AI6582" s="394" t="n"/>
      <c r="AM6582" s="48" t="n"/>
      <c r="AN6582" s="48" t="n"/>
      <c r="AO6582" s="48" t="n"/>
    </row>
    <row r="6583">
      <c r="M6583" s="25" t="n"/>
      <c r="Q6583" s="25" t="n"/>
      <c r="U6583" s="194" t="n"/>
      <c r="AA6583" s="25" t="n"/>
      <c r="AB6583" s="25" t="n"/>
      <c r="AC6583" s="195" t="n"/>
      <c r="AD6583" s="25" t="n"/>
      <c r="AE6583" s="25" t="n"/>
      <c r="AG6583" s="25" t="n"/>
      <c r="AH6583" s="25" t="n"/>
      <c r="AI6583" s="394" t="n"/>
      <c r="AM6583" s="48" t="n"/>
      <c r="AN6583" s="48" t="n"/>
      <c r="AO6583" s="48" t="n"/>
    </row>
    <row r="6584">
      <c r="M6584" s="25" t="n"/>
      <c r="Q6584" s="25" t="n"/>
      <c r="U6584" s="194" t="n"/>
      <c r="AA6584" s="25" t="n"/>
      <c r="AB6584" s="25" t="n"/>
      <c r="AC6584" s="195" t="n"/>
      <c r="AD6584" s="25" t="n"/>
      <c r="AE6584" s="25" t="n"/>
      <c r="AG6584" s="25" t="n"/>
      <c r="AH6584" s="25" t="n"/>
      <c r="AI6584" s="394" t="n"/>
      <c r="AM6584" s="48" t="n"/>
      <c r="AN6584" s="48" t="n"/>
      <c r="AO6584" s="48" t="n"/>
    </row>
    <row r="6585">
      <c r="M6585" s="25" t="n"/>
      <c r="Q6585" s="25" t="n"/>
      <c r="U6585" s="194" t="n"/>
      <c r="AA6585" s="25" t="n"/>
      <c r="AB6585" s="25" t="n"/>
      <c r="AC6585" s="195" t="n"/>
      <c r="AD6585" s="25" t="n"/>
      <c r="AE6585" s="25" t="n"/>
      <c r="AG6585" s="25" t="n"/>
      <c r="AH6585" s="25" t="n"/>
      <c r="AI6585" s="394" t="n"/>
      <c r="AM6585" s="48" t="n"/>
      <c r="AN6585" s="48" t="n"/>
      <c r="AO6585" s="48" t="n"/>
    </row>
    <row r="6586">
      <c r="M6586" s="25" t="n"/>
      <c r="Q6586" s="25" t="n"/>
      <c r="U6586" s="194" t="n"/>
      <c r="AA6586" s="25" t="n"/>
      <c r="AB6586" s="25" t="n"/>
      <c r="AC6586" s="195" t="n"/>
      <c r="AD6586" s="25" t="n"/>
      <c r="AE6586" s="25" t="n"/>
      <c r="AG6586" s="25" t="n"/>
      <c r="AH6586" s="25" t="n"/>
      <c r="AI6586" s="394" t="n"/>
      <c r="AM6586" s="48" t="n"/>
      <c r="AN6586" s="48" t="n"/>
      <c r="AO6586" s="48" t="n"/>
    </row>
    <row r="6587">
      <c r="M6587" s="25" t="n"/>
      <c r="Q6587" s="25" t="n"/>
      <c r="U6587" s="194" t="n"/>
      <c r="AA6587" s="25" t="n"/>
      <c r="AB6587" s="25" t="n"/>
      <c r="AC6587" s="195" t="n"/>
      <c r="AD6587" s="25" t="n"/>
      <c r="AE6587" s="25" t="n"/>
      <c r="AG6587" s="25" t="n"/>
      <c r="AH6587" s="25" t="n"/>
      <c r="AI6587" s="394" t="n"/>
      <c r="AM6587" s="48" t="n"/>
      <c r="AN6587" s="48" t="n"/>
      <c r="AO6587" s="48" t="n"/>
    </row>
    <row r="6588">
      <c r="M6588" s="25" t="n"/>
      <c r="Q6588" s="25" t="n"/>
      <c r="U6588" s="194" t="n"/>
      <c r="AA6588" s="25" t="n"/>
      <c r="AB6588" s="25" t="n"/>
      <c r="AC6588" s="195" t="n"/>
      <c r="AD6588" s="25" t="n"/>
      <c r="AE6588" s="25" t="n"/>
      <c r="AG6588" s="25" t="n"/>
      <c r="AH6588" s="25" t="n"/>
      <c r="AI6588" s="394" t="n"/>
      <c r="AM6588" s="48" t="n"/>
      <c r="AN6588" s="48" t="n"/>
      <c r="AO6588" s="48" t="n"/>
    </row>
    <row r="6589">
      <c r="M6589" s="25" t="n"/>
      <c r="Q6589" s="25" t="n"/>
      <c r="U6589" s="194" t="n"/>
      <c r="AA6589" s="25" t="n"/>
      <c r="AB6589" s="25" t="n"/>
      <c r="AC6589" s="195" t="n"/>
      <c r="AD6589" s="25" t="n"/>
      <c r="AE6589" s="25" t="n"/>
      <c r="AG6589" s="25" t="n"/>
      <c r="AH6589" s="25" t="n"/>
      <c r="AI6589" s="394" t="n"/>
      <c r="AM6589" s="48" t="n"/>
      <c r="AN6589" s="48" t="n"/>
      <c r="AO6589" s="48" t="n"/>
    </row>
    <row r="6590">
      <c r="M6590" s="25" t="n"/>
      <c r="Q6590" s="25" t="n"/>
      <c r="U6590" s="194" t="n"/>
      <c r="AA6590" s="25" t="n"/>
      <c r="AB6590" s="25" t="n"/>
      <c r="AC6590" s="195" t="n"/>
      <c r="AD6590" s="25" t="n"/>
      <c r="AE6590" s="25" t="n"/>
      <c r="AG6590" s="25" t="n"/>
      <c r="AH6590" s="25" t="n"/>
      <c r="AI6590" s="394" t="n"/>
      <c r="AM6590" s="48" t="n"/>
      <c r="AN6590" s="48" t="n"/>
      <c r="AO6590" s="48" t="n"/>
    </row>
    <row r="6591">
      <c r="M6591" s="25" t="n"/>
      <c r="Q6591" s="25" t="n"/>
      <c r="U6591" s="194" t="n"/>
      <c r="AA6591" s="25" t="n"/>
      <c r="AB6591" s="25" t="n"/>
      <c r="AC6591" s="195" t="n"/>
      <c r="AD6591" s="25" t="n"/>
      <c r="AE6591" s="25" t="n"/>
      <c r="AG6591" s="25" t="n"/>
      <c r="AH6591" s="25" t="n"/>
      <c r="AI6591" s="394" t="n"/>
      <c r="AM6591" s="48" t="n"/>
      <c r="AN6591" s="48" t="n"/>
      <c r="AO6591" s="48" t="n"/>
    </row>
    <row r="6592">
      <c r="M6592" s="25" t="n"/>
      <c r="Q6592" s="25" t="n"/>
      <c r="U6592" s="194" t="n"/>
      <c r="AA6592" s="25" t="n"/>
      <c r="AB6592" s="25" t="n"/>
      <c r="AC6592" s="195" t="n"/>
      <c r="AD6592" s="25" t="n"/>
      <c r="AE6592" s="25" t="n"/>
      <c r="AG6592" s="25" t="n"/>
      <c r="AH6592" s="25" t="n"/>
      <c r="AI6592" s="394" t="n"/>
      <c r="AM6592" s="48" t="n"/>
      <c r="AN6592" s="48" t="n"/>
      <c r="AO6592" s="48" t="n"/>
    </row>
    <row r="6593">
      <c r="M6593" s="25" t="n"/>
      <c r="Q6593" s="25" t="n"/>
      <c r="U6593" s="194" t="n"/>
      <c r="AA6593" s="25" t="n"/>
      <c r="AB6593" s="25" t="n"/>
      <c r="AC6593" s="195" t="n"/>
      <c r="AD6593" s="25" t="n"/>
      <c r="AE6593" s="25" t="n"/>
      <c r="AG6593" s="25" t="n"/>
      <c r="AH6593" s="25" t="n"/>
      <c r="AI6593" s="394" t="n"/>
      <c r="AM6593" s="48" t="n"/>
      <c r="AN6593" s="48" t="n"/>
      <c r="AO6593" s="48" t="n"/>
    </row>
    <row r="6594">
      <c r="M6594" s="25" t="n"/>
      <c r="Q6594" s="25" t="n"/>
      <c r="U6594" s="194" t="n"/>
      <c r="AA6594" s="25" t="n"/>
      <c r="AB6594" s="25" t="n"/>
      <c r="AC6594" s="195" t="n"/>
      <c r="AD6594" s="25" t="n"/>
      <c r="AE6594" s="25" t="n"/>
      <c r="AG6594" s="25" t="n"/>
      <c r="AH6594" s="25" t="n"/>
      <c r="AI6594" s="394" t="n"/>
      <c r="AM6594" s="48" t="n"/>
      <c r="AN6594" s="48" t="n"/>
      <c r="AO6594" s="48" t="n"/>
    </row>
    <row r="6595">
      <c r="M6595" s="25" t="n"/>
      <c r="Q6595" s="25" t="n"/>
      <c r="U6595" s="194" t="n"/>
      <c r="AA6595" s="25" t="n"/>
      <c r="AB6595" s="25" t="n"/>
      <c r="AC6595" s="195" t="n"/>
      <c r="AD6595" s="25" t="n"/>
      <c r="AE6595" s="25" t="n"/>
      <c r="AG6595" s="25" t="n"/>
      <c r="AH6595" s="25" t="n"/>
      <c r="AI6595" s="394" t="n"/>
      <c r="AM6595" s="48" t="n"/>
      <c r="AN6595" s="48" t="n"/>
      <c r="AO6595" s="48" t="n"/>
    </row>
    <row r="6596">
      <c r="M6596" s="25" t="n"/>
      <c r="Q6596" s="25" t="n"/>
      <c r="U6596" s="194" t="n"/>
      <c r="AA6596" s="25" t="n"/>
      <c r="AB6596" s="25" t="n"/>
      <c r="AC6596" s="195" t="n"/>
      <c r="AD6596" s="25" t="n"/>
      <c r="AE6596" s="25" t="n"/>
      <c r="AG6596" s="25" t="n"/>
      <c r="AH6596" s="25" t="n"/>
      <c r="AI6596" s="394" t="n"/>
      <c r="AM6596" s="48" t="n"/>
      <c r="AN6596" s="48" t="n"/>
      <c r="AO6596" s="48" t="n"/>
    </row>
    <row r="6597">
      <c r="M6597" s="25" t="n"/>
      <c r="Q6597" s="25" t="n"/>
      <c r="U6597" s="194" t="n"/>
      <c r="AA6597" s="25" t="n"/>
      <c r="AB6597" s="25" t="n"/>
      <c r="AC6597" s="195" t="n"/>
      <c r="AD6597" s="25" t="n"/>
      <c r="AE6597" s="25" t="n"/>
      <c r="AG6597" s="25" t="n"/>
      <c r="AH6597" s="25" t="n"/>
      <c r="AI6597" s="394" t="n"/>
      <c r="AM6597" s="48" t="n"/>
      <c r="AN6597" s="48" t="n"/>
      <c r="AO6597" s="48" t="n"/>
    </row>
    <row r="6598">
      <c r="M6598" s="25" t="n"/>
      <c r="Q6598" s="25" t="n"/>
      <c r="U6598" s="194" t="n"/>
      <c r="AA6598" s="25" t="n"/>
      <c r="AB6598" s="25" t="n"/>
      <c r="AC6598" s="195" t="n"/>
      <c r="AD6598" s="25" t="n"/>
      <c r="AE6598" s="25" t="n"/>
      <c r="AG6598" s="25" t="n"/>
      <c r="AH6598" s="25" t="n"/>
      <c r="AI6598" s="394" t="n"/>
      <c r="AM6598" s="48" t="n"/>
      <c r="AN6598" s="48" t="n"/>
      <c r="AO6598" s="48" t="n"/>
    </row>
    <row r="6599">
      <c r="M6599" s="25" t="n"/>
      <c r="Q6599" s="25" t="n"/>
      <c r="U6599" s="194" t="n"/>
      <c r="AA6599" s="25" t="n"/>
      <c r="AB6599" s="25" t="n"/>
      <c r="AC6599" s="195" t="n"/>
      <c r="AD6599" s="25" t="n"/>
      <c r="AE6599" s="25" t="n"/>
      <c r="AG6599" s="25" t="n"/>
      <c r="AH6599" s="25" t="n"/>
      <c r="AI6599" s="394" t="n"/>
      <c r="AM6599" s="48" t="n"/>
      <c r="AN6599" s="48" t="n"/>
      <c r="AO6599" s="48" t="n"/>
    </row>
    <row r="6600">
      <c r="M6600" s="25" t="n"/>
      <c r="Q6600" s="25" t="n"/>
      <c r="U6600" s="194" t="n"/>
      <c r="AA6600" s="25" t="n"/>
      <c r="AB6600" s="25" t="n"/>
      <c r="AC6600" s="195" t="n"/>
      <c r="AD6600" s="25" t="n"/>
      <c r="AE6600" s="25" t="n"/>
      <c r="AG6600" s="25" t="n"/>
      <c r="AH6600" s="25" t="n"/>
      <c r="AI6600" s="394" t="n"/>
      <c r="AM6600" s="48" t="n"/>
      <c r="AN6600" s="48" t="n"/>
      <c r="AO6600" s="48" t="n"/>
    </row>
    <row r="6601">
      <c r="M6601" s="25" t="n"/>
      <c r="Q6601" s="25" t="n"/>
      <c r="U6601" s="194" t="n"/>
      <c r="AA6601" s="25" t="n"/>
      <c r="AB6601" s="25" t="n"/>
      <c r="AC6601" s="195" t="n"/>
      <c r="AD6601" s="25" t="n"/>
      <c r="AE6601" s="25" t="n"/>
      <c r="AG6601" s="25" t="n"/>
      <c r="AH6601" s="25" t="n"/>
      <c r="AI6601" s="394" t="n"/>
      <c r="AM6601" s="48" t="n"/>
      <c r="AN6601" s="48" t="n"/>
      <c r="AO6601" s="48" t="n"/>
    </row>
    <row r="6602">
      <c r="M6602" s="25" t="n"/>
      <c r="Q6602" s="25" t="n"/>
      <c r="U6602" s="194" t="n"/>
      <c r="AA6602" s="25" t="n"/>
      <c r="AB6602" s="25" t="n"/>
      <c r="AC6602" s="195" t="n"/>
      <c r="AD6602" s="25" t="n"/>
      <c r="AE6602" s="25" t="n"/>
      <c r="AG6602" s="25" t="n"/>
      <c r="AH6602" s="25" t="n"/>
      <c r="AI6602" s="394" t="n"/>
      <c r="AM6602" s="48" t="n"/>
      <c r="AN6602" s="48" t="n"/>
      <c r="AO6602" s="48" t="n"/>
    </row>
    <row r="6603">
      <c r="M6603" s="25" t="n"/>
      <c r="Q6603" s="25" t="n"/>
      <c r="U6603" s="194" t="n"/>
      <c r="AA6603" s="25" t="n"/>
      <c r="AB6603" s="25" t="n"/>
      <c r="AC6603" s="195" t="n"/>
      <c r="AD6603" s="25" t="n"/>
      <c r="AE6603" s="25" t="n"/>
      <c r="AG6603" s="25" t="n"/>
      <c r="AH6603" s="25" t="n"/>
      <c r="AI6603" s="394" t="n"/>
      <c r="AM6603" s="48" t="n"/>
      <c r="AN6603" s="48" t="n"/>
      <c r="AO6603" s="48" t="n"/>
    </row>
    <row r="6604">
      <c r="M6604" s="25" t="n"/>
      <c r="Q6604" s="25" t="n"/>
      <c r="U6604" s="194" t="n"/>
      <c r="AA6604" s="25" t="n"/>
      <c r="AB6604" s="25" t="n"/>
      <c r="AC6604" s="195" t="n"/>
      <c r="AD6604" s="25" t="n"/>
      <c r="AE6604" s="25" t="n"/>
      <c r="AG6604" s="25" t="n"/>
      <c r="AH6604" s="25" t="n"/>
      <c r="AI6604" s="394" t="n"/>
      <c r="AM6604" s="48" t="n"/>
      <c r="AN6604" s="48" t="n"/>
      <c r="AO6604" s="48" t="n"/>
    </row>
    <row r="6605">
      <c r="M6605" s="25" t="n"/>
      <c r="Q6605" s="25" t="n"/>
      <c r="U6605" s="194" t="n"/>
      <c r="AA6605" s="25" t="n"/>
      <c r="AB6605" s="25" t="n"/>
      <c r="AC6605" s="195" t="n"/>
      <c r="AD6605" s="25" t="n"/>
      <c r="AE6605" s="25" t="n"/>
      <c r="AG6605" s="25" t="n"/>
      <c r="AH6605" s="25" t="n"/>
      <c r="AI6605" s="394" t="n"/>
      <c r="AM6605" s="48" t="n"/>
      <c r="AN6605" s="48" t="n"/>
      <c r="AO6605" s="48" t="n"/>
    </row>
    <row r="6606">
      <c r="M6606" s="25" t="n"/>
      <c r="Q6606" s="25" t="n"/>
      <c r="U6606" s="194" t="n"/>
      <c r="AA6606" s="25" t="n"/>
      <c r="AB6606" s="25" t="n"/>
      <c r="AC6606" s="195" t="n"/>
      <c r="AD6606" s="25" t="n"/>
      <c r="AE6606" s="25" t="n"/>
      <c r="AG6606" s="25" t="n"/>
      <c r="AH6606" s="25" t="n"/>
      <c r="AI6606" s="394" t="n"/>
      <c r="AM6606" s="48" t="n"/>
      <c r="AN6606" s="48" t="n"/>
      <c r="AO6606" s="48" t="n"/>
    </row>
    <row r="6607">
      <c r="M6607" s="25" t="n"/>
      <c r="Q6607" s="25" t="n"/>
      <c r="U6607" s="194" t="n"/>
      <c r="AA6607" s="25" t="n"/>
      <c r="AB6607" s="25" t="n"/>
      <c r="AC6607" s="195" t="n"/>
      <c r="AD6607" s="25" t="n"/>
      <c r="AE6607" s="25" t="n"/>
      <c r="AG6607" s="25" t="n"/>
      <c r="AH6607" s="25" t="n"/>
      <c r="AI6607" s="394" t="n"/>
      <c r="AM6607" s="48" t="n"/>
      <c r="AN6607" s="48" t="n"/>
      <c r="AO6607" s="48" t="n"/>
    </row>
    <row r="6608">
      <c r="M6608" s="25" t="n"/>
      <c r="Q6608" s="25" t="n"/>
      <c r="U6608" s="194" t="n"/>
      <c r="AA6608" s="25" t="n"/>
      <c r="AB6608" s="25" t="n"/>
      <c r="AC6608" s="195" t="n"/>
      <c r="AD6608" s="25" t="n"/>
      <c r="AE6608" s="25" t="n"/>
      <c r="AG6608" s="25" t="n"/>
      <c r="AH6608" s="25" t="n"/>
      <c r="AI6608" s="394" t="n"/>
      <c r="AM6608" s="48" t="n"/>
      <c r="AN6608" s="48" t="n"/>
      <c r="AO6608" s="48" t="n"/>
    </row>
    <row r="6609">
      <c r="M6609" s="25" t="n"/>
      <c r="Q6609" s="25" t="n"/>
      <c r="U6609" s="194" t="n"/>
      <c r="AA6609" s="25" t="n"/>
      <c r="AB6609" s="25" t="n"/>
      <c r="AC6609" s="195" t="n"/>
      <c r="AD6609" s="25" t="n"/>
      <c r="AE6609" s="25" t="n"/>
      <c r="AG6609" s="25" t="n"/>
      <c r="AH6609" s="25" t="n"/>
      <c r="AI6609" s="394" t="n"/>
      <c r="AM6609" s="48" t="n"/>
      <c r="AN6609" s="48" t="n"/>
      <c r="AO6609" s="48" t="n"/>
    </row>
    <row r="6610">
      <c r="M6610" s="25" t="n"/>
      <c r="Q6610" s="25" t="n"/>
      <c r="U6610" s="194" t="n"/>
      <c r="AA6610" s="25" t="n"/>
      <c r="AB6610" s="25" t="n"/>
      <c r="AC6610" s="195" t="n"/>
      <c r="AD6610" s="25" t="n"/>
      <c r="AE6610" s="25" t="n"/>
      <c r="AG6610" s="25" t="n"/>
      <c r="AH6610" s="25" t="n"/>
      <c r="AI6610" s="394" t="n"/>
      <c r="AM6610" s="48" t="n"/>
      <c r="AN6610" s="48" t="n"/>
      <c r="AO6610" s="48" t="n"/>
    </row>
    <row r="6611">
      <c r="M6611" s="25" t="n"/>
      <c r="Q6611" s="25" t="n"/>
      <c r="U6611" s="194" t="n"/>
      <c r="AA6611" s="25" t="n"/>
      <c r="AB6611" s="25" t="n"/>
      <c r="AC6611" s="195" t="n"/>
      <c r="AD6611" s="25" t="n"/>
      <c r="AE6611" s="25" t="n"/>
      <c r="AG6611" s="25" t="n"/>
      <c r="AH6611" s="25" t="n"/>
      <c r="AI6611" s="394" t="n"/>
      <c r="AM6611" s="48" t="n"/>
      <c r="AN6611" s="48" t="n"/>
      <c r="AO6611" s="48" t="n"/>
    </row>
    <row r="6612">
      <c r="M6612" s="25" t="n"/>
      <c r="Q6612" s="25" t="n"/>
      <c r="U6612" s="194" t="n"/>
      <c r="AA6612" s="25" t="n"/>
      <c r="AB6612" s="25" t="n"/>
      <c r="AC6612" s="195" t="n"/>
      <c r="AD6612" s="25" t="n"/>
      <c r="AE6612" s="25" t="n"/>
      <c r="AG6612" s="25" t="n"/>
      <c r="AH6612" s="25" t="n"/>
      <c r="AI6612" s="394" t="n"/>
      <c r="AM6612" s="48" t="n"/>
      <c r="AN6612" s="48" t="n"/>
      <c r="AO6612" s="48" t="n"/>
    </row>
    <row r="6613">
      <c r="M6613" s="25" t="n"/>
      <c r="Q6613" s="25" t="n"/>
      <c r="U6613" s="194" t="n"/>
      <c r="AA6613" s="25" t="n"/>
      <c r="AB6613" s="25" t="n"/>
      <c r="AC6613" s="195" t="n"/>
      <c r="AD6613" s="25" t="n"/>
      <c r="AE6613" s="25" t="n"/>
      <c r="AG6613" s="25" t="n"/>
      <c r="AH6613" s="25" t="n"/>
      <c r="AI6613" s="394" t="n"/>
      <c r="AM6613" s="48" t="n"/>
      <c r="AN6613" s="48" t="n"/>
      <c r="AO6613" s="48" t="n"/>
    </row>
    <row r="6614">
      <c r="M6614" s="25" t="n"/>
      <c r="Q6614" s="25" t="n"/>
      <c r="U6614" s="194" t="n"/>
      <c r="AA6614" s="25" t="n"/>
      <c r="AB6614" s="25" t="n"/>
      <c r="AC6614" s="195" t="n"/>
      <c r="AD6614" s="25" t="n"/>
      <c r="AE6614" s="25" t="n"/>
      <c r="AG6614" s="25" t="n"/>
      <c r="AH6614" s="25" t="n"/>
      <c r="AI6614" s="394" t="n"/>
      <c r="AM6614" s="48" t="n"/>
      <c r="AN6614" s="48" t="n"/>
      <c r="AO6614" s="48" t="n"/>
    </row>
    <row r="6615">
      <c r="M6615" s="25" t="n"/>
      <c r="Q6615" s="25" t="n"/>
      <c r="U6615" s="194" t="n"/>
      <c r="AA6615" s="25" t="n"/>
      <c r="AB6615" s="25" t="n"/>
      <c r="AC6615" s="195" t="n"/>
      <c r="AD6615" s="25" t="n"/>
      <c r="AE6615" s="25" t="n"/>
      <c r="AG6615" s="25" t="n"/>
      <c r="AH6615" s="25" t="n"/>
      <c r="AI6615" s="394" t="n"/>
      <c r="AM6615" s="48" t="n"/>
      <c r="AN6615" s="48" t="n"/>
      <c r="AO6615" s="48" t="n"/>
    </row>
    <row r="6616">
      <c r="M6616" s="25" t="n"/>
      <c r="Q6616" s="25" t="n"/>
      <c r="U6616" s="194" t="n"/>
      <c r="AA6616" s="25" t="n"/>
      <c r="AB6616" s="25" t="n"/>
      <c r="AC6616" s="195" t="n"/>
      <c r="AD6616" s="25" t="n"/>
      <c r="AE6616" s="25" t="n"/>
      <c r="AG6616" s="25" t="n"/>
      <c r="AH6616" s="25" t="n"/>
      <c r="AI6616" s="394" t="n"/>
      <c r="AM6616" s="48" t="n"/>
      <c r="AN6616" s="48" t="n"/>
      <c r="AO6616" s="48" t="n"/>
    </row>
    <row r="6617">
      <c r="M6617" s="25" t="n"/>
      <c r="Q6617" s="25" t="n"/>
      <c r="U6617" s="194" t="n"/>
      <c r="AA6617" s="25" t="n"/>
      <c r="AB6617" s="25" t="n"/>
      <c r="AC6617" s="195" t="n"/>
      <c r="AD6617" s="25" t="n"/>
      <c r="AE6617" s="25" t="n"/>
      <c r="AG6617" s="25" t="n"/>
      <c r="AH6617" s="25" t="n"/>
      <c r="AI6617" s="394" t="n"/>
      <c r="AM6617" s="48" t="n"/>
      <c r="AN6617" s="48" t="n"/>
      <c r="AO6617" s="48" t="n"/>
    </row>
    <row r="6618">
      <c r="M6618" s="25" t="n"/>
      <c r="Q6618" s="25" t="n"/>
      <c r="U6618" s="194" t="n"/>
      <c r="AA6618" s="25" t="n"/>
      <c r="AB6618" s="25" t="n"/>
      <c r="AC6618" s="195" t="n"/>
      <c r="AD6618" s="25" t="n"/>
      <c r="AE6618" s="25" t="n"/>
      <c r="AG6618" s="25" t="n"/>
      <c r="AH6618" s="25" t="n"/>
      <c r="AI6618" s="394" t="n"/>
      <c r="AM6618" s="48" t="n"/>
      <c r="AN6618" s="48" t="n"/>
      <c r="AO6618" s="48" t="n"/>
    </row>
    <row r="6619">
      <c r="M6619" s="25" t="n"/>
      <c r="Q6619" s="25" t="n"/>
      <c r="U6619" s="194" t="n"/>
      <c r="AA6619" s="25" t="n"/>
      <c r="AB6619" s="25" t="n"/>
      <c r="AC6619" s="195" t="n"/>
      <c r="AD6619" s="25" t="n"/>
      <c r="AE6619" s="25" t="n"/>
      <c r="AG6619" s="25" t="n"/>
      <c r="AH6619" s="25" t="n"/>
      <c r="AI6619" s="394" t="n"/>
      <c r="AM6619" s="48" t="n"/>
      <c r="AN6619" s="48" t="n"/>
      <c r="AO6619" s="48" t="n"/>
    </row>
    <row r="6620">
      <c r="M6620" s="25" t="n"/>
      <c r="Q6620" s="25" t="n"/>
      <c r="U6620" s="194" t="n"/>
      <c r="AA6620" s="25" t="n"/>
      <c r="AB6620" s="25" t="n"/>
      <c r="AC6620" s="195" t="n"/>
      <c r="AD6620" s="25" t="n"/>
      <c r="AE6620" s="25" t="n"/>
      <c r="AG6620" s="25" t="n"/>
      <c r="AH6620" s="25" t="n"/>
      <c r="AI6620" s="394" t="n"/>
      <c r="AM6620" s="48" t="n"/>
      <c r="AN6620" s="48" t="n"/>
      <c r="AO6620" s="48" t="n"/>
    </row>
    <row r="6621">
      <c r="M6621" s="25" t="n"/>
      <c r="Q6621" s="25" t="n"/>
      <c r="U6621" s="194" t="n"/>
      <c r="AA6621" s="25" t="n"/>
      <c r="AB6621" s="25" t="n"/>
      <c r="AC6621" s="195" t="n"/>
      <c r="AD6621" s="25" t="n"/>
      <c r="AE6621" s="25" t="n"/>
      <c r="AG6621" s="25" t="n"/>
      <c r="AH6621" s="25" t="n"/>
      <c r="AI6621" s="394" t="n"/>
      <c r="AM6621" s="48" t="n"/>
      <c r="AN6621" s="48" t="n"/>
      <c r="AO6621" s="48" t="n"/>
    </row>
    <row r="6622">
      <c r="M6622" s="25" t="n"/>
      <c r="Q6622" s="25" t="n"/>
      <c r="U6622" s="194" t="n"/>
      <c r="AA6622" s="25" t="n"/>
      <c r="AB6622" s="25" t="n"/>
      <c r="AC6622" s="195" t="n"/>
      <c r="AD6622" s="25" t="n"/>
      <c r="AE6622" s="25" t="n"/>
      <c r="AG6622" s="25" t="n"/>
      <c r="AH6622" s="25" t="n"/>
      <c r="AI6622" s="394" t="n"/>
      <c r="AM6622" s="48" t="n"/>
      <c r="AN6622" s="48" t="n"/>
      <c r="AO6622" s="48" t="n"/>
    </row>
    <row r="6623">
      <c r="M6623" s="25" t="n"/>
      <c r="Q6623" s="25" t="n"/>
      <c r="U6623" s="194" t="n"/>
      <c r="AA6623" s="25" t="n"/>
      <c r="AB6623" s="25" t="n"/>
      <c r="AC6623" s="195" t="n"/>
      <c r="AD6623" s="25" t="n"/>
      <c r="AE6623" s="25" t="n"/>
      <c r="AG6623" s="25" t="n"/>
      <c r="AH6623" s="25" t="n"/>
      <c r="AI6623" s="394" t="n"/>
      <c r="AM6623" s="48" t="n"/>
      <c r="AN6623" s="48" t="n"/>
      <c r="AO6623" s="48" t="n"/>
    </row>
    <row r="6624">
      <c r="M6624" s="25" t="n"/>
      <c r="Q6624" s="25" t="n"/>
      <c r="U6624" s="194" t="n"/>
      <c r="AA6624" s="25" t="n"/>
      <c r="AB6624" s="25" t="n"/>
      <c r="AC6624" s="195" t="n"/>
      <c r="AD6624" s="25" t="n"/>
      <c r="AE6624" s="25" t="n"/>
      <c r="AG6624" s="25" t="n"/>
      <c r="AH6624" s="25" t="n"/>
      <c r="AI6624" s="394" t="n"/>
      <c r="AM6624" s="48" t="n"/>
      <c r="AN6624" s="48" t="n"/>
      <c r="AO6624" s="48" t="n"/>
    </row>
    <row r="6625">
      <c r="M6625" s="25" t="n"/>
      <c r="Q6625" s="25" t="n"/>
      <c r="U6625" s="194" t="n"/>
      <c r="AA6625" s="25" t="n"/>
      <c r="AB6625" s="25" t="n"/>
      <c r="AC6625" s="195" t="n"/>
      <c r="AD6625" s="25" t="n"/>
      <c r="AE6625" s="25" t="n"/>
      <c r="AG6625" s="25" t="n"/>
      <c r="AH6625" s="25" t="n"/>
      <c r="AI6625" s="394" t="n"/>
      <c r="AM6625" s="48" t="n"/>
      <c r="AN6625" s="48" t="n"/>
      <c r="AO6625" s="48" t="n"/>
    </row>
    <row r="6626">
      <c r="M6626" s="25" t="n"/>
      <c r="Q6626" s="25" t="n"/>
      <c r="U6626" s="194" t="n"/>
      <c r="AA6626" s="25" t="n"/>
      <c r="AB6626" s="25" t="n"/>
      <c r="AC6626" s="195" t="n"/>
      <c r="AD6626" s="25" t="n"/>
      <c r="AE6626" s="25" t="n"/>
      <c r="AG6626" s="25" t="n"/>
      <c r="AH6626" s="25" t="n"/>
      <c r="AI6626" s="394" t="n"/>
      <c r="AM6626" s="48" t="n"/>
      <c r="AN6626" s="48" t="n"/>
      <c r="AO6626" s="48" t="n"/>
    </row>
    <row r="6627">
      <c r="M6627" s="25" t="n"/>
      <c r="Q6627" s="25" t="n"/>
      <c r="U6627" s="194" t="n"/>
      <c r="AA6627" s="25" t="n"/>
      <c r="AB6627" s="25" t="n"/>
      <c r="AC6627" s="195" t="n"/>
      <c r="AD6627" s="25" t="n"/>
      <c r="AE6627" s="25" t="n"/>
      <c r="AG6627" s="25" t="n"/>
      <c r="AH6627" s="25" t="n"/>
      <c r="AI6627" s="394" t="n"/>
      <c r="AM6627" s="48" t="n"/>
      <c r="AN6627" s="48" t="n"/>
      <c r="AO6627" s="48" t="n"/>
    </row>
    <row r="6628">
      <c r="M6628" s="25" t="n"/>
      <c r="Q6628" s="25" t="n"/>
      <c r="U6628" s="194" t="n"/>
      <c r="AA6628" s="25" t="n"/>
      <c r="AB6628" s="25" t="n"/>
      <c r="AC6628" s="195" t="n"/>
      <c r="AD6628" s="25" t="n"/>
      <c r="AE6628" s="25" t="n"/>
      <c r="AG6628" s="25" t="n"/>
      <c r="AH6628" s="25" t="n"/>
      <c r="AI6628" s="394" t="n"/>
      <c r="AM6628" s="48" t="n"/>
      <c r="AN6628" s="48" t="n"/>
      <c r="AO6628" s="48" t="n"/>
    </row>
    <row r="6629">
      <c r="M6629" s="25" t="n"/>
      <c r="Q6629" s="25" t="n"/>
      <c r="U6629" s="194" t="n"/>
      <c r="AA6629" s="25" t="n"/>
      <c r="AB6629" s="25" t="n"/>
      <c r="AC6629" s="195" t="n"/>
      <c r="AD6629" s="25" t="n"/>
      <c r="AE6629" s="25" t="n"/>
      <c r="AG6629" s="25" t="n"/>
      <c r="AH6629" s="25" t="n"/>
      <c r="AI6629" s="394" t="n"/>
      <c r="AM6629" s="48" t="n"/>
      <c r="AN6629" s="48" t="n"/>
      <c r="AO6629" s="48" t="n"/>
    </row>
    <row r="6630">
      <c r="M6630" s="25" t="n"/>
      <c r="Q6630" s="25" t="n"/>
      <c r="U6630" s="194" t="n"/>
      <c r="AA6630" s="25" t="n"/>
      <c r="AB6630" s="25" t="n"/>
      <c r="AC6630" s="195" t="n"/>
      <c r="AD6630" s="25" t="n"/>
      <c r="AE6630" s="25" t="n"/>
      <c r="AG6630" s="25" t="n"/>
      <c r="AH6630" s="25" t="n"/>
      <c r="AI6630" s="394" t="n"/>
      <c r="AM6630" s="48" t="n"/>
      <c r="AN6630" s="48" t="n"/>
      <c r="AO6630" s="48" t="n"/>
    </row>
    <row r="6631">
      <c r="M6631" s="25" t="n"/>
      <c r="Q6631" s="25" t="n"/>
      <c r="U6631" s="194" t="n"/>
      <c r="AA6631" s="25" t="n"/>
      <c r="AB6631" s="25" t="n"/>
      <c r="AC6631" s="195" t="n"/>
      <c r="AD6631" s="25" t="n"/>
      <c r="AE6631" s="25" t="n"/>
      <c r="AG6631" s="25" t="n"/>
      <c r="AH6631" s="25" t="n"/>
      <c r="AI6631" s="394" t="n"/>
      <c r="AM6631" s="48" t="n"/>
      <c r="AN6631" s="48" t="n"/>
      <c r="AO6631" s="48" t="n"/>
    </row>
    <row r="6632">
      <c r="M6632" s="25" t="n"/>
      <c r="Q6632" s="25" t="n"/>
      <c r="U6632" s="194" t="n"/>
      <c r="AA6632" s="25" t="n"/>
      <c r="AB6632" s="25" t="n"/>
      <c r="AC6632" s="195" t="n"/>
      <c r="AD6632" s="25" t="n"/>
      <c r="AE6632" s="25" t="n"/>
      <c r="AG6632" s="25" t="n"/>
      <c r="AH6632" s="25" t="n"/>
      <c r="AI6632" s="394" t="n"/>
      <c r="AM6632" s="48" t="n"/>
      <c r="AN6632" s="48" t="n"/>
      <c r="AO6632" s="48" t="n"/>
    </row>
    <row r="6633">
      <c r="M6633" s="25" t="n"/>
      <c r="Q6633" s="25" t="n"/>
      <c r="U6633" s="194" t="n"/>
      <c r="AA6633" s="25" t="n"/>
      <c r="AB6633" s="25" t="n"/>
      <c r="AC6633" s="195" t="n"/>
      <c r="AD6633" s="25" t="n"/>
      <c r="AE6633" s="25" t="n"/>
      <c r="AG6633" s="25" t="n"/>
      <c r="AH6633" s="25" t="n"/>
      <c r="AI6633" s="394" t="n"/>
      <c r="AM6633" s="48" t="n"/>
      <c r="AN6633" s="48" t="n"/>
      <c r="AO6633" s="48" t="n"/>
    </row>
    <row r="6634">
      <c r="M6634" s="25" t="n"/>
      <c r="Q6634" s="25" t="n"/>
      <c r="U6634" s="194" t="n"/>
      <c r="AA6634" s="25" t="n"/>
      <c r="AB6634" s="25" t="n"/>
      <c r="AC6634" s="195" t="n"/>
      <c r="AD6634" s="25" t="n"/>
      <c r="AE6634" s="25" t="n"/>
      <c r="AG6634" s="25" t="n"/>
      <c r="AH6634" s="25" t="n"/>
      <c r="AI6634" s="394" t="n"/>
      <c r="AM6634" s="48" t="n"/>
      <c r="AN6634" s="48" t="n"/>
      <c r="AO6634" s="48" t="n"/>
    </row>
    <row r="6635">
      <c r="M6635" s="25" t="n"/>
      <c r="Q6635" s="25" t="n"/>
      <c r="U6635" s="194" t="n"/>
      <c r="AA6635" s="25" t="n"/>
      <c r="AB6635" s="25" t="n"/>
      <c r="AC6635" s="195" t="n"/>
      <c r="AD6635" s="25" t="n"/>
      <c r="AE6635" s="25" t="n"/>
      <c r="AG6635" s="25" t="n"/>
      <c r="AH6635" s="25" t="n"/>
      <c r="AI6635" s="394" t="n"/>
      <c r="AM6635" s="48" t="n"/>
      <c r="AN6635" s="48" t="n"/>
      <c r="AO6635" s="48" t="n"/>
    </row>
    <row r="6636">
      <c r="M6636" s="25" t="n"/>
      <c r="Q6636" s="25" t="n"/>
      <c r="U6636" s="194" t="n"/>
      <c r="AA6636" s="25" t="n"/>
      <c r="AB6636" s="25" t="n"/>
      <c r="AC6636" s="195" t="n"/>
      <c r="AD6636" s="25" t="n"/>
      <c r="AE6636" s="25" t="n"/>
      <c r="AG6636" s="25" t="n"/>
      <c r="AH6636" s="25" t="n"/>
      <c r="AI6636" s="394" t="n"/>
      <c r="AM6636" s="48" t="n"/>
      <c r="AN6636" s="48" t="n"/>
      <c r="AO6636" s="48" t="n"/>
    </row>
    <row r="6637">
      <c r="M6637" s="25" t="n"/>
      <c r="Q6637" s="25" t="n"/>
      <c r="U6637" s="194" t="n"/>
      <c r="AA6637" s="25" t="n"/>
      <c r="AB6637" s="25" t="n"/>
      <c r="AC6637" s="195" t="n"/>
      <c r="AD6637" s="25" t="n"/>
      <c r="AE6637" s="25" t="n"/>
      <c r="AG6637" s="25" t="n"/>
      <c r="AH6637" s="25" t="n"/>
      <c r="AI6637" s="394" t="n"/>
      <c r="AM6637" s="48" t="n"/>
      <c r="AN6637" s="48" t="n"/>
      <c r="AO6637" s="48" t="n"/>
    </row>
    <row r="6638">
      <c r="M6638" s="25" t="n"/>
      <c r="Q6638" s="25" t="n"/>
      <c r="U6638" s="194" t="n"/>
      <c r="AA6638" s="25" t="n"/>
      <c r="AB6638" s="25" t="n"/>
      <c r="AC6638" s="195" t="n"/>
      <c r="AD6638" s="25" t="n"/>
      <c r="AE6638" s="25" t="n"/>
      <c r="AG6638" s="25" t="n"/>
      <c r="AH6638" s="25" t="n"/>
      <c r="AI6638" s="394" t="n"/>
      <c r="AM6638" s="48" t="n"/>
      <c r="AN6638" s="48" t="n"/>
      <c r="AO6638" s="48" t="n"/>
    </row>
    <row r="6639">
      <c r="M6639" s="25" t="n"/>
      <c r="Q6639" s="25" t="n"/>
      <c r="U6639" s="194" t="n"/>
      <c r="AA6639" s="25" t="n"/>
      <c r="AB6639" s="25" t="n"/>
      <c r="AC6639" s="195" t="n"/>
      <c r="AD6639" s="25" t="n"/>
      <c r="AE6639" s="25" t="n"/>
      <c r="AG6639" s="25" t="n"/>
      <c r="AH6639" s="25" t="n"/>
      <c r="AI6639" s="394" t="n"/>
      <c r="AM6639" s="48" t="n"/>
      <c r="AN6639" s="48" t="n"/>
      <c r="AO6639" s="48" t="n"/>
    </row>
    <row r="6640">
      <c r="M6640" s="25" t="n"/>
      <c r="Q6640" s="25" t="n"/>
      <c r="U6640" s="194" t="n"/>
      <c r="AA6640" s="25" t="n"/>
      <c r="AB6640" s="25" t="n"/>
      <c r="AC6640" s="195" t="n"/>
      <c r="AD6640" s="25" t="n"/>
      <c r="AE6640" s="25" t="n"/>
      <c r="AG6640" s="25" t="n"/>
      <c r="AH6640" s="25" t="n"/>
      <c r="AI6640" s="394" t="n"/>
      <c r="AM6640" s="48" t="n"/>
      <c r="AN6640" s="48" t="n"/>
      <c r="AO6640" s="48" t="n"/>
    </row>
    <row r="6641">
      <c r="M6641" s="25" t="n"/>
      <c r="Q6641" s="25" t="n"/>
      <c r="U6641" s="194" t="n"/>
      <c r="AA6641" s="25" t="n"/>
      <c r="AB6641" s="25" t="n"/>
      <c r="AC6641" s="195" t="n"/>
      <c r="AD6641" s="25" t="n"/>
      <c r="AE6641" s="25" t="n"/>
      <c r="AG6641" s="25" t="n"/>
      <c r="AH6641" s="25" t="n"/>
      <c r="AI6641" s="394" t="n"/>
      <c r="AM6641" s="48" t="n"/>
      <c r="AN6641" s="48" t="n"/>
      <c r="AO6641" s="48" t="n"/>
    </row>
    <row r="6642">
      <c r="M6642" s="25" t="n"/>
      <c r="Q6642" s="25" t="n"/>
      <c r="U6642" s="194" t="n"/>
      <c r="AA6642" s="25" t="n"/>
      <c r="AB6642" s="25" t="n"/>
      <c r="AC6642" s="195" t="n"/>
      <c r="AD6642" s="25" t="n"/>
      <c r="AE6642" s="25" t="n"/>
      <c r="AG6642" s="25" t="n"/>
      <c r="AH6642" s="25" t="n"/>
      <c r="AI6642" s="394" t="n"/>
      <c r="AM6642" s="48" t="n"/>
      <c r="AN6642" s="48" t="n"/>
      <c r="AO6642" s="48" t="n"/>
    </row>
    <row r="6643">
      <c r="M6643" s="25" t="n"/>
      <c r="Q6643" s="25" t="n"/>
      <c r="U6643" s="194" t="n"/>
      <c r="AA6643" s="25" t="n"/>
      <c r="AB6643" s="25" t="n"/>
      <c r="AC6643" s="195" t="n"/>
      <c r="AD6643" s="25" t="n"/>
      <c r="AE6643" s="25" t="n"/>
      <c r="AG6643" s="25" t="n"/>
      <c r="AH6643" s="25" t="n"/>
      <c r="AI6643" s="394" t="n"/>
      <c r="AM6643" s="48" t="n"/>
      <c r="AN6643" s="48" t="n"/>
      <c r="AO6643" s="48" t="n"/>
    </row>
    <row r="6644">
      <c r="M6644" s="25" t="n"/>
      <c r="Q6644" s="25" t="n"/>
      <c r="U6644" s="194" t="n"/>
      <c r="AA6644" s="25" t="n"/>
      <c r="AB6644" s="25" t="n"/>
      <c r="AC6644" s="195" t="n"/>
      <c r="AD6644" s="25" t="n"/>
      <c r="AE6644" s="25" t="n"/>
      <c r="AG6644" s="25" t="n"/>
      <c r="AH6644" s="25" t="n"/>
      <c r="AI6644" s="394" t="n"/>
      <c r="AM6644" s="48" t="n"/>
      <c r="AN6644" s="48" t="n"/>
      <c r="AO6644" s="48" t="n"/>
    </row>
    <row r="6645">
      <c r="M6645" s="25" t="n"/>
      <c r="Q6645" s="25" t="n"/>
      <c r="U6645" s="194" t="n"/>
      <c r="AA6645" s="25" t="n"/>
      <c r="AB6645" s="25" t="n"/>
      <c r="AC6645" s="195" t="n"/>
      <c r="AD6645" s="25" t="n"/>
      <c r="AE6645" s="25" t="n"/>
      <c r="AG6645" s="25" t="n"/>
      <c r="AH6645" s="25" t="n"/>
      <c r="AI6645" s="394" t="n"/>
      <c r="AM6645" s="48" t="n"/>
      <c r="AN6645" s="48" t="n"/>
      <c r="AO6645" s="48" t="n"/>
    </row>
    <row r="6646">
      <c r="M6646" s="25" t="n"/>
      <c r="Q6646" s="25" t="n"/>
      <c r="U6646" s="194" t="n"/>
      <c r="AA6646" s="25" t="n"/>
      <c r="AB6646" s="25" t="n"/>
      <c r="AC6646" s="195" t="n"/>
      <c r="AD6646" s="25" t="n"/>
      <c r="AE6646" s="25" t="n"/>
      <c r="AG6646" s="25" t="n"/>
      <c r="AH6646" s="25" t="n"/>
      <c r="AI6646" s="394" t="n"/>
      <c r="AM6646" s="48" t="n"/>
      <c r="AN6646" s="48" t="n"/>
      <c r="AO6646" s="48" t="n"/>
    </row>
    <row r="6647">
      <c r="M6647" s="25" t="n"/>
      <c r="Q6647" s="25" t="n"/>
      <c r="U6647" s="194" t="n"/>
      <c r="AA6647" s="25" t="n"/>
      <c r="AB6647" s="25" t="n"/>
      <c r="AC6647" s="195" t="n"/>
      <c r="AD6647" s="25" t="n"/>
      <c r="AE6647" s="25" t="n"/>
      <c r="AG6647" s="25" t="n"/>
      <c r="AH6647" s="25" t="n"/>
      <c r="AI6647" s="394" t="n"/>
      <c r="AM6647" s="48" t="n"/>
      <c r="AN6647" s="48" t="n"/>
      <c r="AO6647" s="48" t="n"/>
    </row>
    <row r="6648">
      <c r="M6648" s="25" t="n"/>
      <c r="Q6648" s="25" t="n"/>
      <c r="U6648" s="194" t="n"/>
      <c r="AA6648" s="25" t="n"/>
      <c r="AB6648" s="25" t="n"/>
      <c r="AC6648" s="195" t="n"/>
      <c r="AD6648" s="25" t="n"/>
      <c r="AE6648" s="25" t="n"/>
      <c r="AG6648" s="25" t="n"/>
      <c r="AH6648" s="25" t="n"/>
      <c r="AI6648" s="394" t="n"/>
      <c r="AM6648" s="48" t="n"/>
      <c r="AN6648" s="48" t="n"/>
      <c r="AO6648" s="48" t="n"/>
    </row>
    <row r="6649">
      <c r="M6649" s="25" t="n"/>
      <c r="Q6649" s="25" t="n"/>
      <c r="U6649" s="194" t="n"/>
      <c r="AA6649" s="25" t="n"/>
      <c r="AB6649" s="25" t="n"/>
      <c r="AC6649" s="195" t="n"/>
      <c r="AD6649" s="25" t="n"/>
      <c r="AE6649" s="25" t="n"/>
      <c r="AG6649" s="25" t="n"/>
      <c r="AH6649" s="25" t="n"/>
      <c r="AI6649" s="394" t="n"/>
      <c r="AM6649" s="48" t="n"/>
      <c r="AN6649" s="48" t="n"/>
      <c r="AO6649" s="48" t="n"/>
    </row>
    <row r="6650">
      <c r="M6650" s="25" t="n"/>
      <c r="Q6650" s="25" t="n"/>
      <c r="U6650" s="194" t="n"/>
      <c r="AA6650" s="25" t="n"/>
      <c r="AB6650" s="25" t="n"/>
      <c r="AC6650" s="195" t="n"/>
      <c r="AD6650" s="25" t="n"/>
      <c r="AE6650" s="25" t="n"/>
      <c r="AG6650" s="25" t="n"/>
      <c r="AH6650" s="25" t="n"/>
      <c r="AI6650" s="394" t="n"/>
      <c r="AM6650" s="48" t="n"/>
      <c r="AN6650" s="48" t="n"/>
      <c r="AO6650" s="48" t="n"/>
    </row>
    <row r="6651">
      <c r="M6651" s="25" t="n"/>
      <c r="Q6651" s="25" t="n"/>
      <c r="U6651" s="194" t="n"/>
      <c r="AA6651" s="25" t="n"/>
      <c r="AB6651" s="25" t="n"/>
      <c r="AC6651" s="195" t="n"/>
      <c r="AD6651" s="25" t="n"/>
      <c r="AE6651" s="25" t="n"/>
      <c r="AG6651" s="25" t="n"/>
      <c r="AH6651" s="25" t="n"/>
      <c r="AI6651" s="394" t="n"/>
      <c r="AM6651" s="48" t="n"/>
      <c r="AN6651" s="48" t="n"/>
      <c r="AO6651" s="48" t="n"/>
    </row>
    <row r="6652">
      <c r="M6652" s="25" t="n"/>
      <c r="Q6652" s="25" t="n"/>
      <c r="U6652" s="194" t="n"/>
      <c r="AA6652" s="25" t="n"/>
      <c r="AB6652" s="25" t="n"/>
      <c r="AC6652" s="195" t="n"/>
      <c r="AD6652" s="25" t="n"/>
      <c r="AE6652" s="25" t="n"/>
      <c r="AG6652" s="25" t="n"/>
      <c r="AH6652" s="25" t="n"/>
      <c r="AI6652" s="394" t="n"/>
      <c r="AM6652" s="48" t="n"/>
      <c r="AN6652" s="48" t="n"/>
      <c r="AO6652" s="48" t="n"/>
    </row>
    <row r="6653">
      <c r="M6653" s="25" t="n"/>
      <c r="Q6653" s="25" t="n"/>
      <c r="U6653" s="194" t="n"/>
      <c r="AA6653" s="25" t="n"/>
      <c r="AB6653" s="25" t="n"/>
      <c r="AC6653" s="195" t="n"/>
      <c r="AD6653" s="25" t="n"/>
      <c r="AE6653" s="25" t="n"/>
      <c r="AG6653" s="25" t="n"/>
      <c r="AH6653" s="25" t="n"/>
      <c r="AI6653" s="394" t="n"/>
      <c r="AM6653" s="48" t="n"/>
      <c r="AN6653" s="48" t="n"/>
      <c r="AO6653" s="48" t="n"/>
    </row>
    <row r="6654">
      <c r="M6654" s="25" t="n"/>
      <c r="Q6654" s="25" t="n"/>
      <c r="U6654" s="194" t="n"/>
      <c r="AA6654" s="25" t="n"/>
      <c r="AB6654" s="25" t="n"/>
      <c r="AC6654" s="195" t="n"/>
      <c r="AD6654" s="25" t="n"/>
      <c r="AE6654" s="25" t="n"/>
      <c r="AG6654" s="25" t="n"/>
      <c r="AH6654" s="25" t="n"/>
      <c r="AI6654" s="394" t="n"/>
      <c r="AM6654" s="48" t="n"/>
      <c r="AN6654" s="48" t="n"/>
      <c r="AO6654" s="48" t="n"/>
    </row>
    <row r="6655">
      <c r="M6655" s="25" t="n"/>
      <c r="Q6655" s="25" t="n"/>
      <c r="U6655" s="194" t="n"/>
      <c r="AA6655" s="25" t="n"/>
      <c r="AB6655" s="25" t="n"/>
      <c r="AC6655" s="195" t="n"/>
      <c r="AD6655" s="25" t="n"/>
      <c r="AE6655" s="25" t="n"/>
      <c r="AG6655" s="25" t="n"/>
      <c r="AH6655" s="25" t="n"/>
      <c r="AI6655" s="394" t="n"/>
      <c r="AM6655" s="48" t="n"/>
      <c r="AN6655" s="48" t="n"/>
      <c r="AO6655" s="48" t="n"/>
    </row>
    <row r="6656">
      <c r="M6656" s="25" t="n"/>
      <c r="Q6656" s="25" t="n"/>
      <c r="U6656" s="194" t="n"/>
      <c r="AA6656" s="25" t="n"/>
      <c r="AB6656" s="25" t="n"/>
      <c r="AC6656" s="195" t="n"/>
      <c r="AD6656" s="25" t="n"/>
      <c r="AE6656" s="25" t="n"/>
      <c r="AG6656" s="25" t="n"/>
      <c r="AH6656" s="25" t="n"/>
      <c r="AI6656" s="394" t="n"/>
      <c r="AM6656" s="48" t="n"/>
      <c r="AN6656" s="48" t="n"/>
      <c r="AO6656" s="48" t="n"/>
    </row>
    <row r="6657">
      <c r="M6657" s="25" t="n"/>
      <c r="Q6657" s="25" t="n"/>
      <c r="U6657" s="194" t="n"/>
      <c r="AA6657" s="25" t="n"/>
      <c r="AB6657" s="25" t="n"/>
      <c r="AC6657" s="195" t="n"/>
      <c r="AD6657" s="25" t="n"/>
      <c r="AE6657" s="25" t="n"/>
      <c r="AG6657" s="25" t="n"/>
      <c r="AH6657" s="25" t="n"/>
      <c r="AI6657" s="394" t="n"/>
      <c r="AM6657" s="48" t="n"/>
      <c r="AN6657" s="48" t="n"/>
      <c r="AO6657" s="48" t="n"/>
    </row>
    <row r="6658">
      <c r="M6658" s="25" t="n"/>
      <c r="Q6658" s="25" t="n"/>
      <c r="U6658" s="194" t="n"/>
      <c r="AA6658" s="25" t="n"/>
      <c r="AB6658" s="25" t="n"/>
      <c r="AC6658" s="195" t="n"/>
      <c r="AD6658" s="25" t="n"/>
      <c r="AE6658" s="25" t="n"/>
      <c r="AG6658" s="25" t="n"/>
      <c r="AH6658" s="25" t="n"/>
      <c r="AI6658" s="394" t="n"/>
      <c r="AM6658" s="48" t="n"/>
      <c r="AN6658" s="48" t="n"/>
      <c r="AO6658" s="48" t="n"/>
    </row>
    <row r="6659">
      <c r="M6659" s="25" t="n"/>
      <c r="Q6659" s="25" t="n"/>
      <c r="U6659" s="194" t="n"/>
      <c r="AA6659" s="25" t="n"/>
      <c r="AB6659" s="25" t="n"/>
      <c r="AC6659" s="195" t="n"/>
      <c r="AD6659" s="25" t="n"/>
      <c r="AE6659" s="25" t="n"/>
      <c r="AG6659" s="25" t="n"/>
      <c r="AH6659" s="25" t="n"/>
      <c r="AI6659" s="394" t="n"/>
      <c r="AM6659" s="48" t="n"/>
      <c r="AN6659" s="48" t="n"/>
      <c r="AO6659" s="48" t="n"/>
    </row>
    <row r="6660">
      <c r="M6660" s="25" t="n"/>
      <c r="Q6660" s="25" t="n"/>
      <c r="U6660" s="194" t="n"/>
      <c r="AA6660" s="25" t="n"/>
      <c r="AB6660" s="25" t="n"/>
      <c r="AC6660" s="195" t="n"/>
      <c r="AD6660" s="25" t="n"/>
      <c r="AE6660" s="25" t="n"/>
      <c r="AG6660" s="25" t="n"/>
      <c r="AH6660" s="25" t="n"/>
      <c r="AI6660" s="394" t="n"/>
      <c r="AM6660" s="48" t="n"/>
      <c r="AN6660" s="48" t="n"/>
      <c r="AO6660" s="48" t="n"/>
    </row>
    <row r="6661">
      <c r="M6661" s="25" t="n"/>
      <c r="Q6661" s="25" t="n"/>
      <c r="U6661" s="194" t="n"/>
      <c r="AA6661" s="25" t="n"/>
      <c r="AB6661" s="25" t="n"/>
      <c r="AC6661" s="195" t="n"/>
      <c r="AD6661" s="25" t="n"/>
      <c r="AE6661" s="25" t="n"/>
      <c r="AG6661" s="25" t="n"/>
      <c r="AH6661" s="25" t="n"/>
      <c r="AI6661" s="394" t="n"/>
      <c r="AM6661" s="48" t="n"/>
      <c r="AN6661" s="48" t="n"/>
      <c r="AO6661" s="48" t="n"/>
    </row>
    <row r="6662">
      <c r="M6662" s="25" t="n"/>
      <c r="Q6662" s="25" t="n"/>
      <c r="U6662" s="194" t="n"/>
      <c r="AA6662" s="25" t="n"/>
      <c r="AB6662" s="25" t="n"/>
      <c r="AC6662" s="195" t="n"/>
      <c r="AD6662" s="25" t="n"/>
      <c r="AE6662" s="25" t="n"/>
      <c r="AG6662" s="25" t="n"/>
      <c r="AH6662" s="25" t="n"/>
      <c r="AI6662" s="394" t="n"/>
      <c r="AM6662" s="48" t="n"/>
      <c r="AN6662" s="48" t="n"/>
      <c r="AO6662" s="48" t="n"/>
    </row>
    <row r="6663">
      <c r="M6663" s="25" t="n"/>
      <c r="Q6663" s="25" t="n"/>
      <c r="U6663" s="194" t="n"/>
      <c r="AA6663" s="25" t="n"/>
      <c r="AB6663" s="25" t="n"/>
      <c r="AC6663" s="195" t="n"/>
      <c r="AD6663" s="25" t="n"/>
      <c r="AE6663" s="25" t="n"/>
      <c r="AG6663" s="25" t="n"/>
      <c r="AH6663" s="25" t="n"/>
      <c r="AI6663" s="394" t="n"/>
      <c r="AM6663" s="48" t="n"/>
      <c r="AN6663" s="48" t="n"/>
      <c r="AO6663" s="48" t="n"/>
    </row>
    <row r="6664">
      <c r="M6664" s="25" t="n"/>
      <c r="Q6664" s="25" t="n"/>
      <c r="U6664" s="194" t="n"/>
      <c r="AA6664" s="25" t="n"/>
      <c r="AB6664" s="25" t="n"/>
      <c r="AC6664" s="195" t="n"/>
      <c r="AD6664" s="25" t="n"/>
      <c r="AE6664" s="25" t="n"/>
      <c r="AG6664" s="25" t="n"/>
      <c r="AH6664" s="25" t="n"/>
      <c r="AI6664" s="394" t="n"/>
      <c r="AM6664" s="48" t="n"/>
      <c r="AN6664" s="48" t="n"/>
      <c r="AO6664" s="48" t="n"/>
    </row>
    <row r="6665">
      <c r="M6665" s="25" t="n"/>
      <c r="Q6665" s="25" t="n"/>
      <c r="U6665" s="194" t="n"/>
      <c r="AA6665" s="25" t="n"/>
      <c r="AB6665" s="25" t="n"/>
      <c r="AC6665" s="195" t="n"/>
      <c r="AD6665" s="25" t="n"/>
      <c r="AE6665" s="25" t="n"/>
      <c r="AG6665" s="25" t="n"/>
      <c r="AH6665" s="25" t="n"/>
      <c r="AI6665" s="394" t="n"/>
      <c r="AM6665" s="48" t="n"/>
      <c r="AN6665" s="48" t="n"/>
      <c r="AO6665" s="48" t="n"/>
    </row>
    <row r="6666">
      <c r="M6666" s="25" t="n"/>
      <c r="Q6666" s="25" t="n"/>
      <c r="U6666" s="194" t="n"/>
      <c r="AA6666" s="25" t="n"/>
      <c r="AB6666" s="25" t="n"/>
      <c r="AC6666" s="195" t="n"/>
      <c r="AD6666" s="25" t="n"/>
      <c r="AE6666" s="25" t="n"/>
      <c r="AG6666" s="25" t="n"/>
      <c r="AH6666" s="25" t="n"/>
      <c r="AI6666" s="394" t="n"/>
      <c r="AM6666" s="48" t="n"/>
      <c r="AN6666" s="48" t="n"/>
      <c r="AO6666" s="48" t="n"/>
    </row>
    <row r="6667">
      <c r="M6667" s="25" t="n"/>
      <c r="Q6667" s="25" t="n"/>
      <c r="U6667" s="194" t="n"/>
      <c r="AA6667" s="25" t="n"/>
      <c r="AB6667" s="25" t="n"/>
      <c r="AC6667" s="195" t="n"/>
      <c r="AD6667" s="25" t="n"/>
      <c r="AE6667" s="25" t="n"/>
      <c r="AG6667" s="25" t="n"/>
      <c r="AH6667" s="25" t="n"/>
      <c r="AI6667" s="394" t="n"/>
      <c r="AM6667" s="48" t="n"/>
      <c r="AN6667" s="48" t="n"/>
      <c r="AO6667" s="48" t="n"/>
    </row>
    <row r="6668">
      <c r="M6668" s="25" t="n"/>
      <c r="Q6668" s="25" t="n"/>
      <c r="U6668" s="194" t="n"/>
      <c r="AA6668" s="25" t="n"/>
      <c r="AB6668" s="25" t="n"/>
      <c r="AC6668" s="195" t="n"/>
      <c r="AD6668" s="25" t="n"/>
      <c r="AE6668" s="25" t="n"/>
      <c r="AG6668" s="25" t="n"/>
      <c r="AH6668" s="25" t="n"/>
      <c r="AI6668" s="394" t="n"/>
      <c r="AM6668" s="48" t="n"/>
      <c r="AN6668" s="48" t="n"/>
      <c r="AO6668" s="48" t="n"/>
    </row>
    <row r="6669">
      <c r="M6669" s="25" t="n"/>
      <c r="Q6669" s="25" t="n"/>
      <c r="U6669" s="194" t="n"/>
      <c r="AA6669" s="25" t="n"/>
      <c r="AB6669" s="25" t="n"/>
      <c r="AC6669" s="195" t="n"/>
      <c r="AD6669" s="25" t="n"/>
      <c r="AE6669" s="25" t="n"/>
      <c r="AG6669" s="25" t="n"/>
      <c r="AH6669" s="25" t="n"/>
      <c r="AI6669" s="394" t="n"/>
      <c r="AM6669" s="48" t="n"/>
      <c r="AN6669" s="48" t="n"/>
      <c r="AO6669" s="48" t="n"/>
    </row>
    <row r="6670">
      <c r="M6670" s="25" t="n"/>
      <c r="Q6670" s="25" t="n"/>
      <c r="U6670" s="194" t="n"/>
      <c r="AA6670" s="25" t="n"/>
      <c r="AB6670" s="25" t="n"/>
      <c r="AC6670" s="195" t="n"/>
      <c r="AD6670" s="25" t="n"/>
      <c r="AE6670" s="25" t="n"/>
      <c r="AG6670" s="25" t="n"/>
      <c r="AH6670" s="25" t="n"/>
      <c r="AI6670" s="394" t="n"/>
      <c r="AM6670" s="48" t="n"/>
      <c r="AN6670" s="48" t="n"/>
      <c r="AO6670" s="48" t="n"/>
    </row>
    <row r="6671">
      <c r="M6671" s="25" t="n"/>
      <c r="Q6671" s="25" t="n"/>
      <c r="U6671" s="194" t="n"/>
      <c r="AA6671" s="25" t="n"/>
      <c r="AB6671" s="25" t="n"/>
      <c r="AC6671" s="195" t="n"/>
      <c r="AD6671" s="25" t="n"/>
      <c r="AE6671" s="25" t="n"/>
      <c r="AG6671" s="25" t="n"/>
      <c r="AH6671" s="25" t="n"/>
      <c r="AI6671" s="394" t="n"/>
      <c r="AM6671" s="48" t="n"/>
      <c r="AN6671" s="48" t="n"/>
      <c r="AO6671" s="48" t="n"/>
    </row>
    <row r="6672">
      <c r="M6672" s="25" t="n"/>
      <c r="Q6672" s="25" t="n"/>
      <c r="U6672" s="194" t="n"/>
      <c r="AA6672" s="25" t="n"/>
      <c r="AB6672" s="25" t="n"/>
      <c r="AC6672" s="195" t="n"/>
      <c r="AD6672" s="25" t="n"/>
      <c r="AE6672" s="25" t="n"/>
      <c r="AG6672" s="25" t="n"/>
      <c r="AH6672" s="25" t="n"/>
      <c r="AI6672" s="394" t="n"/>
      <c r="AM6672" s="48" t="n"/>
      <c r="AN6672" s="48" t="n"/>
      <c r="AO6672" s="48" t="n"/>
    </row>
    <row r="6673">
      <c r="M6673" s="25" t="n"/>
      <c r="Q6673" s="25" t="n"/>
      <c r="U6673" s="194" t="n"/>
      <c r="AA6673" s="25" t="n"/>
      <c r="AB6673" s="25" t="n"/>
      <c r="AC6673" s="195" t="n"/>
      <c r="AD6673" s="25" t="n"/>
      <c r="AE6673" s="25" t="n"/>
      <c r="AG6673" s="25" t="n"/>
      <c r="AH6673" s="25" t="n"/>
      <c r="AI6673" s="394" t="n"/>
      <c r="AM6673" s="48" t="n"/>
      <c r="AN6673" s="48" t="n"/>
      <c r="AO6673" s="48" t="n"/>
    </row>
    <row r="6674">
      <c r="M6674" s="25" t="n"/>
      <c r="Q6674" s="25" t="n"/>
      <c r="U6674" s="194" t="n"/>
      <c r="AA6674" s="25" t="n"/>
      <c r="AB6674" s="25" t="n"/>
      <c r="AC6674" s="195" t="n"/>
      <c r="AD6674" s="25" t="n"/>
      <c r="AE6674" s="25" t="n"/>
      <c r="AG6674" s="25" t="n"/>
      <c r="AH6674" s="25" t="n"/>
      <c r="AI6674" s="394" t="n"/>
      <c r="AM6674" s="48" t="n"/>
      <c r="AN6674" s="48" t="n"/>
      <c r="AO6674" s="48" t="n"/>
    </row>
    <row r="6675">
      <c r="M6675" s="25" t="n"/>
      <c r="Q6675" s="25" t="n"/>
      <c r="U6675" s="194" t="n"/>
      <c r="AA6675" s="25" t="n"/>
      <c r="AB6675" s="25" t="n"/>
      <c r="AC6675" s="195" t="n"/>
      <c r="AD6675" s="25" t="n"/>
      <c r="AE6675" s="25" t="n"/>
      <c r="AG6675" s="25" t="n"/>
      <c r="AH6675" s="25" t="n"/>
      <c r="AI6675" s="394" t="n"/>
      <c r="AM6675" s="48" t="n"/>
      <c r="AN6675" s="48" t="n"/>
      <c r="AO6675" s="48" t="n"/>
    </row>
    <row r="6676">
      <c r="M6676" s="25" t="n"/>
      <c r="Q6676" s="25" t="n"/>
      <c r="U6676" s="194" t="n"/>
      <c r="AA6676" s="25" t="n"/>
      <c r="AB6676" s="25" t="n"/>
      <c r="AC6676" s="195" t="n"/>
      <c r="AD6676" s="25" t="n"/>
      <c r="AE6676" s="25" t="n"/>
      <c r="AG6676" s="25" t="n"/>
      <c r="AH6676" s="25" t="n"/>
      <c r="AI6676" s="394" t="n"/>
      <c r="AM6676" s="48" t="n"/>
      <c r="AN6676" s="48" t="n"/>
      <c r="AO6676" s="48" t="n"/>
    </row>
    <row r="6677">
      <c r="M6677" s="25" t="n"/>
      <c r="Q6677" s="25" t="n"/>
      <c r="U6677" s="194" t="n"/>
      <c r="AA6677" s="25" t="n"/>
      <c r="AB6677" s="25" t="n"/>
      <c r="AC6677" s="195" t="n"/>
      <c r="AD6677" s="25" t="n"/>
      <c r="AE6677" s="25" t="n"/>
      <c r="AG6677" s="25" t="n"/>
      <c r="AH6677" s="25" t="n"/>
      <c r="AI6677" s="394" t="n"/>
      <c r="AM6677" s="48" t="n"/>
      <c r="AN6677" s="48" t="n"/>
      <c r="AO6677" s="48" t="n"/>
    </row>
    <row r="6678">
      <c r="M6678" s="25" t="n"/>
      <c r="Q6678" s="25" t="n"/>
      <c r="U6678" s="194" t="n"/>
      <c r="AA6678" s="25" t="n"/>
      <c r="AB6678" s="25" t="n"/>
      <c r="AC6678" s="195" t="n"/>
      <c r="AD6678" s="25" t="n"/>
      <c r="AE6678" s="25" t="n"/>
      <c r="AG6678" s="25" t="n"/>
      <c r="AH6678" s="25" t="n"/>
      <c r="AI6678" s="394" t="n"/>
      <c r="AM6678" s="48" t="n"/>
      <c r="AN6678" s="48" t="n"/>
      <c r="AO6678" s="48" t="n"/>
    </row>
    <row r="6679">
      <c r="M6679" s="25" t="n"/>
      <c r="Q6679" s="25" t="n"/>
      <c r="U6679" s="194" t="n"/>
      <c r="AA6679" s="25" t="n"/>
      <c r="AB6679" s="25" t="n"/>
      <c r="AC6679" s="195" t="n"/>
      <c r="AD6679" s="25" t="n"/>
      <c r="AE6679" s="25" t="n"/>
      <c r="AG6679" s="25" t="n"/>
      <c r="AH6679" s="25" t="n"/>
      <c r="AI6679" s="394" t="n"/>
      <c r="AM6679" s="48" t="n"/>
      <c r="AN6679" s="48" t="n"/>
      <c r="AO6679" s="48" t="n"/>
    </row>
    <row r="6680">
      <c r="M6680" s="25" t="n"/>
      <c r="Q6680" s="25" t="n"/>
      <c r="U6680" s="194" t="n"/>
      <c r="AA6680" s="25" t="n"/>
      <c r="AB6680" s="25" t="n"/>
      <c r="AC6680" s="195" t="n"/>
      <c r="AD6680" s="25" t="n"/>
      <c r="AE6680" s="25" t="n"/>
      <c r="AG6680" s="25" t="n"/>
      <c r="AH6680" s="25" t="n"/>
      <c r="AI6680" s="394" t="n"/>
      <c r="AM6680" s="48" t="n"/>
      <c r="AN6680" s="48" t="n"/>
      <c r="AO6680" s="48" t="n"/>
    </row>
    <row r="6681">
      <c r="M6681" s="25" t="n"/>
      <c r="Q6681" s="25" t="n"/>
      <c r="U6681" s="194" t="n"/>
      <c r="AA6681" s="25" t="n"/>
      <c r="AB6681" s="25" t="n"/>
      <c r="AC6681" s="195" t="n"/>
      <c r="AD6681" s="25" t="n"/>
      <c r="AE6681" s="25" t="n"/>
      <c r="AG6681" s="25" t="n"/>
      <c r="AH6681" s="25" t="n"/>
      <c r="AI6681" s="394" t="n"/>
      <c r="AM6681" s="48" t="n"/>
      <c r="AN6681" s="48" t="n"/>
      <c r="AO6681" s="48" t="n"/>
    </row>
    <row r="6682">
      <c r="M6682" s="25" t="n"/>
      <c r="Q6682" s="25" t="n"/>
      <c r="U6682" s="194" t="n"/>
      <c r="AA6682" s="25" t="n"/>
      <c r="AB6682" s="25" t="n"/>
      <c r="AC6682" s="195" t="n"/>
      <c r="AD6682" s="25" t="n"/>
      <c r="AE6682" s="25" t="n"/>
      <c r="AG6682" s="25" t="n"/>
      <c r="AH6682" s="25" t="n"/>
      <c r="AI6682" s="394" t="n"/>
      <c r="AM6682" s="48" t="n"/>
      <c r="AN6682" s="48" t="n"/>
      <c r="AO6682" s="48" t="n"/>
    </row>
    <row r="6683">
      <c r="M6683" s="25" t="n"/>
      <c r="Q6683" s="25" t="n"/>
      <c r="U6683" s="194" t="n"/>
      <c r="AA6683" s="25" t="n"/>
      <c r="AB6683" s="25" t="n"/>
      <c r="AC6683" s="195" t="n"/>
      <c r="AD6683" s="25" t="n"/>
      <c r="AE6683" s="25" t="n"/>
      <c r="AG6683" s="25" t="n"/>
      <c r="AH6683" s="25" t="n"/>
      <c r="AI6683" s="394" t="n"/>
      <c r="AM6683" s="48" t="n"/>
      <c r="AN6683" s="48" t="n"/>
      <c r="AO6683" s="48" t="n"/>
    </row>
    <row r="6684">
      <c r="M6684" s="25" t="n"/>
      <c r="Q6684" s="25" t="n"/>
      <c r="U6684" s="194" t="n"/>
      <c r="AA6684" s="25" t="n"/>
      <c r="AB6684" s="25" t="n"/>
      <c r="AC6684" s="195" t="n"/>
      <c r="AD6684" s="25" t="n"/>
      <c r="AE6684" s="25" t="n"/>
      <c r="AG6684" s="25" t="n"/>
      <c r="AH6684" s="25" t="n"/>
      <c r="AI6684" s="394" t="n"/>
      <c r="AM6684" s="48" t="n"/>
      <c r="AN6684" s="48" t="n"/>
      <c r="AO6684" s="48" t="n"/>
    </row>
    <row r="6685">
      <c r="M6685" s="25" t="n"/>
      <c r="Q6685" s="25" t="n"/>
      <c r="U6685" s="194" t="n"/>
      <c r="AA6685" s="25" t="n"/>
      <c r="AB6685" s="25" t="n"/>
      <c r="AC6685" s="195" t="n"/>
      <c r="AD6685" s="25" t="n"/>
      <c r="AE6685" s="25" t="n"/>
      <c r="AG6685" s="25" t="n"/>
      <c r="AH6685" s="25" t="n"/>
      <c r="AI6685" s="394" t="n"/>
      <c r="AM6685" s="48" t="n"/>
      <c r="AN6685" s="48" t="n"/>
      <c r="AO6685" s="48" t="n"/>
    </row>
    <row r="6686">
      <c r="M6686" s="25" t="n"/>
      <c r="Q6686" s="25" t="n"/>
      <c r="U6686" s="194" t="n"/>
      <c r="AA6686" s="25" t="n"/>
      <c r="AB6686" s="25" t="n"/>
      <c r="AC6686" s="195" t="n"/>
      <c r="AD6686" s="25" t="n"/>
      <c r="AE6686" s="25" t="n"/>
      <c r="AG6686" s="25" t="n"/>
      <c r="AH6686" s="25" t="n"/>
      <c r="AI6686" s="394" t="n"/>
      <c r="AM6686" s="48" t="n"/>
      <c r="AN6686" s="48" t="n"/>
      <c r="AO6686" s="48" t="n"/>
    </row>
    <row r="6687">
      <c r="M6687" s="25" t="n"/>
      <c r="Q6687" s="25" t="n"/>
      <c r="U6687" s="194" t="n"/>
      <c r="AA6687" s="25" t="n"/>
      <c r="AB6687" s="25" t="n"/>
      <c r="AC6687" s="195" t="n"/>
      <c r="AD6687" s="25" t="n"/>
      <c r="AE6687" s="25" t="n"/>
      <c r="AG6687" s="25" t="n"/>
      <c r="AH6687" s="25" t="n"/>
      <c r="AI6687" s="394" t="n"/>
      <c r="AM6687" s="48" t="n"/>
      <c r="AN6687" s="48" t="n"/>
      <c r="AO6687" s="48" t="n"/>
    </row>
    <row r="6688">
      <c r="M6688" s="25" t="n"/>
      <c r="Q6688" s="25" t="n"/>
      <c r="U6688" s="194" t="n"/>
      <c r="AA6688" s="25" t="n"/>
      <c r="AB6688" s="25" t="n"/>
      <c r="AC6688" s="195" t="n"/>
      <c r="AD6688" s="25" t="n"/>
      <c r="AE6688" s="25" t="n"/>
      <c r="AG6688" s="25" t="n"/>
      <c r="AH6688" s="25" t="n"/>
      <c r="AI6688" s="394" t="n"/>
      <c r="AM6688" s="48" t="n"/>
      <c r="AN6688" s="48" t="n"/>
      <c r="AO6688" s="48" t="n"/>
    </row>
    <row r="6689">
      <c r="M6689" s="25" t="n"/>
      <c r="Q6689" s="25" t="n"/>
      <c r="U6689" s="194" t="n"/>
      <c r="AA6689" s="25" t="n"/>
      <c r="AB6689" s="25" t="n"/>
      <c r="AC6689" s="195" t="n"/>
      <c r="AD6689" s="25" t="n"/>
      <c r="AE6689" s="25" t="n"/>
      <c r="AG6689" s="25" t="n"/>
      <c r="AH6689" s="25" t="n"/>
      <c r="AI6689" s="394" t="n"/>
      <c r="AM6689" s="48" t="n"/>
      <c r="AN6689" s="48" t="n"/>
      <c r="AO6689" s="48" t="n"/>
    </row>
    <row r="6690">
      <c r="M6690" s="25" t="n"/>
      <c r="Q6690" s="25" t="n"/>
      <c r="U6690" s="194" t="n"/>
      <c r="AA6690" s="25" t="n"/>
      <c r="AB6690" s="25" t="n"/>
      <c r="AC6690" s="195" t="n"/>
      <c r="AD6690" s="25" t="n"/>
      <c r="AE6690" s="25" t="n"/>
      <c r="AG6690" s="25" t="n"/>
      <c r="AH6690" s="25" t="n"/>
      <c r="AI6690" s="394" t="n"/>
      <c r="AM6690" s="48" t="n"/>
      <c r="AN6690" s="48" t="n"/>
      <c r="AO6690" s="48" t="n"/>
    </row>
    <row r="6691">
      <c r="M6691" s="25" t="n"/>
      <c r="Q6691" s="25" t="n"/>
      <c r="U6691" s="194" t="n"/>
      <c r="AA6691" s="25" t="n"/>
      <c r="AB6691" s="25" t="n"/>
      <c r="AC6691" s="195" t="n"/>
      <c r="AD6691" s="25" t="n"/>
      <c r="AE6691" s="25" t="n"/>
      <c r="AG6691" s="25" t="n"/>
      <c r="AH6691" s="25" t="n"/>
      <c r="AI6691" s="394" t="n"/>
      <c r="AM6691" s="48" t="n"/>
      <c r="AN6691" s="48" t="n"/>
      <c r="AO6691" s="48" t="n"/>
    </row>
    <row r="6692">
      <c r="M6692" s="25" t="n"/>
      <c r="Q6692" s="25" t="n"/>
      <c r="U6692" s="194" t="n"/>
      <c r="AA6692" s="25" t="n"/>
      <c r="AB6692" s="25" t="n"/>
      <c r="AC6692" s="195" t="n"/>
      <c r="AD6692" s="25" t="n"/>
      <c r="AE6692" s="25" t="n"/>
      <c r="AG6692" s="25" t="n"/>
      <c r="AH6692" s="25" t="n"/>
      <c r="AI6692" s="394" t="n"/>
      <c r="AM6692" s="48" t="n"/>
      <c r="AN6692" s="48" t="n"/>
      <c r="AO6692" s="48" t="n"/>
    </row>
    <row r="6693">
      <c r="M6693" s="25" t="n"/>
      <c r="Q6693" s="25" t="n"/>
      <c r="U6693" s="194" t="n"/>
      <c r="AA6693" s="25" t="n"/>
      <c r="AB6693" s="25" t="n"/>
      <c r="AC6693" s="195" t="n"/>
      <c r="AD6693" s="25" t="n"/>
      <c r="AE6693" s="25" t="n"/>
      <c r="AG6693" s="25" t="n"/>
      <c r="AH6693" s="25" t="n"/>
      <c r="AI6693" s="394" t="n"/>
      <c r="AM6693" s="48" t="n"/>
      <c r="AN6693" s="48" t="n"/>
      <c r="AO6693" s="48" t="n"/>
    </row>
    <row r="6694">
      <c r="M6694" s="25" t="n"/>
      <c r="Q6694" s="25" t="n"/>
      <c r="U6694" s="194" t="n"/>
      <c r="AA6694" s="25" t="n"/>
      <c r="AB6694" s="25" t="n"/>
      <c r="AC6694" s="195" t="n"/>
      <c r="AD6694" s="25" t="n"/>
      <c r="AE6694" s="25" t="n"/>
      <c r="AG6694" s="25" t="n"/>
      <c r="AH6694" s="25" t="n"/>
      <c r="AI6694" s="394" t="n"/>
      <c r="AM6694" s="48" t="n"/>
      <c r="AN6694" s="48" t="n"/>
      <c r="AO6694" s="48" t="n"/>
    </row>
    <row r="6695">
      <c r="M6695" s="25" t="n"/>
      <c r="Q6695" s="25" t="n"/>
      <c r="U6695" s="194" t="n"/>
      <c r="AA6695" s="25" t="n"/>
      <c r="AB6695" s="25" t="n"/>
      <c r="AC6695" s="195" t="n"/>
      <c r="AD6695" s="25" t="n"/>
      <c r="AE6695" s="25" t="n"/>
      <c r="AG6695" s="25" t="n"/>
      <c r="AH6695" s="25" t="n"/>
      <c r="AI6695" s="394" t="n"/>
      <c r="AM6695" s="48" t="n"/>
      <c r="AN6695" s="48" t="n"/>
      <c r="AO6695" s="48" t="n"/>
    </row>
    <row r="6696">
      <c r="M6696" s="25" t="n"/>
      <c r="Q6696" s="25" t="n"/>
      <c r="U6696" s="194" t="n"/>
      <c r="AA6696" s="25" t="n"/>
      <c r="AB6696" s="25" t="n"/>
      <c r="AC6696" s="195" t="n"/>
      <c r="AD6696" s="25" t="n"/>
      <c r="AE6696" s="25" t="n"/>
      <c r="AG6696" s="25" t="n"/>
      <c r="AH6696" s="25" t="n"/>
      <c r="AI6696" s="394" t="n"/>
      <c r="AM6696" s="48" t="n"/>
      <c r="AN6696" s="48" t="n"/>
      <c r="AO6696" s="48" t="n"/>
    </row>
    <row r="6697">
      <c r="M6697" s="25" t="n"/>
      <c r="Q6697" s="25" t="n"/>
      <c r="U6697" s="194" t="n"/>
      <c r="AA6697" s="25" t="n"/>
      <c r="AB6697" s="25" t="n"/>
      <c r="AC6697" s="195" t="n"/>
      <c r="AD6697" s="25" t="n"/>
      <c r="AE6697" s="25" t="n"/>
      <c r="AG6697" s="25" t="n"/>
      <c r="AH6697" s="25" t="n"/>
      <c r="AI6697" s="394" t="n"/>
      <c r="AM6697" s="48" t="n"/>
      <c r="AN6697" s="48" t="n"/>
      <c r="AO6697" s="48" t="n"/>
    </row>
    <row r="6698">
      <c r="M6698" s="25" t="n"/>
      <c r="Q6698" s="25" t="n"/>
      <c r="U6698" s="194" t="n"/>
      <c r="AA6698" s="25" t="n"/>
      <c r="AB6698" s="25" t="n"/>
      <c r="AC6698" s="195" t="n"/>
      <c r="AD6698" s="25" t="n"/>
      <c r="AE6698" s="25" t="n"/>
      <c r="AG6698" s="25" t="n"/>
      <c r="AH6698" s="25" t="n"/>
      <c r="AI6698" s="394" t="n"/>
      <c r="AM6698" s="48" t="n"/>
      <c r="AN6698" s="48" t="n"/>
      <c r="AO6698" s="48" t="n"/>
    </row>
    <row r="6699">
      <c r="M6699" s="25" t="n"/>
      <c r="Q6699" s="25" t="n"/>
      <c r="U6699" s="194" t="n"/>
      <c r="AA6699" s="25" t="n"/>
      <c r="AB6699" s="25" t="n"/>
      <c r="AC6699" s="195" t="n"/>
      <c r="AD6699" s="25" t="n"/>
      <c r="AE6699" s="25" t="n"/>
      <c r="AG6699" s="25" t="n"/>
      <c r="AH6699" s="25" t="n"/>
      <c r="AI6699" s="394" t="n"/>
      <c r="AM6699" s="48" t="n"/>
      <c r="AN6699" s="48" t="n"/>
      <c r="AO6699" s="48" t="n"/>
    </row>
    <row r="6700">
      <c r="M6700" s="25" t="n"/>
      <c r="Q6700" s="25" t="n"/>
      <c r="U6700" s="194" t="n"/>
      <c r="AA6700" s="25" t="n"/>
      <c r="AB6700" s="25" t="n"/>
      <c r="AC6700" s="195" t="n"/>
      <c r="AD6700" s="25" t="n"/>
      <c r="AE6700" s="25" t="n"/>
      <c r="AG6700" s="25" t="n"/>
      <c r="AH6700" s="25" t="n"/>
      <c r="AI6700" s="394" t="n"/>
      <c r="AM6700" s="48" t="n"/>
      <c r="AN6700" s="48" t="n"/>
      <c r="AO6700" s="48" t="n"/>
    </row>
    <row r="6701">
      <c r="M6701" s="25" t="n"/>
      <c r="Q6701" s="25" t="n"/>
      <c r="U6701" s="194" t="n"/>
      <c r="AA6701" s="25" t="n"/>
      <c r="AB6701" s="25" t="n"/>
      <c r="AC6701" s="195" t="n"/>
      <c r="AD6701" s="25" t="n"/>
      <c r="AE6701" s="25" t="n"/>
      <c r="AG6701" s="25" t="n"/>
      <c r="AH6701" s="25" t="n"/>
      <c r="AI6701" s="394" t="n"/>
      <c r="AM6701" s="48" t="n"/>
      <c r="AN6701" s="48" t="n"/>
      <c r="AO6701" s="48" t="n"/>
    </row>
    <row r="6702">
      <c r="M6702" s="25" t="n"/>
      <c r="Q6702" s="25" t="n"/>
      <c r="U6702" s="194" t="n"/>
      <c r="AA6702" s="25" t="n"/>
      <c r="AB6702" s="25" t="n"/>
      <c r="AC6702" s="195" t="n"/>
      <c r="AD6702" s="25" t="n"/>
      <c r="AE6702" s="25" t="n"/>
      <c r="AG6702" s="25" t="n"/>
      <c r="AH6702" s="25" t="n"/>
      <c r="AI6702" s="394" t="n"/>
      <c r="AM6702" s="48" t="n"/>
      <c r="AN6702" s="48" t="n"/>
      <c r="AO6702" s="48" t="n"/>
    </row>
    <row r="6703">
      <c r="M6703" s="25" t="n"/>
      <c r="Q6703" s="25" t="n"/>
      <c r="U6703" s="194" t="n"/>
      <c r="AA6703" s="25" t="n"/>
      <c r="AB6703" s="25" t="n"/>
      <c r="AC6703" s="195" t="n"/>
      <c r="AD6703" s="25" t="n"/>
      <c r="AE6703" s="25" t="n"/>
      <c r="AG6703" s="25" t="n"/>
      <c r="AH6703" s="25" t="n"/>
      <c r="AI6703" s="394" t="n"/>
      <c r="AM6703" s="48" t="n"/>
      <c r="AN6703" s="48" t="n"/>
      <c r="AO6703" s="48" t="n"/>
    </row>
    <row r="6704">
      <c r="M6704" s="25" t="n"/>
      <c r="Q6704" s="25" t="n"/>
      <c r="U6704" s="194" t="n"/>
      <c r="AA6704" s="25" t="n"/>
      <c r="AB6704" s="25" t="n"/>
      <c r="AC6704" s="195" t="n"/>
      <c r="AD6704" s="25" t="n"/>
      <c r="AE6704" s="25" t="n"/>
      <c r="AG6704" s="25" t="n"/>
      <c r="AH6704" s="25" t="n"/>
      <c r="AI6704" s="394" t="n"/>
      <c r="AM6704" s="48" t="n"/>
      <c r="AN6704" s="48" t="n"/>
      <c r="AO6704" s="48" t="n"/>
    </row>
    <row r="6705">
      <c r="M6705" s="25" t="n"/>
      <c r="Q6705" s="25" t="n"/>
      <c r="U6705" s="194" t="n"/>
      <c r="AA6705" s="25" t="n"/>
      <c r="AB6705" s="25" t="n"/>
      <c r="AC6705" s="195" t="n"/>
      <c r="AD6705" s="25" t="n"/>
      <c r="AE6705" s="25" t="n"/>
      <c r="AG6705" s="25" t="n"/>
      <c r="AH6705" s="25" t="n"/>
      <c r="AI6705" s="394" t="n"/>
      <c r="AM6705" s="48" t="n"/>
      <c r="AN6705" s="48" t="n"/>
      <c r="AO6705" s="48" t="n"/>
    </row>
    <row r="6706">
      <c r="M6706" s="25" t="n"/>
      <c r="Q6706" s="25" t="n"/>
      <c r="U6706" s="194" t="n"/>
      <c r="AA6706" s="25" t="n"/>
      <c r="AB6706" s="25" t="n"/>
      <c r="AC6706" s="195" t="n"/>
      <c r="AD6706" s="25" t="n"/>
      <c r="AE6706" s="25" t="n"/>
      <c r="AG6706" s="25" t="n"/>
      <c r="AH6706" s="25" t="n"/>
      <c r="AI6706" s="394" t="n"/>
      <c r="AM6706" s="48" t="n"/>
      <c r="AN6706" s="48" t="n"/>
      <c r="AO6706" s="48" t="n"/>
    </row>
    <row r="6707">
      <c r="M6707" s="25" t="n"/>
      <c r="Q6707" s="25" t="n"/>
      <c r="U6707" s="194" t="n"/>
      <c r="AA6707" s="25" t="n"/>
      <c r="AB6707" s="25" t="n"/>
      <c r="AC6707" s="195" t="n"/>
      <c r="AD6707" s="25" t="n"/>
      <c r="AE6707" s="25" t="n"/>
      <c r="AG6707" s="25" t="n"/>
      <c r="AH6707" s="25" t="n"/>
      <c r="AI6707" s="394" t="n"/>
      <c r="AM6707" s="48" t="n"/>
      <c r="AN6707" s="48" t="n"/>
      <c r="AO6707" s="48" t="n"/>
    </row>
    <row r="6708">
      <c r="M6708" s="25" t="n"/>
      <c r="Q6708" s="25" t="n"/>
      <c r="U6708" s="194" t="n"/>
      <c r="AA6708" s="25" t="n"/>
      <c r="AB6708" s="25" t="n"/>
      <c r="AC6708" s="195" t="n"/>
      <c r="AD6708" s="25" t="n"/>
      <c r="AE6708" s="25" t="n"/>
      <c r="AG6708" s="25" t="n"/>
      <c r="AH6708" s="25" t="n"/>
      <c r="AI6708" s="394" t="n"/>
      <c r="AM6708" s="48" t="n"/>
      <c r="AN6708" s="48" t="n"/>
      <c r="AO6708" s="48" t="n"/>
    </row>
    <row r="6709">
      <c r="M6709" s="25" t="n"/>
      <c r="Q6709" s="25" t="n"/>
      <c r="U6709" s="194" t="n"/>
      <c r="AA6709" s="25" t="n"/>
      <c r="AB6709" s="25" t="n"/>
      <c r="AC6709" s="195" t="n"/>
      <c r="AD6709" s="25" t="n"/>
      <c r="AE6709" s="25" t="n"/>
      <c r="AG6709" s="25" t="n"/>
      <c r="AH6709" s="25" t="n"/>
      <c r="AI6709" s="394" t="n"/>
      <c r="AM6709" s="48" t="n"/>
      <c r="AN6709" s="48" t="n"/>
      <c r="AO6709" s="48" t="n"/>
    </row>
    <row r="6710">
      <c r="M6710" s="25" t="n"/>
      <c r="Q6710" s="25" t="n"/>
      <c r="U6710" s="194" t="n"/>
      <c r="AA6710" s="25" t="n"/>
      <c r="AB6710" s="25" t="n"/>
      <c r="AC6710" s="195" t="n"/>
      <c r="AD6710" s="25" t="n"/>
      <c r="AE6710" s="25" t="n"/>
      <c r="AG6710" s="25" t="n"/>
      <c r="AH6710" s="25" t="n"/>
      <c r="AI6710" s="394" t="n"/>
      <c r="AM6710" s="48" t="n"/>
      <c r="AN6710" s="48" t="n"/>
      <c r="AO6710" s="48" t="n"/>
    </row>
    <row r="6711">
      <c r="M6711" s="25" t="n"/>
      <c r="Q6711" s="25" t="n"/>
      <c r="U6711" s="194" t="n"/>
      <c r="AA6711" s="25" t="n"/>
      <c r="AB6711" s="25" t="n"/>
      <c r="AC6711" s="195" t="n"/>
      <c r="AD6711" s="25" t="n"/>
      <c r="AE6711" s="25" t="n"/>
      <c r="AG6711" s="25" t="n"/>
      <c r="AH6711" s="25" t="n"/>
      <c r="AI6711" s="394" t="n"/>
      <c r="AM6711" s="48" t="n"/>
      <c r="AN6711" s="48" t="n"/>
      <c r="AO6711" s="48" t="n"/>
    </row>
    <row r="6712">
      <c r="M6712" s="25" t="n"/>
      <c r="Q6712" s="25" t="n"/>
      <c r="U6712" s="194" t="n"/>
      <c r="AA6712" s="25" t="n"/>
      <c r="AB6712" s="25" t="n"/>
      <c r="AC6712" s="195" t="n"/>
      <c r="AD6712" s="25" t="n"/>
      <c r="AE6712" s="25" t="n"/>
      <c r="AG6712" s="25" t="n"/>
      <c r="AH6712" s="25" t="n"/>
      <c r="AI6712" s="394" t="n"/>
      <c r="AM6712" s="48" t="n"/>
      <c r="AN6712" s="48" t="n"/>
      <c r="AO6712" s="48" t="n"/>
    </row>
    <row r="6713">
      <c r="M6713" s="25" t="n"/>
      <c r="Q6713" s="25" t="n"/>
      <c r="U6713" s="194" t="n"/>
      <c r="AA6713" s="25" t="n"/>
      <c r="AB6713" s="25" t="n"/>
      <c r="AC6713" s="195" t="n"/>
      <c r="AD6713" s="25" t="n"/>
      <c r="AE6713" s="25" t="n"/>
      <c r="AG6713" s="25" t="n"/>
      <c r="AH6713" s="25" t="n"/>
      <c r="AI6713" s="394" t="n"/>
      <c r="AM6713" s="48" t="n"/>
      <c r="AN6713" s="48" t="n"/>
      <c r="AO6713" s="48" t="n"/>
    </row>
    <row r="6714">
      <c r="M6714" s="25" t="n"/>
      <c r="Q6714" s="25" t="n"/>
      <c r="U6714" s="194" t="n"/>
      <c r="AA6714" s="25" t="n"/>
      <c r="AB6714" s="25" t="n"/>
      <c r="AC6714" s="195" t="n"/>
      <c r="AD6714" s="25" t="n"/>
      <c r="AE6714" s="25" t="n"/>
      <c r="AG6714" s="25" t="n"/>
      <c r="AH6714" s="25" t="n"/>
      <c r="AI6714" s="394" t="n"/>
      <c r="AM6714" s="48" t="n"/>
      <c r="AN6714" s="48" t="n"/>
      <c r="AO6714" s="48" t="n"/>
    </row>
    <row r="6715">
      <c r="M6715" s="25" t="n"/>
      <c r="Q6715" s="25" t="n"/>
      <c r="U6715" s="194" t="n"/>
      <c r="AA6715" s="25" t="n"/>
      <c r="AB6715" s="25" t="n"/>
      <c r="AC6715" s="195" t="n"/>
      <c r="AD6715" s="25" t="n"/>
      <c r="AE6715" s="25" t="n"/>
      <c r="AG6715" s="25" t="n"/>
      <c r="AH6715" s="25" t="n"/>
      <c r="AI6715" s="394" t="n"/>
      <c r="AM6715" s="48" t="n"/>
      <c r="AN6715" s="48" t="n"/>
      <c r="AO6715" s="48" t="n"/>
    </row>
    <row r="6716">
      <c r="M6716" s="25" t="n"/>
      <c r="Q6716" s="25" t="n"/>
      <c r="U6716" s="194" t="n"/>
      <c r="AA6716" s="25" t="n"/>
      <c r="AB6716" s="25" t="n"/>
      <c r="AC6716" s="195" t="n"/>
      <c r="AD6716" s="25" t="n"/>
      <c r="AE6716" s="25" t="n"/>
      <c r="AG6716" s="25" t="n"/>
      <c r="AH6716" s="25" t="n"/>
      <c r="AI6716" s="394" t="n"/>
      <c r="AM6716" s="48" t="n"/>
      <c r="AN6716" s="48" t="n"/>
      <c r="AO6716" s="48" t="n"/>
    </row>
    <row r="6717">
      <c r="M6717" s="25" t="n"/>
      <c r="Q6717" s="25" t="n"/>
      <c r="U6717" s="194" t="n"/>
      <c r="AA6717" s="25" t="n"/>
      <c r="AB6717" s="25" t="n"/>
      <c r="AC6717" s="195" t="n"/>
      <c r="AD6717" s="25" t="n"/>
      <c r="AE6717" s="25" t="n"/>
      <c r="AG6717" s="25" t="n"/>
      <c r="AH6717" s="25" t="n"/>
      <c r="AI6717" s="394" t="n"/>
      <c r="AM6717" s="48" t="n"/>
      <c r="AN6717" s="48" t="n"/>
      <c r="AO6717" s="48" t="n"/>
    </row>
    <row r="6718">
      <c r="M6718" s="25" t="n"/>
      <c r="Q6718" s="25" t="n"/>
      <c r="U6718" s="194" t="n"/>
      <c r="AA6718" s="25" t="n"/>
      <c r="AB6718" s="25" t="n"/>
      <c r="AC6718" s="195" t="n"/>
      <c r="AD6718" s="25" t="n"/>
      <c r="AE6718" s="25" t="n"/>
      <c r="AG6718" s="25" t="n"/>
      <c r="AH6718" s="25" t="n"/>
      <c r="AI6718" s="394" t="n"/>
      <c r="AM6718" s="48" t="n"/>
      <c r="AN6718" s="48" t="n"/>
      <c r="AO6718" s="48" t="n"/>
    </row>
    <row r="6719">
      <c r="M6719" s="25" t="n"/>
      <c r="Q6719" s="25" t="n"/>
      <c r="U6719" s="194" t="n"/>
      <c r="AA6719" s="25" t="n"/>
      <c r="AB6719" s="25" t="n"/>
      <c r="AC6719" s="195" t="n"/>
      <c r="AD6719" s="25" t="n"/>
      <c r="AE6719" s="25" t="n"/>
      <c r="AG6719" s="25" t="n"/>
      <c r="AH6719" s="25" t="n"/>
      <c r="AI6719" s="394" t="n"/>
      <c r="AM6719" s="48" t="n"/>
      <c r="AN6719" s="48" t="n"/>
      <c r="AO6719" s="48" t="n"/>
    </row>
    <row r="6720">
      <c r="M6720" s="25" t="n"/>
      <c r="Q6720" s="25" t="n"/>
      <c r="U6720" s="194" t="n"/>
      <c r="AA6720" s="25" t="n"/>
      <c r="AB6720" s="25" t="n"/>
      <c r="AC6720" s="195" t="n"/>
      <c r="AD6720" s="25" t="n"/>
      <c r="AE6720" s="25" t="n"/>
      <c r="AG6720" s="25" t="n"/>
      <c r="AH6720" s="25" t="n"/>
      <c r="AI6720" s="394" t="n"/>
      <c r="AM6720" s="48" t="n"/>
      <c r="AN6720" s="48" t="n"/>
      <c r="AO6720" s="48" t="n"/>
    </row>
    <row r="6721">
      <c r="M6721" s="25" t="n"/>
      <c r="Q6721" s="25" t="n"/>
      <c r="U6721" s="194" t="n"/>
      <c r="AA6721" s="25" t="n"/>
      <c r="AB6721" s="25" t="n"/>
      <c r="AC6721" s="195" t="n"/>
      <c r="AD6721" s="25" t="n"/>
      <c r="AE6721" s="25" t="n"/>
      <c r="AG6721" s="25" t="n"/>
      <c r="AH6721" s="25" t="n"/>
      <c r="AI6721" s="394" t="n"/>
      <c r="AM6721" s="48" t="n"/>
      <c r="AN6721" s="48" t="n"/>
      <c r="AO6721" s="48" t="n"/>
    </row>
    <row r="6722">
      <c r="M6722" s="25" t="n"/>
      <c r="Q6722" s="25" t="n"/>
      <c r="U6722" s="194" t="n"/>
      <c r="AA6722" s="25" t="n"/>
      <c r="AB6722" s="25" t="n"/>
      <c r="AC6722" s="195" t="n"/>
      <c r="AD6722" s="25" t="n"/>
      <c r="AE6722" s="25" t="n"/>
      <c r="AG6722" s="25" t="n"/>
      <c r="AH6722" s="25" t="n"/>
      <c r="AI6722" s="394" t="n"/>
      <c r="AM6722" s="48" t="n"/>
      <c r="AN6722" s="48" t="n"/>
      <c r="AO6722" s="48" t="n"/>
    </row>
    <row r="6723">
      <c r="M6723" s="25" t="n"/>
      <c r="Q6723" s="25" t="n"/>
      <c r="U6723" s="194" t="n"/>
      <c r="AA6723" s="25" t="n"/>
      <c r="AB6723" s="25" t="n"/>
      <c r="AC6723" s="195" t="n"/>
      <c r="AD6723" s="25" t="n"/>
      <c r="AE6723" s="25" t="n"/>
      <c r="AG6723" s="25" t="n"/>
      <c r="AH6723" s="25" t="n"/>
      <c r="AI6723" s="394" t="n"/>
      <c r="AM6723" s="48" t="n"/>
      <c r="AN6723" s="48" t="n"/>
      <c r="AO6723" s="48" t="n"/>
    </row>
    <row r="6724">
      <c r="M6724" s="25" t="n"/>
      <c r="Q6724" s="25" t="n"/>
      <c r="U6724" s="194" t="n"/>
      <c r="AA6724" s="25" t="n"/>
      <c r="AB6724" s="25" t="n"/>
      <c r="AC6724" s="195" t="n"/>
      <c r="AD6724" s="25" t="n"/>
      <c r="AE6724" s="25" t="n"/>
      <c r="AG6724" s="25" t="n"/>
      <c r="AH6724" s="25" t="n"/>
      <c r="AI6724" s="394" t="n"/>
      <c r="AM6724" s="48" t="n"/>
      <c r="AN6724" s="48" t="n"/>
      <c r="AO6724" s="48" t="n"/>
    </row>
    <row r="6725">
      <c r="M6725" s="25" t="n"/>
      <c r="Q6725" s="25" t="n"/>
      <c r="U6725" s="194" t="n"/>
      <c r="AA6725" s="25" t="n"/>
      <c r="AB6725" s="25" t="n"/>
      <c r="AC6725" s="195" t="n"/>
      <c r="AD6725" s="25" t="n"/>
      <c r="AE6725" s="25" t="n"/>
      <c r="AG6725" s="25" t="n"/>
      <c r="AH6725" s="25" t="n"/>
      <c r="AI6725" s="394" t="n"/>
      <c r="AM6725" s="48" t="n"/>
      <c r="AN6725" s="48" t="n"/>
      <c r="AO6725" s="48" t="n"/>
    </row>
    <row r="6726">
      <c r="M6726" s="25" t="n"/>
      <c r="Q6726" s="25" t="n"/>
      <c r="U6726" s="194" t="n"/>
      <c r="AA6726" s="25" t="n"/>
      <c r="AB6726" s="25" t="n"/>
      <c r="AC6726" s="195" t="n"/>
      <c r="AD6726" s="25" t="n"/>
      <c r="AE6726" s="25" t="n"/>
      <c r="AG6726" s="25" t="n"/>
      <c r="AH6726" s="25" t="n"/>
      <c r="AI6726" s="394" t="n"/>
      <c r="AM6726" s="48" t="n"/>
      <c r="AN6726" s="48" t="n"/>
      <c r="AO6726" s="48" t="n"/>
    </row>
    <row r="6727">
      <c r="M6727" s="25" t="n"/>
      <c r="Q6727" s="25" t="n"/>
      <c r="U6727" s="194" t="n"/>
      <c r="AA6727" s="25" t="n"/>
      <c r="AB6727" s="25" t="n"/>
      <c r="AC6727" s="195" t="n"/>
      <c r="AD6727" s="25" t="n"/>
      <c r="AE6727" s="25" t="n"/>
      <c r="AG6727" s="25" t="n"/>
      <c r="AH6727" s="25" t="n"/>
      <c r="AI6727" s="394" t="n"/>
      <c r="AM6727" s="48" t="n"/>
      <c r="AN6727" s="48" t="n"/>
      <c r="AO6727" s="48" t="n"/>
    </row>
    <row r="6728">
      <c r="M6728" s="25" t="n"/>
      <c r="Q6728" s="25" t="n"/>
      <c r="U6728" s="194" t="n"/>
      <c r="AA6728" s="25" t="n"/>
      <c r="AB6728" s="25" t="n"/>
      <c r="AC6728" s="195" t="n"/>
      <c r="AD6728" s="25" t="n"/>
      <c r="AE6728" s="25" t="n"/>
      <c r="AG6728" s="25" t="n"/>
      <c r="AH6728" s="25" t="n"/>
      <c r="AI6728" s="394" t="n"/>
      <c r="AM6728" s="48" t="n"/>
      <c r="AN6728" s="48" t="n"/>
      <c r="AO6728" s="48" t="n"/>
    </row>
    <row r="6729">
      <c r="M6729" s="25" t="n"/>
      <c r="Q6729" s="25" t="n"/>
      <c r="U6729" s="194" t="n"/>
      <c r="AA6729" s="25" t="n"/>
      <c r="AB6729" s="25" t="n"/>
      <c r="AC6729" s="195" t="n"/>
      <c r="AD6729" s="25" t="n"/>
      <c r="AE6729" s="25" t="n"/>
      <c r="AG6729" s="25" t="n"/>
      <c r="AH6729" s="25" t="n"/>
      <c r="AI6729" s="394" t="n"/>
      <c r="AM6729" s="48" t="n"/>
      <c r="AN6729" s="48" t="n"/>
      <c r="AO6729" s="48" t="n"/>
    </row>
    <row r="6730">
      <c r="M6730" s="25" t="n"/>
      <c r="Q6730" s="25" t="n"/>
      <c r="U6730" s="194" t="n"/>
      <c r="AA6730" s="25" t="n"/>
      <c r="AB6730" s="25" t="n"/>
      <c r="AC6730" s="195" t="n"/>
      <c r="AD6730" s="25" t="n"/>
      <c r="AE6730" s="25" t="n"/>
      <c r="AG6730" s="25" t="n"/>
      <c r="AH6730" s="25" t="n"/>
      <c r="AI6730" s="394" t="n"/>
      <c r="AM6730" s="48" t="n"/>
      <c r="AN6730" s="48" t="n"/>
      <c r="AO6730" s="48" t="n"/>
    </row>
    <row r="6731">
      <c r="M6731" s="25" t="n"/>
      <c r="Q6731" s="25" t="n"/>
      <c r="U6731" s="194" t="n"/>
      <c r="AA6731" s="25" t="n"/>
      <c r="AB6731" s="25" t="n"/>
      <c r="AC6731" s="195" t="n"/>
      <c r="AD6731" s="25" t="n"/>
      <c r="AE6731" s="25" t="n"/>
      <c r="AG6731" s="25" t="n"/>
      <c r="AH6731" s="25" t="n"/>
      <c r="AI6731" s="394" t="n"/>
      <c r="AM6731" s="48" t="n"/>
      <c r="AN6731" s="48" t="n"/>
      <c r="AO6731" s="48" t="n"/>
    </row>
    <row r="6732">
      <c r="M6732" s="25" t="n"/>
      <c r="Q6732" s="25" t="n"/>
      <c r="U6732" s="194" t="n"/>
      <c r="AA6732" s="25" t="n"/>
      <c r="AB6732" s="25" t="n"/>
      <c r="AC6732" s="195" t="n"/>
      <c r="AD6732" s="25" t="n"/>
      <c r="AE6732" s="25" t="n"/>
      <c r="AG6732" s="25" t="n"/>
      <c r="AH6732" s="25" t="n"/>
      <c r="AI6732" s="394" t="n"/>
      <c r="AM6732" s="48" t="n"/>
      <c r="AN6732" s="48" t="n"/>
      <c r="AO6732" s="48" t="n"/>
    </row>
    <row r="6733">
      <c r="M6733" s="25" t="n"/>
      <c r="Q6733" s="25" t="n"/>
      <c r="U6733" s="194" t="n"/>
      <c r="AA6733" s="25" t="n"/>
      <c r="AB6733" s="25" t="n"/>
      <c r="AC6733" s="195" t="n"/>
      <c r="AD6733" s="25" t="n"/>
      <c r="AE6733" s="25" t="n"/>
      <c r="AG6733" s="25" t="n"/>
      <c r="AH6733" s="25" t="n"/>
      <c r="AI6733" s="394" t="n"/>
      <c r="AM6733" s="48" t="n"/>
      <c r="AN6733" s="48" t="n"/>
      <c r="AO6733" s="48" t="n"/>
    </row>
    <row r="6734">
      <c r="M6734" s="25" t="n"/>
      <c r="Q6734" s="25" t="n"/>
      <c r="U6734" s="194" t="n"/>
      <c r="AA6734" s="25" t="n"/>
      <c r="AB6734" s="25" t="n"/>
      <c r="AC6734" s="195" t="n"/>
      <c r="AD6734" s="25" t="n"/>
      <c r="AE6734" s="25" t="n"/>
      <c r="AG6734" s="25" t="n"/>
      <c r="AH6734" s="25" t="n"/>
      <c r="AI6734" s="394" t="n"/>
      <c r="AM6734" s="48" t="n"/>
      <c r="AN6734" s="48" t="n"/>
      <c r="AO6734" s="48" t="n"/>
    </row>
    <row r="6735">
      <c r="M6735" s="25" t="n"/>
      <c r="Q6735" s="25" t="n"/>
      <c r="U6735" s="194" t="n"/>
      <c r="AA6735" s="25" t="n"/>
      <c r="AB6735" s="25" t="n"/>
      <c r="AC6735" s="195" t="n"/>
      <c r="AD6735" s="25" t="n"/>
      <c r="AE6735" s="25" t="n"/>
      <c r="AG6735" s="25" t="n"/>
      <c r="AH6735" s="25" t="n"/>
      <c r="AI6735" s="394" t="n"/>
      <c r="AM6735" s="48" t="n"/>
      <c r="AN6735" s="48" t="n"/>
      <c r="AO6735" s="48" t="n"/>
    </row>
    <row r="6736">
      <c r="M6736" s="25" t="n"/>
      <c r="Q6736" s="25" t="n"/>
      <c r="U6736" s="194" t="n"/>
      <c r="AA6736" s="25" t="n"/>
      <c r="AB6736" s="25" t="n"/>
      <c r="AC6736" s="195" t="n"/>
      <c r="AD6736" s="25" t="n"/>
      <c r="AE6736" s="25" t="n"/>
      <c r="AG6736" s="25" t="n"/>
      <c r="AH6736" s="25" t="n"/>
      <c r="AI6736" s="394" t="n"/>
      <c r="AM6736" s="48" t="n"/>
      <c r="AN6736" s="48" t="n"/>
      <c r="AO6736" s="48" t="n"/>
    </row>
    <row r="6737">
      <c r="M6737" s="25" t="n"/>
      <c r="Q6737" s="25" t="n"/>
      <c r="U6737" s="194" t="n"/>
      <c r="AA6737" s="25" t="n"/>
      <c r="AB6737" s="25" t="n"/>
      <c r="AC6737" s="195" t="n"/>
      <c r="AD6737" s="25" t="n"/>
      <c r="AE6737" s="25" t="n"/>
      <c r="AG6737" s="25" t="n"/>
      <c r="AH6737" s="25" t="n"/>
      <c r="AI6737" s="394" t="n"/>
      <c r="AM6737" s="48" t="n"/>
      <c r="AN6737" s="48" t="n"/>
      <c r="AO6737" s="48" t="n"/>
    </row>
    <row r="6738">
      <c r="M6738" s="25" t="n"/>
      <c r="Q6738" s="25" t="n"/>
      <c r="U6738" s="194" t="n"/>
      <c r="AA6738" s="25" t="n"/>
      <c r="AB6738" s="25" t="n"/>
      <c r="AC6738" s="195" t="n"/>
      <c r="AD6738" s="25" t="n"/>
      <c r="AE6738" s="25" t="n"/>
      <c r="AG6738" s="25" t="n"/>
      <c r="AH6738" s="25" t="n"/>
      <c r="AI6738" s="394" t="n"/>
      <c r="AM6738" s="48" t="n"/>
      <c r="AN6738" s="48" t="n"/>
      <c r="AO6738" s="48" t="n"/>
    </row>
    <row r="6739">
      <c r="M6739" s="25" t="n"/>
      <c r="Q6739" s="25" t="n"/>
      <c r="U6739" s="194" t="n"/>
      <c r="AA6739" s="25" t="n"/>
      <c r="AB6739" s="25" t="n"/>
      <c r="AC6739" s="195" t="n"/>
      <c r="AD6739" s="25" t="n"/>
      <c r="AE6739" s="25" t="n"/>
      <c r="AG6739" s="25" t="n"/>
      <c r="AH6739" s="25" t="n"/>
      <c r="AI6739" s="394" t="n"/>
      <c r="AM6739" s="48" t="n"/>
      <c r="AN6739" s="48" t="n"/>
      <c r="AO6739" s="48" t="n"/>
    </row>
    <row r="6740">
      <c r="M6740" s="25" t="n"/>
      <c r="Q6740" s="25" t="n"/>
      <c r="U6740" s="194" t="n"/>
      <c r="AA6740" s="25" t="n"/>
      <c r="AB6740" s="25" t="n"/>
      <c r="AC6740" s="195" t="n"/>
      <c r="AD6740" s="25" t="n"/>
      <c r="AE6740" s="25" t="n"/>
      <c r="AG6740" s="25" t="n"/>
      <c r="AH6740" s="25" t="n"/>
      <c r="AI6740" s="394" t="n"/>
      <c r="AM6740" s="48" t="n"/>
      <c r="AN6740" s="48" t="n"/>
      <c r="AO6740" s="48" t="n"/>
    </row>
    <row r="6741">
      <c r="M6741" s="25" t="n"/>
      <c r="Q6741" s="25" t="n"/>
      <c r="U6741" s="194" t="n"/>
      <c r="AA6741" s="25" t="n"/>
      <c r="AB6741" s="25" t="n"/>
      <c r="AC6741" s="195" t="n"/>
      <c r="AD6741" s="25" t="n"/>
      <c r="AE6741" s="25" t="n"/>
      <c r="AG6741" s="25" t="n"/>
      <c r="AH6741" s="25" t="n"/>
      <c r="AI6741" s="394" t="n"/>
      <c r="AM6741" s="48" t="n"/>
      <c r="AN6741" s="48" t="n"/>
      <c r="AO6741" s="48" t="n"/>
    </row>
    <row r="6742">
      <c r="M6742" s="25" t="n"/>
      <c r="Q6742" s="25" t="n"/>
      <c r="U6742" s="194" t="n"/>
      <c r="AA6742" s="25" t="n"/>
      <c r="AB6742" s="25" t="n"/>
      <c r="AC6742" s="195" t="n"/>
      <c r="AD6742" s="25" t="n"/>
      <c r="AE6742" s="25" t="n"/>
      <c r="AG6742" s="25" t="n"/>
      <c r="AH6742" s="25" t="n"/>
      <c r="AI6742" s="394" t="n"/>
      <c r="AM6742" s="48" t="n"/>
      <c r="AN6742" s="48" t="n"/>
      <c r="AO6742" s="48" t="n"/>
    </row>
    <row r="6743">
      <c r="M6743" s="25" t="n"/>
      <c r="Q6743" s="25" t="n"/>
      <c r="U6743" s="194" t="n"/>
      <c r="AA6743" s="25" t="n"/>
      <c r="AB6743" s="25" t="n"/>
      <c r="AC6743" s="195" t="n"/>
      <c r="AD6743" s="25" t="n"/>
      <c r="AE6743" s="25" t="n"/>
      <c r="AG6743" s="25" t="n"/>
      <c r="AH6743" s="25" t="n"/>
      <c r="AI6743" s="394" t="n"/>
      <c r="AM6743" s="48" t="n"/>
      <c r="AN6743" s="48" t="n"/>
      <c r="AO6743" s="48" t="n"/>
    </row>
    <row r="6744">
      <c r="M6744" s="25" t="n"/>
      <c r="Q6744" s="25" t="n"/>
      <c r="U6744" s="194" t="n"/>
      <c r="AA6744" s="25" t="n"/>
      <c r="AB6744" s="25" t="n"/>
      <c r="AC6744" s="195" t="n"/>
      <c r="AD6744" s="25" t="n"/>
      <c r="AE6744" s="25" t="n"/>
      <c r="AG6744" s="25" t="n"/>
      <c r="AH6744" s="25" t="n"/>
      <c r="AI6744" s="394" t="n"/>
      <c r="AM6744" s="48" t="n"/>
      <c r="AN6744" s="48" t="n"/>
      <c r="AO6744" s="48" t="n"/>
    </row>
    <row r="6745">
      <c r="M6745" s="25" t="n"/>
      <c r="Q6745" s="25" t="n"/>
      <c r="U6745" s="194" t="n"/>
      <c r="AA6745" s="25" t="n"/>
      <c r="AB6745" s="25" t="n"/>
      <c r="AC6745" s="195" t="n"/>
      <c r="AD6745" s="25" t="n"/>
      <c r="AE6745" s="25" t="n"/>
      <c r="AG6745" s="25" t="n"/>
      <c r="AH6745" s="25" t="n"/>
      <c r="AI6745" s="394" t="n"/>
      <c r="AM6745" s="48" t="n"/>
      <c r="AN6745" s="48" t="n"/>
      <c r="AO6745" s="48" t="n"/>
    </row>
    <row r="6746">
      <c r="M6746" s="25" t="n"/>
      <c r="Q6746" s="25" t="n"/>
      <c r="U6746" s="194" t="n"/>
      <c r="AA6746" s="25" t="n"/>
      <c r="AB6746" s="25" t="n"/>
      <c r="AC6746" s="195" t="n"/>
      <c r="AD6746" s="25" t="n"/>
      <c r="AE6746" s="25" t="n"/>
      <c r="AG6746" s="25" t="n"/>
      <c r="AH6746" s="25" t="n"/>
      <c r="AI6746" s="394" t="n"/>
      <c r="AM6746" s="48" t="n"/>
      <c r="AN6746" s="48" t="n"/>
      <c r="AO6746" s="48" t="n"/>
    </row>
    <row r="6747">
      <c r="M6747" s="25" t="n"/>
      <c r="Q6747" s="25" t="n"/>
      <c r="U6747" s="194" t="n"/>
      <c r="AA6747" s="25" t="n"/>
      <c r="AB6747" s="25" t="n"/>
      <c r="AC6747" s="195" t="n"/>
      <c r="AD6747" s="25" t="n"/>
      <c r="AE6747" s="25" t="n"/>
      <c r="AG6747" s="25" t="n"/>
      <c r="AH6747" s="25" t="n"/>
      <c r="AI6747" s="394" t="n"/>
      <c r="AM6747" s="48" t="n"/>
      <c r="AN6747" s="48" t="n"/>
      <c r="AO6747" s="48" t="n"/>
    </row>
    <row r="6748">
      <c r="M6748" s="25" t="n"/>
      <c r="Q6748" s="25" t="n"/>
      <c r="U6748" s="194" t="n"/>
      <c r="AA6748" s="25" t="n"/>
      <c r="AB6748" s="25" t="n"/>
      <c r="AC6748" s="195" t="n"/>
      <c r="AD6748" s="25" t="n"/>
      <c r="AE6748" s="25" t="n"/>
      <c r="AG6748" s="25" t="n"/>
      <c r="AH6748" s="25" t="n"/>
      <c r="AI6748" s="394" t="n"/>
      <c r="AM6748" s="48" t="n"/>
      <c r="AN6748" s="48" t="n"/>
      <c r="AO6748" s="48" t="n"/>
    </row>
    <row r="6749">
      <c r="M6749" s="25" t="n"/>
      <c r="Q6749" s="25" t="n"/>
      <c r="U6749" s="194" t="n"/>
      <c r="AA6749" s="25" t="n"/>
      <c r="AB6749" s="25" t="n"/>
      <c r="AC6749" s="195" t="n"/>
      <c r="AD6749" s="25" t="n"/>
      <c r="AE6749" s="25" t="n"/>
      <c r="AG6749" s="25" t="n"/>
      <c r="AH6749" s="25" t="n"/>
      <c r="AI6749" s="394" t="n"/>
      <c r="AM6749" s="48" t="n"/>
      <c r="AN6749" s="48" t="n"/>
      <c r="AO6749" s="48" t="n"/>
    </row>
    <row r="6750">
      <c r="M6750" s="25" t="n"/>
      <c r="Q6750" s="25" t="n"/>
      <c r="U6750" s="194" t="n"/>
      <c r="AA6750" s="25" t="n"/>
      <c r="AB6750" s="25" t="n"/>
      <c r="AC6750" s="195" t="n"/>
      <c r="AD6750" s="25" t="n"/>
      <c r="AE6750" s="25" t="n"/>
      <c r="AG6750" s="25" t="n"/>
      <c r="AH6750" s="25" t="n"/>
      <c r="AI6750" s="394" t="n"/>
      <c r="AM6750" s="48" t="n"/>
      <c r="AN6750" s="48" t="n"/>
      <c r="AO6750" s="48" t="n"/>
    </row>
    <row r="6751">
      <c r="M6751" s="25" t="n"/>
      <c r="Q6751" s="25" t="n"/>
      <c r="U6751" s="194" t="n"/>
      <c r="AA6751" s="25" t="n"/>
      <c r="AB6751" s="25" t="n"/>
      <c r="AC6751" s="195" t="n"/>
      <c r="AD6751" s="25" t="n"/>
      <c r="AE6751" s="25" t="n"/>
      <c r="AG6751" s="25" t="n"/>
      <c r="AH6751" s="25" t="n"/>
      <c r="AI6751" s="394" t="n"/>
      <c r="AM6751" s="48" t="n"/>
      <c r="AN6751" s="48" t="n"/>
      <c r="AO6751" s="48" t="n"/>
    </row>
    <row r="6752">
      <c r="M6752" s="25" t="n"/>
      <c r="Q6752" s="25" t="n"/>
      <c r="U6752" s="194" t="n"/>
      <c r="AA6752" s="25" t="n"/>
      <c r="AB6752" s="25" t="n"/>
      <c r="AC6752" s="195" t="n"/>
      <c r="AD6752" s="25" t="n"/>
      <c r="AE6752" s="25" t="n"/>
      <c r="AG6752" s="25" t="n"/>
      <c r="AH6752" s="25" t="n"/>
      <c r="AI6752" s="394" t="n"/>
      <c r="AM6752" s="48" t="n"/>
      <c r="AN6752" s="48" t="n"/>
      <c r="AO6752" s="48" t="n"/>
    </row>
    <row r="6753">
      <c r="M6753" s="25" t="n"/>
      <c r="Q6753" s="25" t="n"/>
      <c r="U6753" s="194" t="n"/>
      <c r="AA6753" s="25" t="n"/>
      <c r="AB6753" s="25" t="n"/>
      <c r="AC6753" s="195" t="n"/>
      <c r="AD6753" s="25" t="n"/>
      <c r="AE6753" s="25" t="n"/>
      <c r="AG6753" s="25" t="n"/>
      <c r="AH6753" s="25" t="n"/>
      <c r="AI6753" s="394" t="n"/>
      <c r="AM6753" s="48" t="n"/>
      <c r="AN6753" s="48" t="n"/>
      <c r="AO6753" s="48" t="n"/>
    </row>
    <row r="6754">
      <c r="M6754" s="25" t="n"/>
      <c r="Q6754" s="25" t="n"/>
      <c r="U6754" s="194" t="n"/>
      <c r="AA6754" s="25" t="n"/>
      <c r="AB6754" s="25" t="n"/>
      <c r="AC6754" s="195" t="n"/>
      <c r="AD6754" s="25" t="n"/>
      <c r="AE6754" s="25" t="n"/>
      <c r="AG6754" s="25" t="n"/>
      <c r="AH6754" s="25" t="n"/>
      <c r="AI6754" s="394" t="n"/>
      <c r="AM6754" s="48" t="n"/>
      <c r="AN6754" s="48" t="n"/>
      <c r="AO6754" s="48" t="n"/>
    </row>
    <row r="6755">
      <c r="M6755" s="25" t="n"/>
      <c r="Q6755" s="25" t="n"/>
      <c r="U6755" s="194" t="n"/>
      <c r="AA6755" s="25" t="n"/>
      <c r="AB6755" s="25" t="n"/>
      <c r="AC6755" s="195" t="n"/>
      <c r="AD6755" s="25" t="n"/>
      <c r="AE6755" s="25" t="n"/>
      <c r="AG6755" s="25" t="n"/>
      <c r="AH6755" s="25" t="n"/>
      <c r="AI6755" s="394" t="n"/>
      <c r="AM6755" s="48" t="n"/>
      <c r="AN6755" s="48" t="n"/>
      <c r="AO6755" s="48" t="n"/>
    </row>
    <row r="6756">
      <c r="M6756" s="25" t="n"/>
      <c r="Q6756" s="25" t="n"/>
      <c r="U6756" s="194" t="n"/>
      <c r="AA6756" s="25" t="n"/>
      <c r="AB6756" s="25" t="n"/>
      <c r="AC6756" s="195" t="n"/>
      <c r="AD6756" s="25" t="n"/>
      <c r="AE6756" s="25" t="n"/>
      <c r="AG6756" s="25" t="n"/>
      <c r="AH6756" s="25" t="n"/>
      <c r="AI6756" s="394" t="n"/>
      <c r="AM6756" s="48" t="n"/>
      <c r="AN6756" s="48" t="n"/>
      <c r="AO6756" s="48" t="n"/>
    </row>
    <row r="6757">
      <c r="M6757" s="25" t="n"/>
      <c r="Q6757" s="25" t="n"/>
      <c r="U6757" s="194" t="n"/>
      <c r="AA6757" s="25" t="n"/>
      <c r="AB6757" s="25" t="n"/>
      <c r="AC6757" s="195" t="n"/>
      <c r="AD6757" s="25" t="n"/>
      <c r="AE6757" s="25" t="n"/>
      <c r="AG6757" s="25" t="n"/>
      <c r="AH6757" s="25" t="n"/>
      <c r="AI6757" s="394" t="n"/>
      <c r="AM6757" s="48" t="n"/>
      <c r="AN6757" s="48" t="n"/>
      <c r="AO6757" s="48" t="n"/>
    </row>
    <row r="6758">
      <c r="M6758" s="25" t="n"/>
      <c r="Q6758" s="25" t="n"/>
      <c r="U6758" s="194" t="n"/>
      <c r="AA6758" s="25" t="n"/>
      <c r="AB6758" s="25" t="n"/>
      <c r="AC6758" s="195" t="n"/>
      <c r="AD6758" s="25" t="n"/>
      <c r="AE6758" s="25" t="n"/>
      <c r="AG6758" s="25" t="n"/>
      <c r="AH6758" s="25" t="n"/>
      <c r="AI6758" s="394" t="n"/>
      <c r="AM6758" s="48" t="n"/>
      <c r="AN6758" s="48" t="n"/>
      <c r="AO6758" s="48" t="n"/>
    </row>
    <row r="6759">
      <c r="M6759" s="25" t="n"/>
      <c r="Q6759" s="25" t="n"/>
      <c r="U6759" s="194" t="n"/>
      <c r="AA6759" s="25" t="n"/>
      <c r="AB6759" s="25" t="n"/>
      <c r="AC6759" s="195" t="n"/>
      <c r="AD6759" s="25" t="n"/>
      <c r="AE6759" s="25" t="n"/>
      <c r="AG6759" s="25" t="n"/>
      <c r="AH6759" s="25" t="n"/>
      <c r="AI6759" s="394" t="n"/>
      <c r="AM6759" s="48" t="n"/>
      <c r="AN6759" s="48" t="n"/>
      <c r="AO6759" s="48" t="n"/>
    </row>
    <row r="6760">
      <c r="M6760" s="25" t="n"/>
      <c r="Q6760" s="25" t="n"/>
      <c r="U6760" s="194" t="n"/>
      <c r="AA6760" s="25" t="n"/>
      <c r="AB6760" s="25" t="n"/>
      <c r="AC6760" s="195" t="n"/>
      <c r="AD6760" s="25" t="n"/>
      <c r="AE6760" s="25" t="n"/>
      <c r="AG6760" s="25" t="n"/>
      <c r="AH6760" s="25" t="n"/>
      <c r="AI6760" s="394" t="n"/>
      <c r="AM6760" s="48" t="n"/>
      <c r="AN6760" s="48" t="n"/>
      <c r="AO6760" s="48" t="n"/>
    </row>
    <row r="6761">
      <c r="M6761" s="25" t="n"/>
      <c r="Q6761" s="25" t="n"/>
      <c r="U6761" s="194" t="n"/>
      <c r="AA6761" s="25" t="n"/>
      <c r="AB6761" s="25" t="n"/>
      <c r="AC6761" s="195" t="n"/>
      <c r="AD6761" s="25" t="n"/>
      <c r="AE6761" s="25" t="n"/>
      <c r="AG6761" s="25" t="n"/>
      <c r="AH6761" s="25" t="n"/>
      <c r="AI6761" s="394" t="n"/>
      <c r="AM6761" s="48" t="n"/>
      <c r="AN6761" s="48" t="n"/>
      <c r="AO6761" s="48" t="n"/>
    </row>
    <row r="6762">
      <c r="M6762" s="25" t="n"/>
      <c r="Q6762" s="25" t="n"/>
      <c r="U6762" s="194" t="n"/>
      <c r="AA6762" s="25" t="n"/>
      <c r="AB6762" s="25" t="n"/>
      <c r="AC6762" s="195" t="n"/>
      <c r="AD6762" s="25" t="n"/>
      <c r="AE6762" s="25" t="n"/>
      <c r="AG6762" s="25" t="n"/>
      <c r="AH6762" s="25" t="n"/>
      <c r="AI6762" s="394" t="n"/>
      <c r="AM6762" s="48" t="n"/>
      <c r="AN6762" s="48" t="n"/>
      <c r="AO6762" s="48" t="n"/>
    </row>
    <row r="6763">
      <c r="M6763" s="25" t="n"/>
      <c r="Q6763" s="25" t="n"/>
      <c r="U6763" s="194" t="n"/>
      <c r="AA6763" s="25" t="n"/>
      <c r="AB6763" s="25" t="n"/>
      <c r="AC6763" s="195" t="n"/>
      <c r="AD6763" s="25" t="n"/>
      <c r="AE6763" s="25" t="n"/>
      <c r="AG6763" s="25" t="n"/>
      <c r="AH6763" s="25" t="n"/>
      <c r="AI6763" s="394" t="n"/>
      <c r="AM6763" s="48" t="n"/>
      <c r="AN6763" s="48" t="n"/>
      <c r="AO6763" s="48" t="n"/>
    </row>
    <row r="6764">
      <c r="M6764" s="25" t="n"/>
      <c r="Q6764" s="25" t="n"/>
      <c r="U6764" s="194" t="n"/>
      <c r="AA6764" s="25" t="n"/>
      <c r="AB6764" s="25" t="n"/>
      <c r="AC6764" s="195" t="n"/>
      <c r="AD6764" s="25" t="n"/>
      <c r="AE6764" s="25" t="n"/>
      <c r="AG6764" s="25" t="n"/>
      <c r="AH6764" s="25" t="n"/>
      <c r="AI6764" s="394" t="n"/>
      <c r="AM6764" s="48" t="n"/>
      <c r="AN6764" s="48" t="n"/>
      <c r="AO6764" s="48" t="n"/>
    </row>
    <row r="6765">
      <c r="M6765" s="25" t="n"/>
      <c r="Q6765" s="25" t="n"/>
      <c r="U6765" s="194" t="n"/>
      <c r="AA6765" s="25" t="n"/>
      <c r="AB6765" s="25" t="n"/>
      <c r="AC6765" s="195" t="n"/>
      <c r="AD6765" s="25" t="n"/>
      <c r="AE6765" s="25" t="n"/>
      <c r="AG6765" s="25" t="n"/>
      <c r="AH6765" s="25" t="n"/>
      <c r="AI6765" s="394" t="n"/>
      <c r="AM6765" s="48" t="n"/>
      <c r="AN6765" s="48" t="n"/>
      <c r="AO6765" s="48" t="n"/>
    </row>
    <row r="6766">
      <c r="M6766" s="25" t="n"/>
      <c r="Q6766" s="25" t="n"/>
      <c r="U6766" s="194" t="n"/>
      <c r="AA6766" s="25" t="n"/>
      <c r="AB6766" s="25" t="n"/>
      <c r="AC6766" s="195" t="n"/>
      <c r="AD6766" s="25" t="n"/>
      <c r="AE6766" s="25" t="n"/>
      <c r="AG6766" s="25" t="n"/>
      <c r="AH6766" s="25" t="n"/>
      <c r="AI6766" s="394" t="n"/>
      <c r="AM6766" s="48" t="n"/>
      <c r="AN6766" s="48" t="n"/>
      <c r="AO6766" s="48" t="n"/>
    </row>
    <row r="6767">
      <c r="M6767" s="25" t="n"/>
      <c r="Q6767" s="25" t="n"/>
      <c r="U6767" s="194" t="n"/>
      <c r="AA6767" s="25" t="n"/>
      <c r="AB6767" s="25" t="n"/>
      <c r="AC6767" s="195" t="n"/>
      <c r="AD6767" s="25" t="n"/>
      <c r="AE6767" s="25" t="n"/>
      <c r="AG6767" s="25" t="n"/>
      <c r="AH6767" s="25" t="n"/>
      <c r="AI6767" s="394" t="n"/>
      <c r="AM6767" s="48" t="n"/>
      <c r="AN6767" s="48" t="n"/>
      <c r="AO6767" s="48" t="n"/>
    </row>
    <row r="6768">
      <c r="M6768" s="25" t="n"/>
      <c r="Q6768" s="25" t="n"/>
      <c r="U6768" s="194" t="n"/>
      <c r="AA6768" s="25" t="n"/>
      <c r="AB6768" s="25" t="n"/>
      <c r="AC6768" s="195" t="n"/>
      <c r="AD6768" s="25" t="n"/>
      <c r="AE6768" s="25" t="n"/>
      <c r="AG6768" s="25" t="n"/>
      <c r="AH6768" s="25" t="n"/>
      <c r="AI6768" s="394" t="n"/>
      <c r="AM6768" s="48" t="n"/>
      <c r="AN6768" s="48" t="n"/>
      <c r="AO6768" s="48" t="n"/>
    </row>
    <row r="6769">
      <c r="M6769" s="25" t="n"/>
      <c r="Q6769" s="25" t="n"/>
      <c r="U6769" s="194" t="n"/>
      <c r="AA6769" s="25" t="n"/>
      <c r="AB6769" s="25" t="n"/>
      <c r="AC6769" s="195" t="n"/>
      <c r="AD6769" s="25" t="n"/>
      <c r="AE6769" s="25" t="n"/>
      <c r="AG6769" s="25" t="n"/>
      <c r="AH6769" s="25" t="n"/>
      <c r="AI6769" s="394" t="n"/>
      <c r="AM6769" s="48" t="n"/>
      <c r="AN6769" s="48" t="n"/>
      <c r="AO6769" s="48" t="n"/>
    </row>
    <row r="6770">
      <c r="M6770" s="25" t="n"/>
      <c r="Q6770" s="25" t="n"/>
      <c r="U6770" s="194" t="n"/>
      <c r="AA6770" s="25" t="n"/>
      <c r="AB6770" s="25" t="n"/>
      <c r="AC6770" s="195" t="n"/>
      <c r="AD6770" s="25" t="n"/>
      <c r="AE6770" s="25" t="n"/>
      <c r="AG6770" s="25" t="n"/>
      <c r="AH6770" s="25" t="n"/>
      <c r="AI6770" s="394" t="n"/>
      <c r="AM6770" s="48" t="n"/>
      <c r="AN6770" s="48" t="n"/>
      <c r="AO6770" s="48" t="n"/>
    </row>
    <row r="6771">
      <c r="M6771" s="25" t="n"/>
      <c r="Q6771" s="25" t="n"/>
      <c r="U6771" s="194" t="n"/>
      <c r="AA6771" s="25" t="n"/>
      <c r="AB6771" s="25" t="n"/>
      <c r="AC6771" s="195" t="n"/>
      <c r="AD6771" s="25" t="n"/>
      <c r="AE6771" s="25" t="n"/>
      <c r="AG6771" s="25" t="n"/>
      <c r="AH6771" s="25" t="n"/>
      <c r="AI6771" s="394" t="n"/>
      <c r="AM6771" s="48" t="n"/>
      <c r="AN6771" s="48" t="n"/>
      <c r="AO6771" s="48" t="n"/>
    </row>
    <row r="6772">
      <c r="M6772" s="25" t="n"/>
      <c r="Q6772" s="25" t="n"/>
      <c r="U6772" s="194" t="n"/>
      <c r="AA6772" s="25" t="n"/>
      <c r="AB6772" s="25" t="n"/>
      <c r="AC6772" s="195" t="n"/>
      <c r="AD6772" s="25" t="n"/>
      <c r="AE6772" s="25" t="n"/>
      <c r="AG6772" s="25" t="n"/>
      <c r="AH6772" s="25" t="n"/>
      <c r="AI6772" s="394" t="n"/>
      <c r="AM6772" s="48" t="n"/>
      <c r="AN6772" s="48" t="n"/>
      <c r="AO6772" s="48" t="n"/>
    </row>
    <row r="6773">
      <c r="M6773" s="25" t="n"/>
      <c r="Q6773" s="25" t="n"/>
      <c r="U6773" s="194" t="n"/>
      <c r="AA6773" s="25" t="n"/>
      <c r="AB6773" s="25" t="n"/>
      <c r="AC6773" s="195" t="n"/>
      <c r="AD6773" s="25" t="n"/>
      <c r="AE6773" s="25" t="n"/>
      <c r="AG6773" s="25" t="n"/>
      <c r="AH6773" s="25" t="n"/>
      <c r="AI6773" s="394" t="n"/>
      <c r="AM6773" s="48" t="n"/>
      <c r="AN6773" s="48" t="n"/>
      <c r="AO6773" s="48" t="n"/>
    </row>
    <row r="6774">
      <c r="M6774" s="25" t="n"/>
      <c r="Q6774" s="25" t="n"/>
      <c r="U6774" s="194" t="n"/>
      <c r="AA6774" s="25" t="n"/>
      <c r="AB6774" s="25" t="n"/>
      <c r="AC6774" s="195" t="n"/>
      <c r="AD6774" s="25" t="n"/>
      <c r="AE6774" s="25" t="n"/>
      <c r="AG6774" s="25" t="n"/>
      <c r="AH6774" s="25" t="n"/>
      <c r="AI6774" s="394" t="n"/>
      <c r="AM6774" s="48" t="n"/>
      <c r="AN6774" s="48" t="n"/>
      <c r="AO6774" s="48" t="n"/>
    </row>
    <row r="6775">
      <c r="M6775" s="25" t="n"/>
      <c r="Q6775" s="25" t="n"/>
      <c r="U6775" s="194" t="n"/>
      <c r="AA6775" s="25" t="n"/>
      <c r="AB6775" s="25" t="n"/>
      <c r="AC6775" s="195" t="n"/>
      <c r="AD6775" s="25" t="n"/>
      <c r="AE6775" s="25" t="n"/>
      <c r="AG6775" s="25" t="n"/>
      <c r="AH6775" s="25" t="n"/>
      <c r="AI6775" s="394" t="n"/>
      <c r="AM6775" s="48" t="n"/>
      <c r="AN6775" s="48" t="n"/>
      <c r="AO6775" s="48" t="n"/>
    </row>
    <row r="6776">
      <c r="M6776" s="25" t="n"/>
      <c r="Q6776" s="25" t="n"/>
      <c r="U6776" s="194" t="n"/>
      <c r="AA6776" s="25" t="n"/>
      <c r="AB6776" s="25" t="n"/>
      <c r="AC6776" s="195" t="n"/>
      <c r="AD6776" s="25" t="n"/>
      <c r="AE6776" s="25" t="n"/>
      <c r="AG6776" s="25" t="n"/>
      <c r="AH6776" s="25" t="n"/>
      <c r="AI6776" s="394" t="n"/>
      <c r="AM6776" s="48" t="n"/>
      <c r="AN6776" s="48" t="n"/>
      <c r="AO6776" s="48" t="n"/>
    </row>
    <row r="6777">
      <c r="M6777" s="25" t="n"/>
      <c r="Q6777" s="25" t="n"/>
      <c r="U6777" s="194" t="n"/>
      <c r="AA6777" s="25" t="n"/>
      <c r="AB6777" s="25" t="n"/>
      <c r="AC6777" s="195" t="n"/>
      <c r="AD6777" s="25" t="n"/>
      <c r="AE6777" s="25" t="n"/>
      <c r="AG6777" s="25" t="n"/>
      <c r="AH6777" s="25" t="n"/>
      <c r="AI6777" s="394" t="n"/>
      <c r="AM6777" s="48" t="n"/>
      <c r="AN6777" s="48" t="n"/>
      <c r="AO6777" s="48" t="n"/>
    </row>
    <row r="6778">
      <c r="M6778" s="25" t="n"/>
      <c r="Q6778" s="25" t="n"/>
      <c r="U6778" s="194" t="n"/>
      <c r="AA6778" s="25" t="n"/>
      <c r="AB6778" s="25" t="n"/>
      <c r="AC6778" s="195" t="n"/>
      <c r="AD6778" s="25" t="n"/>
      <c r="AE6778" s="25" t="n"/>
      <c r="AG6778" s="25" t="n"/>
      <c r="AH6778" s="25" t="n"/>
      <c r="AI6778" s="394" t="n"/>
      <c r="AM6778" s="48" t="n"/>
      <c r="AN6778" s="48" t="n"/>
      <c r="AO6778" s="48" t="n"/>
    </row>
    <row r="6779">
      <c r="M6779" s="25" t="n"/>
      <c r="Q6779" s="25" t="n"/>
      <c r="U6779" s="194" t="n"/>
      <c r="AA6779" s="25" t="n"/>
      <c r="AB6779" s="25" t="n"/>
      <c r="AC6779" s="195" t="n"/>
      <c r="AD6779" s="25" t="n"/>
      <c r="AE6779" s="25" t="n"/>
      <c r="AG6779" s="25" t="n"/>
      <c r="AH6779" s="25" t="n"/>
      <c r="AI6779" s="394" t="n"/>
      <c r="AM6779" s="48" t="n"/>
      <c r="AN6779" s="48" t="n"/>
      <c r="AO6779" s="48" t="n"/>
    </row>
    <row r="6780">
      <c r="M6780" s="25" t="n"/>
      <c r="Q6780" s="25" t="n"/>
      <c r="U6780" s="194" t="n"/>
      <c r="AA6780" s="25" t="n"/>
      <c r="AB6780" s="25" t="n"/>
      <c r="AC6780" s="195" t="n"/>
      <c r="AD6780" s="25" t="n"/>
      <c r="AE6780" s="25" t="n"/>
      <c r="AG6780" s="25" t="n"/>
      <c r="AH6780" s="25" t="n"/>
      <c r="AI6780" s="394" t="n"/>
      <c r="AM6780" s="48" t="n"/>
      <c r="AN6780" s="48" t="n"/>
      <c r="AO6780" s="48" t="n"/>
    </row>
    <row r="6781">
      <c r="M6781" s="25" t="n"/>
      <c r="Q6781" s="25" t="n"/>
      <c r="U6781" s="194" t="n"/>
      <c r="AA6781" s="25" t="n"/>
      <c r="AB6781" s="25" t="n"/>
      <c r="AC6781" s="195" t="n"/>
      <c r="AD6781" s="25" t="n"/>
      <c r="AE6781" s="25" t="n"/>
      <c r="AG6781" s="25" t="n"/>
      <c r="AH6781" s="25" t="n"/>
      <c r="AI6781" s="394" t="n"/>
      <c r="AM6781" s="48" t="n"/>
      <c r="AN6781" s="48" t="n"/>
      <c r="AO6781" s="48" t="n"/>
    </row>
    <row r="6782">
      <c r="M6782" s="25" t="n"/>
      <c r="Q6782" s="25" t="n"/>
      <c r="U6782" s="194" t="n"/>
      <c r="AA6782" s="25" t="n"/>
      <c r="AB6782" s="25" t="n"/>
      <c r="AC6782" s="195" t="n"/>
      <c r="AD6782" s="25" t="n"/>
      <c r="AE6782" s="25" t="n"/>
      <c r="AG6782" s="25" t="n"/>
      <c r="AH6782" s="25" t="n"/>
      <c r="AI6782" s="394" t="n"/>
      <c r="AM6782" s="48" t="n"/>
      <c r="AN6782" s="48" t="n"/>
      <c r="AO6782" s="48" t="n"/>
    </row>
    <row r="6783">
      <c r="M6783" s="25" t="n"/>
      <c r="Q6783" s="25" t="n"/>
      <c r="U6783" s="194" t="n"/>
      <c r="AA6783" s="25" t="n"/>
      <c r="AB6783" s="25" t="n"/>
      <c r="AC6783" s="195" t="n"/>
      <c r="AD6783" s="25" t="n"/>
      <c r="AE6783" s="25" t="n"/>
      <c r="AG6783" s="25" t="n"/>
      <c r="AH6783" s="25" t="n"/>
      <c r="AI6783" s="394" t="n"/>
      <c r="AM6783" s="48" t="n"/>
      <c r="AN6783" s="48" t="n"/>
      <c r="AO6783" s="48" t="n"/>
    </row>
    <row r="6784">
      <c r="M6784" s="25" t="n"/>
      <c r="Q6784" s="25" t="n"/>
      <c r="U6784" s="194" t="n"/>
      <c r="AA6784" s="25" t="n"/>
      <c r="AB6784" s="25" t="n"/>
      <c r="AC6784" s="195" t="n"/>
      <c r="AD6784" s="25" t="n"/>
      <c r="AE6784" s="25" t="n"/>
      <c r="AG6784" s="25" t="n"/>
      <c r="AH6784" s="25" t="n"/>
      <c r="AI6784" s="394" t="n"/>
      <c r="AM6784" s="48" t="n"/>
      <c r="AN6784" s="48" t="n"/>
      <c r="AO6784" s="48" t="n"/>
    </row>
    <row r="6785">
      <c r="M6785" s="25" t="n"/>
      <c r="Q6785" s="25" t="n"/>
      <c r="U6785" s="194" t="n"/>
      <c r="AA6785" s="25" t="n"/>
      <c r="AB6785" s="25" t="n"/>
      <c r="AC6785" s="195" t="n"/>
      <c r="AD6785" s="25" t="n"/>
      <c r="AE6785" s="25" t="n"/>
      <c r="AG6785" s="25" t="n"/>
      <c r="AH6785" s="25" t="n"/>
      <c r="AI6785" s="394" t="n"/>
      <c r="AM6785" s="48" t="n"/>
      <c r="AN6785" s="48" t="n"/>
      <c r="AO6785" s="48" t="n"/>
    </row>
    <row r="6786">
      <c r="M6786" s="25" t="n"/>
      <c r="Q6786" s="25" t="n"/>
      <c r="U6786" s="194" t="n"/>
      <c r="AA6786" s="25" t="n"/>
      <c r="AB6786" s="25" t="n"/>
      <c r="AC6786" s="195" t="n"/>
      <c r="AD6786" s="25" t="n"/>
      <c r="AE6786" s="25" t="n"/>
      <c r="AG6786" s="25" t="n"/>
      <c r="AH6786" s="25" t="n"/>
      <c r="AI6786" s="394" t="n"/>
      <c r="AM6786" s="48" t="n"/>
      <c r="AN6786" s="48" t="n"/>
      <c r="AO6786" s="48" t="n"/>
    </row>
    <row r="6787">
      <c r="M6787" s="25" t="n"/>
      <c r="Q6787" s="25" t="n"/>
      <c r="U6787" s="194" t="n"/>
      <c r="AA6787" s="25" t="n"/>
      <c r="AB6787" s="25" t="n"/>
      <c r="AC6787" s="195" t="n"/>
      <c r="AD6787" s="25" t="n"/>
      <c r="AE6787" s="25" t="n"/>
      <c r="AG6787" s="25" t="n"/>
      <c r="AH6787" s="25" t="n"/>
      <c r="AI6787" s="394" t="n"/>
      <c r="AM6787" s="48" t="n"/>
      <c r="AN6787" s="48" t="n"/>
      <c r="AO6787" s="48" t="n"/>
    </row>
    <row r="6788">
      <c r="M6788" s="25" t="n"/>
      <c r="Q6788" s="25" t="n"/>
      <c r="U6788" s="194" t="n"/>
      <c r="AA6788" s="25" t="n"/>
      <c r="AB6788" s="25" t="n"/>
      <c r="AC6788" s="195" t="n"/>
      <c r="AD6788" s="25" t="n"/>
      <c r="AE6788" s="25" t="n"/>
      <c r="AG6788" s="25" t="n"/>
      <c r="AH6788" s="25" t="n"/>
      <c r="AI6788" s="394" t="n"/>
      <c r="AM6788" s="48" t="n"/>
      <c r="AN6788" s="48" t="n"/>
      <c r="AO6788" s="48" t="n"/>
    </row>
    <row r="6789">
      <c r="M6789" s="25" t="n"/>
      <c r="Q6789" s="25" t="n"/>
      <c r="U6789" s="194" t="n"/>
      <c r="AA6789" s="25" t="n"/>
      <c r="AB6789" s="25" t="n"/>
      <c r="AC6789" s="195" t="n"/>
      <c r="AD6789" s="25" t="n"/>
      <c r="AE6789" s="25" t="n"/>
      <c r="AG6789" s="25" t="n"/>
      <c r="AH6789" s="25" t="n"/>
      <c r="AI6789" s="394" t="n"/>
      <c r="AM6789" s="48" t="n"/>
      <c r="AN6789" s="48" t="n"/>
      <c r="AO6789" s="48" t="n"/>
    </row>
    <row r="6790">
      <c r="M6790" s="25" t="n"/>
      <c r="Q6790" s="25" t="n"/>
      <c r="U6790" s="194" t="n"/>
      <c r="AA6790" s="25" t="n"/>
      <c r="AB6790" s="25" t="n"/>
      <c r="AC6790" s="195" t="n"/>
      <c r="AD6790" s="25" t="n"/>
      <c r="AE6790" s="25" t="n"/>
      <c r="AG6790" s="25" t="n"/>
      <c r="AH6790" s="25" t="n"/>
      <c r="AI6790" s="394" t="n"/>
      <c r="AM6790" s="48" t="n"/>
      <c r="AN6790" s="48" t="n"/>
      <c r="AO6790" s="48" t="n"/>
    </row>
    <row r="6791">
      <c r="M6791" s="25" t="n"/>
      <c r="Q6791" s="25" t="n"/>
      <c r="U6791" s="194" t="n"/>
      <c r="AA6791" s="25" t="n"/>
      <c r="AB6791" s="25" t="n"/>
      <c r="AC6791" s="195" t="n"/>
      <c r="AD6791" s="25" t="n"/>
      <c r="AE6791" s="25" t="n"/>
      <c r="AG6791" s="25" t="n"/>
      <c r="AH6791" s="25" t="n"/>
      <c r="AI6791" s="394" t="n"/>
      <c r="AM6791" s="48" t="n"/>
      <c r="AN6791" s="48" t="n"/>
      <c r="AO6791" s="48" t="n"/>
    </row>
    <row r="6792">
      <c r="M6792" s="25" t="n"/>
      <c r="Q6792" s="25" t="n"/>
      <c r="U6792" s="194" t="n"/>
      <c r="AA6792" s="25" t="n"/>
      <c r="AB6792" s="25" t="n"/>
      <c r="AC6792" s="195" t="n"/>
      <c r="AD6792" s="25" t="n"/>
      <c r="AE6792" s="25" t="n"/>
      <c r="AG6792" s="25" t="n"/>
      <c r="AH6792" s="25" t="n"/>
      <c r="AI6792" s="394" t="n"/>
      <c r="AM6792" s="48" t="n"/>
      <c r="AN6792" s="48" t="n"/>
      <c r="AO6792" s="48" t="n"/>
    </row>
    <row r="6793">
      <c r="M6793" s="25" t="n"/>
      <c r="Q6793" s="25" t="n"/>
      <c r="U6793" s="194" t="n"/>
      <c r="AA6793" s="25" t="n"/>
      <c r="AB6793" s="25" t="n"/>
      <c r="AC6793" s="195" t="n"/>
      <c r="AD6793" s="25" t="n"/>
      <c r="AE6793" s="25" t="n"/>
      <c r="AG6793" s="25" t="n"/>
      <c r="AH6793" s="25" t="n"/>
      <c r="AI6793" s="394" t="n"/>
      <c r="AM6793" s="48" t="n"/>
      <c r="AN6793" s="48" t="n"/>
      <c r="AO6793" s="48" t="n"/>
    </row>
    <row r="6794">
      <c r="M6794" s="25" t="n"/>
      <c r="Q6794" s="25" t="n"/>
      <c r="U6794" s="194" t="n"/>
      <c r="AA6794" s="25" t="n"/>
      <c r="AB6794" s="25" t="n"/>
      <c r="AC6794" s="195" t="n"/>
      <c r="AD6794" s="25" t="n"/>
      <c r="AE6794" s="25" t="n"/>
      <c r="AG6794" s="25" t="n"/>
      <c r="AH6794" s="25" t="n"/>
      <c r="AI6794" s="394" t="n"/>
      <c r="AM6794" s="48" t="n"/>
      <c r="AN6794" s="48" t="n"/>
      <c r="AO6794" s="48" t="n"/>
    </row>
    <row r="6795">
      <c r="M6795" s="25" t="n"/>
      <c r="Q6795" s="25" t="n"/>
      <c r="U6795" s="194" t="n"/>
      <c r="AA6795" s="25" t="n"/>
      <c r="AB6795" s="25" t="n"/>
      <c r="AC6795" s="195" t="n"/>
      <c r="AD6795" s="25" t="n"/>
      <c r="AE6795" s="25" t="n"/>
      <c r="AG6795" s="25" t="n"/>
      <c r="AH6795" s="25" t="n"/>
      <c r="AI6795" s="394" t="n"/>
      <c r="AM6795" s="48" t="n"/>
      <c r="AN6795" s="48" t="n"/>
      <c r="AO6795" s="48" t="n"/>
    </row>
    <row r="6796">
      <c r="M6796" s="25" t="n"/>
      <c r="Q6796" s="25" t="n"/>
      <c r="U6796" s="194" t="n"/>
      <c r="AA6796" s="25" t="n"/>
      <c r="AB6796" s="25" t="n"/>
      <c r="AC6796" s="195" t="n"/>
      <c r="AD6796" s="25" t="n"/>
      <c r="AE6796" s="25" t="n"/>
      <c r="AG6796" s="25" t="n"/>
      <c r="AH6796" s="25" t="n"/>
      <c r="AI6796" s="394" t="n"/>
      <c r="AM6796" s="48" t="n"/>
      <c r="AN6796" s="48" t="n"/>
      <c r="AO6796" s="48" t="n"/>
    </row>
    <row r="6797">
      <c r="M6797" s="25" t="n"/>
      <c r="Q6797" s="25" t="n"/>
      <c r="U6797" s="194" t="n"/>
      <c r="AA6797" s="25" t="n"/>
      <c r="AB6797" s="25" t="n"/>
      <c r="AC6797" s="195" t="n"/>
      <c r="AD6797" s="25" t="n"/>
      <c r="AE6797" s="25" t="n"/>
      <c r="AG6797" s="25" t="n"/>
      <c r="AH6797" s="25" t="n"/>
      <c r="AI6797" s="394" t="n"/>
      <c r="AM6797" s="48" t="n"/>
      <c r="AN6797" s="48" t="n"/>
      <c r="AO6797" s="48" t="n"/>
    </row>
    <row r="6798">
      <c r="M6798" s="25" t="n"/>
      <c r="Q6798" s="25" t="n"/>
      <c r="U6798" s="194" t="n"/>
      <c r="AA6798" s="25" t="n"/>
      <c r="AB6798" s="25" t="n"/>
      <c r="AC6798" s="195" t="n"/>
      <c r="AD6798" s="25" t="n"/>
      <c r="AE6798" s="25" t="n"/>
      <c r="AG6798" s="25" t="n"/>
      <c r="AH6798" s="25" t="n"/>
      <c r="AI6798" s="394" t="n"/>
      <c r="AM6798" s="48" t="n"/>
      <c r="AN6798" s="48" t="n"/>
      <c r="AO6798" s="48" t="n"/>
    </row>
    <row r="6799">
      <c r="M6799" s="25" t="n"/>
      <c r="Q6799" s="25" t="n"/>
      <c r="U6799" s="194" t="n"/>
      <c r="AA6799" s="25" t="n"/>
      <c r="AB6799" s="25" t="n"/>
      <c r="AC6799" s="195" t="n"/>
      <c r="AD6799" s="25" t="n"/>
      <c r="AE6799" s="25" t="n"/>
      <c r="AG6799" s="25" t="n"/>
      <c r="AH6799" s="25" t="n"/>
      <c r="AI6799" s="394" t="n"/>
      <c r="AM6799" s="48" t="n"/>
      <c r="AN6799" s="48" t="n"/>
      <c r="AO6799" s="48" t="n"/>
    </row>
    <row r="6800">
      <c r="M6800" s="25" t="n"/>
      <c r="Q6800" s="25" t="n"/>
      <c r="U6800" s="194" t="n"/>
      <c r="AA6800" s="25" t="n"/>
      <c r="AB6800" s="25" t="n"/>
      <c r="AC6800" s="195" t="n"/>
      <c r="AD6800" s="25" t="n"/>
      <c r="AE6800" s="25" t="n"/>
      <c r="AG6800" s="25" t="n"/>
      <c r="AH6800" s="25" t="n"/>
      <c r="AI6800" s="394" t="n"/>
      <c r="AM6800" s="48" t="n"/>
      <c r="AN6800" s="48" t="n"/>
      <c r="AO6800" s="48" t="n"/>
    </row>
    <row r="6801">
      <c r="M6801" s="25" t="n"/>
      <c r="Q6801" s="25" t="n"/>
      <c r="U6801" s="194" t="n"/>
      <c r="AA6801" s="25" t="n"/>
      <c r="AB6801" s="25" t="n"/>
      <c r="AC6801" s="195" t="n"/>
      <c r="AD6801" s="25" t="n"/>
      <c r="AE6801" s="25" t="n"/>
      <c r="AG6801" s="25" t="n"/>
      <c r="AH6801" s="25" t="n"/>
      <c r="AI6801" s="394" t="n"/>
      <c r="AM6801" s="48" t="n"/>
      <c r="AN6801" s="48" t="n"/>
      <c r="AO6801" s="48" t="n"/>
    </row>
    <row r="6802">
      <c r="M6802" s="25" t="n"/>
      <c r="Q6802" s="25" t="n"/>
      <c r="U6802" s="194" t="n"/>
      <c r="AA6802" s="25" t="n"/>
      <c r="AB6802" s="25" t="n"/>
      <c r="AC6802" s="195" t="n"/>
      <c r="AD6802" s="25" t="n"/>
      <c r="AE6802" s="25" t="n"/>
      <c r="AG6802" s="25" t="n"/>
      <c r="AH6802" s="25" t="n"/>
      <c r="AI6802" s="394" t="n"/>
      <c r="AM6802" s="48" t="n"/>
      <c r="AN6802" s="48" t="n"/>
      <c r="AO6802" s="48" t="n"/>
    </row>
    <row r="6803">
      <c r="M6803" s="25" t="n"/>
      <c r="Q6803" s="25" t="n"/>
      <c r="U6803" s="194" t="n"/>
      <c r="AA6803" s="25" t="n"/>
      <c r="AB6803" s="25" t="n"/>
      <c r="AC6803" s="195" t="n"/>
      <c r="AD6803" s="25" t="n"/>
      <c r="AE6803" s="25" t="n"/>
      <c r="AG6803" s="25" t="n"/>
      <c r="AH6803" s="25" t="n"/>
      <c r="AI6803" s="394" t="n"/>
      <c r="AM6803" s="48" t="n"/>
      <c r="AN6803" s="48" t="n"/>
      <c r="AO6803" s="48" t="n"/>
    </row>
    <row r="6804">
      <c r="M6804" s="25" t="n"/>
      <c r="Q6804" s="25" t="n"/>
      <c r="U6804" s="194" t="n"/>
      <c r="AA6804" s="25" t="n"/>
      <c r="AB6804" s="25" t="n"/>
      <c r="AC6804" s="195" t="n"/>
      <c r="AD6804" s="25" t="n"/>
      <c r="AE6804" s="25" t="n"/>
      <c r="AG6804" s="25" t="n"/>
      <c r="AH6804" s="25" t="n"/>
      <c r="AI6804" s="394" t="n"/>
      <c r="AM6804" s="48" t="n"/>
      <c r="AN6804" s="48" t="n"/>
      <c r="AO6804" s="48" t="n"/>
    </row>
    <row r="6805">
      <c r="M6805" s="25" t="n"/>
      <c r="Q6805" s="25" t="n"/>
      <c r="U6805" s="194" t="n"/>
      <c r="AA6805" s="25" t="n"/>
      <c r="AB6805" s="25" t="n"/>
      <c r="AC6805" s="195" t="n"/>
      <c r="AD6805" s="25" t="n"/>
      <c r="AE6805" s="25" t="n"/>
      <c r="AG6805" s="25" t="n"/>
      <c r="AH6805" s="25" t="n"/>
      <c r="AI6805" s="394" t="n"/>
      <c r="AM6805" s="48" t="n"/>
      <c r="AN6805" s="48" t="n"/>
      <c r="AO6805" s="48" t="n"/>
    </row>
    <row r="6806">
      <c r="M6806" s="25" t="n"/>
      <c r="Q6806" s="25" t="n"/>
      <c r="U6806" s="194" t="n"/>
      <c r="AA6806" s="25" t="n"/>
      <c r="AB6806" s="25" t="n"/>
      <c r="AC6806" s="195" t="n"/>
      <c r="AD6806" s="25" t="n"/>
      <c r="AE6806" s="25" t="n"/>
      <c r="AG6806" s="25" t="n"/>
      <c r="AH6806" s="25" t="n"/>
      <c r="AI6806" s="394" t="n"/>
      <c r="AM6806" s="48" t="n"/>
      <c r="AN6806" s="48" t="n"/>
      <c r="AO6806" s="48" t="n"/>
    </row>
    <row r="6807">
      <c r="M6807" s="25" t="n"/>
      <c r="Q6807" s="25" t="n"/>
      <c r="U6807" s="194" t="n"/>
      <c r="AA6807" s="25" t="n"/>
      <c r="AB6807" s="25" t="n"/>
      <c r="AC6807" s="195" t="n"/>
      <c r="AD6807" s="25" t="n"/>
      <c r="AE6807" s="25" t="n"/>
      <c r="AG6807" s="25" t="n"/>
      <c r="AH6807" s="25" t="n"/>
      <c r="AI6807" s="394" t="n"/>
      <c r="AM6807" s="48" t="n"/>
      <c r="AN6807" s="48" t="n"/>
      <c r="AO6807" s="48" t="n"/>
    </row>
    <row r="6808">
      <c r="M6808" s="25" t="n"/>
      <c r="Q6808" s="25" t="n"/>
      <c r="U6808" s="194" t="n"/>
      <c r="AA6808" s="25" t="n"/>
      <c r="AB6808" s="25" t="n"/>
      <c r="AC6808" s="195" t="n"/>
      <c r="AD6808" s="25" t="n"/>
      <c r="AE6808" s="25" t="n"/>
      <c r="AG6808" s="25" t="n"/>
      <c r="AH6808" s="25" t="n"/>
      <c r="AI6808" s="394" t="n"/>
      <c r="AM6808" s="48" t="n"/>
      <c r="AN6808" s="48" t="n"/>
      <c r="AO6808" s="48" t="n"/>
    </row>
    <row r="6809">
      <c r="M6809" s="25" t="n"/>
      <c r="Q6809" s="25" t="n"/>
      <c r="U6809" s="194" t="n"/>
      <c r="AA6809" s="25" t="n"/>
      <c r="AB6809" s="25" t="n"/>
      <c r="AC6809" s="195" t="n"/>
      <c r="AD6809" s="25" t="n"/>
      <c r="AE6809" s="25" t="n"/>
      <c r="AG6809" s="25" t="n"/>
      <c r="AH6809" s="25" t="n"/>
      <c r="AI6809" s="394" t="n"/>
      <c r="AM6809" s="48" t="n"/>
      <c r="AN6809" s="48" t="n"/>
      <c r="AO6809" s="48" t="n"/>
    </row>
    <row r="6810">
      <c r="M6810" s="25" t="n"/>
      <c r="Q6810" s="25" t="n"/>
      <c r="U6810" s="194" t="n"/>
      <c r="AA6810" s="25" t="n"/>
      <c r="AB6810" s="25" t="n"/>
      <c r="AC6810" s="195" t="n"/>
      <c r="AD6810" s="25" t="n"/>
      <c r="AE6810" s="25" t="n"/>
      <c r="AG6810" s="25" t="n"/>
      <c r="AH6810" s="25" t="n"/>
      <c r="AI6810" s="394" t="n"/>
      <c r="AM6810" s="48" t="n"/>
      <c r="AN6810" s="48" t="n"/>
      <c r="AO6810" s="48" t="n"/>
    </row>
    <row r="6811">
      <c r="M6811" s="25" t="n"/>
      <c r="Q6811" s="25" t="n"/>
      <c r="U6811" s="194" t="n"/>
      <c r="AA6811" s="25" t="n"/>
      <c r="AB6811" s="25" t="n"/>
      <c r="AC6811" s="195" t="n"/>
      <c r="AD6811" s="25" t="n"/>
      <c r="AE6811" s="25" t="n"/>
      <c r="AG6811" s="25" t="n"/>
      <c r="AH6811" s="25" t="n"/>
      <c r="AI6811" s="394" t="n"/>
      <c r="AM6811" s="48" t="n"/>
      <c r="AN6811" s="48" t="n"/>
      <c r="AO6811" s="48" t="n"/>
    </row>
    <row r="6812">
      <c r="M6812" s="25" t="n"/>
      <c r="Q6812" s="25" t="n"/>
      <c r="U6812" s="194" t="n"/>
      <c r="AA6812" s="25" t="n"/>
      <c r="AB6812" s="25" t="n"/>
      <c r="AC6812" s="195" t="n"/>
      <c r="AD6812" s="25" t="n"/>
      <c r="AE6812" s="25" t="n"/>
      <c r="AG6812" s="25" t="n"/>
      <c r="AH6812" s="25" t="n"/>
      <c r="AI6812" s="394" t="n"/>
      <c r="AM6812" s="48" t="n"/>
      <c r="AN6812" s="48" t="n"/>
      <c r="AO6812" s="48" t="n"/>
    </row>
    <row r="6813">
      <c r="M6813" s="25" t="n"/>
      <c r="Q6813" s="25" t="n"/>
      <c r="U6813" s="194" t="n"/>
      <c r="AA6813" s="25" t="n"/>
      <c r="AB6813" s="25" t="n"/>
      <c r="AC6813" s="195" t="n"/>
      <c r="AD6813" s="25" t="n"/>
      <c r="AE6813" s="25" t="n"/>
      <c r="AG6813" s="25" t="n"/>
      <c r="AH6813" s="25" t="n"/>
      <c r="AI6813" s="394" t="n"/>
      <c r="AM6813" s="48" t="n"/>
      <c r="AN6813" s="48" t="n"/>
      <c r="AO6813" s="48" t="n"/>
    </row>
    <row r="6814">
      <c r="M6814" s="25" t="n"/>
      <c r="Q6814" s="25" t="n"/>
      <c r="U6814" s="194" t="n"/>
      <c r="AA6814" s="25" t="n"/>
      <c r="AB6814" s="25" t="n"/>
      <c r="AC6814" s="195" t="n"/>
      <c r="AD6814" s="25" t="n"/>
      <c r="AE6814" s="25" t="n"/>
      <c r="AG6814" s="25" t="n"/>
      <c r="AH6814" s="25" t="n"/>
      <c r="AI6814" s="394" t="n"/>
      <c r="AM6814" s="48" t="n"/>
      <c r="AN6814" s="48" t="n"/>
      <c r="AO6814" s="48" t="n"/>
    </row>
    <row r="6815">
      <c r="M6815" s="25" t="n"/>
      <c r="Q6815" s="25" t="n"/>
      <c r="U6815" s="194" t="n"/>
      <c r="AA6815" s="25" t="n"/>
      <c r="AB6815" s="25" t="n"/>
      <c r="AC6815" s="195" t="n"/>
      <c r="AD6815" s="25" t="n"/>
      <c r="AE6815" s="25" t="n"/>
      <c r="AG6815" s="25" t="n"/>
      <c r="AH6815" s="25" t="n"/>
      <c r="AI6815" s="394" t="n"/>
      <c r="AM6815" s="48" t="n"/>
      <c r="AN6815" s="48" t="n"/>
      <c r="AO6815" s="48" t="n"/>
    </row>
    <row r="6816">
      <c r="M6816" s="25" t="n"/>
      <c r="Q6816" s="25" t="n"/>
      <c r="U6816" s="194" t="n"/>
      <c r="AA6816" s="25" t="n"/>
      <c r="AB6816" s="25" t="n"/>
      <c r="AC6816" s="195" t="n"/>
      <c r="AD6816" s="25" t="n"/>
      <c r="AE6816" s="25" t="n"/>
      <c r="AG6816" s="25" t="n"/>
      <c r="AH6816" s="25" t="n"/>
      <c r="AI6816" s="394" t="n"/>
      <c r="AM6816" s="48" t="n"/>
      <c r="AN6816" s="48" t="n"/>
      <c r="AO6816" s="48" t="n"/>
    </row>
    <row r="6817">
      <c r="M6817" s="25" t="n"/>
      <c r="Q6817" s="25" t="n"/>
      <c r="U6817" s="194" t="n"/>
      <c r="AA6817" s="25" t="n"/>
      <c r="AB6817" s="25" t="n"/>
      <c r="AC6817" s="195" t="n"/>
      <c r="AD6817" s="25" t="n"/>
      <c r="AE6817" s="25" t="n"/>
      <c r="AG6817" s="25" t="n"/>
      <c r="AH6817" s="25" t="n"/>
      <c r="AI6817" s="394" t="n"/>
      <c r="AM6817" s="48" t="n"/>
      <c r="AN6817" s="48" t="n"/>
      <c r="AO6817" s="48" t="n"/>
    </row>
    <row r="6818">
      <c r="M6818" s="25" t="n"/>
      <c r="Q6818" s="25" t="n"/>
      <c r="U6818" s="194" t="n"/>
      <c r="AA6818" s="25" t="n"/>
      <c r="AB6818" s="25" t="n"/>
      <c r="AC6818" s="195" t="n"/>
      <c r="AD6818" s="25" t="n"/>
      <c r="AE6818" s="25" t="n"/>
      <c r="AG6818" s="25" t="n"/>
      <c r="AH6818" s="25" t="n"/>
      <c r="AI6818" s="394" t="n"/>
      <c r="AM6818" s="48" t="n"/>
      <c r="AN6818" s="48" t="n"/>
      <c r="AO6818" s="48" t="n"/>
    </row>
    <row r="6819">
      <c r="M6819" s="25" t="n"/>
      <c r="Q6819" s="25" t="n"/>
      <c r="U6819" s="194" t="n"/>
      <c r="AA6819" s="25" t="n"/>
      <c r="AB6819" s="25" t="n"/>
      <c r="AC6819" s="195" t="n"/>
      <c r="AD6819" s="25" t="n"/>
      <c r="AE6819" s="25" t="n"/>
      <c r="AG6819" s="25" t="n"/>
      <c r="AH6819" s="25" t="n"/>
      <c r="AI6819" s="394" t="n"/>
      <c r="AM6819" s="48" t="n"/>
      <c r="AN6819" s="48" t="n"/>
      <c r="AO6819" s="48" t="n"/>
    </row>
    <row r="6820">
      <c r="M6820" s="25" t="n"/>
      <c r="Q6820" s="25" t="n"/>
      <c r="U6820" s="194" t="n"/>
      <c r="AA6820" s="25" t="n"/>
      <c r="AB6820" s="25" t="n"/>
      <c r="AC6820" s="195" t="n"/>
      <c r="AD6820" s="25" t="n"/>
      <c r="AE6820" s="25" t="n"/>
      <c r="AG6820" s="25" t="n"/>
      <c r="AH6820" s="25" t="n"/>
      <c r="AI6820" s="394" t="n"/>
      <c r="AM6820" s="48" t="n"/>
      <c r="AN6820" s="48" t="n"/>
      <c r="AO6820" s="48" t="n"/>
    </row>
    <row r="6821">
      <c r="M6821" s="25" t="n"/>
      <c r="Q6821" s="25" t="n"/>
      <c r="U6821" s="194" t="n"/>
      <c r="AA6821" s="25" t="n"/>
      <c r="AB6821" s="25" t="n"/>
      <c r="AC6821" s="195" t="n"/>
      <c r="AD6821" s="25" t="n"/>
      <c r="AE6821" s="25" t="n"/>
      <c r="AG6821" s="25" t="n"/>
      <c r="AH6821" s="25" t="n"/>
      <c r="AI6821" s="394" t="n"/>
      <c r="AM6821" s="48" t="n"/>
      <c r="AN6821" s="48" t="n"/>
      <c r="AO6821" s="48" t="n"/>
    </row>
    <row r="6822">
      <c r="M6822" s="25" t="n"/>
      <c r="Q6822" s="25" t="n"/>
      <c r="U6822" s="194" t="n"/>
      <c r="AA6822" s="25" t="n"/>
      <c r="AB6822" s="25" t="n"/>
      <c r="AC6822" s="195" t="n"/>
      <c r="AD6822" s="25" t="n"/>
      <c r="AE6822" s="25" t="n"/>
      <c r="AG6822" s="25" t="n"/>
      <c r="AH6822" s="25" t="n"/>
      <c r="AI6822" s="394" t="n"/>
      <c r="AM6822" s="48" t="n"/>
      <c r="AN6822" s="48" t="n"/>
      <c r="AO6822" s="48" t="n"/>
    </row>
    <row r="6823">
      <c r="M6823" s="25" t="n"/>
      <c r="Q6823" s="25" t="n"/>
      <c r="U6823" s="194" t="n"/>
      <c r="AA6823" s="25" t="n"/>
      <c r="AB6823" s="25" t="n"/>
      <c r="AC6823" s="195" t="n"/>
      <c r="AD6823" s="25" t="n"/>
      <c r="AE6823" s="25" t="n"/>
      <c r="AG6823" s="25" t="n"/>
      <c r="AH6823" s="25" t="n"/>
      <c r="AI6823" s="394" t="n"/>
      <c r="AM6823" s="48" t="n"/>
      <c r="AN6823" s="48" t="n"/>
      <c r="AO6823" s="48" t="n"/>
    </row>
    <row r="6824">
      <c r="M6824" s="25" t="n"/>
      <c r="Q6824" s="25" t="n"/>
      <c r="U6824" s="194" t="n"/>
      <c r="AA6824" s="25" t="n"/>
      <c r="AB6824" s="25" t="n"/>
      <c r="AC6824" s="195" t="n"/>
      <c r="AD6824" s="25" t="n"/>
      <c r="AE6824" s="25" t="n"/>
      <c r="AG6824" s="25" t="n"/>
      <c r="AH6824" s="25" t="n"/>
      <c r="AI6824" s="394" t="n"/>
      <c r="AM6824" s="48" t="n"/>
      <c r="AN6824" s="48" t="n"/>
      <c r="AO6824" s="48" t="n"/>
    </row>
    <row r="6825">
      <c r="M6825" s="25" t="n"/>
      <c r="Q6825" s="25" t="n"/>
      <c r="U6825" s="194" t="n"/>
      <c r="AA6825" s="25" t="n"/>
      <c r="AB6825" s="25" t="n"/>
      <c r="AC6825" s="195" t="n"/>
      <c r="AD6825" s="25" t="n"/>
      <c r="AE6825" s="25" t="n"/>
      <c r="AG6825" s="25" t="n"/>
      <c r="AH6825" s="25" t="n"/>
      <c r="AI6825" s="394" t="n"/>
      <c r="AM6825" s="48" t="n"/>
      <c r="AN6825" s="48" t="n"/>
      <c r="AO6825" s="48" t="n"/>
    </row>
    <row r="6826">
      <c r="M6826" s="25" t="n"/>
      <c r="Q6826" s="25" t="n"/>
      <c r="U6826" s="194" t="n"/>
      <c r="AA6826" s="25" t="n"/>
      <c r="AB6826" s="25" t="n"/>
      <c r="AC6826" s="195" t="n"/>
      <c r="AD6826" s="25" t="n"/>
      <c r="AE6826" s="25" t="n"/>
      <c r="AG6826" s="25" t="n"/>
      <c r="AH6826" s="25" t="n"/>
      <c r="AI6826" s="394" t="n"/>
      <c r="AM6826" s="48" t="n"/>
      <c r="AN6826" s="48" t="n"/>
      <c r="AO6826" s="48" t="n"/>
    </row>
    <row r="6827">
      <c r="M6827" s="25" t="n"/>
      <c r="Q6827" s="25" t="n"/>
      <c r="U6827" s="194" t="n"/>
      <c r="AA6827" s="25" t="n"/>
      <c r="AB6827" s="25" t="n"/>
      <c r="AC6827" s="195" t="n"/>
      <c r="AD6827" s="25" t="n"/>
      <c r="AE6827" s="25" t="n"/>
      <c r="AG6827" s="25" t="n"/>
      <c r="AH6827" s="25" t="n"/>
      <c r="AI6827" s="394" t="n"/>
      <c r="AM6827" s="48" t="n"/>
      <c r="AN6827" s="48" t="n"/>
      <c r="AO6827" s="48" t="n"/>
    </row>
    <row r="6828">
      <c r="M6828" s="25" t="n"/>
      <c r="Q6828" s="25" t="n"/>
      <c r="U6828" s="194" t="n"/>
      <c r="AA6828" s="25" t="n"/>
      <c r="AB6828" s="25" t="n"/>
      <c r="AC6828" s="195" t="n"/>
      <c r="AD6828" s="25" t="n"/>
      <c r="AE6828" s="25" t="n"/>
      <c r="AG6828" s="25" t="n"/>
      <c r="AH6828" s="25" t="n"/>
      <c r="AI6828" s="394" t="n"/>
      <c r="AM6828" s="48" t="n"/>
      <c r="AN6828" s="48" t="n"/>
      <c r="AO6828" s="48" t="n"/>
    </row>
    <row r="6829">
      <c r="M6829" s="25" t="n"/>
      <c r="Q6829" s="25" t="n"/>
      <c r="U6829" s="194" t="n"/>
      <c r="AA6829" s="25" t="n"/>
      <c r="AB6829" s="25" t="n"/>
      <c r="AC6829" s="195" t="n"/>
      <c r="AD6829" s="25" t="n"/>
      <c r="AE6829" s="25" t="n"/>
      <c r="AG6829" s="25" t="n"/>
      <c r="AH6829" s="25" t="n"/>
      <c r="AI6829" s="394" t="n"/>
      <c r="AM6829" s="48" t="n"/>
      <c r="AN6829" s="48" t="n"/>
      <c r="AO6829" s="48" t="n"/>
    </row>
    <row r="6830">
      <c r="M6830" s="25" t="n"/>
      <c r="Q6830" s="25" t="n"/>
      <c r="U6830" s="194" t="n"/>
      <c r="AA6830" s="25" t="n"/>
      <c r="AB6830" s="25" t="n"/>
      <c r="AC6830" s="195" t="n"/>
      <c r="AD6830" s="25" t="n"/>
      <c r="AE6830" s="25" t="n"/>
      <c r="AG6830" s="25" t="n"/>
      <c r="AH6830" s="25" t="n"/>
      <c r="AI6830" s="394" t="n"/>
      <c r="AM6830" s="48" t="n"/>
      <c r="AN6830" s="48" t="n"/>
      <c r="AO6830" s="48" t="n"/>
    </row>
    <row r="6831">
      <c r="M6831" s="25" t="n"/>
      <c r="Q6831" s="25" t="n"/>
      <c r="U6831" s="194" t="n"/>
      <c r="AA6831" s="25" t="n"/>
      <c r="AB6831" s="25" t="n"/>
      <c r="AC6831" s="195" t="n"/>
      <c r="AD6831" s="25" t="n"/>
      <c r="AE6831" s="25" t="n"/>
      <c r="AG6831" s="25" t="n"/>
      <c r="AH6831" s="25" t="n"/>
      <c r="AI6831" s="394" t="n"/>
      <c r="AM6831" s="48" t="n"/>
      <c r="AN6831" s="48" t="n"/>
      <c r="AO6831" s="48" t="n"/>
    </row>
    <row r="6832">
      <c r="M6832" s="25" t="n"/>
      <c r="Q6832" s="25" t="n"/>
      <c r="U6832" s="194" t="n"/>
      <c r="AA6832" s="25" t="n"/>
      <c r="AB6832" s="25" t="n"/>
      <c r="AC6832" s="195" t="n"/>
      <c r="AD6832" s="25" t="n"/>
      <c r="AE6832" s="25" t="n"/>
      <c r="AG6832" s="25" t="n"/>
      <c r="AH6832" s="25" t="n"/>
      <c r="AI6832" s="394" t="n"/>
      <c r="AM6832" s="48" t="n"/>
      <c r="AN6832" s="48" t="n"/>
      <c r="AO6832" s="48" t="n"/>
    </row>
    <row r="6833">
      <c r="M6833" s="25" t="n"/>
      <c r="Q6833" s="25" t="n"/>
      <c r="U6833" s="194" t="n"/>
      <c r="AA6833" s="25" t="n"/>
      <c r="AB6833" s="25" t="n"/>
      <c r="AC6833" s="195" t="n"/>
      <c r="AD6833" s="25" t="n"/>
      <c r="AE6833" s="25" t="n"/>
      <c r="AG6833" s="25" t="n"/>
      <c r="AH6833" s="25" t="n"/>
      <c r="AI6833" s="394" t="n"/>
      <c r="AM6833" s="48" t="n"/>
      <c r="AN6833" s="48" t="n"/>
      <c r="AO6833" s="48" t="n"/>
    </row>
    <row r="6834">
      <c r="M6834" s="25" t="n"/>
      <c r="Q6834" s="25" t="n"/>
      <c r="U6834" s="194" t="n"/>
      <c r="AA6834" s="25" t="n"/>
      <c r="AB6834" s="25" t="n"/>
      <c r="AC6834" s="195" t="n"/>
      <c r="AD6834" s="25" t="n"/>
      <c r="AE6834" s="25" t="n"/>
      <c r="AG6834" s="25" t="n"/>
      <c r="AH6834" s="25" t="n"/>
      <c r="AI6834" s="394" t="n"/>
      <c r="AM6834" s="48" t="n"/>
      <c r="AN6834" s="48" t="n"/>
      <c r="AO6834" s="48" t="n"/>
    </row>
    <row r="6835">
      <c r="M6835" s="25" t="n"/>
      <c r="Q6835" s="25" t="n"/>
      <c r="U6835" s="194" t="n"/>
      <c r="AA6835" s="25" t="n"/>
      <c r="AB6835" s="25" t="n"/>
      <c r="AC6835" s="195" t="n"/>
      <c r="AD6835" s="25" t="n"/>
      <c r="AE6835" s="25" t="n"/>
      <c r="AG6835" s="25" t="n"/>
      <c r="AH6835" s="25" t="n"/>
      <c r="AI6835" s="394" t="n"/>
      <c r="AM6835" s="48" t="n"/>
      <c r="AN6835" s="48" t="n"/>
      <c r="AO6835" s="48" t="n"/>
    </row>
    <row r="6836">
      <c r="M6836" s="25" t="n"/>
      <c r="Q6836" s="25" t="n"/>
      <c r="U6836" s="194" t="n"/>
      <c r="AA6836" s="25" t="n"/>
      <c r="AB6836" s="25" t="n"/>
      <c r="AC6836" s="195" t="n"/>
      <c r="AD6836" s="25" t="n"/>
      <c r="AE6836" s="25" t="n"/>
      <c r="AG6836" s="25" t="n"/>
      <c r="AH6836" s="25" t="n"/>
      <c r="AI6836" s="394" t="n"/>
      <c r="AM6836" s="48" t="n"/>
      <c r="AN6836" s="48" t="n"/>
      <c r="AO6836" s="48" t="n"/>
    </row>
    <row r="6837">
      <c r="M6837" s="25" t="n"/>
      <c r="Q6837" s="25" t="n"/>
      <c r="U6837" s="194" t="n"/>
      <c r="AA6837" s="25" t="n"/>
      <c r="AB6837" s="25" t="n"/>
      <c r="AC6837" s="195" t="n"/>
      <c r="AD6837" s="25" t="n"/>
      <c r="AE6837" s="25" t="n"/>
      <c r="AG6837" s="25" t="n"/>
      <c r="AH6837" s="25" t="n"/>
      <c r="AI6837" s="394" t="n"/>
      <c r="AM6837" s="48" t="n"/>
      <c r="AN6837" s="48" t="n"/>
      <c r="AO6837" s="48" t="n"/>
    </row>
    <row r="6838">
      <c r="M6838" s="25" t="n"/>
      <c r="Q6838" s="25" t="n"/>
      <c r="U6838" s="194" t="n"/>
      <c r="AA6838" s="25" t="n"/>
      <c r="AB6838" s="25" t="n"/>
      <c r="AC6838" s="195" t="n"/>
      <c r="AD6838" s="25" t="n"/>
      <c r="AE6838" s="25" t="n"/>
      <c r="AG6838" s="25" t="n"/>
      <c r="AH6838" s="25" t="n"/>
      <c r="AI6838" s="394" t="n"/>
      <c r="AM6838" s="48" t="n"/>
      <c r="AN6838" s="48" t="n"/>
      <c r="AO6838" s="48" t="n"/>
    </row>
    <row r="6839">
      <c r="M6839" s="25" t="n"/>
      <c r="Q6839" s="25" t="n"/>
      <c r="U6839" s="194" t="n"/>
      <c r="AA6839" s="25" t="n"/>
      <c r="AB6839" s="25" t="n"/>
      <c r="AC6839" s="195" t="n"/>
      <c r="AD6839" s="25" t="n"/>
      <c r="AE6839" s="25" t="n"/>
      <c r="AG6839" s="25" t="n"/>
      <c r="AH6839" s="25" t="n"/>
      <c r="AI6839" s="394" t="n"/>
      <c r="AM6839" s="48" t="n"/>
      <c r="AN6839" s="48" t="n"/>
      <c r="AO6839" s="48" t="n"/>
    </row>
    <row r="6840">
      <c r="M6840" s="25" t="n"/>
      <c r="Q6840" s="25" t="n"/>
      <c r="U6840" s="194" t="n"/>
      <c r="AA6840" s="25" t="n"/>
      <c r="AB6840" s="25" t="n"/>
      <c r="AC6840" s="195" t="n"/>
      <c r="AD6840" s="25" t="n"/>
      <c r="AE6840" s="25" t="n"/>
      <c r="AG6840" s="25" t="n"/>
      <c r="AH6840" s="25" t="n"/>
      <c r="AI6840" s="394" t="n"/>
      <c r="AM6840" s="48" t="n"/>
      <c r="AN6840" s="48" t="n"/>
      <c r="AO6840" s="48" t="n"/>
    </row>
    <row r="6841">
      <c r="M6841" s="25" t="n"/>
      <c r="Q6841" s="25" t="n"/>
      <c r="U6841" s="194" t="n"/>
      <c r="AA6841" s="25" t="n"/>
      <c r="AB6841" s="25" t="n"/>
      <c r="AC6841" s="195" t="n"/>
      <c r="AD6841" s="25" t="n"/>
      <c r="AE6841" s="25" t="n"/>
      <c r="AG6841" s="25" t="n"/>
      <c r="AH6841" s="25" t="n"/>
      <c r="AI6841" s="394" t="n"/>
      <c r="AM6841" s="48" t="n"/>
      <c r="AN6841" s="48" t="n"/>
      <c r="AO6841" s="48" t="n"/>
    </row>
    <row r="6842">
      <c r="M6842" s="25" t="n"/>
      <c r="Q6842" s="25" t="n"/>
      <c r="U6842" s="194" t="n"/>
      <c r="AA6842" s="25" t="n"/>
      <c r="AB6842" s="25" t="n"/>
      <c r="AC6842" s="195" t="n"/>
      <c r="AD6842" s="25" t="n"/>
      <c r="AE6842" s="25" t="n"/>
      <c r="AG6842" s="25" t="n"/>
      <c r="AH6842" s="25" t="n"/>
      <c r="AI6842" s="394" t="n"/>
      <c r="AM6842" s="48" t="n"/>
      <c r="AN6842" s="48" t="n"/>
      <c r="AO6842" s="48" t="n"/>
    </row>
    <row r="6843">
      <c r="M6843" s="25" t="n"/>
      <c r="Q6843" s="25" t="n"/>
      <c r="U6843" s="194" t="n"/>
      <c r="AA6843" s="25" t="n"/>
      <c r="AB6843" s="25" t="n"/>
      <c r="AC6843" s="195" t="n"/>
      <c r="AD6843" s="25" t="n"/>
      <c r="AE6843" s="25" t="n"/>
      <c r="AG6843" s="25" t="n"/>
      <c r="AH6843" s="25" t="n"/>
      <c r="AI6843" s="394" t="n"/>
      <c r="AM6843" s="48" t="n"/>
      <c r="AN6843" s="48" t="n"/>
      <c r="AO6843" s="48" t="n"/>
    </row>
    <row r="6844">
      <c r="M6844" s="25" t="n"/>
      <c r="Q6844" s="25" t="n"/>
      <c r="U6844" s="194" t="n"/>
      <c r="AA6844" s="25" t="n"/>
      <c r="AB6844" s="25" t="n"/>
      <c r="AC6844" s="195" t="n"/>
      <c r="AD6844" s="25" t="n"/>
      <c r="AE6844" s="25" t="n"/>
      <c r="AG6844" s="25" t="n"/>
      <c r="AH6844" s="25" t="n"/>
      <c r="AI6844" s="394" t="n"/>
      <c r="AM6844" s="48" t="n"/>
      <c r="AN6844" s="48" t="n"/>
      <c r="AO6844" s="48" t="n"/>
    </row>
    <row r="6845">
      <c r="M6845" s="25" t="n"/>
      <c r="Q6845" s="25" t="n"/>
      <c r="U6845" s="194" t="n"/>
      <c r="AA6845" s="25" t="n"/>
      <c r="AB6845" s="25" t="n"/>
      <c r="AC6845" s="195" t="n"/>
      <c r="AD6845" s="25" t="n"/>
      <c r="AE6845" s="25" t="n"/>
      <c r="AG6845" s="25" t="n"/>
      <c r="AH6845" s="25" t="n"/>
      <c r="AI6845" s="394" t="n"/>
      <c r="AM6845" s="48" t="n"/>
      <c r="AN6845" s="48" t="n"/>
      <c r="AO6845" s="48" t="n"/>
    </row>
    <row r="6846">
      <c r="M6846" s="25" t="n"/>
      <c r="Q6846" s="25" t="n"/>
      <c r="U6846" s="194" t="n"/>
      <c r="AA6846" s="25" t="n"/>
      <c r="AB6846" s="25" t="n"/>
      <c r="AC6846" s="195" t="n"/>
      <c r="AD6846" s="25" t="n"/>
      <c r="AE6846" s="25" t="n"/>
      <c r="AG6846" s="25" t="n"/>
      <c r="AH6846" s="25" t="n"/>
      <c r="AI6846" s="394" t="n"/>
      <c r="AM6846" s="48" t="n"/>
      <c r="AN6846" s="48" t="n"/>
      <c r="AO6846" s="48" t="n"/>
    </row>
    <row r="6847">
      <c r="M6847" s="25" t="n"/>
      <c r="Q6847" s="25" t="n"/>
      <c r="U6847" s="194" t="n"/>
      <c r="AA6847" s="25" t="n"/>
      <c r="AB6847" s="25" t="n"/>
      <c r="AC6847" s="195" t="n"/>
      <c r="AD6847" s="25" t="n"/>
      <c r="AE6847" s="25" t="n"/>
      <c r="AG6847" s="25" t="n"/>
      <c r="AH6847" s="25" t="n"/>
      <c r="AI6847" s="394" t="n"/>
      <c r="AM6847" s="48" t="n"/>
      <c r="AN6847" s="48" t="n"/>
      <c r="AO6847" s="48" t="n"/>
    </row>
    <row r="6848">
      <c r="M6848" s="25" t="n"/>
      <c r="Q6848" s="25" t="n"/>
      <c r="U6848" s="194" t="n"/>
      <c r="AA6848" s="25" t="n"/>
      <c r="AB6848" s="25" t="n"/>
      <c r="AC6848" s="195" t="n"/>
      <c r="AD6848" s="25" t="n"/>
      <c r="AE6848" s="25" t="n"/>
      <c r="AG6848" s="25" t="n"/>
      <c r="AH6848" s="25" t="n"/>
      <c r="AI6848" s="394" t="n"/>
      <c r="AM6848" s="48" t="n"/>
      <c r="AN6848" s="48" t="n"/>
      <c r="AO6848" s="48" t="n"/>
    </row>
    <row r="6849">
      <c r="M6849" s="25" t="n"/>
      <c r="Q6849" s="25" t="n"/>
      <c r="U6849" s="194" t="n"/>
      <c r="AA6849" s="25" t="n"/>
      <c r="AB6849" s="25" t="n"/>
      <c r="AC6849" s="195" t="n"/>
      <c r="AD6849" s="25" t="n"/>
      <c r="AE6849" s="25" t="n"/>
      <c r="AG6849" s="25" t="n"/>
      <c r="AH6849" s="25" t="n"/>
      <c r="AI6849" s="394" t="n"/>
      <c r="AM6849" s="48" t="n"/>
      <c r="AN6849" s="48" t="n"/>
      <c r="AO6849" s="48" t="n"/>
    </row>
    <row r="6850">
      <c r="M6850" s="25" t="n"/>
      <c r="Q6850" s="25" t="n"/>
      <c r="U6850" s="194" t="n"/>
      <c r="AA6850" s="25" t="n"/>
      <c r="AB6850" s="25" t="n"/>
      <c r="AC6850" s="195" t="n"/>
      <c r="AD6850" s="25" t="n"/>
      <c r="AE6850" s="25" t="n"/>
      <c r="AG6850" s="25" t="n"/>
      <c r="AH6850" s="25" t="n"/>
      <c r="AI6850" s="394" t="n"/>
      <c r="AM6850" s="48" t="n"/>
      <c r="AN6850" s="48" t="n"/>
      <c r="AO6850" s="48" t="n"/>
    </row>
    <row r="6851">
      <c r="M6851" s="25" t="n"/>
      <c r="Q6851" s="25" t="n"/>
      <c r="U6851" s="194" t="n"/>
      <c r="AA6851" s="25" t="n"/>
      <c r="AB6851" s="25" t="n"/>
      <c r="AC6851" s="195" t="n"/>
      <c r="AD6851" s="25" t="n"/>
      <c r="AE6851" s="25" t="n"/>
      <c r="AG6851" s="25" t="n"/>
      <c r="AH6851" s="25" t="n"/>
      <c r="AI6851" s="394" t="n"/>
      <c r="AM6851" s="48" t="n"/>
      <c r="AN6851" s="48" t="n"/>
      <c r="AO6851" s="48" t="n"/>
    </row>
    <row r="6852">
      <c r="M6852" s="25" t="n"/>
      <c r="Q6852" s="25" t="n"/>
      <c r="U6852" s="194" t="n"/>
      <c r="AA6852" s="25" t="n"/>
      <c r="AB6852" s="25" t="n"/>
      <c r="AC6852" s="195" t="n"/>
      <c r="AD6852" s="25" t="n"/>
      <c r="AE6852" s="25" t="n"/>
      <c r="AG6852" s="25" t="n"/>
      <c r="AH6852" s="25" t="n"/>
      <c r="AI6852" s="394" t="n"/>
      <c r="AM6852" s="48" t="n"/>
      <c r="AN6852" s="48" t="n"/>
      <c r="AO6852" s="48" t="n"/>
    </row>
    <row r="6853">
      <c r="M6853" s="25" t="n"/>
      <c r="Q6853" s="25" t="n"/>
      <c r="U6853" s="194" t="n"/>
      <c r="AA6853" s="25" t="n"/>
      <c r="AB6853" s="25" t="n"/>
      <c r="AC6853" s="195" t="n"/>
      <c r="AD6853" s="25" t="n"/>
      <c r="AE6853" s="25" t="n"/>
      <c r="AG6853" s="25" t="n"/>
      <c r="AH6853" s="25" t="n"/>
      <c r="AI6853" s="394" t="n"/>
      <c r="AM6853" s="48" t="n"/>
      <c r="AN6853" s="48" t="n"/>
      <c r="AO6853" s="48" t="n"/>
    </row>
    <row r="6854">
      <c r="M6854" s="25" t="n"/>
      <c r="Q6854" s="25" t="n"/>
      <c r="U6854" s="194" t="n"/>
      <c r="AA6854" s="25" t="n"/>
      <c r="AB6854" s="25" t="n"/>
      <c r="AC6854" s="195" t="n"/>
      <c r="AD6854" s="25" t="n"/>
      <c r="AE6854" s="25" t="n"/>
      <c r="AG6854" s="25" t="n"/>
      <c r="AH6854" s="25" t="n"/>
      <c r="AI6854" s="394" t="n"/>
      <c r="AM6854" s="48" t="n"/>
      <c r="AN6854" s="48" t="n"/>
      <c r="AO6854" s="48" t="n"/>
    </row>
    <row r="6855">
      <c r="M6855" s="25" t="n"/>
      <c r="Q6855" s="25" t="n"/>
      <c r="U6855" s="194" t="n"/>
      <c r="AA6855" s="25" t="n"/>
      <c r="AB6855" s="25" t="n"/>
      <c r="AC6855" s="195" t="n"/>
      <c r="AD6855" s="25" t="n"/>
      <c r="AE6855" s="25" t="n"/>
      <c r="AG6855" s="25" t="n"/>
      <c r="AH6855" s="25" t="n"/>
      <c r="AI6855" s="394" t="n"/>
      <c r="AM6855" s="48" t="n"/>
      <c r="AN6855" s="48" t="n"/>
      <c r="AO6855" s="48" t="n"/>
    </row>
    <row r="6856">
      <c r="M6856" s="25" t="n"/>
      <c r="Q6856" s="25" t="n"/>
      <c r="U6856" s="194" t="n"/>
      <c r="AA6856" s="25" t="n"/>
      <c r="AB6856" s="25" t="n"/>
      <c r="AC6856" s="195" t="n"/>
      <c r="AD6856" s="25" t="n"/>
      <c r="AE6856" s="25" t="n"/>
      <c r="AG6856" s="25" t="n"/>
      <c r="AH6856" s="25" t="n"/>
      <c r="AI6856" s="394" t="n"/>
      <c r="AM6856" s="48" t="n"/>
      <c r="AN6856" s="48" t="n"/>
      <c r="AO6856" s="48" t="n"/>
    </row>
    <row r="6857">
      <c r="M6857" s="25" t="n"/>
      <c r="Q6857" s="25" t="n"/>
      <c r="U6857" s="194" t="n"/>
      <c r="AA6857" s="25" t="n"/>
      <c r="AB6857" s="25" t="n"/>
      <c r="AC6857" s="195" t="n"/>
      <c r="AD6857" s="25" t="n"/>
      <c r="AE6857" s="25" t="n"/>
      <c r="AG6857" s="25" t="n"/>
      <c r="AH6857" s="25" t="n"/>
      <c r="AI6857" s="394" t="n"/>
      <c r="AM6857" s="48" t="n"/>
      <c r="AN6857" s="48" t="n"/>
      <c r="AO6857" s="48" t="n"/>
    </row>
    <row r="6858">
      <c r="M6858" s="25" t="n"/>
      <c r="Q6858" s="25" t="n"/>
      <c r="U6858" s="194" t="n"/>
      <c r="AA6858" s="25" t="n"/>
      <c r="AB6858" s="25" t="n"/>
      <c r="AC6858" s="195" t="n"/>
      <c r="AD6858" s="25" t="n"/>
      <c r="AE6858" s="25" t="n"/>
      <c r="AG6858" s="25" t="n"/>
      <c r="AH6858" s="25" t="n"/>
      <c r="AI6858" s="394" t="n"/>
      <c r="AM6858" s="48" t="n"/>
      <c r="AN6858" s="48" t="n"/>
      <c r="AO6858" s="48" t="n"/>
    </row>
    <row r="6859">
      <c r="M6859" s="25" t="n"/>
      <c r="Q6859" s="25" t="n"/>
      <c r="U6859" s="194" t="n"/>
      <c r="AA6859" s="25" t="n"/>
      <c r="AB6859" s="25" t="n"/>
      <c r="AC6859" s="195" t="n"/>
      <c r="AD6859" s="25" t="n"/>
      <c r="AE6859" s="25" t="n"/>
      <c r="AG6859" s="25" t="n"/>
      <c r="AH6859" s="25" t="n"/>
      <c r="AI6859" s="394" t="n"/>
      <c r="AM6859" s="48" t="n"/>
      <c r="AN6859" s="48" t="n"/>
      <c r="AO6859" s="48" t="n"/>
    </row>
    <row r="6860">
      <c r="M6860" s="25" t="n"/>
      <c r="Q6860" s="25" t="n"/>
      <c r="U6860" s="194" t="n"/>
      <c r="AA6860" s="25" t="n"/>
      <c r="AB6860" s="25" t="n"/>
      <c r="AC6860" s="195" t="n"/>
      <c r="AD6860" s="25" t="n"/>
      <c r="AE6860" s="25" t="n"/>
      <c r="AG6860" s="25" t="n"/>
      <c r="AH6860" s="25" t="n"/>
      <c r="AI6860" s="394" t="n"/>
      <c r="AM6860" s="48" t="n"/>
      <c r="AN6860" s="48" t="n"/>
      <c r="AO6860" s="48" t="n"/>
    </row>
    <row r="6861">
      <c r="M6861" s="25" t="n"/>
      <c r="Q6861" s="25" t="n"/>
      <c r="U6861" s="194" t="n"/>
      <c r="AA6861" s="25" t="n"/>
      <c r="AB6861" s="25" t="n"/>
      <c r="AC6861" s="195" t="n"/>
      <c r="AD6861" s="25" t="n"/>
      <c r="AE6861" s="25" t="n"/>
      <c r="AG6861" s="25" t="n"/>
      <c r="AH6861" s="25" t="n"/>
      <c r="AI6861" s="394" t="n"/>
      <c r="AM6861" s="48" t="n"/>
      <c r="AN6861" s="48" t="n"/>
      <c r="AO6861" s="48" t="n"/>
    </row>
    <row r="6862">
      <c r="M6862" s="25" t="n"/>
      <c r="Q6862" s="25" t="n"/>
      <c r="U6862" s="194" t="n"/>
      <c r="AA6862" s="25" t="n"/>
      <c r="AB6862" s="25" t="n"/>
      <c r="AC6862" s="195" t="n"/>
      <c r="AD6862" s="25" t="n"/>
      <c r="AE6862" s="25" t="n"/>
      <c r="AG6862" s="25" t="n"/>
      <c r="AH6862" s="25" t="n"/>
      <c r="AI6862" s="394" t="n"/>
      <c r="AM6862" s="48" t="n"/>
      <c r="AN6862" s="48" t="n"/>
      <c r="AO6862" s="48" t="n"/>
    </row>
    <row r="6863">
      <c r="M6863" s="25" t="n"/>
      <c r="Q6863" s="25" t="n"/>
      <c r="U6863" s="194" t="n"/>
      <c r="AA6863" s="25" t="n"/>
      <c r="AB6863" s="25" t="n"/>
      <c r="AC6863" s="195" t="n"/>
      <c r="AD6863" s="25" t="n"/>
      <c r="AE6863" s="25" t="n"/>
      <c r="AG6863" s="25" t="n"/>
      <c r="AH6863" s="25" t="n"/>
      <c r="AI6863" s="394" t="n"/>
      <c r="AM6863" s="48" t="n"/>
      <c r="AN6863" s="48" t="n"/>
      <c r="AO6863" s="48" t="n"/>
    </row>
    <row r="6864">
      <c r="M6864" s="25" t="n"/>
      <c r="Q6864" s="25" t="n"/>
      <c r="U6864" s="194" t="n"/>
      <c r="AA6864" s="25" t="n"/>
      <c r="AB6864" s="25" t="n"/>
      <c r="AC6864" s="195" t="n"/>
      <c r="AD6864" s="25" t="n"/>
      <c r="AE6864" s="25" t="n"/>
      <c r="AG6864" s="25" t="n"/>
      <c r="AH6864" s="25" t="n"/>
      <c r="AI6864" s="394" t="n"/>
      <c r="AM6864" s="48" t="n"/>
      <c r="AN6864" s="48" t="n"/>
      <c r="AO6864" s="48" t="n"/>
    </row>
    <row r="6865">
      <c r="M6865" s="25" t="n"/>
      <c r="Q6865" s="25" t="n"/>
      <c r="U6865" s="194" t="n"/>
      <c r="AA6865" s="25" t="n"/>
      <c r="AB6865" s="25" t="n"/>
      <c r="AC6865" s="195" t="n"/>
      <c r="AD6865" s="25" t="n"/>
      <c r="AE6865" s="25" t="n"/>
      <c r="AG6865" s="25" t="n"/>
      <c r="AH6865" s="25" t="n"/>
      <c r="AI6865" s="394" t="n"/>
      <c r="AM6865" s="48" t="n"/>
      <c r="AN6865" s="48" t="n"/>
      <c r="AO6865" s="48" t="n"/>
    </row>
    <row r="6866">
      <c r="M6866" s="25" t="n"/>
      <c r="Q6866" s="25" t="n"/>
      <c r="U6866" s="194" t="n"/>
      <c r="AA6866" s="25" t="n"/>
      <c r="AB6866" s="25" t="n"/>
      <c r="AC6866" s="195" t="n"/>
      <c r="AD6866" s="25" t="n"/>
      <c r="AE6866" s="25" t="n"/>
      <c r="AG6866" s="25" t="n"/>
      <c r="AH6866" s="25" t="n"/>
      <c r="AI6866" s="394" t="n"/>
      <c r="AM6866" s="48" t="n"/>
      <c r="AN6866" s="48" t="n"/>
      <c r="AO6866" s="48" t="n"/>
    </row>
    <row r="6867">
      <c r="M6867" s="25" t="n"/>
      <c r="Q6867" s="25" t="n"/>
      <c r="U6867" s="194" t="n"/>
      <c r="AA6867" s="25" t="n"/>
      <c r="AB6867" s="25" t="n"/>
      <c r="AC6867" s="195" t="n"/>
      <c r="AD6867" s="25" t="n"/>
      <c r="AE6867" s="25" t="n"/>
      <c r="AG6867" s="25" t="n"/>
      <c r="AH6867" s="25" t="n"/>
      <c r="AI6867" s="394" t="n"/>
      <c r="AM6867" s="48" t="n"/>
      <c r="AN6867" s="48" t="n"/>
      <c r="AO6867" s="48" t="n"/>
    </row>
    <row r="6868">
      <c r="M6868" s="25" t="n"/>
      <c r="Q6868" s="25" t="n"/>
      <c r="U6868" s="194" t="n"/>
      <c r="AA6868" s="25" t="n"/>
      <c r="AB6868" s="25" t="n"/>
      <c r="AC6868" s="195" t="n"/>
      <c r="AD6868" s="25" t="n"/>
      <c r="AE6868" s="25" t="n"/>
      <c r="AG6868" s="25" t="n"/>
      <c r="AH6868" s="25" t="n"/>
      <c r="AI6868" s="394" t="n"/>
      <c r="AM6868" s="48" t="n"/>
      <c r="AN6868" s="48" t="n"/>
      <c r="AO6868" s="48" t="n"/>
    </row>
    <row r="6869">
      <c r="M6869" s="25" t="n"/>
      <c r="Q6869" s="25" t="n"/>
      <c r="U6869" s="194" t="n"/>
      <c r="AA6869" s="25" t="n"/>
      <c r="AB6869" s="25" t="n"/>
      <c r="AC6869" s="195" t="n"/>
      <c r="AD6869" s="25" t="n"/>
      <c r="AE6869" s="25" t="n"/>
      <c r="AG6869" s="25" t="n"/>
      <c r="AH6869" s="25" t="n"/>
      <c r="AI6869" s="394" t="n"/>
      <c r="AM6869" s="48" t="n"/>
      <c r="AN6869" s="48" t="n"/>
      <c r="AO6869" s="48" t="n"/>
    </row>
    <row r="6870">
      <c r="M6870" s="25" t="n"/>
      <c r="Q6870" s="25" t="n"/>
      <c r="U6870" s="194" t="n"/>
      <c r="AA6870" s="25" t="n"/>
      <c r="AB6870" s="25" t="n"/>
      <c r="AC6870" s="195" t="n"/>
      <c r="AD6870" s="25" t="n"/>
      <c r="AE6870" s="25" t="n"/>
      <c r="AG6870" s="25" t="n"/>
      <c r="AH6870" s="25" t="n"/>
      <c r="AI6870" s="394" t="n"/>
      <c r="AM6870" s="48" t="n"/>
      <c r="AN6870" s="48" t="n"/>
      <c r="AO6870" s="48" t="n"/>
    </row>
    <row r="6871">
      <c r="M6871" s="25" t="n"/>
      <c r="Q6871" s="25" t="n"/>
      <c r="U6871" s="194" t="n"/>
      <c r="AA6871" s="25" t="n"/>
      <c r="AB6871" s="25" t="n"/>
      <c r="AC6871" s="195" t="n"/>
      <c r="AD6871" s="25" t="n"/>
      <c r="AE6871" s="25" t="n"/>
      <c r="AG6871" s="25" t="n"/>
      <c r="AH6871" s="25" t="n"/>
      <c r="AI6871" s="394" t="n"/>
      <c r="AM6871" s="48" t="n"/>
      <c r="AN6871" s="48" t="n"/>
      <c r="AO6871" s="48" t="n"/>
    </row>
    <row r="6872">
      <c r="M6872" s="25" t="n"/>
      <c r="Q6872" s="25" t="n"/>
      <c r="U6872" s="194" t="n"/>
      <c r="AA6872" s="25" t="n"/>
      <c r="AB6872" s="25" t="n"/>
      <c r="AC6872" s="195" t="n"/>
      <c r="AD6872" s="25" t="n"/>
      <c r="AE6872" s="25" t="n"/>
      <c r="AG6872" s="25" t="n"/>
      <c r="AH6872" s="25" t="n"/>
      <c r="AI6872" s="394" t="n"/>
      <c r="AM6872" s="48" t="n"/>
      <c r="AN6872" s="48" t="n"/>
      <c r="AO6872" s="48" t="n"/>
    </row>
    <row r="6873">
      <c r="M6873" s="25" t="n"/>
      <c r="Q6873" s="25" t="n"/>
      <c r="U6873" s="194" t="n"/>
      <c r="AA6873" s="25" t="n"/>
      <c r="AB6873" s="25" t="n"/>
      <c r="AC6873" s="195" t="n"/>
      <c r="AD6873" s="25" t="n"/>
      <c r="AE6873" s="25" t="n"/>
      <c r="AG6873" s="25" t="n"/>
      <c r="AH6873" s="25" t="n"/>
      <c r="AI6873" s="394" t="n"/>
      <c r="AM6873" s="48" t="n"/>
      <c r="AN6873" s="48" t="n"/>
      <c r="AO6873" s="48" t="n"/>
    </row>
    <row r="6874">
      <c r="M6874" s="25" t="n"/>
      <c r="Q6874" s="25" t="n"/>
      <c r="U6874" s="194" t="n"/>
      <c r="AA6874" s="25" t="n"/>
      <c r="AB6874" s="25" t="n"/>
      <c r="AC6874" s="195" t="n"/>
      <c r="AD6874" s="25" t="n"/>
      <c r="AE6874" s="25" t="n"/>
      <c r="AG6874" s="25" t="n"/>
      <c r="AH6874" s="25" t="n"/>
      <c r="AI6874" s="394" t="n"/>
      <c r="AM6874" s="48" t="n"/>
      <c r="AN6874" s="48" t="n"/>
      <c r="AO6874" s="48" t="n"/>
    </row>
    <row r="6875">
      <c r="M6875" s="25" t="n"/>
      <c r="Q6875" s="25" t="n"/>
      <c r="U6875" s="194" t="n"/>
      <c r="AA6875" s="25" t="n"/>
      <c r="AB6875" s="25" t="n"/>
      <c r="AC6875" s="195" t="n"/>
      <c r="AD6875" s="25" t="n"/>
      <c r="AE6875" s="25" t="n"/>
      <c r="AG6875" s="25" t="n"/>
      <c r="AH6875" s="25" t="n"/>
      <c r="AI6875" s="394" t="n"/>
      <c r="AM6875" s="48" t="n"/>
      <c r="AN6875" s="48" t="n"/>
      <c r="AO6875" s="48" t="n"/>
    </row>
    <row r="6876">
      <c r="M6876" s="25" t="n"/>
      <c r="Q6876" s="25" t="n"/>
      <c r="U6876" s="194" t="n"/>
      <c r="AA6876" s="25" t="n"/>
      <c r="AB6876" s="25" t="n"/>
      <c r="AC6876" s="195" t="n"/>
      <c r="AD6876" s="25" t="n"/>
      <c r="AE6876" s="25" t="n"/>
      <c r="AG6876" s="25" t="n"/>
      <c r="AH6876" s="25" t="n"/>
      <c r="AI6876" s="394" t="n"/>
      <c r="AM6876" s="48" t="n"/>
      <c r="AN6876" s="48" t="n"/>
      <c r="AO6876" s="48" t="n"/>
    </row>
    <row r="6877">
      <c r="M6877" s="25" t="n"/>
      <c r="Q6877" s="25" t="n"/>
      <c r="U6877" s="194" t="n"/>
      <c r="AA6877" s="25" t="n"/>
      <c r="AB6877" s="25" t="n"/>
      <c r="AC6877" s="195" t="n"/>
      <c r="AD6877" s="25" t="n"/>
      <c r="AE6877" s="25" t="n"/>
      <c r="AG6877" s="25" t="n"/>
      <c r="AH6877" s="25" t="n"/>
      <c r="AI6877" s="394" t="n"/>
      <c r="AM6877" s="48" t="n"/>
      <c r="AN6877" s="48" t="n"/>
      <c r="AO6877" s="48" t="n"/>
    </row>
    <row r="6878">
      <c r="M6878" s="25" t="n"/>
      <c r="Q6878" s="25" t="n"/>
      <c r="U6878" s="194" t="n"/>
      <c r="AA6878" s="25" t="n"/>
      <c r="AB6878" s="25" t="n"/>
      <c r="AC6878" s="195" t="n"/>
      <c r="AD6878" s="25" t="n"/>
      <c r="AE6878" s="25" t="n"/>
      <c r="AG6878" s="25" t="n"/>
      <c r="AH6878" s="25" t="n"/>
      <c r="AI6878" s="394" t="n"/>
      <c r="AM6878" s="48" t="n"/>
      <c r="AN6878" s="48" t="n"/>
      <c r="AO6878" s="48" t="n"/>
    </row>
    <row r="6879">
      <c r="M6879" s="25" t="n"/>
      <c r="Q6879" s="25" t="n"/>
      <c r="U6879" s="194" t="n"/>
      <c r="AA6879" s="25" t="n"/>
      <c r="AB6879" s="25" t="n"/>
      <c r="AC6879" s="195" t="n"/>
      <c r="AD6879" s="25" t="n"/>
      <c r="AE6879" s="25" t="n"/>
      <c r="AG6879" s="25" t="n"/>
      <c r="AH6879" s="25" t="n"/>
      <c r="AI6879" s="394" t="n"/>
      <c r="AM6879" s="48" t="n"/>
      <c r="AN6879" s="48" t="n"/>
      <c r="AO6879" s="48" t="n"/>
    </row>
    <row r="6880">
      <c r="M6880" s="25" t="n"/>
      <c r="Q6880" s="25" t="n"/>
      <c r="U6880" s="194" t="n"/>
      <c r="AA6880" s="25" t="n"/>
      <c r="AB6880" s="25" t="n"/>
      <c r="AC6880" s="195" t="n"/>
      <c r="AD6880" s="25" t="n"/>
      <c r="AE6880" s="25" t="n"/>
      <c r="AG6880" s="25" t="n"/>
      <c r="AH6880" s="25" t="n"/>
      <c r="AI6880" s="394" t="n"/>
      <c r="AM6880" s="48" t="n"/>
      <c r="AN6880" s="48" t="n"/>
      <c r="AO6880" s="48" t="n"/>
    </row>
    <row r="6881">
      <c r="M6881" s="25" t="n"/>
      <c r="Q6881" s="25" t="n"/>
      <c r="U6881" s="194" t="n"/>
      <c r="AA6881" s="25" t="n"/>
      <c r="AB6881" s="25" t="n"/>
      <c r="AC6881" s="195" t="n"/>
      <c r="AD6881" s="25" t="n"/>
      <c r="AE6881" s="25" t="n"/>
      <c r="AG6881" s="25" t="n"/>
      <c r="AH6881" s="25" t="n"/>
      <c r="AI6881" s="394" t="n"/>
      <c r="AM6881" s="48" t="n"/>
      <c r="AN6881" s="48" t="n"/>
      <c r="AO6881" s="48" t="n"/>
    </row>
    <row r="6882">
      <c r="M6882" s="25" t="n"/>
      <c r="Q6882" s="25" t="n"/>
      <c r="U6882" s="194" t="n"/>
      <c r="AA6882" s="25" t="n"/>
      <c r="AB6882" s="25" t="n"/>
      <c r="AC6882" s="195" t="n"/>
      <c r="AD6882" s="25" t="n"/>
      <c r="AE6882" s="25" t="n"/>
      <c r="AG6882" s="25" t="n"/>
      <c r="AH6882" s="25" t="n"/>
      <c r="AI6882" s="394" t="n"/>
      <c r="AM6882" s="48" t="n"/>
      <c r="AN6882" s="48" t="n"/>
      <c r="AO6882" s="48" t="n"/>
    </row>
    <row r="6883">
      <c r="M6883" s="25" t="n"/>
      <c r="Q6883" s="25" t="n"/>
      <c r="U6883" s="194" t="n"/>
      <c r="AA6883" s="25" t="n"/>
      <c r="AB6883" s="25" t="n"/>
      <c r="AC6883" s="195" t="n"/>
      <c r="AD6883" s="25" t="n"/>
      <c r="AE6883" s="25" t="n"/>
      <c r="AG6883" s="25" t="n"/>
      <c r="AH6883" s="25" t="n"/>
      <c r="AI6883" s="394" t="n"/>
      <c r="AM6883" s="48" t="n"/>
      <c r="AN6883" s="48" t="n"/>
      <c r="AO6883" s="48" t="n"/>
    </row>
    <row r="6884">
      <c r="M6884" s="25" t="n"/>
      <c r="Q6884" s="25" t="n"/>
      <c r="U6884" s="194" t="n"/>
      <c r="AA6884" s="25" t="n"/>
      <c r="AB6884" s="25" t="n"/>
      <c r="AC6884" s="195" t="n"/>
      <c r="AD6884" s="25" t="n"/>
      <c r="AE6884" s="25" t="n"/>
      <c r="AG6884" s="25" t="n"/>
      <c r="AH6884" s="25" t="n"/>
      <c r="AI6884" s="394" t="n"/>
      <c r="AM6884" s="48" t="n"/>
      <c r="AN6884" s="48" t="n"/>
      <c r="AO6884" s="48" t="n"/>
    </row>
    <row r="6885">
      <c r="M6885" s="25" t="n"/>
      <c r="Q6885" s="25" t="n"/>
      <c r="U6885" s="194" t="n"/>
      <c r="AA6885" s="25" t="n"/>
      <c r="AB6885" s="25" t="n"/>
      <c r="AC6885" s="195" t="n"/>
      <c r="AD6885" s="25" t="n"/>
      <c r="AE6885" s="25" t="n"/>
      <c r="AG6885" s="25" t="n"/>
      <c r="AH6885" s="25" t="n"/>
      <c r="AI6885" s="394" t="n"/>
      <c r="AM6885" s="48" t="n"/>
      <c r="AN6885" s="48" t="n"/>
      <c r="AO6885" s="48" t="n"/>
    </row>
    <row r="6886">
      <c r="M6886" s="25" t="n"/>
      <c r="Q6886" s="25" t="n"/>
      <c r="U6886" s="194" t="n"/>
      <c r="AA6886" s="25" t="n"/>
      <c r="AB6886" s="25" t="n"/>
      <c r="AC6886" s="195" t="n"/>
      <c r="AD6886" s="25" t="n"/>
      <c r="AE6886" s="25" t="n"/>
      <c r="AG6886" s="25" t="n"/>
      <c r="AH6886" s="25" t="n"/>
      <c r="AI6886" s="394" t="n"/>
      <c r="AM6886" s="48" t="n"/>
      <c r="AN6886" s="48" t="n"/>
      <c r="AO6886" s="48" t="n"/>
    </row>
    <row r="6887">
      <c r="M6887" s="25" t="n"/>
      <c r="Q6887" s="25" t="n"/>
      <c r="U6887" s="194" t="n"/>
      <c r="AA6887" s="25" t="n"/>
      <c r="AB6887" s="25" t="n"/>
      <c r="AC6887" s="195" t="n"/>
      <c r="AD6887" s="25" t="n"/>
      <c r="AE6887" s="25" t="n"/>
      <c r="AG6887" s="25" t="n"/>
      <c r="AH6887" s="25" t="n"/>
      <c r="AI6887" s="394" t="n"/>
      <c r="AM6887" s="48" t="n"/>
      <c r="AN6887" s="48" t="n"/>
      <c r="AO6887" s="48" t="n"/>
    </row>
    <row r="6888">
      <c r="M6888" s="25" t="n"/>
      <c r="Q6888" s="25" t="n"/>
      <c r="U6888" s="194" t="n"/>
      <c r="AA6888" s="25" t="n"/>
      <c r="AB6888" s="25" t="n"/>
      <c r="AC6888" s="195" t="n"/>
      <c r="AD6888" s="25" t="n"/>
      <c r="AE6888" s="25" t="n"/>
      <c r="AG6888" s="25" t="n"/>
      <c r="AH6888" s="25" t="n"/>
      <c r="AI6888" s="394" t="n"/>
      <c r="AM6888" s="48" t="n"/>
      <c r="AN6888" s="48" t="n"/>
      <c r="AO6888" s="48" t="n"/>
    </row>
    <row r="6889">
      <c r="M6889" s="25" t="n"/>
      <c r="Q6889" s="25" t="n"/>
      <c r="U6889" s="194" t="n"/>
      <c r="AA6889" s="25" t="n"/>
      <c r="AB6889" s="25" t="n"/>
      <c r="AC6889" s="195" t="n"/>
      <c r="AD6889" s="25" t="n"/>
      <c r="AE6889" s="25" t="n"/>
      <c r="AG6889" s="25" t="n"/>
      <c r="AH6889" s="25" t="n"/>
      <c r="AI6889" s="394" t="n"/>
      <c r="AM6889" s="48" t="n"/>
      <c r="AN6889" s="48" t="n"/>
      <c r="AO6889" s="48" t="n"/>
    </row>
    <row r="6890">
      <c r="M6890" s="25" t="n"/>
      <c r="Q6890" s="25" t="n"/>
      <c r="U6890" s="194" t="n"/>
      <c r="AA6890" s="25" t="n"/>
      <c r="AB6890" s="25" t="n"/>
      <c r="AC6890" s="195" t="n"/>
      <c r="AD6890" s="25" t="n"/>
      <c r="AE6890" s="25" t="n"/>
      <c r="AG6890" s="25" t="n"/>
      <c r="AH6890" s="25" t="n"/>
      <c r="AI6890" s="394" t="n"/>
      <c r="AM6890" s="48" t="n"/>
      <c r="AN6890" s="48" t="n"/>
      <c r="AO6890" s="48" t="n"/>
    </row>
    <row r="6891">
      <c r="M6891" s="25" t="n"/>
      <c r="Q6891" s="25" t="n"/>
      <c r="U6891" s="194" t="n"/>
      <c r="AA6891" s="25" t="n"/>
      <c r="AB6891" s="25" t="n"/>
      <c r="AC6891" s="195" t="n"/>
      <c r="AD6891" s="25" t="n"/>
      <c r="AE6891" s="25" t="n"/>
      <c r="AG6891" s="25" t="n"/>
      <c r="AH6891" s="25" t="n"/>
      <c r="AI6891" s="394" t="n"/>
      <c r="AM6891" s="48" t="n"/>
      <c r="AN6891" s="48" t="n"/>
      <c r="AO6891" s="48" t="n"/>
    </row>
    <row r="6892">
      <c r="M6892" s="25" t="n"/>
      <c r="Q6892" s="25" t="n"/>
      <c r="U6892" s="194" t="n"/>
      <c r="AA6892" s="25" t="n"/>
      <c r="AB6892" s="25" t="n"/>
      <c r="AC6892" s="195" t="n"/>
      <c r="AD6892" s="25" t="n"/>
      <c r="AE6892" s="25" t="n"/>
      <c r="AG6892" s="25" t="n"/>
      <c r="AH6892" s="25" t="n"/>
      <c r="AI6892" s="394" t="n"/>
      <c r="AM6892" s="48" t="n"/>
      <c r="AN6892" s="48" t="n"/>
      <c r="AO6892" s="48" t="n"/>
    </row>
    <row r="6893">
      <c r="M6893" s="25" t="n"/>
      <c r="Q6893" s="25" t="n"/>
      <c r="U6893" s="194" t="n"/>
      <c r="AA6893" s="25" t="n"/>
      <c r="AB6893" s="25" t="n"/>
      <c r="AC6893" s="195" t="n"/>
      <c r="AD6893" s="25" t="n"/>
      <c r="AE6893" s="25" t="n"/>
      <c r="AG6893" s="25" t="n"/>
      <c r="AH6893" s="25" t="n"/>
      <c r="AI6893" s="394" t="n"/>
      <c r="AM6893" s="48" t="n"/>
      <c r="AN6893" s="48" t="n"/>
      <c r="AO6893" s="48" t="n"/>
    </row>
    <row r="6894">
      <c r="M6894" s="25" t="n"/>
      <c r="Q6894" s="25" t="n"/>
      <c r="U6894" s="194" t="n"/>
      <c r="AA6894" s="25" t="n"/>
      <c r="AB6894" s="25" t="n"/>
      <c r="AC6894" s="195" t="n"/>
      <c r="AD6894" s="25" t="n"/>
      <c r="AE6894" s="25" t="n"/>
      <c r="AG6894" s="25" t="n"/>
      <c r="AH6894" s="25" t="n"/>
      <c r="AI6894" s="394" t="n"/>
      <c r="AM6894" s="48" t="n"/>
      <c r="AN6894" s="48" t="n"/>
      <c r="AO6894" s="48" t="n"/>
    </row>
    <row r="6895">
      <c r="M6895" s="25" t="n"/>
      <c r="Q6895" s="25" t="n"/>
      <c r="U6895" s="194" t="n"/>
      <c r="AA6895" s="25" t="n"/>
      <c r="AB6895" s="25" t="n"/>
      <c r="AC6895" s="195" t="n"/>
      <c r="AD6895" s="25" t="n"/>
      <c r="AE6895" s="25" t="n"/>
      <c r="AG6895" s="25" t="n"/>
      <c r="AH6895" s="25" t="n"/>
      <c r="AI6895" s="394" t="n"/>
      <c r="AM6895" s="48" t="n"/>
      <c r="AN6895" s="48" t="n"/>
      <c r="AO6895" s="48" t="n"/>
    </row>
    <row r="6896">
      <c r="M6896" s="25" t="n"/>
      <c r="Q6896" s="25" t="n"/>
      <c r="U6896" s="194" t="n"/>
      <c r="AA6896" s="25" t="n"/>
      <c r="AB6896" s="25" t="n"/>
      <c r="AC6896" s="195" t="n"/>
      <c r="AD6896" s="25" t="n"/>
      <c r="AE6896" s="25" t="n"/>
      <c r="AG6896" s="25" t="n"/>
      <c r="AH6896" s="25" t="n"/>
      <c r="AI6896" s="394" t="n"/>
      <c r="AM6896" s="48" t="n"/>
      <c r="AN6896" s="48" t="n"/>
      <c r="AO6896" s="48" t="n"/>
    </row>
    <row r="6897">
      <c r="M6897" s="25" t="n"/>
      <c r="Q6897" s="25" t="n"/>
      <c r="U6897" s="194" t="n"/>
      <c r="AA6897" s="25" t="n"/>
      <c r="AB6897" s="25" t="n"/>
      <c r="AC6897" s="195" t="n"/>
      <c r="AD6897" s="25" t="n"/>
      <c r="AE6897" s="25" t="n"/>
      <c r="AG6897" s="25" t="n"/>
      <c r="AH6897" s="25" t="n"/>
      <c r="AI6897" s="394" t="n"/>
      <c r="AM6897" s="48" t="n"/>
      <c r="AN6897" s="48" t="n"/>
      <c r="AO6897" s="48" t="n"/>
    </row>
    <row r="6898">
      <c r="M6898" s="25" t="n"/>
      <c r="Q6898" s="25" t="n"/>
      <c r="U6898" s="194" t="n"/>
      <c r="AA6898" s="25" t="n"/>
      <c r="AB6898" s="25" t="n"/>
      <c r="AC6898" s="195" t="n"/>
      <c r="AD6898" s="25" t="n"/>
      <c r="AE6898" s="25" t="n"/>
      <c r="AG6898" s="25" t="n"/>
      <c r="AH6898" s="25" t="n"/>
      <c r="AI6898" s="394" t="n"/>
      <c r="AM6898" s="48" t="n"/>
      <c r="AN6898" s="48" t="n"/>
      <c r="AO6898" s="48" t="n"/>
    </row>
    <row r="6899">
      <c r="M6899" s="25" t="n"/>
      <c r="Q6899" s="25" t="n"/>
      <c r="U6899" s="194" t="n"/>
      <c r="AA6899" s="25" t="n"/>
      <c r="AB6899" s="25" t="n"/>
      <c r="AC6899" s="195" t="n"/>
      <c r="AD6899" s="25" t="n"/>
      <c r="AE6899" s="25" t="n"/>
      <c r="AG6899" s="25" t="n"/>
      <c r="AH6899" s="25" t="n"/>
      <c r="AI6899" s="394" t="n"/>
      <c r="AM6899" s="48" t="n"/>
      <c r="AN6899" s="48" t="n"/>
      <c r="AO6899" s="48" t="n"/>
    </row>
    <row r="6900">
      <c r="M6900" s="25" t="n"/>
      <c r="Q6900" s="25" t="n"/>
      <c r="U6900" s="194" t="n"/>
      <c r="AA6900" s="25" t="n"/>
      <c r="AB6900" s="25" t="n"/>
      <c r="AC6900" s="195" t="n"/>
      <c r="AD6900" s="25" t="n"/>
      <c r="AE6900" s="25" t="n"/>
      <c r="AG6900" s="25" t="n"/>
      <c r="AH6900" s="25" t="n"/>
      <c r="AI6900" s="394" t="n"/>
      <c r="AM6900" s="48" t="n"/>
      <c r="AN6900" s="48" t="n"/>
      <c r="AO6900" s="48" t="n"/>
    </row>
    <row r="6901">
      <c r="M6901" s="25" t="n"/>
      <c r="Q6901" s="25" t="n"/>
      <c r="U6901" s="194" t="n"/>
      <c r="AA6901" s="25" t="n"/>
      <c r="AB6901" s="25" t="n"/>
      <c r="AC6901" s="195" t="n"/>
      <c r="AD6901" s="25" t="n"/>
      <c r="AE6901" s="25" t="n"/>
      <c r="AG6901" s="25" t="n"/>
      <c r="AH6901" s="25" t="n"/>
      <c r="AI6901" s="394" t="n"/>
      <c r="AM6901" s="48" t="n"/>
      <c r="AN6901" s="48" t="n"/>
      <c r="AO6901" s="48" t="n"/>
    </row>
    <row r="6902">
      <c r="M6902" s="25" t="n"/>
      <c r="Q6902" s="25" t="n"/>
      <c r="U6902" s="194" t="n"/>
      <c r="AA6902" s="25" t="n"/>
      <c r="AB6902" s="25" t="n"/>
      <c r="AC6902" s="195" t="n"/>
      <c r="AD6902" s="25" t="n"/>
      <c r="AE6902" s="25" t="n"/>
      <c r="AG6902" s="25" t="n"/>
      <c r="AH6902" s="25" t="n"/>
      <c r="AI6902" s="394" t="n"/>
      <c r="AM6902" s="48" t="n"/>
      <c r="AN6902" s="48" t="n"/>
      <c r="AO6902" s="48" t="n"/>
    </row>
    <row r="6903">
      <c r="M6903" s="25" t="n"/>
      <c r="Q6903" s="25" t="n"/>
      <c r="U6903" s="194" t="n"/>
      <c r="AA6903" s="25" t="n"/>
      <c r="AB6903" s="25" t="n"/>
      <c r="AC6903" s="195" t="n"/>
      <c r="AD6903" s="25" t="n"/>
      <c r="AE6903" s="25" t="n"/>
      <c r="AG6903" s="25" t="n"/>
      <c r="AH6903" s="25" t="n"/>
      <c r="AI6903" s="394" t="n"/>
      <c r="AM6903" s="48" t="n"/>
      <c r="AN6903" s="48" t="n"/>
      <c r="AO6903" s="48" t="n"/>
    </row>
    <row r="6904">
      <c r="M6904" s="25" t="n"/>
      <c r="Q6904" s="25" t="n"/>
      <c r="U6904" s="194" t="n"/>
      <c r="AA6904" s="25" t="n"/>
      <c r="AB6904" s="25" t="n"/>
      <c r="AC6904" s="195" t="n"/>
      <c r="AD6904" s="25" t="n"/>
      <c r="AE6904" s="25" t="n"/>
      <c r="AG6904" s="25" t="n"/>
      <c r="AH6904" s="25" t="n"/>
      <c r="AI6904" s="394" t="n"/>
      <c r="AM6904" s="48" t="n"/>
      <c r="AN6904" s="48" t="n"/>
      <c r="AO6904" s="48" t="n"/>
    </row>
    <row r="6905">
      <c r="M6905" s="25" t="n"/>
      <c r="Q6905" s="25" t="n"/>
      <c r="U6905" s="194" t="n"/>
      <c r="AA6905" s="25" t="n"/>
      <c r="AB6905" s="25" t="n"/>
      <c r="AC6905" s="195" t="n"/>
      <c r="AD6905" s="25" t="n"/>
      <c r="AE6905" s="25" t="n"/>
      <c r="AG6905" s="25" t="n"/>
      <c r="AH6905" s="25" t="n"/>
      <c r="AI6905" s="394" t="n"/>
      <c r="AM6905" s="48" t="n"/>
      <c r="AN6905" s="48" t="n"/>
      <c r="AO6905" s="48" t="n"/>
    </row>
    <row r="6906">
      <c r="M6906" s="25" t="n"/>
      <c r="Q6906" s="25" t="n"/>
      <c r="U6906" s="194" t="n"/>
      <c r="AA6906" s="25" t="n"/>
      <c r="AB6906" s="25" t="n"/>
      <c r="AC6906" s="195" t="n"/>
      <c r="AD6906" s="25" t="n"/>
      <c r="AE6906" s="25" t="n"/>
      <c r="AG6906" s="25" t="n"/>
      <c r="AH6906" s="25" t="n"/>
      <c r="AI6906" s="394" t="n"/>
      <c r="AM6906" s="48" t="n"/>
      <c r="AN6906" s="48" t="n"/>
      <c r="AO6906" s="48" t="n"/>
    </row>
    <row r="6907">
      <c r="M6907" s="25" t="n"/>
      <c r="Q6907" s="25" t="n"/>
      <c r="U6907" s="194" t="n"/>
      <c r="AA6907" s="25" t="n"/>
      <c r="AB6907" s="25" t="n"/>
      <c r="AC6907" s="195" t="n"/>
      <c r="AD6907" s="25" t="n"/>
      <c r="AE6907" s="25" t="n"/>
      <c r="AG6907" s="25" t="n"/>
      <c r="AH6907" s="25" t="n"/>
      <c r="AI6907" s="394" t="n"/>
      <c r="AM6907" s="48" t="n"/>
      <c r="AN6907" s="48" t="n"/>
      <c r="AO6907" s="48" t="n"/>
    </row>
    <row r="6908">
      <c r="M6908" s="25" t="n"/>
      <c r="Q6908" s="25" t="n"/>
      <c r="U6908" s="194" t="n"/>
      <c r="AA6908" s="25" t="n"/>
      <c r="AB6908" s="25" t="n"/>
      <c r="AC6908" s="195" t="n"/>
      <c r="AD6908" s="25" t="n"/>
      <c r="AE6908" s="25" t="n"/>
      <c r="AG6908" s="25" t="n"/>
      <c r="AH6908" s="25" t="n"/>
      <c r="AI6908" s="394" t="n"/>
      <c r="AM6908" s="48" t="n"/>
      <c r="AN6908" s="48" t="n"/>
      <c r="AO6908" s="48" t="n"/>
    </row>
    <row r="6909">
      <c r="M6909" s="25" t="n"/>
      <c r="Q6909" s="25" t="n"/>
      <c r="U6909" s="194" t="n"/>
      <c r="AA6909" s="25" t="n"/>
      <c r="AB6909" s="25" t="n"/>
      <c r="AC6909" s="195" t="n"/>
      <c r="AD6909" s="25" t="n"/>
      <c r="AE6909" s="25" t="n"/>
      <c r="AG6909" s="25" t="n"/>
      <c r="AH6909" s="25" t="n"/>
      <c r="AI6909" s="394" t="n"/>
      <c r="AM6909" s="48" t="n"/>
      <c r="AN6909" s="48" t="n"/>
      <c r="AO6909" s="48" t="n"/>
    </row>
    <row r="6910">
      <c r="M6910" s="25" t="n"/>
      <c r="Q6910" s="25" t="n"/>
      <c r="U6910" s="194" t="n"/>
      <c r="AA6910" s="25" t="n"/>
      <c r="AB6910" s="25" t="n"/>
      <c r="AC6910" s="195" t="n"/>
      <c r="AD6910" s="25" t="n"/>
      <c r="AE6910" s="25" t="n"/>
      <c r="AG6910" s="25" t="n"/>
      <c r="AH6910" s="25" t="n"/>
      <c r="AI6910" s="394" t="n"/>
      <c r="AM6910" s="48" t="n"/>
      <c r="AN6910" s="48" t="n"/>
      <c r="AO6910" s="48" t="n"/>
    </row>
    <row r="6911">
      <c r="M6911" s="25" t="n"/>
      <c r="Q6911" s="25" t="n"/>
      <c r="U6911" s="194" t="n"/>
      <c r="AA6911" s="25" t="n"/>
      <c r="AB6911" s="25" t="n"/>
      <c r="AC6911" s="195" t="n"/>
      <c r="AD6911" s="25" t="n"/>
      <c r="AE6911" s="25" t="n"/>
      <c r="AG6911" s="25" t="n"/>
      <c r="AH6911" s="25" t="n"/>
      <c r="AI6911" s="394" t="n"/>
      <c r="AM6911" s="48" t="n"/>
      <c r="AN6911" s="48" t="n"/>
      <c r="AO6911" s="48" t="n"/>
    </row>
    <row r="6912">
      <c r="M6912" s="25" t="n"/>
      <c r="Q6912" s="25" t="n"/>
      <c r="U6912" s="194" t="n"/>
      <c r="AA6912" s="25" t="n"/>
      <c r="AB6912" s="25" t="n"/>
      <c r="AC6912" s="195" t="n"/>
      <c r="AD6912" s="25" t="n"/>
      <c r="AE6912" s="25" t="n"/>
      <c r="AG6912" s="25" t="n"/>
      <c r="AH6912" s="25" t="n"/>
      <c r="AI6912" s="394" t="n"/>
      <c r="AM6912" s="48" t="n"/>
      <c r="AN6912" s="48" t="n"/>
      <c r="AO6912" s="48" t="n"/>
    </row>
    <row r="6913">
      <c r="M6913" s="25" t="n"/>
      <c r="Q6913" s="25" t="n"/>
      <c r="U6913" s="194" t="n"/>
      <c r="AA6913" s="25" t="n"/>
      <c r="AB6913" s="25" t="n"/>
      <c r="AC6913" s="195" t="n"/>
      <c r="AD6913" s="25" t="n"/>
      <c r="AE6913" s="25" t="n"/>
      <c r="AG6913" s="25" t="n"/>
      <c r="AH6913" s="25" t="n"/>
      <c r="AI6913" s="394" t="n"/>
      <c r="AM6913" s="48" t="n"/>
      <c r="AN6913" s="48" t="n"/>
      <c r="AO6913" s="48" t="n"/>
    </row>
    <row r="6914">
      <c r="M6914" s="25" t="n"/>
      <c r="Q6914" s="25" t="n"/>
      <c r="U6914" s="194" t="n"/>
      <c r="AA6914" s="25" t="n"/>
      <c r="AB6914" s="25" t="n"/>
      <c r="AC6914" s="195" t="n"/>
      <c r="AD6914" s="25" t="n"/>
      <c r="AE6914" s="25" t="n"/>
      <c r="AG6914" s="25" t="n"/>
      <c r="AH6914" s="25" t="n"/>
      <c r="AI6914" s="394" t="n"/>
      <c r="AM6914" s="48" t="n"/>
      <c r="AN6914" s="48" t="n"/>
      <c r="AO6914" s="48" t="n"/>
    </row>
    <row r="6915">
      <c r="M6915" s="25" t="n"/>
      <c r="Q6915" s="25" t="n"/>
      <c r="U6915" s="194" t="n"/>
      <c r="AA6915" s="25" t="n"/>
      <c r="AB6915" s="25" t="n"/>
      <c r="AC6915" s="195" t="n"/>
      <c r="AD6915" s="25" t="n"/>
      <c r="AE6915" s="25" t="n"/>
      <c r="AG6915" s="25" t="n"/>
      <c r="AH6915" s="25" t="n"/>
      <c r="AI6915" s="394" t="n"/>
      <c r="AM6915" s="48" t="n"/>
      <c r="AN6915" s="48" t="n"/>
      <c r="AO6915" s="48" t="n"/>
    </row>
    <row r="6916">
      <c r="M6916" s="25" t="n"/>
      <c r="Q6916" s="25" t="n"/>
      <c r="U6916" s="194" t="n"/>
      <c r="AA6916" s="25" t="n"/>
      <c r="AB6916" s="25" t="n"/>
      <c r="AC6916" s="195" t="n"/>
      <c r="AD6916" s="25" t="n"/>
      <c r="AE6916" s="25" t="n"/>
      <c r="AG6916" s="25" t="n"/>
      <c r="AH6916" s="25" t="n"/>
      <c r="AI6916" s="394" t="n"/>
      <c r="AM6916" s="48" t="n"/>
      <c r="AN6916" s="48" t="n"/>
      <c r="AO6916" s="48" t="n"/>
    </row>
    <row r="6917">
      <c r="M6917" s="25" t="n"/>
      <c r="Q6917" s="25" t="n"/>
      <c r="U6917" s="194" t="n"/>
      <c r="AA6917" s="25" t="n"/>
      <c r="AB6917" s="25" t="n"/>
      <c r="AC6917" s="195" t="n"/>
      <c r="AD6917" s="25" t="n"/>
      <c r="AE6917" s="25" t="n"/>
      <c r="AG6917" s="25" t="n"/>
      <c r="AH6917" s="25" t="n"/>
      <c r="AI6917" s="394" t="n"/>
      <c r="AM6917" s="48" t="n"/>
      <c r="AN6917" s="48" t="n"/>
      <c r="AO6917" s="48" t="n"/>
    </row>
    <row r="6918">
      <c r="M6918" s="25" t="n"/>
      <c r="Q6918" s="25" t="n"/>
      <c r="U6918" s="194" t="n"/>
      <c r="AA6918" s="25" t="n"/>
      <c r="AB6918" s="25" t="n"/>
      <c r="AC6918" s="195" t="n"/>
      <c r="AD6918" s="25" t="n"/>
      <c r="AE6918" s="25" t="n"/>
      <c r="AG6918" s="25" t="n"/>
      <c r="AH6918" s="25" t="n"/>
      <c r="AI6918" s="394" t="n"/>
      <c r="AM6918" s="48" t="n"/>
      <c r="AN6918" s="48" t="n"/>
      <c r="AO6918" s="48" t="n"/>
    </row>
    <row r="6919">
      <c r="M6919" s="25" t="n"/>
      <c r="Q6919" s="25" t="n"/>
      <c r="U6919" s="194" t="n"/>
      <c r="AA6919" s="25" t="n"/>
      <c r="AB6919" s="25" t="n"/>
      <c r="AC6919" s="195" t="n"/>
      <c r="AD6919" s="25" t="n"/>
      <c r="AE6919" s="25" t="n"/>
      <c r="AG6919" s="25" t="n"/>
      <c r="AH6919" s="25" t="n"/>
      <c r="AI6919" s="394" t="n"/>
      <c r="AM6919" s="48" t="n"/>
      <c r="AN6919" s="48" t="n"/>
      <c r="AO6919" s="48" t="n"/>
    </row>
    <row r="6920">
      <c r="M6920" s="25" t="n"/>
      <c r="Q6920" s="25" t="n"/>
      <c r="U6920" s="194" t="n"/>
      <c r="AA6920" s="25" t="n"/>
      <c r="AB6920" s="25" t="n"/>
      <c r="AC6920" s="195" t="n"/>
      <c r="AD6920" s="25" t="n"/>
      <c r="AE6920" s="25" t="n"/>
      <c r="AG6920" s="25" t="n"/>
      <c r="AH6920" s="25" t="n"/>
      <c r="AI6920" s="394" t="n"/>
      <c r="AM6920" s="48" t="n"/>
      <c r="AN6920" s="48" t="n"/>
      <c r="AO6920" s="48" t="n"/>
    </row>
    <row r="6921">
      <c r="M6921" s="25" t="n"/>
      <c r="Q6921" s="25" t="n"/>
      <c r="U6921" s="194" t="n"/>
      <c r="AA6921" s="25" t="n"/>
      <c r="AB6921" s="25" t="n"/>
      <c r="AC6921" s="195" t="n"/>
      <c r="AD6921" s="25" t="n"/>
      <c r="AE6921" s="25" t="n"/>
      <c r="AG6921" s="25" t="n"/>
      <c r="AH6921" s="25" t="n"/>
      <c r="AI6921" s="394" t="n"/>
      <c r="AM6921" s="48" t="n"/>
      <c r="AN6921" s="48" t="n"/>
      <c r="AO6921" s="48" t="n"/>
    </row>
    <row r="6922">
      <c r="M6922" s="25" t="n"/>
      <c r="Q6922" s="25" t="n"/>
      <c r="U6922" s="194" t="n"/>
      <c r="AA6922" s="25" t="n"/>
      <c r="AB6922" s="25" t="n"/>
      <c r="AC6922" s="195" t="n"/>
      <c r="AD6922" s="25" t="n"/>
      <c r="AE6922" s="25" t="n"/>
      <c r="AG6922" s="25" t="n"/>
      <c r="AH6922" s="25" t="n"/>
      <c r="AI6922" s="394" t="n"/>
      <c r="AM6922" s="48" t="n"/>
      <c r="AN6922" s="48" t="n"/>
      <c r="AO6922" s="48" t="n"/>
    </row>
    <row r="6923">
      <c r="M6923" s="25" t="n"/>
      <c r="Q6923" s="25" t="n"/>
      <c r="U6923" s="194" t="n"/>
      <c r="AA6923" s="25" t="n"/>
      <c r="AB6923" s="25" t="n"/>
      <c r="AC6923" s="195" t="n"/>
      <c r="AD6923" s="25" t="n"/>
      <c r="AE6923" s="25" t="n"/>
      <c r="AG6923" s="25" t="n"/>
      <c r="AH6923" s="25" t="n"/>
      <c r="AI6923" s="394" t="n"/>
      <c r="AM6923" s="48" t="n"/>
      <c r="AN6923" s="48" t="n"/>
      <c r="AO6923" s="48" t="n"/>
    </row>
    <row r="6924">
      <c r="M6924" s="25" t="n"/>
      <c r="Q6924" s="25" t="n"/>
      <c r="U6924" s="194" t="n"/>
      <c r="AA6924" s="25" t="n"/>
      <c r="AB6924" s="25" t="n"/>
      <c r="AC6924" s="195" t="n"/>
      <c r="AD6924" s="25" t="n"/>
      <c r="AE6924" s="25" t="n"/>
      <c r="AG6924" s="25" t="n"/>
      <c r="AH6924" s="25" t="n"/>
      <c r="AI6924" s="394" t="n"/>
      <c r="AM6924" s="48" t="n"/>
      <c r="AN6924" s="48" t="n"/>
      <c r="AO6924" s="48" t="n"/>
    </row>
    <row r="6925">
      <c r="M6925" s="25" t="n"/>
      <c r="Q6925" s="25" t="n"/>
      <c r="U6925" s="194" t="n"/>
      <c r="AA6925" s="25" t="n"/>
      <c r="AB6925" s="25" t="n"/>
      <c r="AC6925" s="195" t="n"/>
      <c r="AD6925" s="25" t="n"/>
      <c r="AE6925" s="25" t="n"/>
      <c r="AG6925" s="25" t="n"/>
      <c r="AH6925" s="25" t="n"/>
      <c r="AI6925" s="394" t="n"/>
      <c r="AM6925" s="48" t="n"/>
      <c r="AN6925" s="48" t="n"/>
      <c r="AO6925" s="48" t="n"/>
    </row>
    <row r="6926">
      <c r="M6926" s="25" t="n"/>
      <c r="Q6926" s="25" t="n"/>
      <c r="U6926" s="194" t="n"/>
      <c r="AA6926" s="25" t="n"/>
      <c r="AB6926" s="25" t="n"/>
      <c r="AC6926" s="195" t="n"/>
      <c r="AD6926" s="25" t="n"/>
      <c r="AE6926" s="25" t="n"/>
      <c r="AG6926" s="25" t="n"/>
      <c r="AH6926" s="25" t="n"/>
      <c r="AI6926" s="394" t="n"/>
      <c r="AM6926" s="48" t="n"/>
      <c r="AN6926" s="48" t="n"/>
      <c r="AO6926" s="48" t="n"/>
    </row>
    <row r="6927">
      <c r="M6927" s="25" t="n"/>
      <c r="Q6927" s="25" t="n"/>
      <c r="U6927" s="194" t="n"/>
      <c r="AA6927" s="25" t="n"/>
      <c r="AB6927" s="25" t="n"/>
      <c r="AC6927" s="195" t="n"/>
      <c r="AD6927" s="25" t="n"/>
      <c r="AE6927" s="25" t="n"/>
      <c r="AG6927" s="25" t="n"/>
      <c r="AH6927" s="25" t="n"/>
      <c r="AI6927" s="394" t="n"/>
      <c r="AM6927" s="48" t="n"/>
      <c r="AN6927" s="48" t="n"/>
      <c r="AO6927" s="48" t="n"/>
    </row>
    <row r="6928">
      <c r="M6928" s="25" t="n"/>
      <c r="Q6928" s="25" t="n"/>
      <c r="U6928" s="194" t="n"/>
      <c r="AA6928" s="25" t="n"/>
      <c r="AB6928" s="25" t="n"/>
      <c r="AC6928" s="195" t="n"/>
      <c r="AD6928" s="25" t="n"/>
      <c r="AE6928" s="25" t="n"/>
      <c r="AG6928" s="25" t="n"/>
      <c r="AH6928" s="25" t="n"/>
      <c r="AI6928" s="394" t="n"/>
      <c r="AM6928" s="48" t="n"/>
      <c r="AN6928" s="48" t="n"/>
      <c r="AO6928" s="48" t="n"/>
    </row>
    <row r="6929">
      <c r="M6929" s="25" t="n"/>
      <c r="Q6929" s="25" t="n"/>
      <c r="U6929" s="194" t="n"/>
      <c r="AA6929" s="25" t="n"/>
      <c r="AB6929" s="25" t="n"/>
      <c r="AC6929" s="195" t="n"/>
      <c r="AD6929" s="25" t="n"/>
      <c r="AE6929" s="25" t="n"/>
      <c r="AG6929" s="25" t="n"/>
      <c r="AH6929" s="25" t="n"/>
      <c r="AI6929" s="394" t="n"/>
      <c r="AM6929" s="48" t="n"/>
      <c r="AN6929" s="48" t="n"/>
      <c r="AO6929" s="48" t="n"/>
    </row>
    <row r="6930">
      <c r="M6930" s="25" t="n"/>
      <c r="Q6930" s="25" t="n"/>
      <c r="U6930" s="194" t="n"/>
      <c r="AA6930" s="25" t="n"/>
      <c r="AB6930" s="25" t="n"/>
      <c r="AC6930" s="195" t="n"/>
      <c r="AD6930" s="25" t="n"/>
      <c r="AE6930" s="25" t="n"/>
      <c r="AG6930" s="25" t="n"/>
      <c r="AH6930" s="25" t="n"/>
      <c r="AI6930" s="394" t="n"/>
      <c r="AM6930" s="48" t="n"/>
      <c r="AN6930" s="48" t="n"/>
      <c r="AO6930" s="48" t="n"/>
    </row>
    <row r="6931">
      <c r="M6931" s="25" t="n"/>
      <c r="Q6931" s="25" t="n"/>
      <c r="U6931" s="194" t="n"/>
      <c r="AA6931" s="25" t="n"/>
      <c r="AB6931" s="25" t="n"/>
      <c r="AC6931" s="195" t="n"/>
      <c r="AD6931" s="25" t="n"/>
      <c r="AE6931" s="25" t="n"/>
      <c r="AG6931" s="25" t="n"/>
      <c r="AH6931" s="25" t="n"/>
      <c r="AI6931" s="394" t="n"/>
      <c r="AM6931" s="48" t="n"/>
      <c r="AN6931" s="48" t="n"/>
      <c r="AO6931" s="48" t="n"/>
    </row>
    <row r="6932">
      <c r="M6932" s="25" t="n"/>
      <c r="Q6932" s="25" t="n"/>
      <c r="U6932" s="194" t="n"/>
      <c r="AA6932" s="25" t="n"/>
      <c r="AB6932" s="25" t="n"/>
      <c r="AC6932" s="195" t="n"/>
      <c r="AD6932" s="25" t="n"/>
      <c r="AE6932" s="25" t="n"/>
      <c r="AG6932" s="25" t="n"/>
      <c r="AH6932" s="25" t="n"/>
      <c r="AI6932" s="394" t="n"/>
      <c r="AM6932" s="48" t="n"/>
      <c r="AN6932" s="48" t="n"/>
      <c r="AO6932" s="48" t="n"/>
    </row>
    <row r="6933">
      <c r="M6933" s="25" t="n"/>
      <c r="Q6933" s="25" t="n"/>
      <c r="U6933" s="194" t="n"/>
      <c r="AA6933" s="25" t="n"/>
      <c r="AB6933" s="25" t="n"/>
      <c r="AC6933" s="195" t="n"/>
      <c r="AD6933" s="25" t="n"/>
      <c r="AE6933" s="25" t="n"/>
      <c r="AG6933" s="25" t="n"/>
      <c r="AH6933" s="25" t="n"/>
      <c r="AI6933" s="394" t="n"/>
      <c r="AM6933" s="48" t="n"/>
      <c r="AN6933" s="48" t="n"/>
      <c r="AO6933" s="48" t="n"/>
    </row>
    <row r="6934">
      <c r="M6934" s="25" t="n"/>
      <c r="Q6934" s="25" t="n"/>
      <c r="U6934" s="194" t="n"/>
      <c r="AA6934" s="25" t="n"/>
      <c r="AB6934" s="25" t="n"/>
      <c r="AC6934" s="195" t="n"/>
      <c r="AD6934" s="25" t="n"/>
      <c r="AE6934" s="25" t="n"/>
      <c r="AG6934" s="25" t="n"/>
      <c r="AH6934" s="25" t="n"/>
      <c r="AI6934" s="394" t="n"/>
      <c r="AM6934" s="48" t="n"/>
      <c r="AN6934" s="48" t="n"/>
      <c r="AO6934" s="48" t="n"/>
    </row>
    <row r="6935">
      <c r="M6935" s="25" t="n"/>
      <c r="Q6935" s="25" t="n"/>
      <c r="U6935" s="194" t="n"/>
      <c r="AA6935" s="25" t="n"/>
      <c r="AB6935" s="25" t="n"/>
      <c r="AC6935" s="195" t="n"/>
      <c r="AD6935" s="25" t="n"/>
      <c r="AE6935" s="25" t="n"/>
      <c r="AG6935" s="25" t="n"/>
      <c r="AH6935" s="25" t="n"/>
      <c r="AI6935" s="394" t="n"/>
      <c r="AM6935" s="48" t="n"/>
      <c r="AN6935" s="48" t="n"/>
      <c r="AO6935" s="48" t="n"/>
    </row>
    <row r="6936">
      <c r="M6936" s="25" t="n"/>
      <c r="Q6936" s="25" t="n"/>
      <c r="U6936" s="194" t="n"/>
      <c r="AA6936" s="25" t="n"/>
      <c r="AB6936" s="25" t="n"/>
      <c r="AC6936" s="195" t="n"/>
      <c r="AD6936" s="25" t="n"/>
      <c r="AE6936" s="25" t="n"/>
      <c r="AG6936" s="25" t="n"/>
      <c r="AH6936" s="25" t="n"/>
      <c r="AI6936" s="394" t="n"/>
      <c r="AM6936" s="48" t="n"/>
      <c r="AN6936" s="48" t="n"/>
      <c r="AO6936" s="48" t="n"/>
    </row>
    <row r="6937">
      <c r="M6937" s="25" t="n"/>
      <c r="Q6937" s="25" t="n"/>
      <c r="U6937" s="194" t="n"/>
      <c r="AA6937" s="25" t="n"/>
      <c r="AB6937" s="25" t="n"/>
      <c r="AC6937" s="195" t="n"/>
      <c r="AD6937" s="25" t="n"/>
      <c r="AE6937" s="25" t="n"/>
      <c r="AG6937" s="25" t="n"/>
      <c r="AH6937" s="25" t="n"/>
      <c r="AI6937" s="394" t="n"/>
      <c r="AM6937" s="48" t="n"/>
      <c r="AN6937" s="48" t="n"/>
      <c r="AO6937" s="48" t="n"/>
    </row>
    <row r="6938">
      <c r="M6938" s="25" t="n"/>
      <c r="Q6938" s="25" t="n"/>
      <c r="U6938" s="194" t="n"/>
      <c r="AA6938" s="25" t="n"/>
      <c r="AB6938" s="25" t="n"/>
      <c r="AC6938" s="195" t="n"/>
      <c r="AD6938" s="25" t="n"/>
      <c r="AE6938" s="25" t="n"/>
      <c r="AG6938" s="25" t="n"/>
      <c r="AH6938" s="25" t="n"/>
      <c r="AI6938" s="394" t="n"/>
      <c r="AM6938" s="48" t="n"/>
      <c r="AN6938" s="48" t="n"/>
      <c r="AO6938" s="48" t="n"/>
    </row>
    <row r="6939">
      <c r="M6939" s="25" t="n"/>
      <c r="Q6939" s="25" t="n"/>
      <c r="U6939" s="194" t="n"/>
      <c r="AA6939" s="25" t="n"/>
      <c r="AB6939" s="25" t="n"/>
      <c r="AC6939" s="195" t="n"/>
      <c r="AD6939" s="25" t="n"/>
      <c r="AE6939" s="25" t="n"/>
      <c r="AG6939" s="25" t="n"/>
      <c r="AH6939" s="25" t="n"/>
      <c r="AI6939" s="394" t="n"/>
      <c r="AM6939" s="48" t="n"/>
      <c r="AN6939" s="48" t="n"/>
      <c r="AO6939" s="48" t="n"/>
    </row>
    <row r="6940">
      <c r="M6940" s="25" t="n"/>
      <c r="Q6940" s="25" t="n"/>
      <c r="U6940" s="194" t="n"/>
      <c r="AA6940" s="25" t="n"/>
      <c r="AB6940" s="25" t="n"/>
      <c r="AC6940" s="195" t="n"/>
      <c r="AD6940" s="25" t="n"/>
      <c r="AE6940" s="25" t="n"/>
      <c r="AG6940" s="25" t="n"/>
      <c r="AH6940" s="25" t="n"/>
      <c r="AI6940" s="394" t="n"/>
      <c r="AM6940" s="48" t="n"/>
      <c r="AN6940" s="48" t="n"/>
      <c r="AO6940" s="48" t="n"/>
    </row>
    <row r="6941">
      <c r="M6941" s="25" t="n"/>
      <c r="Q6941" s="25" t="n"/>
      <c r="U6941" s="194" t="n"/>
      <c r="AA6941" s="25" t="n"/>
      <c r="AB6941" s="25" t="n"/>
      <c r="AC6941" s="195" t="n"/>
      <c r="AD6941" s="25" t="n"/>
      <c r="AE6941" s="25" t="n"/>
      <c r="AG6941" s="25" t="n"/>
      <c r="AH6941" s="25" t="n"/>
      <c r="AI6941" s="394" t="n"/>
      <c r="AM6941" s="48" t="n"/>
      <c r="AN6941" s="48" t="n"/>
      <c r="AO6941" s="48" t="n"/>
    </row>
    <row r="6942">
      <c r="M6942" s="25" t="n"/>
      <c r="Q6942" s="25" t="n"/>
      <c r="U6942" s="194" t="n"/>
      <c r="AA6942" s="25" t="n"/>
      <c r="AB6942" s="25" t="n"/>
      <c r="AC6942" s="195" t="n"/>
      <c r="AD6942" s="25" t="n"/>
      <c r="AE6942" s="25" t="n"/>
      <c r="AG6942" s="25" t="n"/>
      <c r="AH6942" s="25" t="n"/>
      <c r="AI6942" s="394" t="n"/>
      <c r="AM6942" s="48" t="n"/>
      <c r="AN6942" s="48" t="n"/>
      <c r="AO6942" s="48" t="n"/>
    </row>
    <row r="6943">
      <c r="M6943" s="25" t="n"/>
      <c r="Q6943" s="25" t="n"/>
      <c r="U6943" s="194" t="n"/>
      <c r="AA6943" s="25" t="n"/>
      <c r="AB6943" s="25" t="n"/>
      <c r="AC6943" s="195" t="n"/>
      <c r="AD6943" s="25" t="n"/>
      <c r="AE6943" s="25" t="n"/>
      <c r="AG6943" s="25" t="n"/>
      <c r="AH6943" s="25" t="n"/>
      <c r="AI6943" s="394" t="n"/>
      <c r="AM6943" s="48" t="n"/>
      <c r="AN6943" s="48" t="n"/>
      <c r="AO6943" s="48" t="n"/>
    </row>
    <row r="6944">
      <c r="M6944" s="25" t="n"/>
      <c r="Q6944" s="25" t="n"/>
      <c r="U6944" s="194" t="n"/>
      <c r="AA6944" s="25" t="n"/>
      <c r="AB6944" s="25" t="n"/>
      <c r="AC6944" s="195" t="n"/>
      <c r="AD6944" s="25" t="n"/>
      <c r="AE6944" s="25" t="n"/>
      <c r="AG6944" s="25" t="n"/>
      <c r="AH6944" s="25" t="n"/>
      <c r="AI6944" s="394" t="n"/>
      <c r="AM6944" s="48" t="n"/>
      <c r="AN6944" s="48" t="n"/>
      <c r="AO6944" s="48" t="n"/>
    </row>
    <row r="6945">
      <c r="M6945" s="25" t="n"/>
      <c r="Q6945" s="25" t="n"/>
      <c r="U6945" s="194" t="n"/>
      <c r="AA6945" s="25" t="n"/>
      <c r="AB6945" s="25" t="n"/>
      <c r="AC6945" s="195" t="n"/>
      <c r="AD6945" s="25" t="n"/>
      <c r="AE6945" s="25" t="n"/>
      <c r="AG6945" s="25" t="n"/>
      <c r="AH6945" s="25" t="n"/>
      <c r="AI6945" s="394" t="n"/>
      <c r="AM6945" s="48" t="n"/>
      <c r="AN6945" s="48" t="n"/>
      <c r="AO6945" s="48" t="n"/>
    </row>
    <row r="6946">
      <c r="M6946" s="25" t="n"/>
      <c r="Q6946" s="25" t="n"/>
      <c r="U6946" s="194" t="n"/>
      <c r="AA6946" s="25" t="n"/>
      <c r="AB6946" s="25" t="n"/>
      <c r="AC6946" s="195" t="n"/>
      <c r="AD6946" s="25" t="n"/>
      <c r="AE6946" s="25" t="n"/>
      <c r="AG6946" s="25" t="n"/>
      <c r="AH6946" s="25" t="n"/>
      <c r="AI6946" s="394" t="n"/>
      <c r="AM6946" s="48" t="n"/>
      <c r="AN6946" s="48" t="n"/>
      <c r="AO6946" s="48" t="n"/>
    </row>
    <row r="6947">
      <c r="M6947" s="25" t="n"/>
      <c r="Q6947" s="25" t="n"/>
      <c r="U6947" s="194" t="n"/>
      <c r="AA6947" s="25" t="n"/>
      <c r="AB6947" s="25" t="n"/>
      <c r="AC6947" s="195" t="n"/>
      <c r="AD6947" s="25" t="n"/>
      <c r="AE6947" s="25" t="n"/>
      <c r="AG6947" s="25" t="n"/>
      <c r="AH6947" s="25" t="n"/>
      <c r="AI6947" s="394" t="n"/>
      <c r="AM6947" s="48" t="n"/>
      <c r="AN6947" s="48" t="n"/>
      <c r="AO6947" s="48" t="n"/>
    </row>
    <row r="6948">
      <c r="M6948" s="25" t="n"/>
      <c r="Q6948" s="25" t="n"/>
      <c r="U6948" s="194" t="n"/>
      <c r="AA6948" s="25" t="n"/>
      <c r="AB6948" s="25" t="n"/>
      <c r="AC6948" s="195" t="n"/>
      <c r="AD6948" s="25" t="n"/>
      <c r="AE6948" s="25" t="n"/>
      <c r="AG6948" s="25" t="n"/>
      <c r="AH6948" s="25" t="n"/>
      <c r="AI6948" s="394" t="n"/>
      <c r="AM6948" s="48" t="n"/>
      <c r="AN6948" s="48" t="n"/>
      <c r="AO6948" s="48" t="n"/>
    </row>
    <row r="6949">
      <c r="M6949" s="25" t="n"/>
      <c r="Q6949" s="25" t="n"/>
      <c r="U6949" s="194" t="n"/>
      <c r="AA6949" s="25" t="n"/>
      <c r="AB6949" s="25" t="n"/>
      <c r="AC6949" s="195" t="n"/>
      <c r="AD6949" s="25" t="n"/>
      <c r="AE6949" s="25" t="n"/>
      <c r="AG6949" s="25" t="n"/>
      <c r="AH6949" s="25" t="n"/>
      <c r="AI6949" s="394" t="n"/>
      <c r="AM6949" s="48" t="n"/>
      <c r="AN6949" s="48" t="n"/>
      <c r="AO6949" s="48" t="n"/>
    </row>
    <row r="6950">
      <c r="M6950" s="25" t="n"/>
      <c r="Q6950" s="25" t="n"/>
      <c r="U6950" s="194" t="n"/>
      <c r="AA6950" s="25" t="n"/>
      <c r="AB6950" s="25" t="n"/>
      <c r="AC6950" s="195" t="n"/>
      <c r="AD6950" s="25" t="n"/>
      <c r="AE6950" s="25" t="n"/>
      <c r="AG6950" s="25" t="n"/>
      <c r="AH6950" s="25" t="n"/>
      <c r="AI6950" s="394" t="n"/>
      <c r="AM6950" s="48" t="n"/>
      <c r="AN6950" s="48" t="n"/>
      <c r="AO6950" s="48" t="n"/>
    </row>
    <row r="6951">
      <c r="M6951" s="25" t="n"/>
      <c r="Q6951" s="25" t="n"/>
      <c r="U6951" s="194" t="n"/>
      <c r="AA6951" s="25" t="n"/>
      <c r="AB6951" s="25" t="n"/>
      <c r="AC6951" s="195" t="n"/>
      <c r="AD6951" s="25" t="n"/>
      <c r="AE6951" s="25" t="n"/>
      <c r="AG6951" s="25" t="n"/>
      <c r="AH6951" s="25" t="n"/>
      <c r="AI6951" s="394" t="n"/>
      <c r="AM6951" s="48" t="n"/>
      <c r="AN6951" s="48" t="n"/>
      <c r="AO6951" s="48" t="n"/>
    </row>
    <row r="6952">
      <c r="M6952" s="25" t="n"/>
      <c r="Q6952" s="25" t="n"/>
      <c r="U6952" s="194" t="n"/>
      <c r="AA6952" s="25" t="n"/>
      <c r="AB6952" s="25" t="n"/>
      <c r="AC6952" s="195" t="n"/>
      <c r="AD6952" s="25" t="n"/>
      <c r="AE6952" s="25" t="n"/>
      <c r="AG6952" s="25" t="n"/>
      <c r="AH6952" s="25" t="n"/>
      <c r="AI6952" s="394" t="n"/>
      <c r="AM6952" s="48" t="n"/>
      <c r="AN6952" s="48" t="n"/>
      <c r="AO6952" s="48" t="n"/>
    </row>
    <row r="6953">
      <c r="M6953" s="25" t="n"/>
      <c r="Q6953" s="25" t="n"/>
      <c r="U6953" s="194" t="n"/>
      <c r="AA6953" s="25" t="n"/>
      <c r="AB6953" s="25" t="n"/>
      <c r="AC6953" s="195" t="n"/>
      <c r="AD6953" s="25" t="n"/>
      <c r="AE6953" s="25" t="n"/>
      <c r="AG6953" s="25" t="n"/>
      <c r="AH6953" s="25" t="n"/>
      <c r="AI6953" s="394" t="n"/>
      <c r="AM6953" s="48" t="n"/>
      <c r="AN6953" s="48" t="n"/>
      <c r="AO6953" s="48" t="n"/>
    </row>
    <row r="6954">
      <c r="M6954" s="25" t="n"/>
      <c r="Q6954" s="25" t="n"/>
      <c r="U6954" s="194" t="n"/>
      <c r="AA6954" s="25" t="n"/>
      <c r="AB6954" s="25" t="n"/>
      <c r="AC6954" s="195" t="n"/>
      <c r="AD6954" s="25" t="n"/>
      <c r="AE6954" s="25" t="n"/>
      <c r="AG6954" s="25" t="n"/>
      <c r="AH6954" s="25" t="n"/>
      <c r="AI6954" s="394" t="n"/>
      <c r="AM6954" s="48" t="n"/>
      <c r="AN6954" s="48" t="n"/>
      <c r="AO6954" s="48" t="n"/>
    </row>
    <row r="6955">
      <c r="M6955" s="25" t="n"/>
      <c r="Q6955" s="25" t="n"/>
      <c r="U6955" s="194" t="n"/>
      <c r="AA6955" s="25" t="n"/>
      <c r="AB6955" s="25" t="n"/>
      <c r="AC6955" s="195" t="n"/>
      <c r="AD6955" s="25" t="n"/>
      <c r="AE6955" s="25" t="n"/>
      <c r="AG6955" s="25" t="n"/>
      <c r="AH6955" s="25" t="n"/>
      <c r="AI6955" s="394" t="n"/>
      <c r="AM6955" s="48" t="n"/>
      <c r="AN6955" s="48" t="n"/>
      <c r="AO6955" s="48" t="n"/>
    </row>
    <row r="6956">
      <c r="M6956" s="25" t="n"/>
      <c r="Q6956" s="25" t="n"/>
      <c r="U6956" s="194" t="n"/>
      <c r="AA6956" s="25" t="n"/>
      <c r="AB6956" s="25" t="n"/>
      <c r="AC6956" s="195" t="n"/>
      <c r="AD6956" s="25" t="n"/>
      <c r="AE6956" s="25" t="n"/>
      <c r="AG6956" s="25" t="n"/>
      <c r="AH6956" s="25" t="n"/>
      <c r="AI6956" s="394" t="n"/>
      <c r="AM6956" s="48" t="n"/>
      <c r="AN6956" s="48" t="n"/>
      <c r="AO6956" s="48" t="n"/>
    </row>
    <row r="6957">
      <c r="M6957" s="25" t="n"/>
      <c r="Q6957" s="25" t="n"/>
      <c r="U6957" s="194" t="n"/>
      <c r="AA6957" s="25" t="n"/>
      <c r="AB6957" s="25" t="n"/>
      <c r="AC6957" s="195" t="n"/>
      <c r="AD6957" s="25" t="n"/>
      <c r="AE6957" s="25" t="n"/>
      <c r="AG6957" s="25" t="n"/>
      <c r="AH6957" s="25" t="n"/>
      <c r="AI6957" s="394" t="n"/>
      <c r="AM6957" s="48" t="n"/>
      <c r="AN6957" s="48" t="n"/>
      <c r="AO6957" s="48" t="n"/>
    </row>
    <row r="6958">
      <c r="M6958" s="25" t="n"/>
      <c r="Q6958" s="25" t="n"/>
      <c r="U6958" s="194" t="n"/>
      <c r="AA6958" s="25" t="n"/>
      <c r="AB6958" s="25" t="n"/>
      <c r="AC6958" s="195" t="n"/>
      <c r="AD6958" s="25" t="n"/>
      <c r="AE6958" s="25" t="n"/>
      <c r="AG6958" s="25" t="n"/>
      <c r="AH6958" s="25" t="n"/>
      <c r="AI6958" s="394" t="n"/>
      <c r="AM6958" s="48" t="n"/>
      <c r="AN6958" s="48" t="n"/>
      <c r="AO6958" s="48" t="n"/>
    </row>
    <row r="6959">
      <c r="M6959" s="25" t="n"/>
      <c r="Q6959" s="25" t="n"/>
      <c r="U6959" s="194" t="n"/>
      <c r="AA6959" s="25" t="n"/>
      <c r="AB6959" s="25" t="n"/>
      <c r="AC6959" s="195" t="n"/>
      <c r="AD6959" s="25" t="n"/>
      <c r="AE6959" s="25" t="n"/>
      <c r="AG6959" s="25" t="n"/>
      <c r="AH6959" s="25" t="n"/>
      <c r="AI6959" s="394" t="n"/>
      <c r="AM6959" s="48" t="n"/>
      <c r="AN6959" s="48" t="n"/>
      <c r="AO6959" s="48" t="n"/>
    </row>
    <row r="6960">
      <c r="M6960" s="25" t="n"/>
      <c r="Q6960" s="25" t="n"/>
      <c r="U6960" s="194" t="n"/>
      <c r="AA6960" s="25" t="n"/>
      <c r="AB6960" s="25" t="n"/>
      <c r="AC6960" s="195" t="n"/>
      <c r="AD6960" s="25" t="n"/>
      <c r="AE6960" s="25" t="n"/>
      <c r="AG6960" s="25" t="n"/>
      <c r="AH6960" s="25" t="n"/>
      <c r="AI6960" s="394" t="n"/>
      <c r="AM6960" s="48" t="n"/>
      <c r="AN6960" s="48" t="n"/>
      <c r="AO6960" s="48" t="n"/>
    </row>
    <row r="6961">
      <c r="M6961" s="25" t="n"/>
      <c r="Q6961" s="25" t="n"/>
      <c r="U6961" s="194" t="n"/>
      <c r="AA6961" s="25" t="n"/>
      <c r="AB6961" s="25" t="n"/>
      <c r="AC6961" s="195" t="n"/>
      <c r="AD6961" s="25" t="n"/>
      <c r="AE6961" s="25" t="n"/>
      <c r="AG6961" s="25" t="n"/>
      <c r="AH6961" s="25" t="n"/>
      <c r="AI6961" s="394" t="n"/>
      <c r="AM6961" s="48" t="n"/>
      <c r="AN6961" s="48" t="n"/>
      <c r="AO6961" s="48" t="n"/>
    </row>
    <row r="6962">
      <c r="M6962" s="25" t="n"/>
      <c r="Q6962" s="25" t="n"/>
      <c r="U6962" s="194" t="n"/>
      <c r="AA6962" s="25" t="n"/>
      <c r="AB6962" s="25" t="n"/>
      <c r="AC6962" s="195" t="n"/>
      <c r="AD6962" s="25" t="n"/>
      <c r="AE6962" s="25" t="n"/>
      <c r="AG6962" s="25" t="n"/>
      <c r="AH6962" s="25" t="n"/>
      <c r="AI6962" s="394" t="n"/>
      <c r="AM6962" s="48" t="n"/>
      <c r="AN6962" s="48" t="n"/>
      <c r="AO6962" s="48" t="n"/>
    </row>
    <row r="6963">
      <c r="M6963" s="25" t="n"/>
      <c r="Q6963" s="25" t="n"/>
      <c r="U6963" s="194" t="n"/>
      <c r="AA6963" s="25" t="n"/>
      <c r="AB6963" s="25" t="n"/>
      <c r="AC6963" s="195" t="n"/>
      <c r="AD6963" s="25" t="n"/>
      <c r="AE6963" s="25" t="n"/>
      <c r="AG6963" s="25" t="n"/>
      <c r="AH6963" s="25" t="n"/>
      <c r="AI6963" s="394" t="n"/>
      <c r="AM6963" s="48" t="n"/>
      <c r="AN6963" s="48" t="n"/>
      <c r="AO6963" s="48" t="n"/>
    </row>
    <row r="6964">
      <c r="M6964" s="25" t="n"/>
      <c r="Q6964" s="25" t="n"/>
      <c r="U6964" s="194" t="n"/>
      <c r="AA6964" s="25" t="n"/>
      <c r="AB6964" s="25" t="n"/>
      <c r="AC6964" s="195" t="n"/>
      <c r="AD6964" s="25" t="n"/>
      <c r="AE6964" s="25" t="n"/>
      <c r="AG6964" s="25" t="n"/>
      <c r="AH6964" s="25" t="n"/>
      <c r="AI6964" s="394" t="n"/>
      <c r="AM6964" s="48" t="n"/>
      <c r="AN6964" s="48" t="n"/>
      <c r="AO6964" s="48" t="n"/>
    </row>
    <row r="6965">
      <c r="M6965" s="25" t="n"/>
      <c r="Q6965" s="25" t="n"/>
      <c r="U6965" s="194" t="n"/>
      <c r="AA6965" s="25" t="n"/>
      <c r="AB6965" s="25" t="n"/>
      <c r="AC6965" s="195" t="n"/>
      <c r="AD6965" s="25" t="n"/>
      <c r="AE6965" s="25" t="n"/>
      <c r="AG6965" s="25" t="n"/>
      <c r="AH6965" s="25" t="n"/>
      <c r="AI6965" s="394" t="n"/>
      <c r="AM6965" s="48" t="n"/>
      <c r="AN6965" s="48" t="n"/>
      <c r="AO6965" s="48" t="n"/>
    </row>
    <row r="6966">
      <c r="M6966" s="25" t="n"/>
      <c r="Q6966" s="25" t="n"/>
      <c r="U6966" s="194" t="n"/>
      <c r="AA6966" s="25" t="n"/>
      <c r="AB6966" s="25" t="n"/>
      <c r="AC6966" s="195" t="n"/>
      <c r="AD6966" s="25" t="n"/>
      <c r="AE6966" s="25" t="n"/>
      <c r="AG6966" s="25" t="n"/>
      <c r="AH6966" s="25" t="n"/>
      <c r="AI6966" s="394" t="n"/>
      <c r="AM6966" s="48" t="n"/>
      <c r="AN6966" s="48" t="n"/>
      <c r="AO6966" s="48" t="n"/>
    </row>
    <row r="6967">
      <c r="M6967" s="25" t="n"/>
      <c r="Q6967" s="25" t="n"/>
      <c r="U6967" s="194" t="n"/>
      <c r="AA6967" s="25" t="n"/>
      <c r="AB6967" s="25" t="n"/>
      <c r="AC6967" s="195" t="n"/>
      <c r="AD6967" s="25" t="n"/>
      <c r="AE6967" s="25" t="n"/>
      <c r="AG6967" s="25" t="n"/>
      <c r="AH6967" s="25" t="n"/>
      <c r="AI6967" s="394" t="n"/>
      <c r="AM6967" s="48" t="n"/>
      <c r="AN6967" s="48" t="n"/>
      <c r="AO6967" s="48" t="n"/>
    </row>
    <row r="6968">
      <c r="M6968" s="25" t="n"/>
      <c r="Q6968" s="25" t="n"/>
      <c r="U6968" s="194" t="n"/>
      <c r="AA6968" s="25" t="n"/>
      <c r="AB6968" s="25" t="n"/>
      <c r="AC6968" s="195" t="n"/>
      <c r="AD6968" s="25" t="n"/>
      <c r="AE6968" s="25" t="n"/>
      <c r="AG6968" s="25" t="n"/>
      <c r="AH6968" s="25" t="n"/>
      <c r="AI6968" s="394" t="n"/>
      <c r="AM6968" s="48" t="n"/>
      <c r="AN6968" s="48" t="n"/>
      <c r="AO6968" s="48" t="n"/>
    </row>
    <row r="6969">
      <c r="M6969" s="25" t="n"/>
      <c r="Q6969" s="25" t="n"/>
      <c r="U6969" s="194" t="n"/>
      <c r="AA6969" s="25" t="n"/>
      <c r="AB6969" s="25" t="n"/>
      <c r="AC6969" s="195" t="n"/>
      <c r="AD6969" s="25" t="n"/>
      <c r="AE6969" s="25" t="n"/>
      <c r="AG6969" s="25" t="n"/>
      <c r="AH6969" s="25" t="n"/>
      <c r="AI6969" s="394" t="n"/>
      <c r="AM6969" s="48" t="n"/>
      <c r="AN6969" s="48" t="n"/>
      <c r="AO6969" s="48" t="n"/>
    </row>
    <row r="6970">
      <c r="M6970" s="25" t="n"/>
      <c r="Q6970" s="25" t="n"/>
      <c r="U6970" s="194" t="n"/>
      <c r="AA6970" s="25" t="n"/>
      <c r="AB6970" s="25" t="n"/>
      <c r="AC6970" s="195" t="n"/>
      <c r="AD6970" s="25" t="n"/>
      <c r="AE6970" s="25" t="n"/>
      <c r="AG6970" s="25" t="n"/>
      <c r="AH6970" s="25" t="n"/>
      <c r="AI6970" s="394" t="n"/>
      <c r="AM6970" s="48" t="n"/>
      <c r="AN6970" s="48" t="n"/>
      <c r="AO6970" s="48" t="n"/>
    </row>
    <row r="6971">
      <c r="M6971" s="25" t="n"/>
      <c r="Q6971" s="25" t="n"/>
      <c r="U6971" s="194" t="n"/>
      <c r="AA6971" s="25" t="n"/>
      <c r="AB6971" s="25" t="n"/>
      <c r="AC6971" s="195" t="n"/>
      <c r="AD6971" s="25" t="n"/>
      <c r="AE6971" s="25" t="n"/>
      <c r="AG6971" s="25" t="n"/>
      <c r="AH6971" s="25" t="n"/>
      <c r="AI6971" s="394" t="n"/>
      <c r="AM6971" s="48" t="n"/>
      <c r="AN6971" s="48" t="n"/>
      <c r="AO6971" s="48" t="n"/>
    </row>
    <row r="6972">
      <c r="M6972" s="25" t="n"/>
      <c r="Q6972" s="25" t="n"/>
      <c r="U6972" s="194" t="n"/>
      <c r="AA6972" s="25" t="n"/>
      <c r="AB6972" s="25" t="n"/>
      <c r="AC6972" s="195" t="n"/>
      <c r="AD6972" s="25" t="n"/>
      <c r="AE6972" s="25" t="n"/>
      <c r="AG6972" s="25" t="n"/>
      <c r="AH6972" s="25" t="n"/>
      <c r="AI6972" s="394" t="n"/>
      <c r="AM6972" s="48" t="n"/>
      <c r="AN6972" s="48" t="n"/>
      <c r="AO6972" s="48" t="n"/>
    </row>
    <row r="6973">
      <c r="M6973" s="25" t="n"/>
      <c r="Q6973" s="25" t="n"/>
      <c r="U6973" s="194" t="n"/>
      <c r="AA6973" s="25" t="n"/>
      <c r="AB6973" s="25" t="n"/>
      <c r="AC6973" s="195" t="n"/>
      <c r="AD6973" s="25" t="n"/>
      <c r="AE6973" s="25" t="n"/>
      <c r="AG6973" s="25" t="n"/>
      <c r="AH6973" s="25" t="n"/>
      <c r="AI6973" s="394" t="n"/>
      <c r="AM6973" s="48" t="n"/>
      <c r="AN6973" s="48" t="n"/>
      <c r="AO6973" s="48" t="n"/>
    </row>
    <row r="6974">
      <c r="M6974" s="25" t="n"/>
      <c r="Q6974" s="25" t="n"/>
      <c r="U6974" s="194" t="n"/>
      <c r="AA6974" s="25" t="n"/>
      <c r="AB6974" s="25" t="n"/>
      <c r="AC6974" s="195" t="n"/>
      <c r="AD6974" s="25" t="n"/>
      <c r="AE6974" s="25" t="n"/>
      <c r="AG6974" s="25" t="n"/>
      <c r="AH6974" s="25" t="n"/>
      <c r="AI6974" s="394" t="n"/>
      <c r="AM6974" s="48" t="n"/>
      <c r="AN6974" s="48" t="n"/>
      <c r="AO6974" s="48" t="n"/>
    </row>
    <row r="6975">
      <c r="M6975" s="25" t="n"/>
      <c r="Q6975" s="25" t="n"/>
      <c r="U6975" s="194" t="n"/>
      <c r="AA6975" s="25" t="n"/>
      <c r="AB6975" s="25" t="n"/>
      <c r="AC6975" s="195" t="n"/>
      <c r="AD6975" s="25" t="n"/>
      <c r="AE6975" s="25" t="n"/>
      <c r="AG6975" s="25" t="n"/>
      <c r="AH6975" s="25" t="n"/>
      <c r="AI6975" s="394" t="n"/>
      <c r="AM6975" s="48" t="n"/>
      <c r="AN6975" s="48" t="n"/>
      <c r="AO6975" s="48" t="n"/>
    </row>
    <row r="6976">
      <c r="M6976" s="25" t="n"/>
      <c r="Q6976" s="25" t="n"/>
      <c r="U6976" s="194" t="n"/>
      <c r="AA6976" s="25" t="n"/>
      <c r="AB6976" s="25" t="n"/>
      <c r="AC6976" s="195" t="n"/>
      <c r="AD6976" s="25" t="n"/>
      <c r="AE6976" s="25" t="n"/>
      <c r="AG6976" s="25" t="n"/>
      <c r="AH6976" s="25" t="n"/>
      <c r="AI6976" s="394" t="n"/>
      <c r="AM6976" s="48" t="n"/>
      <c r="AN6976" s="48" t="n"/>
      <c r="AO6976" s="48" t="n"/>
    </row>
    <row r="6977">
      <c r="M6977" s="25" t="n"/>
      <c r="Q6977" s="25" t="n"/>
      <c r="U6977" s="194" t="n"/>
      <c r="AA6977" s="25" t="n"/>
      <c r="AB6977" s="25" t="n"/>
      <c r="AC6977" s="195" t="n"/>
      <c r="AD6977" s="25" t="n"/>
      <c r="AE6977" s="25" t="n"/>
      <c r="AG6977" s="25" t="n"/>
      <c r="AH6977" s="25" t="n"/>
      <c r="AI6977" s="394" t="n"/>
      <c r="AM6977" s="48" t="n"/>
      <c r="AN6977" s="48" t="n"/>
      <c r="AO6977" s="48" t="n"/>
    </row>
    <row r="6978">
      <c r="M6978" s="25" t="n"/>
      <c r="Q6978" s="25" t="n"/>
      <c r="U6978" s="194" t="n"/>
      <c r="AA6978" s="25" t="n"/>
      <c r="AB6978" s="25" t="n"/>
      <c r="AC6978" s="195" t="n"/>
      <c r="AD6978" s="25" t="n"/>
      <c r="AE6978" s="25" t="n"/>
      <c r="AG6978" s="25" t="n"/>
      <c r="AH6978" s="25" t="n"/>
      <c r="AI6978" s="394" t="n"/>
      <c r="AM6978" s="48" t="n"/>
      <c r="AN6978" s="48" t="n"/>
      <c r="AO6978" s="48" t="n"/>
    </row>
    <row r="6979">
      <c r="M6979" s="25" t="n"/>
      <c r="Q6979" s="25" t="n"/>
      <c r="U6979" s="194" t="n"/>
      <c r="AA6979" s="25" t="n"/>
      <c r="AB6979" s="25" t="n"/>
      <c r="AC6979" s="195" t="n"/>
      <c r="AD6979" s="25" t="n"/>
      <c r="AE6979" s="25" t="n"/>
      <c r="AG6979" s="25" t="n"/>
      <c r="AH6979" s="25" t="n"/>
      <c r="AI6979" s="394" t="n"/>
      <c r="AM6979" s="48" t="n"/>
      <c r="AN6979" s="48" t="n"/>
      <c r="AO6979" s="48" t="n"/>
    </row>
    <row r="6980">
      <c r="M6980" s="25" t="n"/>
      <c r="Q6980" s="25" t="n"/>
      <c r="U6980" s="194" t="n"/>
      <c r="AA6980" s="25" t="n"/>
      <c r="AB6980" s="25" t="n"/>
      <c r="AC6980" s="195" t="n"/>
      <c r="AD6980" s="25" t="n"/>
      <c r="AE6980" s="25" t="n"/>
      <c r="AG6980" s="25" t="n"/>
      <c r="AH6980" s="25" t="n"/>
      <c r="AI6980" s="394" t="n"/>
      <c r="AM6980" s="48" t="n"/>
      <c r="AN6980" s="48" t="n"/>
      <c r="AO6980" s="48" t="n"/>
    </row>
    <row r="6981">
      <c r="M6981" s="25" t="n"/>
      <c r="Q6981" s="25" t="n"/>
      <c r="U6981" s="194" t="n"/>
      <c r="AA6981" s="25" t="n"/>
      <c r="AB6981" s="25" t="n"/>
      <c r="AC6981" s="195" t="n"/>
      <c r="AD6981" s="25" t="n"/>
      <c r="AE6981" s="25" t="n"/>
      <c r="AG6981" s="25" t="n"/>
      <c r="AH6981" s="25" t="n"/>
      <c r="AI6981" s="394" t="n"/>
      <c r="AM6981" s="48" t="n"/>
      <c r="AN6981" s="48" t="n"/>
      <c r="AO6981" s="48" t="n"/>
    </row>
    <row r="6982">
      <c r="M6982" s="25" t="n"/>
      <c r="Q6982" s="25" t="n"/>
      <c r="U6982" s="194" t="n"/>
      <c r="AA6982" s="25" t="n"/>
      <c r="AB6982" s="25" t="n"/>
      <c r="AC6982" s="195" t="n"/>
      <c r="AD6982" s="25" t="n"/>
      <c r="AE6982" s="25" t="n"/>
      <c r="AG6982" s="25" t="n"/>
      <c r="AH6982" s="25" t="n"/>
      <c r="AI6982" s="394" t="n"/>
      <c r="AM6982" s="48" t="n"/>
      <c r="AN6982" s="48" t="n"/>
      <c r="AO6982" s="48" t="n"/>
    </row>
    <row r="6983">
      <c r="M6983" s="25" t="n"/>
      <c r="Q6983" s="25" t="n"/>
      <c r="U6983" s="194" t="n"/>
      <c r="AA6983" s="25" t="n"/>
      <c r="AB6983" s="25" t="n"/>
      <c r="AC6983" s="195" t="n"/>
      <c r="AD6983" s="25" t="n"/>
      <c r="AE6983" s="25" t="n"/>
      <c r="AG6983" s="25" t="n"/>
      <c r="AH6983" s="25" t="n"/>
      <c r="AI6983" s="394" t="n"/>
      <c r="AM6983" s="48" t="n"/>
      <c r="AN6983" s="48" t="n"/>
      <c r="AO6983" s="48" t="n"/>
    </row>
    <row r="6984">
      <c r="M6984" s="25" t="n"/>
      <c r="Q6984" s="25" t="n"/>
      <c r="U6984" s="194" t="n"/>
      <c r="AA6984" s="25" t="n"/>
      <c r="AB6984" s="25" t="n"/>
      <c r="AC6984" s="195" t="n"/>
      <c r="AD6984" s="25" t="n"/>
      <c r="AE6984" s="25" t="n"/>
      <c r="AG6984" s="25" t="n"/>
      <c r="AH6984" s="25" t="n"/>
      <c r="AI6984" s="394" t="n"/>
      <c r="AM6984" s="48" t="n"/>
      <c r="AN6984" s="48" t="n"/>
      <c r="AO6984" s="48" t="n"/>
    </row>
    <row r="6985">
      <c r="M6985" s="25" t="n"/>
      <c r="Q6985" s="25" t="n"/>
      <c r="U6985" s="194" t="n"/>
      <c r="AA6985" s="25" t="n"/>
      <c r="AB6985" s="25" t="n"/>
      <c r="AC6985" s="195" t="n"/>
      <c r="AD6985" s="25" t="n"/>
      <c r="AE6985" s="25" t="n"/>
      <c r="AG6985" s="25" t="n"/>
      <c r="AH6985" s="25" t="n"/>
      <c r="AI6985" s="394" t="n"/>
      <c r="AM6985" s="48" t="n"/>
      <c r="AN6985" s="48" t="n"/>
      <c r="AO6985" s="48" t="n"/>
    </row>
    <row r="6986">
      <c r="M6986" s="25" t="n"/>
      <c r="Q6986" s="25" t="n"/>
      <c r="U6986" s="194" t="n"/>
      <c r="AA6986" s="25" t="n"/>
      <c r="AB6986" s="25" t="n"/>
      <c r="AC6986" s="195" t="n"/>
      <c r="AD6986" s="25" t="n"/>
      <c r="AE6986" s="25" t="n"/>
      <c r="AG6986" s="25" t="n"/>
      <c r="AH6986" s="25" t="n"/>
      <c r="AI6986" s="394" t="n"/>
      <c r="AM6986" s="48" t="n"/>
      <c r="AN6986" s="48" t="n"/>
      <c r="AO6986" s="48" t="n"/>
    </row>
    <row r="6987">
      <c r="M6987" s="25" t="n"/>
      <c r="Q6987" s="25" t="n"/>
      <c r="U6987" s="194" t="n"/>
      <c r="AA6987" s="25" t="n"/>
      <c r="AB6987" s="25" t="n"/>
      <c r="AC6987" s="195" t="n"/>
      <c r="AD6987" s="25" t="n"/>
      <c r="AE6987" s="25" t="n"/>
      <c r="AG6987" s="25" t="n"/>
      <c r="AH6987" s="25" t="n"/>
      <c r="AI6987" s="394" t="n"/>
      <c r="AM6987" s="48" t="n"/>
      <c r="AN6987" s="48" t="n"/>
      <c r="AO6987" s="48" t="n"/>
    </row>
    <row r="6988">
      <c r="M6988" s="25" t="n"/>
      <c r="Q6988" s="25" t="n"/>
      <c r="U6988" s="194" t="n"/>
      <c r="AA6988" s="25" t="n"/>
      <c r="AB6988" s="25" t="n"/>
      <c r="AC6988" s="195" t="n"/>
      <c r="AD6988" s="25" t="n"/>
      <c r="AE6988" s="25" t="n"/>
      <c r="AG6988" s="25" t="n"/>
      <c r="AH6988" s="25" t="n"/>
      <c r="AI6988" s="394" t="n"/>
      <c r="AM6988" s="48" t="n"/>
      <c r="AN6988" s="48" t="n"/>
      <c r="AO6988" s="48" t="n"/>
    </row>
    <row r="6989">
      <c r="M6989" s="25" t="n"/>
      <c r="Q6989" s="25" t="n"/>
      <c r="U6989" s="194" t="n"/>
      <c r="AA6989" s="25" t="n"/>
      <c r="AB6989" s="25" t="n"/>
      <c r="AC6989" s="195" t="n"/>
      <c r="AD6989" s="25" t="n"/>
      <c r="AE6989" s="25" t="n"/>
      <c r="AG6989" s="25" t="n"/>
      <c r="AH6989" s="25" t="n"/>
      <c r="AI6989" s="394" t="n"/>
      <c r="AM6989" s="48" t="n"/>
      <c r="AN6989" s="48" t="n"/>
      <c r="AO6989" s="48" t="n"/>
    </row>
    <row r="6990">
      <c r="M6990" s="25" t="n"/>
      <c r="Q6990" s="25" t="n"/>
      <c r="U6990" s="194" t="n"/>
      <c r="AA6990" s="25" t="n"/>
      <c r="AB6990" s="25" t="n"/>
      <c r="AC6990" s="195" t="n"/>
      <c r="AD6990" s="25" t="n"/>
      <c r="AE6990" s="25" t="n"/>
      <c r="AG6990" s="25" t="n"/>
      <c r="AH6990" s="25" t="n"/>
      <c r="AI6990" s="394" t="n"/>
      <c r="AM6990" s="48" t="n"/>
      <c r="AN6990" s="48" t="n"/>
      <c r="AO6990" s="48" t="n"/>
    </row>
    <row r="6991">
      <c r="M6991" s="25" t="n"/>
      <c r="Q6991" s="25" t="n"/>
      <c r="U6991" s="194" t="n"/>
      <c r="AA6991" s="25" t="n"/>
      <c r="AB6991" s="25" t="n"/>
      <c r="AC6991" s="195" t="n"/>
      <c r="AD6991" s="25" t="n"/>
      <c r="AE6991" s="25" t="n"/>
      <c r="AG6991" s="25" t="n"/>
      <c r="AH6991" s="25" t="n"/>
      <c r="AI6991" s="394" t="n"/>
      <c r="AM6991" s="48" t="n"/>
      <c r="AN6991" s="48" t="n"/>
      <c r="AO6991" s="48" t="n"/>
    </row>
    <row r="6992">
      <c r="M6992" s="25" t="n"/>
      <c r="Q6992" s="25" t="n"/>
      <c r="U6992" s="194" t="n"/>
      <c r="AA6992" s="25" t="n"/>
      <c r="AB6992" s="25" t="n"/>
      <c r="AC6992" s="195" t="n"/>
      <c r="AD6992" s="25" t="n"/>
      <c r="AE6992" s="25" t="n"/>
      <c r="AG6992" s="25" t="n"/>
      <c r="AH6992" s="25" t="n"/>
      <c r="AI6992" s="394" t="n"/>
      <c r="AM6992" s="48" t="n"/>
      <c r="AN6992" s="48" t="n"/>
      <c r="AO6992" s="48" t="n"/>
    </row>
    <row r="6993">
      <c r="M6993" s="25" t="n"/>
      <c r="Q6993" s="25" t="n"/>
      <c r="U6993" s="194" t="n"/>
      <c r="AA6993" s="25" t="n"/>
      <c r="AB6993" s="25" t="n"/>
      <c r="AC6993" s="195" t="n"/>
      <c r="AD6993" s="25" t="n"/>
      <c r="AE6993" s="25" t="n"/>
      <c r="AG6993" s="25" t="n"/>
      <c r="AH6993" s="25" t="n"/>
      <c r="AI6993" s="394" t="n"/>
      <c r="AM6993" s="48" t="n"/>
      <c r="AN6993" s="48" t="n"/>
      <c r="AO6993" s="48" t="n"/>
    </row>
    <row r="6994">
      <c r="M6994" s="25" t="n"/>
      <c r="Q6994" s="25" t="n"/>
      <c r="U6994" s="194" t="n"/>
      <c r="AA6994" s="25" t="n"/>
      <c r="AB6994" s="25" t="n"/>
      <c r="AC6994" s="195" t="n"/>
      <c r="AD6994" s="25" t="n"/>
      <c r="AE6994" s="25" t="n"/>
      <c r="AG6994" s="25" t="n"/>
      <c r="AH6994" s="25" t="n"/>
      <c r="AI6994" s="394" t="n"/>
      <c r="AM6994" s="48" t="n"/>
      <c r="AN6994" s="48" t="n"/>
      <c r="AO6994" s="48" t="n"/>
    </row>
    <row r="6995">
      <c r="M6995" s="25" t="n"/>
      <c r="Q6995" s="25" t="n"/>
      <c r="U6995" s="194" t="n"/>
      <c r="AA6995" s="25" t="n"/>
      <c r="AB6995" s="25" t="n"/>
      <c r="AC6995" s="195" t="n"/>
      <c r="AD6995" s="25" t="n"/>
      <c r="AE6995" s="25" t="n"/>
      <c r="AG6995" s="25" t="n"/>
      <c r="AH6995" s="25" t="n"/>
      <c r="AI6995" s="394" t="n"/>
      <c r="AM6995" s="48" t="n"/>
      <c r="AN6995" s="48" t="n"/>
      <c r="AO6995" s="48" t="n"/>
    </row>
    <row r="6996">
      <c r="M6996" s="25" t="n"/>
      <c r="Q6996" s="25" t="n"/>
      <c r="U6996" s="194" t="n"/>
      <c r="AA6996" s="25" t="n"/>
      <c r="AB6996" s="25" t="n"/>
      <c r="AC6996" s="195" t="n"/>
      <c r="AD6996" s="25" t="n"/>
      <c r="AE6996" s="25" t="n"/>
      <c r="AG6996" s="25" t="n"/>
      <c r="AH6996" s="25" t="n"/>
      <c r="AI6996" s="394" t="n"/>
      <c r="AM6996" s="48" t="n"/>
      <c r="AN6996" s="48" t="n"/>
      <c r="AO6996" s="48" t="n"/>
    </row>
    <row r="6997">
      <c r="M6997" s="25" t="n"/>
      <c r="Q6997" s="25" t="n"/>
      <c r="U6997" s="194" t="n"/>
      <c r="AA6997" s="25" t="n"/>
      <c r="AB6997" s="25" t="n"/>
      <c r="AC6997" s="195" t="n"/>
      <c r="AD6997" s="25" t="n"/>
      <c r="AE6997" s="25" t="n"/>
      <c r="AG6997" s="25" t="n"/>
      <c r="AH6997" s="25" t="n"/>
      <c r="AI6997" s="394" t="n"/>
      <c r="AM6997" s="48" t="n"/>
      <c r="AN6997" s="48" t="n"/>
      <c r="AO6997" s="48" t="n"/>
    </row>
    <row r="6998">
      <c r="M6998" s="25" t="n"/>
      <c r="Q6998" s="25" t="n"/>
      <c r="U6998" s="194" t="n"/>
      <c r="AA6998" s="25" t="n"/>
      <c r="AB6998" s="25" t="n"/>
      <c r="AC6998" s="195" t="n"/>
      <c r="AD6998" s="25" t="n"/>
      <c r="AE6998" s="25" t="n"/>
      <c r="AG6998" s="25" t="n"/>
      <c r="AH6998" s="25" t="n"/>
      <c r="AI6998" s="394" t="n"/>
      <c r="AM6998" s="48" t="n"/>
      <c r="AN6998" s="48" t="n"/>
      <c r="AO6998" s="48" t="n"/>
    </row>
    <row r="6999">
      <c r="M6999" s="25" t="n"/>
      <c r="Q6999" s="25" t="n"/>
      <c r="U6999" s="194" t="n"/>
      <c r="AA6999" s="25" t="n"/>
      <c r="AB6999" s="25" t="n"/>
      <c r="AC6999" s="195" t="n"/>
      <c r="AD6999" s="25" t="n"/>
      <c r="AE6999" s="25" t="n"/>
      <c r="AG6999" s="25" t="n"/>
      <c r="AH6999" s="25" t="n"/>
      <c r="AI6999" s="394" t="n"/>
      <c r="AM6999" s="48" t="n"/>
      <c r="AN6999" s="48" t="n"/>
      <c r="AO6999" s="48" t="n"/>
    </row>
    <row r="7000">
      <c r="M7000" s="25" t="n"/>
      <c r="Q7000" s="25" t="n"/>
      <c r="U7000" s="194" t="n"/>
      <c r="AA7000" s="25" t="n"/>
      <c r="AB7000" s="25" t="n"/>
      <c r="AC7000" s="195" t="n"/>
      <c r="AD7000" s="25" t="n"/>
      <c r="AE7000" s="25" t="n"/>
      <c r="AG7000" s="25" t="n"/>
      <c r="AH7000" s="25" t="n"/>
      <c r="AI7000" s="394" t="n"/>
      <c r="AM7000" s="48" t="n"/>
      <c r="AN7000" s="48" t="n"/>
      <c r="AO7000" s="48" t="n"/>
    </row>
    <row r="7001">
      <c r="M7001" s="25" t="n"/>
      <c r="Q7001" s="25" t="n"/>
      <c r="U7001" s="194" t="n"/>
      <c r="AA7001" s="25" t="n"/>
      <c r="AB7001" s="25" t="n"/>
      <c r="AC7001" s="195" t="n"/>
      <c r="AD7001" s="25" t="n"/>
      <c r="AE7001" s="25" t="n"/>
      <c r="AG7001" s="25" t="n"/>
      <c r="AH7001" s="25" t="n"/>
      <c r="AI7001" s="394" t="n"/>
      <c r="AM7001" s="48" t="n"/>
      <c r="AN7001" s="48" t="n"/>
      <c r="AO7001" s="48" t="n"/>
    </row>
    <row r="7002">
      <c r="M7002" s="25" t="n"/>
      <c r="Q7002" s="25" t="n"/>
      <c r="U7002" s="194" t="n"/>
      <c r="AA7002" s="25" t="n"/>
      <c r="AB7002" s="25" t="n"/>
      <c r="AC7002" s="195" t="n"/>
      <c r="AD7002" s="25" t="n"/>
      <c r="AE7002" s="25" t="n"/>
      <c r="AG7002" s="25" t="n"/>
      <c r="AH7002" s="25" t="n"/>
      <c r="AI7002" s="394" t="n"/>
      <c r="AM7002" s="48" t="n"/>
      <c r="AN7002" s="48" t="n"/>
      <c r="AO7002" s="48" t="n"/>
    </row>
    <row r="7003">
      <c r="M7003" s="25" t="n"/>
      <c r="Q7003" s="25" t="n"/>
      <c r="U7003" s="194" t="n"/>
      <c r="AA7003" s="25" t="n"/>
      <c r="AB7003" s="25" t="n"/>
      <c r="AC7003" s="195" t="n"/>
      <c r="AD7003" s="25" t="n"/>
      <c r="AE7003" s="25" t="n"/>
      <c r="AG7003" s="25" t="n"/>
      <c r="AH7003" s="25" t="n"/>
      <c r="AI7003" s="394" t="n"/>
      <c r="AM7003" s="48" t="n"/>
      <c r="AN7003" s="48" t="n"/>
      <c r="AO7003" s="48" t="n"/>
    </row>
    <row r="7004">
      <c r="M7004" s="25" t="n"/>
      <c r="Q7004" s="25" t="n"/>
      <c r="U7004" s="194" t="n"/>
      <c r="AA7004" s="25" t="n"/>
      <c r="AB7004" s="25" t="n"/>
      <c r="AC7004" s="195" t="n"/>
      <c r="AD7004" s="25" t="n"/>
      <c r="AE7004" s="25" t="n"/>
      <c r="AG7004" s="25" t="n"/>
      <c r="AH7004" s="25" t="n"/>
      <c r="AI7004" s="394" t="n"/>
      <c r="AM7004" s="48" t="n"/>
      <c r="AN7004" s="48" t="n"/>
      <c r="AO7004" s="48" t="n"/>
    </row>
    <row r="7005">
      <c r="M7005" s="25" t="n"/>
      <c r="Q7005" s="25" t="n"/>
      <c r="U7005" s="194" t="n"/>
      <c r="AA7005" s="25" t="n"/>
      <c r="AB7005" s="25" t="n"/>
      <c r="AC7005" s="195" t="n"/>
      <c r="AD7005" s="25" t="n"/>
      <c r="AE7005" s="25" t="n"/>
      <c r="AG7005" s="25" t="n"/>
      <c r="AH7005" s="25" t="n"/>
      <c r="AI7005" s="394" t="n"/>
      <c r="AM7005" s="48" t="n"/>
      <c r="AN7005" s="48" t="n"/>
      <c r="AO7005" s="48" t="n"/>
    </row>
    <row r="7006">
      <c r="M7006" s="25" t="n"/>
      <c r="Q7006" s="25" t="n"/>
      <c r="U7006" s="194" t="n"/>
      <c r="AA7006" s="25" t="n"/>
      <c r="AB7006" s="25" t="n"/>
      <c r="AC7006" s="195" t="n"/>
      <c r="AD7006" s="25" t="n"/>
      <c r="AE7006" s="25" t="n"/>
      <c r="AG7006" s="25" t="n"/>
      <c r="AH7006" s="25" t="n"/>
      <c r="AI7006" s="394" t="n"/>
      <c r="AM7006" s="48" t="n"/>
      <c r="AN7006" s="48" t="n"/>
      <c r="AO7006" s="48" t="n"/>
    </row>
    <row r="7007">
      <c r="M7007" s="25" t="n"/>
      <c r="Q7007" s="25" t="n"/>
      <c r="U7007" s="194" t="n"/>
      <c r="AA7007" s="25" t="n"/>
      <c r="AB7007" s="25" t="n"/>
      <c r="AC7007" s="195" t="n"/>
      <c r="AD7007" s="25" t="n"/>
      <c r="AE7007" s="25" t="n"/>
      <c r="AG7007" s="25" t="n"/>
      <c r="AH7007" s="25" t="n"/>
      <c r="AI7007" s="394" t="n"/>
      <c r="AM7007" s="48" t="n"/>
      <c r="AN7007" s="48" t="n"/>
      <c r="AO7007" s="48" t="n"/>
    </row>
    <row r="7008">
      <c r="M7008" s="25" t="n"/>
      <c r="Q7008" s="25" t="n"/>
      <c r="U7008" s="194" t="n"/>
      <c r="AA7008" s="25" t="n"/>
      <c r="AB7008" s="25" t="n"/>
      <c r="AC7008" s="195" t="n"/>
      <c r="AD7008" s="25" t="n"/>
      <c r="AE7008" s="25" t="n"/>
      <c r="AG7008" s="25" t="n"/>
      <c r="AH7008" s="25" t="n"/>
      <c r="AI7008" s="394" t="n"/>
      <c r="AM7008" s="48" t="n"/>
      <c r="AN7008" s="48" t="n"/>
      <c r="AO7008" s="48" t="n"/>
    </row>
    <row r="7009">
      <c r="M7009" s="25" t="n"/>
      <c r="Q7009" s="25" t="n"/>
      <c r="U7009" s="194" t="n"/>
      <c r="AA7009" s="25" t="n"/>
      <c r="AB7009" s="25" t="n"/>
      <c r="AC7009" s="195" t="n"/>
      <c r="AD7009" s="25" t="n"/>
      <c r="AE7009" s="25" t="n"/>
      <c r="AG7009" s="25" t="n"/>
      <c r="AH7009" s="25" t="n"/>
      <c r="AI7009" s="394" t="n"/>
      <c r="AM7009" s="48" t="n"/>
      <c r="AN7009" s="48" t="n"/>
      <c r="AO7009" s="48" t="n"/>
    </row>
    <row r="7010">
      <c r="M7010" s="25" t="n"/>
      <c r="Q7010" s="25" t="n"/>
      <c r="U7010" s="194" t="n"/>
      <c r="AA7010" s="25" t="n"/>
      <c r="AB7010" s="25" t="n"/>
      <c r="AC7010" s="195" t="n"/>
      <c r="AD7010" s="25" t="n"/>
      <c r="AE7010" s="25" t="n"/>
      <c r="AG7010" s="25" t="n"/>
      <c r="AH7010" s="25" t="n"/>
      <c r="AI7010" s="394" t="n"/>
      <c r="AM7010" s="48" t="n"/>
      <c r="AN7010" s="48" t="n"/>
      <c r="AO7010" s="48" t="n"/>
    </row>
    <row r="7011">
      <c r="M7011" s="25" t="n"/>
      <c r="Q7011" s="25" t="n"/>
      <c r="U7011" s="194" t="n"/>
      <c r="AA7011" s="25" t="n"/>
      <c r="AB7011" s="25" t="n"/>
      <c r="AC7011" s="195" t="n"/>
      <c r="AD7011" s="25" t="n"/>
      <c r="AE7011" s="25" t="n"/>
      <c r="AG7011" s="25" t="n"/>
      <c r="AH7011" s="25" t="n"/>
      <c r="AI7011" s="394" t="n"/>
      <c r="AM7011" s="48" t="n"/>
      <c r="AN7011" s="48" t="n"/>
      <c r="AO7011" s="48" t="n"/>
    </row>
    <row r="7012">
      <c r="M7012" s="25" t="n"/>
      <c r="Q7012" s="25" t="n"/>
      <c r="U7012" s="194" t="n"/>
      <c r="AA7012" s="25" t="n"/>
      <c r="AB7012" s="25" t="n"/>
      <c r="AC7012" s="195" t="n"/>
      <c r="AD7012" s="25" t="n"/>
      <c r="AE7012" s="25" t="n"/>
      <c r="AG7012" s="25" t="n"/>
      <c r="AH7012" s="25" t="n"/>
      <c r="AI7012" s="394" t="n"/>
      <c r="AM7012" s="48" t="n"/>
      <c r="AN7012" s="48" t="n"/>
      <c r="AO7012" s="48" t="n"/>
    </row>
    <row r="7013">
      <c r="M7013" s="25" t="n"/>
      <c r="Q7013" s="25" t="n"/>
      <c r="U7013" s="194" t="n"/>
      <c r="AA7013" s="25" t="n"/>
      <c r="AB7013" s="25" t="n"/>
      <c r="AC7013" s="195" t="n"/>
      <c r="AD7013" s="25" t="n"/>
      <c r="AE7013" s="25" t="n"/>
      <c r="AG7013" s="25" t="n"/>
      <c r="AH7013" s="25" t="n"/>
      <c r="AI7013" s="394" t="n"/>
      <c r="AM7013" s="48" t="n"/>
      <c r="AN7013" s="48" t="n"/>
      <c r="AO7013" s="48" t="n"/>
    </row>
    <row r="7014">
      <c r="M7014" s="25" t="n"/>
      <c r="Q7014" s="25" t="n"/>
      <c r="U7014" s="194" t="n"/>
      <c r="AA7014" s="25" t="n"/>
      <c r="AB7014" s="25" t="n"/>
      <c r="AC7014" s="195" t="n"/>
      <c r="AD7014" s="25" t="n"/>
      <c r="AE7014" s="25" t="n"/>
      <c r="AG7014" s="25" t="n"/>
      <c r="AH7014" s="25" t="n"/>
      <c r="AI7014" s="394" t="n"/>
      <c r="AM7014" s="48" t="n"/>
      <c r="AN7014" s="48" t="n"/>
      <c r="AO7014" s="48" t="n"/>
    </row>
    <row r="7015">
      <c r="M7015" s="25" t="n"/>
      <c r="Q7015" s="25" t="n"/>
      <c r="U7015" s="194" t="n"/>
      <c r="AA7015" s="25" t="n"/>
      <c r="AB7015" s="25" t="n"/>
      <c r="AC7015" s="195" t="n"/>
      <c r="AD7015" s="25" t="n"/>
      <c r="AE7015" s="25" t="n"/>
      <c r="AG7015" s="25" t="n"/>
      <c r="AH7015" s="25" t="n"/>
      <c r="AI7015" s="394" t="n"/>
      <c r="AM7015" s="48" t="n"/>
      <c r="AN7015" s="48" t="n"/>
      <c r="AO7015" s="48" t="n"/>
    </row>
    <row r="7016">
      <c r="M7016" s="25" t="n"/>
      <c r="Q7016" s="25" t="n"/>
      <c r="U7016" s="194" t="n"/>
      <c r="AA7016" s="25" t="n"/>
      <c r="AB7016" s="25" t="n"/>
      <c r="AC7016" s="195" t="n"/>
      <c r="AD7016" s="25" t="n"/>
      <c r="AE7016" s="25" t="n"/>
      <c r="AG7016" s="25" t="n"/>
      <c r="AH7016" s="25" t="n"/>
      <c r="AI7016" s="394" t="n"/>
      <c r="AM7016" s="48" t="n"/>
      <c r="AN7016" s="48" t="n"/>
      <c r="AO7016" s="48" t="n"/>
    </row>
    <row r="7017">
      <c r="M7017" s="25" t="n"/>
      <c r="Q7017" s="25" t="n"/>
      <c r="U7017" s="194" t="n"/>
      <c r="AA7017" s="25" t="n"/>
      <c r="AB7017" s="25" t="n"/>
      <c r="AC7017" s="195" t="n"/>
      <c r="AD7017" s="25" t="n"/>
      <c r="AE7017" s="25" t="n"/>
      <c r="AG7017" s="25" t="n"/>
      <c r="AH7017" s="25" t="n"/>
      <c r="AI7017" s="394" t="n"/>
      <c r="AM7017" s="48" t="n"/>
      <c r="AN7017" s="48" t="n"/>
      <c r="AO7017" s="48" t="n"/>
    </row>
    <row r="7018">
      <c r="M7018" s="25" t="n"/>
      <c r="Q7018" s="25" t="n"/>
      <c r="U7018" s="194" t="n"/>
      <c r="AA7018" s="25" t="n"/>
      <c r="AB7018" s="25" t="n"/>
      <c r="AC7018" s="195" t="n"/>
      <c r="AD7018" s="25" t="n"/>
      <c r="AE7018" s="25" t="n"/>
      <c r="AG7018" s="25" t="n"/>
      <c r="AH7018" s="25" t="n"/>
      <c r="AI7018" s="394" t="n"/>
      <c r="AM7018" s="48" t="n"/>
      <c r="AN7018" s="48" t="n"/>
      <c r="AO7018" s="48" t="n"/>
    </row>
    <row r="7019">
      <c r="M7019" s="25" t="n"/>
      <c r="O7019" s="90" t="n"/>
      <c r="Q7019" s="25" t="n"/>
      <c r="U7019" s="194" t="n"/>
      <c r="AA7019" s="25" t="n"/>
      <c r="AB7019" s="25" t="n"/>
      <c r="AC7019" s="195" t="n"/>
      <c r="AD7019" s="25" t="n"/>
      <c r="AE7019" s="25" t="n"/>
      <c r="AG7019" s="25" t="n"/>
      <c r="AH7019" s="25" t="n"/>
      <c r="AI7019" s="394" t="n"/>
      <c r="AM7019" s="48" t="n"/>
      <c r="AN7019" s="48" t="n"/>
      <c r="AO7019" s="48" t="n"/>
    </row>
    <row r="7020">
      <c r="M7020" s="25" t="n"/>
      <c r="Q7020" s="25" t="n"/>
      <c r="U7020" s="194" t="n"/>
      <c r="AA7020" s="25" t="n"/>
      <c r="AB7020" s="25" t="n"/>
      <c r="AC7020" s="195" t="n"/>
      <c r="AD7020" s="25" t="n"/>
      <c r="AE7020" s="25" t="n"/>
      <c r="AG7020" s="25" t="n"/>
      <c r="AH7020" s="25" t="n"/>
      <c r="AI7020" s="394" t="n"/>
      <c r="AM7020" s="48" t="n"/>
      <c r="AN7020" s="48" t="n"/>
      <c r="AO7020" s="48" t="n"/>
    </row>
    <row r="7021">
      <c r="M7021" s="25" t="n"/>
      <c r="Q7021" s="25" t="n"/>
      <c r="U7021" s="194" t="n"/>
      <c r="AA7021" s="25" t="n"/>
      <c r="AB7021" s="25" t="n"/>
      <c r="AC7021" s="195" t="n"/>
      <c r="AD7021" s="25" t="n"/>
      <c r="AE7021" s="25" t="n"/>
      <c r="AG7021" s="25" t="n"/>
      <c r="AH7021" s="25" t="n"/>
      <c r="AI7021" s="394" t="n"/>
      <c r="AM7021" s="48" t="n"/>
      <c r="AN7021" s="48" t="n"/>
      <c r="AO7021" s="48" t="n"/>
    </row>
    <row r="7022">
      <c r="M7022" s="25" t="n"/>
      <c r="Q7022" s="25" t="n"/>
      <c r="U7022" s="194" t="n"/>
      <c r="AA7022" s="25" t="n"/>
      <c r="AB7022" s="25" t="n"/>
      <c r="AC7022" s="195" t="n"/>
      <c r="AD7022" s="25" t="n"/>
      <c r="AE7022" s="25" t="n"/>
      <c r="AG7022" s="25" t="n"/>
      <c r="AH7022" s="25" t="n"/>
      <c r="AI7022" s="394" t="n"/>
      <c r="AM7022" s="48" t="n"/>
      <c r="AN7022" s="48" t="n"/>
      <c r="AO7022" s="48" t="n"/>
    </row>
    <row r="7023">
      <c r="M7023" s="25" t="n"/>
      <c r="Q7023" s="25" t="n"/>
      <c r="U7023" s="194" t="n"/>
      <c r="AA7023" s="25" t="n"/>
      <c r="AB7023" s="25" t="n"/>
      <c r="AC7023" s="195" t="n"/>
      <c r="AD7023" s="25" t="n"/>
      <c r="AE7023" s="25" t="n"/>
      <c r="AG7023" s="25" t="n"/>
      <c r="AH7023" s="25" t="n"/>
      <c r="AI7023" s="394" t="n"/>
      <c r="AM7023" s="48" t="n"/>
      <c r="AN7023" s="48" t="n"/>
      <c r="AO7023" s="48" t="n"/>
    </row>
    <row r="7024">
      <c r="M7024" s="25" t="n"/>
      <c r="Q7024" s="25" t="n"/>
      <c r="U7024" s="194" t="n"/>
      <c r="AA7024" s="25" t="n"/>
      <c r="AB7024" s="25" t="n"/>
      <c r="AC7024" s="195" t="n"/>
      <c r="AD7024" s="25" t="n"/>
      <c r="AE7024" s="25" t="n"/>
      <c r="AG7024" s="25" t="n"/>
      <c r="AH7024" s="25" t="n"/>
      <c r="AI7024" s="394" t="n"/>
      <c r="AM7024" s="48" t="n"/>
      <c r="AN7024" s="48" t="n"/>
      <c r="AO7024" s="48" t="n"/>
    </row>
    <row r="7025">
      <c r="M7025" s="25" t="n"/>
      <c r="Q7025" s="25" t="n"/>
      <c r="U7025" s="194" t="n"/>
      <c r="AA7025" s="25" t="n"/>
      <c r="AB7025" s="25" t="n"/>
      <c r="AC7025" s="195" t="n"/>
      <c r="AD7025" s="25" t="n"/>
      <c r="AE7025" s="25" t="n"/>
      <c r="AG7025" s="25" t="n"/>
      <c r="AH7025" s="25" t="n"/>
      <c r="AI7025" s="394" t="n"/>
      <c r="AM7025" s="48" t="n"/>
      <c r="AN7025" s="48" t="n"/>
      <c r="AO7025" s="48" t="n"/>
    </row>
    <row r="7026">
      <c r="M7026" s="25" t="n"/>
      <c r="Q7026" s="25" t="n"/>
      <c r="U7026" s="194" t="n"/>
      <c r="AA7026" s="25" t="n"/>
      <c r="AB7026" s="25" t="n"/>
      <c r="AC7026" s="195" t="n"/>
      <c r="AD7026" s="25" t="n"/>
      <c r="AE7026" s="25" t="n"/>
      <c r="AG7026" s="25" t="n"/>
      <c r="AH7026" s="25" t="n"/>
      <c r="AI7026" s="394" t="n"/>
      <c r="AM7026" s="48" t="n"/>
      <c r="AN7026" s="48" t="n"/>
      <c r="AO7026" s="48" t="n"/>
    </row>
    <row r="7027">
      <c r="M7027" s="25" t="n"/>
      <c r="Q7027" s="25" t="n"/>
      <c r="U7027" s="194" t="n"/>
      <c r="AA7027" s="25" t="n"/>
      <c r="AB7027" s="25" t="n"/>
      <c r="AC7027" s="195" t="n"/>
      <c r="AD7027" s="25" t="n"/>
      <c r="AE7027" s="25" t="n"/>
      <c r="AG7027" s="25" t="n"/>
      <c r="AH7027" s="25" t="n"/>
      <c r="AI7027" s="394" t="n"/>
      <c r="AM7027" s="48" t="n"/>
      <c r="AN7027" s="48" t="n"/>
      <c r="AO7027" s="48" t="n"/>
    </row>
    <row r="7028">
      <c r="M7028" s="25" t="n"/>
      <c r="Q7028" s="25" t="n"/>
      <c r="U7028" s="194" t="n"/>
      <c r="AA7028" s="25" t="n"/>
      <c r="AB7028" s="25" t="n"/>
      <c r="AC7028" s="195" t="n"/>
      <c r="AD7028" s="25" t="n"/>
      <c r="AE7028" s="25" t="n"/>
      <c r="AG7028" s="25" t="n"/>
      <c r="AH7028" s="25" t="n"/>
      <c r="AI7028" s="394" t="n"/>
      <c r="AM7028" s="48" t="n"/>
      <c r="AN7028" s="48" t="n"/>
      <c r="AO7028" s="48" t="n"/>
    </row>
    <row r="7029">
      <c r="M7029" s="25" t="n"/>
      <c r="Q7029" s="25" t="n"/>
      <c r="U7029" s="194" t="n"/>
      <c r="AA7029" s="25" t="n"/>
      <c r="AB7029" s="25" t="n"/>
      <c r="AC7029" s="195" t="n"/>
      <c r="AD7029" s="25" t="n"/>
      <c r="AE7029" s="25" t="n"/>
      <c r="AG7029" s="25" t="n"/>
      <c r="AH7029" s="25" t="n"/>
      <c r="AI7029" s="394" t="n"/>
      <c r="AM7029" s="48" t="n"/>
      <c r="AN7029" s="48" t="n"/>
      <c r="AO7029" s="48" t="n"/>
    </row>
    <row r="7030">
      <c r="M7030" s="25" t="n"/>
      <c r="Q7030" s="25" t="n"/>
      <c r="U7030" s="194" t="n"/>
      <c r="AA7030" s="25" t="n"/>
      <c r="AB7030" s="25" t="n"/>
      <c r="AC7030" s="195" t="n"/>
      <c r="AD7030" s="25" t="n"/>
      <c r="AE7030" s="25" t="n"/>
      <c r="AG7030" s="25" t="n"/>
      <c r="AH7030" s="25" t="n"/>
      <c r="AI7030" s="394" t="n"/>
      <c r="AM7030" s="48" t="n"/>
      <c r="AN7030" s="48" t="n"/>
      <c r="AO7030" s="48" t="n"/>
    </row>
    <row r="7031">
      <c r="M7031" s="25" t="n"/>
      <c r="Q7031" s="25" t="n"/>
      <c r="U7031" s="194" t="n"/>
      <c r="AA7031" s="25" t="n"/>
      <c r="AB7031" s="25" t="n"/>
      <c r="AC7031" s="195" t="n"/>
      <c r="AD7031" s="25" t="n"/>
      <c r="AE7031" s="25" t="n"/>
      <c r="AG7031" s="25" t="n"/>
      <c r="AH7031" s="25" t="n"/>
      <c r="AI7031" s="394" t="n"/>
      <c r="AM7031" s="48" t="n"/>
      <c r="AN7031" s="48" t="n"/>
      <c r="AO7031" s="48" t="n"/>
    </row>
    <row r="7032">
      <c r="M7032" s="25" t="n"/>
      <c r="Q7032" s="25" t="n"/>
      <c r="U7032" s="194" t="n"/>
      <c r="AA7032" s="25" t="n"/>
      <c r="AB7032" s="25" t="n"/>
      <c r="AC7032" s="195" t="n"/>
      <c r="AD7032" s="25" t="n"/>
      <c r="AE7032" s="25" t="n"/>
      <c r="AG7032" s="25" t="n"/>
      <c r="AH7032" s="25" t="n"/>
      <c r="AI7032" s="394" t="n"/>
      <c r="AM7032" s="48" t="n"/>
      <c r="AN7032" s="48" t="n"/>
      <c r="AO7032" s="48" t="n"/>
    </row>
    <row r="7033">
      <c r="M7033" s="25" t="n"/>
      <c r="Q7033" s="25" t="n"/>
      <c r="U7033" s="194" t="n"/>
      <c r="AA7033" s="25" t="n"/>
      <c r="AB7033" s="25" t="n"/>
      <c r="AC7033" s="195" t="n"/>
      <c r="AD7033" s="25" t="n"/>
      <c r="AE7033" s="25" t="n"/>
      <c r="AG7033" s="25" t="n"/>
      <c r="AH7033" s="25" t="n"/>
      <c r="AI7033" s="394" t="n"/>
      <c r="AM7033" s="48" t="n"/>
      <c r="AN7033" s="48" t="n"/>
      <c r="AO7033" s="48" t="n"/>
    </row>
    <row r="7034">
      <c r="M7034" s="25" t="n"/>
      <c r="Q7034" s="25" t="n"/>
      <c r="U7034" s="194" t="n"/>
      <c r="AA7034" s="25" t="n"/>
      <c r="AB7034" s="25" t="n"/>
      <c r="AC7034" s="195" t="n"/>
      <c r="AD7034" s="25" t="n"/>
      <c r="AE7034" s="25" t="n"/>
      <c r="AG7034" s="25" t="n"/>
      <c r="AH7034" s="25" t="n"/>
      <c r="AI7034" s="394" t="n"/>
      <c r="AM7034" s="48" t="n"/>
      <c r="AN7034" s="48" t="n"/>
      <c r="AO7034" s="48" t="n"/>
    </row>
    <row r="7035">
      <c r="M7035" s="25" t="n"/>
      <c r="Q7035" s="25" t="n"/>
      <c r="U7035" s="194" t="n"/>
      <c r="AA7035" s="25" t="n"/>
      <c r="AB7035" s="25" t="n"/>
      <c r="AC7035" s="195" t="n"/>
      <c r="AD7035" s="25" t="n"/>
      <c r="AE7035" s="25" t="n"/>
      <c r="AG7035" s="25" t="n"/>
      <c r="AH7035" s="25" t="n"/>
      <c r="AI7035" s="394" t="n"/>
      <c r="AM7035" s="48" t="n"/>
      <c r="AN7035" s="48" t="n"/>
      <c r="AO7035" s="48" t="n"/>
    </row>
    <row r="7036">
      <c r="M7036" s="25" t="n"/>
      <c r="Q7036" s="25" t="n"/>
      <c r="U7036" s="194" t="n"/>
      <c r="AA7036" s="25" t="n"/>
      <c r="AB7036" s="25" t="n"/>
      <c r="AC7036" s="195" t="n"/>
      <c r="AD7036" s="25" t="n"/>
      <c r="AE7036" s="25" t="n"/>
      <c r="AG7036" s="25" t="n"/>
      <c r="AH7036" s="25" t="n"/>
      <c r="AI7036" s="394" t="n"/>
      <c r="AM7036" s="48" t="n"/>
      <c r="AN7036" s="48" t="n"/>
      <c r="AO7036" s="48" t="n"/>
    </row>
    <row r="7037">
      <c r="M7037" s="25" t="n"/>
      <c r="Q7037" s="25" t="n"/>
      <c r="U7037" s="194" t="n"/>
      <c r="AA7037" s="25" t="n"/>
      <c r="AB7037" s="25" t="n"/>
      <c r="AC7037" s="195" t="n"/>
      <c r="AD7037" s="25" t="n"/>
      <c r="AE7037" s="25" t="n"/>
      <c r="AG7037" s="25" t="n"/>
      <c r="AH7037" s="25" t="n"/>
      <c r="AI7037" s="394" t="n"/>
      <c r="AM7037" s="48" t="n"/>
      <c r="AN7037" s="48" t="n"/>
      <c r="AO7037" s="48" t="n"/>
    </row>
    <row r="7038">
      <c r="M7038" s="25" t="n"/>
      <c r="Q7038" s="25" t="n"/>
      <c r="U7038" s="194" t="n"/>
      <c r="AA7038" s="25" t="n"/>
      <c r="AB7038" s="25" t="n"/>
      <c r="AC7038" s="195" t="n"/>
      <c r="AD7038" s="25" t="n"/>
      <c r="AE7038" s="25" t="n"/>
      <c r="AG7038" s="25" t="n"/>
      <c r="AH7038" s="25" t="n"/>
      <c r="AI7038" s="394" t="n"/>
      <c r="AM7038" s="48" t="n"/>
      <c r="AN7038" s="48" t="n"/>
      <c r="AO7038" s="48" t="n"/>
    </row>
    <row r="7039">
      <c r="M7039" s="25" t="n"/>
      <c r="Q7039" s="25" t="n"/>
      <c r="U7039" s="194" t="n"/>
      <c r="AA7039" s="25" t="n"/>
      <c r="AB7039" s="25" t="n"/>
      <c r="AC7039" s="195" t="n"/>
      <c r="AD7039" s="25" t="n"/>
      <c r="AE7039" s="25" t="n"/>
      <c r="AG7039" s="25" t="n"/>
      <c r="AH7039" s="25" t="n"/>
      <c r="AI7039" s="394" t="n"/>
      <c r="AM7039" s="48" t="n"/>
      <c r="AN7039" s="48" t="n"/>
      <c r="AO7039" s="48" t="n"/>
    </row>
    <row r="7040">
      <c r="M7040" s="25" t="n"/>
      <c r="Q7040" s="25" t="n"/>
      <c r="U7040" s="194" t="n"/>
      <c r="AA7040" s="25" t="n"/>
      <c r="AB7040" s="25" t="n"/>
      <c r="AC7040" s="195" t="n"/>
      <c r="AD7040" s="25" t="n"/>
      <c r="AE7040" s="25" t="n"/>
      <c r="AG7040" s="25" t="n"/>
      <c r="AH7040" s="25" t="n"/>
      <c r="AI7040" s="394" t="n"/>
      <c r="AM7040" s="48" t="n"/>
      <c r="AN7040" s="48" t="n"/>
      <c r="AO7040" s="48" t="n"/>
    </row>
    <row r="7041">
      <c r="M7041" s="25" t="n"/>
      <c r="Q7041" s="25" t="n"/>
      <c r="U7041" s="194" t="n"/>
      <c r="AA7041" s="25" t="n"/>
      <c r="AB7041" s="25" t="n"/>
      <c r="AC7041" s="195" t="n"/>
      <c r="AD7041" s="25" t="n"/>
      <c r="AE7041" s="25" t="n"/>
      <c r="AG7041" s="25" t="n"/>
      <c r="AH7041" s="25" t="n"/>
      <c r="AI7041" s="394" t="n"/>
      <c r="AM7041" s="48" t="n"/>
      <c r="AN7041" s="48" t="n"/>
      <c r="AO7041" s="48" t="n"/>
    </row>
    <row r="7042">
      <c r="M7042" s="25" t="n"/>
      <c r="Q7042" s="25" t="n"/>
      <c r="U7042" s="194" t="n"/>
      <c r="AA7042" s="25" t="n"/>
      <c r="AB7042" s="25" t="n"/>
      <c r="AC7042" s="195" t="n"/>
      <c r="AD7042" s="25" t="n"/>
      <c r="AE7042" s="25" t="n"/>
      <c r="AG7042" s="25" t="n"/>
      <c r="AH7042" s="25" t="n"/>
      <c r="AI7042" s="394" t="n"/>
      <c r="AM7042" s="48" t="n"/>
      <c r="AN7042" s="48" t="n"/>
      <c r="AO7042" s="48" t="n"/>
    </row>
    <row r="7043">
      <c r="M7043" s="25" t="n"/>
      <c r="Q7043" s="25" t="n"/>
      <c r="U7043" s="194" t="n"/>
      <c r="AA7043" s="25" t="n"/>
      <c r="AB7043" s="25" t="n"/>
      <c r="AC7043" s="195" t="n"/>
      <c r="AD7043" s="25" t="n"/>
      <c r="AE7043" s="25" t="n"/>
      <c r="AG7043" s="25" t="n"/>
      <c r="AH7043" s="25" t="n"/>
      <c r="AI7043" s="394" t="n"/>
      <c r="AM7043" s="48" t="n"/>
      <c r="AN7043" s="48" t="n"/>
      <c r="AO7043" s="48" t="n"/>
    </row>
    <row r="7044">
      <c r="M7044" s="25" t="n"/>
      <c r="Q7044" s="25" t="n"/>
      <c r="U7044" s="194" t="n"/>
      <c r="AA7044" s="25" t="n"/>
      <c r="AB7044" s="25" t="n"/>
      <c r="AC7044" s="195" t="n"/>
      <c r="AD7044" s="25" t="n"/>
      <c r="AE7044" s="25" t="n"/>
      <c r="AG7044" s="25" t="n"/>
      <c r="AH7044" s="25" t="n"/>
      <c r="AI7044" s="394" t="n"/>
      <c r="AM7044" s="48" t="n"/>
      <c r="AN7044" s="48" t="n"/>
      <c r="AO7044" s="48" t="n"/>
    </row>
    <row r="7045">
      <c r="M7045" s="25" t="n"/>
      <c r="Q7045" s="25" t="n"/>
      <c r="U7045" s="194" t="n"/>
      <c r="AA7045" s="25" t="n"/>
      <c r="AB7045" s="25" t="n"/>
      <c r="AC7045" s="195" t="n"/>
      <c r="AD7045" s="25" t="n"/>
      <c r="AE7045" s="25" t="n"/>
      <c r="AG7045" s="25" t="n"/>
      <c r="AH7045" s="25" t="n"/>
      <c r="AI7045" s="394" t="n"/>
      <c r="AM7045" s="48" t="n"/>
      <c r="AN7045" s="48" t="n"/>
      <c r="AO7045" s="48" t="n"/>
    </row>
    <row r="7046">
      <c r="M7046" s="25" t="n"/>
      <c r="Q7046" s="25" t="n"/>
      <c r="U7046" s="194" t="n"/>
      <c r="AA7046" s="25" t="n"/>
      <c r="AB7046" s="25" t="n"/>
      <c r="AC7046" s="195" t="n"/>
      <c r="AD7046" s="25" t="n"/>
      <c r="AE7046" s="25" t="n"/>
      <c r="AG7046" s="25" t="n"/>
      <c r="AH7046" s="25" t="n"/>
      <c r="AI7046" s="394" t="n"/>
      <c r="AM7046" s="48" t="n"/>
      <c r="AN7046" s="48" t="n"/>
      <c r="AO7046" s="48" t="n"/>
    </row>
    <row r="7047">
      <c r="M7047" s="25" t="n"/>
      <c r="Q7047" s="25" t="n"/>
      <c r="U7047" s="194" t="n"/>
      <c r="AA7047" s="25" t="n"/>
      <c r="AB7047" s="25" t="n"/>
      <c r="AC7047" s="195" t="n"/>
      <c r="AD7047" s="25" t="n"/>
      <c r="AE7047" s="25" t="n"/>
      <c r="AG7047" s="25" t="n"/>
      <c r="AH7047" s="25" t="n"/>
      <c r="AI7047" s="394" t="n"/>
      <c r="AM7047" s="48" t="n"/>
      <c r="AN7047" s="48" t="n"/>
      <c r="AO7047" s="48" t="n"/>
    </row>
    <row r="7048">
      <c r="M7048" s="25" t="n"/>
      <c r="Q7048" s="25" t="n"/>
      <c r="U7048" s="194" t="n"/>
      <c r="AA7048" s="25" t="n"/>
      <c r="AB7048" s="25" t="n"/>
      <c r="AC7048" s="195" t="n"/>
      <c r="AD7048" s="25" t="n"/>
      <c r="AE7048" s="25" t="n"/>
      <c r="AG7048" s="25" t="n"/>
      <c r="AH7048" s="25" t="n"/>
      <c r="AI7048" s="394" t="n"/>
      <c r="AM7048" s="48" t="n"/>
      <c r="AN7048" s="48" t="n"/>
      <c r="AO7048" s="48" t="n"/>
    </row>
    <row r="7049">
      <c r="M7049" s="25" t="n"/>
      <c r="Q7049" s="25" t="n"/>
      <c r="U7049" s="194" t="n"/>
      <c r="AA7049" s="25" t="n"/>
      <c r="AB7049" s="25" t="n"/>
      <c r="AC7049" s="195" t="n"/>
      <c r="AD7049" s="25" t="n"/>
      <c r="AE7049" s="25" t="n"/>
      <c r="AG7049" s="25" t="n"/>
      <c r="AH7049" s="25" t="n"/>
      <c r="AI7049" s="394" t="n"/>
      <c r="AM7049" s="48" t="n"/>
      <c r="AN7049" s="48" t="n"/>
      <c r="AO7049" s="48" t="n"/>
    </row>
    <row r="7050">
      <c r="M7050" s="25" t="n"/>
      <c r="Q7050" s="25" t="n"/>
      <c r="U7050" s="194" t="n"/>
      <c r="AA7050" s="25" t="n"/>
      <c r="AB7050" s="25" t="n"/>
      <c r="AC7050" s="195" t="n"/>
      <c r="AD7050" s="25" t="n"/>
      <c r="AE7050" s="25" t="n"/>
      <c r="AG7050" s="25" t="n"/>
      <c r="AH7050" s="25" t="n"/>
      <c r="AI7050" s="394" t="n"/>
      <c r="AM7050" s="48" t="n"/>
      <c r="AN7050" s="48" t="n"/>
      <c r="AO7050" s="48" t="n"/>
    </row>
    <row r="7051">
      <c r="M7051" s="25" t="n"/>
      <c r="Q7051" s="25" t="n"/>
      <c r="U7051" s="194" t="n"/>
      <c r="AA7051" s="25" t="n"/>
      <c r="AB7051" s="25" t="n"/>
      <c r="AC7051" s="195" t="n"/>
      <c r="AD7051" s="25" t="n"/>
      <c r="AE7051" s="25" t="n"/>
      <c r="AG7051" s="25" t="n"/>
      <c r="AH7051" s="25" t="n"/>
      <c r="AI7051" s="394" t="n"/>
      <c r="AM7051" s="48" t="n"/>
      <c r="AN7051" s="48" t="n"/>
      <c r="AO7051" s="48" t="n"/>
    </row>
    <row r="7052">
      <c r="M7052" s="25" t="n"/>
      <c r="Q7052" s="25" t="n"/>
      <c r="U7052" s="194" t="n"/>
      <c r="AA7052" s="25" t="n"/>
      <c r="AB7052" s="25" t="n"/>
      <c r="AC7052" s="195" t="n"/>
      <c r="AD7052" s="25" t="n"/>
      <c r="AE7052" s="25" t="n"/>
      <c r="AG7052" s="25" t="n"/>
      <c r="AH7052" s="25" t="n"/>
      <c r="AI7052" s="394" t="n"/>
      <c r="AM7052" s="48" t="n"/>
      <c r="AN7052" s="48" t="n"/>
      <c r="AO7052" s="48" t="n"/>
    </row>
    <row r="7053">
      <c r="M7053" s="25" t="n"/>
      <c r="Q7053" s="25" t="n"/>
      <c r="U7053" s="194" t="n"/>
      <c r="AA7053" s="25" t="n"/>
      <c r="AB7053" s="25" t="n"/>
      <c r="AC7053" s="195" t="n"/>
      <c r="AD7053" s="25" t="n"/>
      <c r="AE7053" s="25" t="n"/>
      <c r="AG7053" s="25" t="n"/>
      <c r="AH7053" s="25" t="n"/>
      <c r="AI7053" s="394" t="n"/>
      <c r="AM7053" s="48" t="n"/>
      <c r="AN7053" s="48" t="n"/>
      <c r="AO7053" s="48" t="n"/>
    </row>
    <row r="7054">
      <c r="M7054" s="25" t="n"/>
      <c r="Q7054" s="25" t="n"/>
      <c r="U7054" s="194" t="n"/>
      <c r="AA7054" s="25" t="n"/>
      <c r="AB7054" s="25" t="n"/>
      <c r="AC7054" s="195" t="n"/>
      <c r="AD7054" s="25" t="n"/>
      <c r="AE7054" s="25" t="n"/>
      <c r="AG7054" s="25" t="n"/>
      <c r="AH7054" s="25" t="n"/>
      <c r="AI7054" s="394" t="n"/>
      <c r="AM7054" s="48" t="n"/>
      <c r="AN7054" s="48" t="n"/>
      <c r="AO7054" s="48" t="n"/>
    </row>
    <row r="7055">
      <c r="M7055" s="25" t="n"/>
      <c r="Q7055" s="25" t="n"/>
      <c r="U7055" s="194" t="n"/>
      <c r="AA7055" s="25" t="n"/>
      <c r="AB7055" s="25" t="n"/>
      <c r="AC7055" s="195" t="n"/>
      <c r="AD7055" s="25" t="n"/>
      <c r="AE7055" s="25" t="n"/>
      <c r="AG7055" s="25" t="n"/>
      <c r="AH7055" s="25" t="n"/>
      <c r="AI7055" s="394" t="n"/>
      <c r="AM7055" s="48" t="n"/>
      <c r="AN7055" s="48" t="n"/>
      <c r="AO7055" s="48" t="n"/>
    </row>
    <row r="7056">
      <c r="M7056" s="25" t="n"/>
      <c r="Q7056" s="25" t="n"/>
      <c r="U7056" s="194" t="n"/>
      <c r="AA7056" s="25" t="n"/>
      <c r="AB7056" s="25" t="n"/>
      <c r="AC7056" s="195" t="n"/>
      <c r="AD7056" s="25" t="n"/>
      <c r="AE7056" s="25" t="n"/>
      <c r="AG7056" s="25" t="n"/>
      <c r="AH7056" s="25" t="n"/>
      <c r="AI7056" s="394" t="n"/>
      <c r="AM7056" s="48" t="n"/>
      <c r="AN7056" s="48" t="n"/>
      <c r="AO7056" s="48" t="n"/>
    </row>
    <row r="7057">
      <c r="M7057" s="25" t="n"/>
      <c r="Q7057" s="25" t="n"/>
      <c r="U7057" s="194" t="n"/>
      <c r="AA7057" s="25" t="n"/>
      <c r="AB7057" s="25" t="n"/>
      <c r="AC7057" s="195" t="n"/>
      <c r="AD7057" s="25" t="n"/>
      <c r="AE7057" s="25" t="n"/>
      <c r="AG7057" s="25" t="n"/>
      <c r="AH7057" s="25" t="n"/>
      <c r="AI7057" s="394" t="n"/>
      <c r="AM7057" s="48" t="n"/>
      <c r="AN7057" s="48" t="n"/>
      <c r="AO7057" s="48" t="n"/>
    </row>
    <row r="7058">
      <c r="M7058" s="25" t="n"/>
      <c r="Q7058" s="25" t="n"/>
      <c r="U7058" s="194" t="n"/>
      <c r="AA7058" s="25" t="n"/>
      <c r="AB7058" s="25" t="n"/>
      <c r="AC7058" s="195" t="n"/>
      <c r="AD7058" s="25" t="n"/>
      <c r="AE7058" s="25" t="n"/>
      <c r="AG7058" s="25" t="n"/>
      <c r="AH7058" s="25" t="n"/>
      <c r="AI7058" s="394" t="n"/>
      <c r="AM7058" s="48" t="n"/>
      <c r="AN7058" s="48" t="n"/>
      <c r="AO7058" s="48" t="n"/>
    </row>
    <row r="7059">
      <c r="M7059" s="25" t="n"/>
      <c r="Q7059" s="25" t="n"/>
      <c r="U7059" s="194" t="n"/>
      <c r="AA7059" s="25" t="n"/>
      <c r="AB7059" s="25" t="n"/>
      <c r="AC7059" s="195" t="n"/>
      <c r="AD7059" s="25" t="n"/>
      <c r="AE7059" s="25" t="n"/>
      <c r="AG7059" s="25" t="n"/>
      <c r="AH7059" s="25" t="n"/>
      <c r="AI7059" s="394" t="n"/>
      <c r="AM7059" s="48" t="n"/>
      <c r="AN7059" s="48" t="n"/>
      <c r="AO7059" s="48" t="n"/>
    </row>
    <row r="7060">
      <c r="M7060" s="25" t="n"/>
      <c r="Q7060" s="25" t="n"/>
      <c r="U7060" s="194" t="n"/>
      <c r="AA7060" s="25" t="n"/>
      <c r="AB7060" s="25" t="n"/>
      <c r="AC7060" s="195" t="n"/>
      <c r="AD7060" s="25" t="n"/>
      <c r="AE7060" s="25" t="n"/>
      <c r="AG7060" s="25" t="n"/>
      <c r="AH7060" s="25" t="n"/>
      <c r="AI7060" s="394" t="n"/>
      <c r="AM7060" s="48" t="n"/>
      <c r="AN7060" s="48" t="n"/>
      <c r="AO7060" s="48" t="n"/>
    </row>
    <row r="7061">
      <c r="M7061" s="25" t="n"/>
      <c r="Q7061" s="25" t="n"/>
      <c r="U7061" s="194" t="n"/>
      <c r="AA7061" s="25" t="n"/>
      <c r="AB7061" s="25" t="n"/>
      <c r="AC7061" s="195" t="n"/>
      <c r="AD7061" s="25" t="n"/>
      <c r="AE7061" s="25" t="n"/>
      <c r="AG7061" s="25" t="n"/>
      <c r="AH7061" s="25" t="n"/>
      <c r="AI7061" s="394" t="n"/>
      <c r="AM7061" s="48" t="n"/>
      <c r="AN7061" s="48" t="n"/>
      <c r="AO7061" s="48" t="n"/>
    </row>
    <row r="7062">
      <c r="M7062" s="25" t="n"/>
      <c r="Q7062" s="25" t="n"/>
      <c r="U7062" s="194" t="n"/>
      <c r="AA7062" s="25" t="n"/>
      <c r="AB7062" s="25" t="n"/>
      <c r="AC7062" s="195" t="n"/>
      <c r="AD7062" s="25" t="n"/>
      <c r="AE7062" s="25" t="n"/>
      <c r="AG7062" s="25" t="n"/>
      <c r="AH7062" s="25" t="n"/>
      <c r="AI7062" s="394" t="n"/>
      <c r="AM7062" s="48" t="n"/>
      <c r="AN7062" s="48" t="n"/>
      <c r="AO7062" s="48" t="n"/>
    </row>
    <row r="7063">
      <c r="M7063" s="25" t="n"/>
      <c r="Q7063" s="25" t="n"/>
      <c r="U7063" s="194" t="n"/>
      <c r="AA7063" s="25" t="n"/>
      <c r="AB7063" s="25" t="n"/>
      <c r="AC7063" s="195" t="n"/>
      <c r="AD7063" s="25" t="n"/>
      <c r="AE7063" s="25" t="n"/>
      <c r="AG7063" s="25" t="n"/>
      <c r="AH7063" s="25" t="n"/>
      <c r="AI7063" s="394" t="n"/>
      <c r="AM7063" s="48" t="n"/>
      <c r="AN7063" s="48" t="n"/>
      <c r="AO7063" s="48" t="n"/>
    </row>
    <row r="7064">
      <c r="M7064" s="25" t="n"/>
      <c r="Q7064" s="25" t="n"/>
      <c r="U7064" s="194" t="n"/>
      <c r="AA7064" s="25" t="n"/>
      <c r="AB7064" s="25" t="n"/>
      <c r="AC7064" s="195" t="n"/>
      <c r="AD7064" s="25" t="n"/>
      <c r="AE7064" s="25" t="n"/>
      <c r="AG7064" s="25" t="n"/>
      <c r="AH7064" s="25" t="n"/>
      <c r="AI7064" s="394" t="n"/>
      <c r="AM7064" s="48" t="n"/>
      <c r="AN7064" s="48" t="n"/>
      <c r="AO7064" s="48" t="n"/>
    </row>
    <row r="7065">
      <c r="M7065" s="25" t="n"/>
      <c r="Q7065" s="25" t="n"/>
      <c r="U7065" s="194" t="n"/>
      <c r="AA7065" s="25" t="n"/>
      <c r="AB7065" s="25" t="n"/>
      <c r="AC7065" s="195" t="n"/>
      <c r="AD7065" s="25" t="n"/>
      <c r="AE7065" s="25" t="n"/>
      <c r="AG7065" s="25" t="n"/>
      <c r="AH7065" s="25" t="n"/>
      <c r="AI7065" s="394" t="n"/>
      <c r="AM7065" s="48" t="n"/>
      <c r="AN7065" s="48" t="n"/>
      <c r="AO7065" s="48" t="n"/>
    </row>
    <row r="7066">
      <c r="M7066" s="25" t="n"/>
      <c r="Q7066" s="25" t="n"/>
      <c r="U7066" s="194" t="n"/>
      <c r="AA7066" s="25" t="n"/>
      <c r="AB7066" s="25" t="n"/>
      <c r="AC7066" s="195" t="n"/>
      <c r="AD7066" s="25" t="n"/>
      <c r="AE7066" s="25" t="n"/>
      <c r="AG7066" s="25" t="n"/>
      <c r="AH7066" s="25" t="n"/>
      <c r="AI7066" s="394" t="n"/>
      <c r="AM7066" s="48" t="n"/>
      <c r="AN7066" s="48" t="n"/>
      <c r="AO7066" s="48" t="n"/>
    </row>
    <row r="7067">
      <c r="M7067" s="25" t="n"/>
      <c r="Q7067" s="25" t="n"/>
      <c r="U7067" s="194" t="n"/>
      <c r="AA7067" s="25" t="n"/>
      <c r="AB7067" s="25" t="n"/>
      <c r="AC7067" s="195" t="n"/>
      <c r="AD7067" s="25" t="n"/>
      <c r="AE7067" s="25" t="n"/>
      <c r="AG7067" s="25" t="n"/>
      <c r="AH7067" s="25" t="n"/>
      <c r="AI7067" s="394" t="n"/>
      <c r="AM7067" s="48" t="n"/>
      <c r="AN7067" s="48" t="n"/>
      <c r="AO7067" s="48" t="n"/>
    </row>
    <row r="7068">
      <c r="M7068" s="25" t="n"/>
      <c r="Q7068" s="25" t="n"/>
      <c r="U7068" s="194" t="n"/>
      <c r="AA7068" s="25" t="n"/>
      <c r="AB7068" s="25" t="n"/>
      <c r="AC7068" s="195" t="n"/>
      <c r="AD7068" s="25" t="n"/>
      <c r="AE7068" s="25" t="n"/>
      <c r="AG7068" s="25" t="n"/>
      <c r="AH7068" s="25" t="n"/>
      <c r="AI7068" s="394" t="n"/>
      <c r="AM7068" s="48" t="n"/>
      <c r="AN7068" s="48" t="n"/>
      <c r="AO7068" s="48" t="n"/>
    </row>
    <row r="7069">
      <c r="M7069" s="25" t="n"/>
      <c r="Q7069" s="25" t="n"/>
      <c r="U7069" s="194" t="n"/>
      <c r="AA7069" s="25" t="n"/>
      <c r="AB7069" s="25" t="n"/>
      <c r="AC7069" s="195" t="n"/>
      <c r="AD7069" s="25" t="n"/>
      <c r="AE7069" s="25" t="n"/>
      <c r="AG7069" s="25" t="n"/>
      <c r="AH7069" s="25" t="n"/>
      <c r="AI7069" s="394" t="n"/>
      <c r="AM7069" s="48" t="n"/>
      <c r="AN7069" s="48" t="n"/>
      <c r="AO7069" s="48" t="n"/>
    </row>
    <row r="7070">
      <c r="M7070" s="25" t="n"/>
      <c r="Q7070" s="25" t="n"/>
      <c r="U7070" s="194" t="n"/>
      <c r="AA7070" s="25" t="n"/>
      <c r="AB7070" s="25" t="n"/>
      <c r="AC7070" s="195" t="n"/>
      <c r="AD7070" s="25" t="n"/>
      <c r="AE7070" s="25" t="n"/>
      <c r="AG7070" s="25" t="n"/>
      <c r="AH7070" s="25" t="n"/>
      <c r="AI7070" s="394" t="n"/>
      <c r="AM7070" s="48" t="n"/>
      <c r="AN7070" s="48" t="n"/>
      <c r="AO7070" s="48" t="n"/>
    </row>
    <row r="7071">
      <c r="M7071" s="25" t="n"/>
      <c r="Q7071" s="25" t="n"/>
      <c r="U7071" s="194" t="n"/>
      <c r="AA7071" s="25" t="n"/>
      <c r="AB7071" s="25" t="n"/>
      <c r="AC7071" s="195" t="n"/>
      <c r="AD7071" s="25" t="n"/>
      <c r="AE7071" s="25" t="n"/>
      <c r="AG7071" s="25" t="n"/>
      <c r="AH7071" s="25" t="n"/>
      <c r="AI7071" s="394" t="n"/>
      <c r="AM7071" s="48" t="n"/>
      <c r="AN7071" s="48" t="n"/>
      <c r="AO7071" s="48" t="n"/>
    </row>
    <row r="7072">
      <c r="M7072" s="25" t="n"/>
      <c r="Q7072" s="25" t="n"/>
      <c r="U7072" s="194" t="n"/>
      <c r="AA7072" s="25" t="n"/>
      <c r="AB7072" s="25" t="n"/>
      <c r="AC7072" s="195" t="n"/>
      <c r="AD7072" s="25" t="n"/>
      <c r="AE7072" s="25" t="n"/>
      <c r="AG7072" s="25" t="n"/>
      <c r="AH7072" s="25" t="n"/>
      <c r="AI7072" s="394" t="n"/>
      <c r="AM7072" s="48" t="n"/>
      <c r="AN7072" s="48" t="n"/>
      <c r="AO7072" s="48" t="n"/>
    </row>
    <row r="7073">
      <c r="M7073" s="25" t="n"/>
      <c r="Q7073" s="25" t="n"/>
      <c r="U7073" s="194" t="n"/>
      <c r="AA7073" s="25" t="n"/>
      <c r="AB7073" s="25" t="n"/>
      <c r="AC7073" s="195" t="n"/>
      <c r="AD7073" s="25" t="n"/>
      <c r="AE7073" s="25" t="n"/>
      <c r="AG7073" s="25" t="n"/>
      <c r="AH7073" s="25" t="n"/>
      <c r="AI7073" s="394" t="n"/>
      <c r="AM7073" s="48" t="n"/>
      <c r="AN7073" s="48" t="n"/>
      <c r="AO7073" s="48" t="n"/>
    </row>
    <row r="7074">
      <c r="M7074" s="25" t="n"/>
      <c r="Q7074" s="25" t="n"/>
      <c r="U7074" s="194" t="n"/>
      <c r="AA7074" s="25" t="n"/>
      <c r="AB7074" s="25" t="n"/>
      <c r="AC7074" s="195" t="n"/>
      <c r="AD7074" s="25" t="n"/>
      <c r="AE7074" s="25" t="n"/>
      <c r="AG7074" s="25" t="n"/>
      <c r="AH7074" s="25" t="n"/>
      <c r="AI7074" s="394" t="n"/>
      <c r="AM7074" s="48" t="n"/>
      <c r="AN7074" s="48" t="n"/>
      <c r="AO7074" s="48" t="n"/>
    </row>
    <row r="7075">
      <c r="M7075" s="25" t="n"/>
      <c r="Q7075" s="25" t="n"/>
      <c r="U7075" s="194" t="n"/>
      <c r="AA7075" s="25" t="n"/>
      <c r="AB7075" s="25" t="n"/>
      <c r="AC7075" s="195" t="n"/>
      <c r="AD7075" s="25" t="n"/>
      <c r="AE7075" s="25" t="n"/>
      <c r="AG7075" s="25" t="n"/>
      <c r="AH7075" s="25" t="n"/>
      <c r="AI7075" s="394" t="n"/>
      <c r="AM7075" s="48" t="n"/>
      <c r="AN7075" s="48" t="n"/>
      <c r="AO7075" s="48" t="n"/>
    </row>
    <row r="7076">
      <c r="M7076" s="25" t="n"/>
      <c r="Q7076" s="25" t="n"/>
      <c r="U7076" s="194" t="n"/>
      <c r="AA7076" s="25" t="n"/>
      <c r="AB7076" s="25" t="n"/>
      <c r="AC7076" s="195" t="n"/>
      <c r="AD7076" s="25" t="n"/>
      <c r="AE7076" s="25" t="n"/>
      <c r="AG7076" s="25" t="n"/>
      <c r="AH7076" s="25" t="n"/>
      <c r="AI7076" s="394" t="n"/>
      <c r="AM7076" s="48" t="n"/>
      <c r="AN7076" s="48" t="n"/>
      <c r="AO7076" s="48" t="n"/>
    </row>
    <row r="7077">
      <c r="M7077" s="25" t="n"/>
      <c r="Q7077" s="25" t="n"/>
      <c r="U7077" s="194" t="n"/>
      <c r="AA7077" s="25" t="n"/>
      <c r="AB7077" s="25" t="n"/>
      <c r="AC7077" s="195" t="n"/>
      <c r="AD7077" s="25" t="n"/>
      <c r="AE7077" s="25" t="n"/>
      <c r="AG7077" s="25" t="n"/>
      <c r="AH7077" s="25" t="n"/>
      <c r="AI7077" s="394" t="n"/>
      <c r="AM7077" s="48" t="n"/>
      <c r="AN7077" s="48" t="n"/>
      <c r="AO7077" s="48" t="n"/>
    </row>
    <row r="7078">
      <c r="M7078" s="25" t="n"/>
      <c r="Q7078" s="25" t="n"/>
      <c r="U7078" s="194" t="n"/>
      <c r="AA7078" s="25" t="n"/>
      <c r="AB7078" s="25" t="n"/>
      <c r="AC7078" s="195" t="n"/>
      <c r="AD7078" s="25" t="n"/>
      <c r="AE7078" s="25" t="n"/>
      <c r="AG7078" s="25" t="n"/>
      <c r="AH7078" s="25" t="n"/>
      <c r="AI7078" s="394" t="n"/>
      <c r="AM7078" s="48" t="n"/>
      <c r="AN7078" s="48" t="n"/>
      <c r="AO7078" s="48" t="n"/>
    </row>
    <row r="7079">
      <c r="M7079" s="25" t="n"/>
      <c r="Q7079" s="25" t="n"/>
      <c r="U7079" s="194" t="n"/>
      <c r="AA7079" s="25" t="n"/>
      <c r="AB7079" s="25" t="n"/>
      <c r="AC7079" s="195" t="n"/>
      <c r="AD7079" s="25" t="n"/>
      <c r="AE7079" s="25" t="n"/>
      <c r="AG7079" s="25" t="n"/>
      <c r="AH7079" s="25" t="n"/>
      <c r="AI7079" s="394" t="n"/>
      <c r="AM7079" s="48" t="n"/>
      <c r="AN7079" s="48" t="n"/>
      <c r="AO7079" s="48" t="n"/>
    </row>
    <row r="7080">
      <c r="M7080" s="25" t="n"/>
      <c r="Q7080" s="25" t="n"/>
      <c r="U7080" s="194" t="n"/>
      <c r="AA7080" s="25" t="n"/>
      <c r="AB7080" s="25" t="n"/>
      <c r="AC7080" s="195" t="n"/>
      <c r="AD7080" s="25" t="n"/>
      <c r="AE7080" s="25" t="n"/>
      <c r="AG7080" s="25" t="n"/>
      <c r="AH7080" s="25" t="n"/>
      <c r="AI7080" s="394" t="n"/>
      <c r="AM7080" s="48" t="n"/>
      <c r="AN7080" s="48" t="n"/>
      <c r="AO7080" s="48" t="n"/>
    </row>
    <row r="7081">
      <c r="M7081" s="25" t="n"/>
      <c r="Q7081" s="25" t="n"/>
      <c r="U7081" s="194" t="n"/>
      <c r="AA7081" s="25" t="n"/>
      <c r="AB7081" s="25" t="n"/>
      <c r="AC7081" s="195" t="n"/>
      <c r="AD7081" s="25" t="n"/>
      <c r="AE7081" s="25" t="n"/>
      <c r="AG7081" s="25" t="n"/>
      <c r="AH7081" s="25" t="n"/>
      <c r="AI7081" s="394" t="n"/>
      <c r="AM7081" s="48" t="n"/>
      <c r="AN7081" s="48" t="n"/>
      <c r="AO7081" s="48" t="n"/>
    </row>
    <row r="7082">
      <c r="M7082" s="25" t="n"/>
      <c r="Q7082" s="25" t="n"/>
      <c r="U7082" s="194" t="n"/>
      <c r="AA7082" s="25" t="n"/>
      <c r="AB7082" s="25" t="n"/>
      <c r="AC7082" s="195" t="n"/>
      <c r="AD7082" s="25" t="n"/>
      <c r="AE7082" s="25" t="n"/>
      <c r="AG7082" s="25" t="n"/>
      <c r="AH7082" s="25" t="n"/>
      <c r="AI7082" s="394" t="n"/>
      <c r="AM7082" s="48" t="n"/>
      <c r="AN7082" s="48" t="n"/>
      <c r="AO7082" s="48" t="n"/>
    </row>
    <row r="7083">
      <c r="M7083" s="25" t="n"/>
      <c r="Q7083" s="25" t="n"/>
      <c r="U7083" s="194" t="n"/>
      <c r="AA7083" s="25" t="n"/>
      <c r="AB7083" s="25" t="n"/>
      <c r="AC7083" s="195" t="n"/>
      <c r="AD7083" s="25" t="n"/>
      <c r="AE7083" s="25" t="n"/>
      <c r="AG7083" s="25" t="n"/>
      <c r="AH7083" s="25" t="n"/>
      <c r="AI7083" s="394" t="n"/>
      <c r="AM7083" s="48" t="n"/>
      <c r="AN7083" s="48" t="n"/>
      <c r="AO7083" s="48" t="n"/>
    </row>
    <row r="7084">
      <c r="M7084" s="25" t="n"/>
      <c r="Q7084" s="25" t="n"/>
      <c r="U7084" s="194" t="n"/>
      <c r="AA7084" s="25" t="n"/>
      <c r="AB7084" s="25" t="n"/>
      <c r="AC7084" s="195" t="n"/>
      <c r="AD7084" s="25" t="n"/>
      <c r="AE7084" s="25" t="n"/>
      <c r="AG7084" s="25" t="n"/>
      <c r="AH7084" s="25" t="n"/>
      <c r="AI7084" s="394" t="n"/>
      <c r="AM7084" s="48" t="n"/>
      <c r="AN7084" s="48" t="n"/>
      <c r="AO7084" s="48" t="n"/>
    </row>
    <row r="7085">
      <c r="M7085" s="25" t="n"/>
      <c r="Q7085" s="25" t="n"/>
      <c r="U7085" s="194" t="n"/>
      <c r="AA7085" s="25" t="n"/>
      <c r="AB7085" s="25" t="n"/>
      <c r="AC7085" s="195" t="n"/>
      <c r="AD7085" s="25" t="n"/>
      <c r="AE7085" s="25" t="n"/>
      <c r="AG7085" s="25" t="n"/>
      <c r="AH7085" s="25" t="n"/>
      <c r="AI7085" s="394" t="n"/>
      <c r="AM7085" s="48" t="n"/>
      <c r="AN7085" s="48" t="n"/>
      <c r="AO7085" s="48" t="n"/>
    </row>
    <row r="7086">
      <c r="M7086" s="25" t="n"/>
      <c r="Q7086" s="25" t="n"/>
      <c r="U7086" s="194" t="n"/>
      <c r="AA7086" s="25" t="n"/>
      <c r="AB7086" s="25" t="n"/>
      <c r="AC7086" s="195" t="n"/>
      <c r="AD7086" s="25" t="n"/>
      <c r="AE7086" s="25" t="n"/>
      <c r="AG7086" s="25" t="n"/>
      <c r="AH7086" s="25" t="n"/>
      <c r="AI7086" s="394" t="n"/>
      <c r="AM7086" s="48" t="n"/>
      <c r="AN7086" s="48" t="n"/>
      <c r="AO7086" s="48" t="n"/>
    </row>
    <row r="7087">
      <c r="M7087" s="25" t="n"/>
      <c r="Q7087" s="25" t="n"/>
      <c r="U7087" s="194" t="n"/>
      <c r="AA7087" s="25" t="n"/>
      <c r="AB7087" s="25" t="n"/>
      <c r="AC7087" s="195" t="n"/>
      <c r="AD7087" s="25" t="n"/>
      <c r="AE7087" s="25" t="n"/>
      <c r="AG7087" s="25" t="n"/>
      <c r="AH7087" s="25" t="n"/>
      <c r="AI7087" s="394" t="n"/>
      <c r="AM7087" s="48" t="n"/>
      <c r="AN7087" s="48" t="n"/>
      <c r="AO7087" s="48" t="n"/>
    </row>
    <row r="7088">
      <c r="M7088" s="25" t="n"/>
      <c r="Q7088" s="25" t="n"/>
      <c r="U7088" s="194" t="n"/>
      <c r="AA7088" s="25" t="n"/>
      <c r="AB7088" s="25" t="n"/>
      <c r="AC7088" s="195" t="n"/>
      <c r="AD7088" s="25" t="n"/>
      <c r="AE7088" s="25" t="n"/>
      <c r="AG7088" s="25" t="n"/>
      <c r="AH7088" s="25" t="n"/>
      <c r="AI7088" s="394" t="n"/>
      <c r="AM7088" s="48" t="n"/>
      <c r="AN7088" s="48" t="n"/>
      <c r="AO7088" s="48" t="n"/>
    </row>
    <row r="7089">
      <c r="M7089" s="25" t="n"/>
      <c r="Q7089" s="25" t="n"/>
      <c r="U7089" s="194" t="n"/>
      <c r="AA7089" s="25" t="n"/>
      <c r="AB7089" s="25" t="n"/>
      <c r="AC7089" s="195" t="n"/>
      <c r="AD7089" s="25" t="n"/>
      <c r="AE7089" s="25" t="n"/>
      <c r="AG7089" s="25" t="n"/>
      <c r="AH7089" s="25" t="n"/>
      <c r="AI7089" s="394" t="n"/>
      <c r="AM7089" s="48" t="n"/>
      <c r="AN7089" s="48" t="n"/>
      <c r="AO7089" s="48" t="n"/>
    </row>
    <row r="7090">
      <c r="M7090" s="25" t="n"/>
      <c r="Q7090" s="25" t="n"/>
      <c r="U7090" s="194" t="n"/>
      <c r="AA7090" s="25" t="n"/>
      <c r="AB7090" s="25" t="n"/>
      <c r="AC7090" s="195" t="n"/>
      <c r="AD7090" s="25" t="n"/>
      <c r="AE7090" s="25" t="n"/>
      <c r="AG7090" s="25" t="n"/>
      <c r="AH7090" s="25" t="n"/>
      <c r="AI7090" s="394" t="n"/>
      <c r="AM7090" s="48" t="n"/>
      <c r="AN7090" s="48" t="n"/>
      <c r="AO7090" s="48" t="n"/>
    </row>
    <row r="7091">
      <c r="M7091" s="25" t="n"/>
      <c r="Q7091" s="25" t="n"/>
      <c r="U7091" s="194" t="n"/>
      <c r="AA7091" s="25" t="n"/>
      <c r="AB7091" s="25" t="n"/>
      <c r="AC7091" s="195" t="n"/>
      <c r="AD7091" s="25" t="n"/>
      <c r="AE7091" s="25" t="n"/>
      <c r="AG7091" s="25" t="n"/>
      <c r="AH7091" s="25" t="n"/>
      <c r="AI7091" s="394" t="n"/>
      <c r="AM7091" s="48" t="n"/>
      <c r="AN7091" s="48" t="n"/>
      <c r="AO7091" s="48" t="n"/>
    </row>
    <row r="7092">
      <c r="M7092" s="25" t="n"/>
      <c r="Q7092" s="25" t="n"/>
      <c r="U7092" s="194" t="n"/>
      <c r="AA7092" s="25" t="n"/>
      <c r="AB7092" s="25" t="n"/>
      <c r="AC7092" s="195" t="n"/>
      <c r="AD7092" s="25" t="n"/>
      <c r="AE7092" s="25" t="n"/>
      <c r="AG7092" s="25" t="n"/>
      <c r="AH7092" s="25" t="n"/>
      <c r="AI7092" s="394" t="n"/>
      <c r="AM7092" s="48" t="n"/>
      <c r="AN7092" s="48" t="n"/>
      <c r="AO7092" s="48" t="n"/>
    </row>
    <row r="7093">
      <c r="M7093" s="25" t="n"/>
      <c r="Q7093" s="25" t="n"/>
      <c r="U7093" s="194" t="n"/>
      <c r="AA7093" s="25" t="n"/>
      <c r="AB7093" s="25" t="n"/>
      <c r="AC7093" s="195" t="n"/>
      <c r="AD7093" s="25" t="n"/>
      <c r="AE7093" s="25" t="n"/>
      <c r="AG7093" s="25" t="n"/>
      <c r="AH7093" s="25" t="n"/>
      <c r="AI7093" s="394" t="n"/>
      <c r="AM7093" s="48" t="n"/>
      <c r="AN7093" s="48" t="n"/>
      <c r="AO7093" s="48" t="n"/>
    </row>
    <row r="7094">
      <c r="M7094" s="25" t="n"/>
      <c r="Q7094" s="25" t="n"/>
      <c r="U7094" s="194" t="n"/>
      <c r="AA7094" s="25" t="n"/>
      <c r="AB7094" s="25" t="n"/>
      <c r="AC7094" s="195" t="n"/>
      <c r="AD7094" s="25" t="n"/>
      <c r="AE7094" s="25" t="n"/>
      <c r="AG7094" s="25" t="n"/>
      <c r="AH7094" s="25" t="n"/>
      <c r="AI7094" s="394" t="n"/>
      <c r="AM7094" s="48" t="n"/>
      <c r="AN7094" s="48" t="n"/>
      <c r="AO7094" s="48" t="n"/>
    </row>
    <row r="7095">
      <c r="M7095" s="25" t="n"/>
      <c r="Q7095" s="25" t="n"/>
      <c r="U7095" s="194" t="n"/>
      <c r="AA7095" s="25" t="n"/>
      <c r="AB7095" s="25" t="n"/>
      <c r="AC7095" s="195" t="n"/>
      <c r="AD7095" s="25" t="n"/>
      <c r="AE7095" s="25" t="n"/>
      <c r="AG7095" s="25" t="n"/>
      <c r="AH7095" s="25" t="n"/>
      <c r="AI7095" s="394" t="n"/>
      <c r="AM7095" s="48" t="n"/>
      <c r="AN7095" s="48" t="n"/>
      <c r="AO7095" s="48" t="n"/>
    </row>
    <row r="7096">
      <c r="M7096" s="25" t="n"/>
      <c r="Q7096" s="25" t="n"/>
      <c r="U7096" s="194" t="n"/>
      <c r="AA7096" s="25" t="n"/>
      <c r="AB7096" s="25" t="n"/>
      <c r="AC7096" s="195" t="n"/>
      <c r="AD7096" s="25" t="n"/>
      <c r="AE7096" s="25" t="n"/>
      <c r="AG7096" s="25" t="n"/>
      <c r="AH7096" s="25" t="n"/>
      <c r="AI7096" s="394" t="n"/>
      <c r="AM7096" s="48" t="n"/>
      <c r="AN7096" s="48" t="n"/>
      <c r="AO7096" s="48" t="n"/>
    </row>
    <row r="7097">
      <c r="M7097" s="25" t="n"/>
      <c r="Q7097" s="25" t="n"/>
      <c r="U7097" s="194" t="n"/>
      <c r="AA7097" s="25" t="n"/>
      <c r="AB7097" s="25" t="n"/>
      <c r="AC7097" s="195" t="n"/>
      <c r="AD7097" s="25" t="n"/>
      <c r="AE7097" s="25" t="n"/>
      <c r="AG7097" s="25" t="n"/>
      <c r="AH7097" s="25" t="n"/>
      <c r="AI7097" s="394" t="n"/>
      <c r="AM7097" s="48" t="n"/>
      <c r="AN7097" s="48" t="n"/>
      <c r="AO7097" s="48" t="n"/>
    </row>
    <row r="7098">
      <c r="M7098" s="25" t="n"/>
      <c r="Q7098" s="25" t="n"/>
      <c r="U7098" s="194" t="n"/>
      <c r="AA7098" s="25" t="n"/>
      <c r="AB7098" s="25" t="n"/>
      <c r="AC7098" s="195" t="n"/>
      <c r="AD7098" s="25" t="n"/>
      <c r="AE7098" s="25" t="n"/>
      <c r="AG7098" s="25" t="n"/>
      <c r="AH7098" s="25" t="n"/>
      <c r="AI7098" s="394" t="n"/>
      <c r="AM7098" s="48" t="n"/>
      <c r="AN7098" s="48" t="n"/>
      <c r="AO7098" s="48" t="n"/>
    </row>
    <row r="7099">
      <c r="M7099" s="25" t="n"/>
      <c r="Q7099" s="25" t="n"/>
      <c r="U7099" s="194" t="n"/>
      <c r="AA7099" s="25" t="n"/>
      <c r="AB7099" s="25" t="n"/>
      <c r="AC7099" s="195" t="n"/>
      <c r="AD7099" s="25" t="n"/>
      <c r="AE7099" s="25" t="n"/>
      <c r="AG7099" s="25" t="n"/>
      <c r="AH7099" s="25" t="n"/>
      <c r="AI7099" s="394" t="n"/>
      <c r="AM7099" s="48" t="n"/>
      <c r="AN7099" s="48" t="n"/>
      <c r="AO7099" s="48" t="n"/>
    </row>
    <row r="7100">
      <c r="M7100" s="25" t="n"/>
      <c r="Q7100" s="25" t="n"/>
      <c r="U7100" s="194" t="n"/>
      <c r="AA7100" s="25" t="n"/>
      <c r="AB7100" s="25" t="n"/>
      <c r="AC7100" s="195" t="n"/>
      <c r="AD7100" s="25" t="n"/>
      <c r="AE7100" s="25" t="n"/>
      <c r="AG7100" s="25" t="n"/>
      <c r="AH7100" s="25" t="n"/>
      <c r="AI7100" s="394" t="n"/>
      <c r="AM7100" s="48" t="n"/>
      <c r="AN7100" s="48" t="n"/>
      <c r="AO7100" s="48" t="n"/>
    </row>
    <row r="7101">
      <c r="M7101" s="25" t="n"/>
      <c r="Q7101" s="25" t="n"/>
      <c r="U7101" s="194" t="n"/>
      <c r="AA7101" s="25" t="n"/>
      <c r="AB7101" s="25" t="n"/>
      <c r="AC7101" s="195" t="n"/>
      <c r="AD7101" s="25" t="n"/>
      <c r="AE7101" s="25" t="n"/>
      <c r="AG7101" s="25" t="n"/>
      <c r="AH7101" s="25" t="n"/>
      <c r="AI7101" s="394" t="n"/>
      <c r="AM7101" s="48" t="n"/>
      <c r="AN7101" s="48" t="n"/>
      <c r="AO7101" s="48" t="n"/>
    </row>
    <row r="7102">
      <c r="M7102" s="25" t="n"/>
      <c r="Q7102" s="25" t="n"/>
      <c r="U7102" s="194" t="n"/>
      <c r="AA7102" s="25" t="n"/>
      <c r="AB7102" s="25" t="n"/>
      <c r="AC7102" s="195" t="n"/>
      <c r="AD7102" s="25" t="n"/>
      <c r="AE7102" s="25" t="n"/>
      <c r="AG7102" s="25" t="n"/>
      <c r="AH7102" s="25" t="n"/>
      <c r="AI7102" s="394" t="n"/>
      <c r="AM7102" s="48" t="n"/>
      <c r="AN7102" s="48" t="n"/>
      <c r="AO7102" s="48" t="n"/>
    </row>
    <row r="7103">
      <c r="M7103" s="25" t="n"/>
      <c r="Q7103" s="25" t="n"/>
      <c r="U7103" s="194" t="n"/>
      <c r="AA7103" s="25" t="n"/>
      <c r="AB7103" s="25" t="n"/>
      <c r="AC7103" s="195" t="n"/>
      <c r="AD7103" s="25" t="n"/>
      <c r="AE7103" s="25" t="n"/>
      <c r="AG7103" s="25" t="n"/>
      <c r="AH7103" s="25" t="n"/>
      <c r="AI7103" s="394" t="n"/>
      <c r="AM7103" s="48" t="n"/>
      <c r="AN7103" s="48" t="n"/>
      <c r="AO7103" s="48" t="n"/>
    </row>
    <row r="7104">
      <c r="M7104" s="25" t="n"/>
      <c r="Q7104" s="25" t="n"/>
      <c r="U7104" s="194" t="n"/>
      <c r="AA7104" s="25" t="n"/>
      <c r="AB7104" s="25" t="n"/>
      <c r="AC7104" s="195" t="n"/>
      <c r="AD7104" s="25" t="n"/>
      <c r="AE7104" s="25" t="n"/>
      <c r="AG7104" s="25" t="n"/>
      <c r="AH7104" s="25" t="n"/>
      <c r="AI7104" s="394" t="n"/>
      <c r="AM7104" s="48" t="n"/>
      <c r="AN7104" s="48" t="n"/>
      <c r="AO7104" s="48" t="n"/>
    </row>
    <row r="7105">
      <c r="M7105" s="25" t="n"/>
      <c r="Q7105" s="25" t="n"/>
      <c r="U7105" s="194" t="n"/>
      <c r="AA7105" s="25" t="n"/>
      <c r="AB7105" s="25" t="n"/>
      <c r="AC7105" s="195" t="n"/>
      <c r="AD7105" s="25" t="n"/>
      <c r="AE7105" s="25" t="n"/>
      <c r="AG7105" s="25" t="n"/>
      <c r="AH7105" s="25" t="n"/>
      <c r="AI7105" s="394" t="n"/>
      <c r="AM7105" s="48" t="n"/>
      <c r="AN7105" s="48" t="n"/>
      <c r="AO7105" s="48" t="n"/>
    </row>
    <row r="7106">
      <c r="M7106" s="25" t="n"/>
      <c r="Q7106" s="25" t="n"/>
      <c r="U7106" s="194" t="n"/>
      <c r="AA7106" s="25" t="n"/>
      <c r="AB7106" s="25" t="n"/>
      <c r="AC7106" s="195" t="n"/>
      <c r="AD7106" s="25" t="n"/>
      <c r="AE7106" s="25" t="n"/>
      <c r="AG7106" s="25" t="n"/>
      <c r="AH7106" s="25" t="n"/>
      <c r="AI7106" s="394" t="n"/>
      <c r="AM7106" s="48" t="n"/>
      <c r="AN7106" s="48" t="n"/>
      <c r="AO7106" s="48" t="n"/>
    </row>
    <row r="7107">
      <c r="M7107" s="25" t="n"/>
      <c r="Q7107" s="25" t="n"/>
      <c r="U7107" s="194" t="n"/>
      <c r="AA7107" s="25" t="n"/>
      <c r="AB7107" s="25" t="n"/>
      <c r="AC7107" s="195" t="n"/>
      <c r="AD7107" s="25" t="n"/>
      <c r="AE7107" s="25" t="n"/>
      <c r="AG7107" s="25" t="n"/>
      <c r="AH7107" s="25" t="n"/>
      <c r="AI7107" s="394" t="n"/>
      <c r="AM7107" s="48" t="n"/>
      <c r="AN7107" s="48" t="n"/>
      <c r="AO7107" s="48" t="n"/>
    </row>
    <row r="7108">
      <c r="M7108" s="25" t="n"/>
      <c r="Q7108" s="25" t="n"/>
      <c r="U7108" s="194" t="n"/>
      <c r="AA7108" s="25" t="n"/>
      <c r="AB7108" s="25" t="n"/>
      <c r="AC7108" s="195" t="n"/>
      <c r="AD7108" s="25" t="n"/>
      <c r="AE7108" s="25" t="n"/>
      <c r="AG7108" s="25" t="n"/>
      <c r="AH7108" s="25" t="n"/>
      <c r="AI7108" s="394" t="n"/>
      <c r="AM7108" s="48" t="n"/>
      <c r="AN7108" s="48" t="n"/>
      <c r="AO7108" s="48" t="n"/>
    </row>
    <row r="7109">
      <c r="M7109" s="25" t="n"/>
      <c r="Q7109" s="25" t="n"/>
      <c r="U7109" s="194" t="n"/>
      <c r="AA7109" s="25" t="n"/>
      <c r="AB7109" s="25" t="n"/>
      <c r="AC7109" s="195" t="n"/>
      <c r="AD7109" s="25" t="n"/>
      <c r="AE7109" s="25" t="n"/>
      <c r="AG7109" s="25" t="n"/>
      <c r="AH7109" s="25" t="n"/>
      <c r="AI7109" s="394" t="n"/>
      <c r="AM7109" s="48" t="n"/>
      <c r="AN7109" s="48" t="n"/>
      <c r="AO7109" s="48" t="n"/>
    </row>
    <row r="7110">
      <c r="M7110" s="25" t="n"/>
      <c r="Q7110" s="25" t="n"/>
      <c r="U7110" s="194" t="n"/>
      <c r="AA7110" s="25" t="n"/>
      <c r="AB7110" s="25" t="n"/>
      <c r="AC7110" s="195" t="n"/>
      <c r="AD7110" s="25" t="n"/>
      <c r="AE7110" s="25" t="n"/>
      <c r="AG7110" s="25" t="n"/>
      <c r="AH7110" s="25" t="n"/>
      <c r="AI7110" s="394" t="n"/>
      <c r="AM7110" s="48" t="n"/>
      <c r="AN7110" s="48" t="n"/>
      <c r="AO7110" s="48" t="n"/>
    </row>
    <row r="7111">
      <c r="M7111" s="25" t="n"/>
      <c r="Q7111" s="25" t="n"/>
      <c r="U7111" s="194" t="n"/>
      <c r="AA7111" s="25" t="n"/>
      <c r="AB7111" s="25" t="n"/>
      <c r="AC7111" s="195" t="n"/>
      <c r="AD7111" s="25" t="n"/>
      <c r="AE7111" s="25" t="n"/>
      <c r="AG7111" s="25" t="n"/>
      <c r="AH7111" s="25" t="n"/>
      <c r="AI7111" s="394" t="n"/>
      <c r="AM7111" s="48" t="n"/>
      <c r="AN7111" s="48" t="n"/>
      <c r="AO7111" s="48" t="n"/>
    </row>
    <row r="7112">
      <c r="M7112" s="25" t="n"/>
      <c r="Q7112" s="25" t="n"/>
      <c r="U7112" s="194" t="n"/>
      <c r="AA7112" s="25" t="n"/>
      <c r="AB7112" s="25" t="n"/>
      <c r="AC7112" s="195" t="n"/>
      <c r="AD7112" s="25" t="n"/>
      <c r="AE7112" s="25" t="n"/>
      <c r="AG7112" s="25" t="n"/>
      <c r="AH7112" s="25" t="n"/>
      <c r="AI7112" s="394" t="n"/>
      <c r="AM7112" s="48" t="n"/>
      <c r="AN7112" s="48" t="n"/>
      <c r="AO7112" s="48" t="n"/>
    </row>
    <row r="7113">
      <c r="M7113" s="25" t="n"/>
      <c r="Q7113" s="25" t="n"/>
      <c r="U7113" s="194" t="n"/>
      <c r="AA7113" s="25" t="n"/>
      <c r="AB7113" s="25" t="n"/>
      <c r="AC7113" s="195" t="n"/>
      <c r="AD7113" s="25" t="n"/>
      <c r="AE7113" s="25" t="n"/>
      <c r="AG7113" s="25" t="n"/>
      <c r="AH7113" s="25" t="n"/>
      <c r="AI7113" s="394" t="n"/>
      <c r="AM7113" s="48" t="n"/>
      <c r="AN7113" s="48" t="n"/>
      <c r="AO7113" s="48" t="n"/>
    </row>
    <row r="7114">
      <c r="M7114" s="25" t="n"/>
      <c r="Q7114" s="25" t="n"/>
      <c r="U7114" s="194" t="n"/>
      <c r="AA7114" s="25" t="n"/>
      <c r="AB7114" s="25" t="n"/>
      <c r="AC7114" s="195" t="n"/>
      <c r="AD7114" s="25" t="n"/>
      <c r="AE7114" s="25" t="n"/>
      <c r="AG7114" s="25" t="n"/>
      <c r="AH7114" s="25" t="n"/>
      <c r="AI7114" s="394" t="n"/>
      <c r="AM7114" s="48" t="n"/>
      <c r="AN7114" s="48" t="n"/>
      <c r="AO7114" s="48" t="n"/>
    </row>
    <row r="7115">
      <c r="M7115" s="25" t="n"/>
      <c r="Q7115" s="25" t="n"/>
      <c r="U7115" s="194" t="n"/>
      <c r="AA7115" s="25" t="n"/>
      <c r="AB7115" s="25" t="n"/>
      <c r="AC7115" s="195" t="n"/>
      <c r="AD7115" s="25" t="n"/>
      <c r="AE7115" s="25" t="n"/>
      <c r="AG7115" s="25" t="n"/>
      <c r="AH7115" s="25" t="n"/>
      <c r="AI7115" s="394" t="n"/>
      <c r="AM7115" s="48" t="n"/>
      <c r="AN7115" s="48" t="n"/>
      <c r="AO7115" s="48" t="n"/>
    </row>
    <row r="7116">
      <c r="M7116" s="25" t="n"/>
      <c r="Q7116" s="25" t="n"/>
      <c r="U7116" s="194" t="n"/>
      <c r="AA7116" s="25" t="n"/>
      <c r="AB7116" s="25" t="n"/>
      <c r="AC7116" s="195" t="n"/>
      <c r="AD7116" s="25" t="n"/>
      <c r="AE7116" s="25" t="n"/>
      <c r="AG7116" s="25" t="n"/>
      <c r="AH7116" s="25" t="n"/>
      <c r="AI7116" s="394" t="n"/>
      <c r="AM7116" s="48" t="n"/>
      <c r="AN7116" s="48" t="n"/>
      <c r="AO7116" s="48" t="n"/>
    </row>
    <row r="7117">
      <c r="M7117" s="25" t="n"/>
      <c r="Q7117" s="25" t="n"/>
      <c r="U7117" s="194" t="n"/>
      <c r="AA7117" s="25" t="n"/>
      <c r="AB7117" s="25" t="n"/>
      <c r="AC7117" s="195" t="n"/>
      <c r="AD7117" s="25" t="n"/>
      <c r="AE7117" s="25" t="n"/>
      <c r="AG7117" s="25" t="n"/>
      <c r="AH7117" s="25" t="n"/>
      <c r="AI7117" s="394" t="n"/>
      <c r="AM7117" s="48" t="n"/>
      <c r="AN7117" s="48" t="n"/>
      <c r="AO7117" s="48" t="n"/>
    </row>
    <row r="7118">
      <c r="M7118" s="25" t="n"/>
      <c r="Q7118" s="25" t="n"/>
      <c r="U7118" s="194" t="n"/>
      <c r="AA7118" s="25" t="n"/>
      <c r="AB7118" s="25" t="n"/>
      <c r="AC7118" s="195" t="n"/>
      <c r="AD7118" s="25" t="n"/>
      <c r="AE7118" s="25" t="n"/>
      <c r="AG7118" s="25" t="n"/>
      <c r="AH7118" s="25" t="n"/>
      <c r="AI7118" s="394" t="n"/>
      <c r="AM7118" s="48" t="n"/>
      <c r="AN7118" s="48" t="n"/>
      <c r="AO7118" s="48" t="n"/>
    </row>
    <row r="7119">
      <c r="M7119" s="25" t="n"/>
      <c r="Q7119" s="25" t="n"/>
      <c r="U7119" s="194" t="n"/>
      <c r="AA7119" s="25" t="n"/>
      <c r="AB7119" s="25" t="n"/>
      <c r="AC7119" s="195" t="n"/>
      <c r="AD7119" s="25" t="n"/>
      <c r="AE7119" s="25" t="n"/>
      <c r="AG7119" s="25" t="n"/>
      <c r="AH7119" s="25" t="n"/>
      <c r="AI7119" s="394" t="n"/>
      <c r="AM7119" s="48" t="n"/>
      <c r="AN7119" s="48" t="n"/>
      <c r="AO7119" s="48" t="n"/>
    </row>
    <row r="7120">
      <c r="M7120" s="25" t="n"/>
      <c r="Q7120" s="25" t="n"/>
      <c r="U7120" s="194" t="n"/>
      <c r="AA7120" s="25" t="n"/>
      <c r="AB7120" s="25" t="n"/>
      <c r="AC7120" s="195" t="n"/>
      <c r="AD7120" s="25" t="n"/>
      <c r="AE7120" s="25" t="n"/>
      <c r="AG7120" s="25" t="n"/>
      <c r="AH7120" s="25" t="n"/>
      <c r="AI7120" s="394" t="n"/>
      <c r="AM7120" s="48" t="n"/>
      <c r="AN7120" s="48" t="n"/>
      <c r="AO7120" s="48" t="n"/>
    </row>
    <row r="7121">
      <c r="M7121" s="25" t="n"/>
      <c r="Q7121" s="25" t="n"/>
      <c r="U7121" s="194" t="n"/>
      <c r="AA7121" s="25" t="n"/>
      <c r="AB7121" s="25" t="n"/>
      <c r="AC7121" s="195" t="n"/>
      <c r="AD7121" s="25" t="n"/>
      <c r="AE7121" s="25" t="n"/>
      <c r="AG7121" s="25" t="n"/>
      <c r="AH7121" s="25" t="n"/>
      <c r="AI7121" s="394" t="n"/>
      <c r="AM7121" s="48" t="n"/>
      <c r="AN7121" s="48" t="n"/>
      <c r="AO7121" s="48" t="n"/>
    </row>
    <row r="7122">
      <c r="M7122" s="25" t="n"/>
      <c r="Q7122" s="25" t="n"/>
      <c r="U7122" s="194" t="n"/>
      <c r="AA7122" s="25" t="n"/>
      <c r="AB7122" s="25" t="n"/>
      <c r="AC7122" s="195" t="n"/>
      <c r="AD7122" s="25" t="n"/>
      <c r="AE7122" s="25" t="n"/>
      <c r="AG7122" s="25" t="n"/>
      <c r="AH7122" s="25" t="n"/>
      <c r="AI7122" s="394" t="n"/>
      <c r="AM7122" s="48" t="n"/>
      <c r="AN7122" s="48" t="n"/>
      <c r="AO7122" s="48" t="n"/>
    </row>
    <row r="7123">
      <c r="M7123" s="25" t="n"/>
      <c r="Q7123" s="25" t="n"/>
      <c r="U7123" s="194" t="n"/>
      <c r="AA7123" s="25" t="n"/>
      <c r="AB7123" s="25" t="n"/>
      <c r="AC7123" s="195" t="n"/>
      <c r="AD7123" s="25" t="n"/>
      <c r="AE7123" s="25" t="n"/>
      <c r="AG7123" s="25" t="n"/>
      <c r="AH7123" s="25" t="n"/>
      <c r="AI7123" s="394" t="n"/>
      <c r="AM7123" s="48" t="n"/>
      <c r="AN7123" s="48" t="n"/>
      <c r="AO7123" s="48" t="n"/>
    </row>
    <row r="7124">
      <c r="M7124" s="25" t="n"/>
      <c r="Q7124" s="25" t="n"/>
      <c r="U7124" s="194" t="n"/>
      <c r="AA7124" s="25" t="n"/>
      <c r="AB7124" s="25" t="n"/>
      <c r="AC7124" s="195" t="n"/>
      <c r="AD7124" s="25" t="n"/>
      <c r="AE7124" s="25" t="n"/>
      <c r="AG7124" s="25" t="n"/>
      <c r="AH7124" s="25" t="n"/>
      <c r="AI7124" s="394" t="n"/>
      <c r="AM7124" s="48" t="n"/>
      <c r="AN7124" s="48" t="n"/>
      <c r="AO7124" s="48" t="n"/>
    </row>
    <row r="7125">
      <c r="M7125" s="25" t="n"/>
      <c r="Q7125" s="25" t="n"/>
      <c r="U7125" s="194" t="n"/>
      <c r="AA7125" s="25" t="n"/>
      <c r="AB7125" s="25" t="n"/>
      <c r="AC7125" s="195" t="n"/>
      <c r="AD7125" s="25" t="n"/>
      <c r="AE7125" s="25" t="n"/>
      <c r="AG7125" s="25" t="n"/>
      <c r="AH7125" s="25" t="n"/>
      <c r="AI7125" s="394" t="n"/>
      <c r="AM7125" s="48" t="n"/>
      <c r="AN7125" s="48" t="n"/>
      <c r="AO7125" s="48" t="n"/>
    </row>
    <row r="7126">
      <c r="M7126" s="25" t="n"/>
      <c r="Q7126" s="25" t="n"/>
      <c r="U7126" s="194" t="n"/>
      <c r="AA7126" s="25" t="n"/>
      <c r="AB7126" s="25" t="n"/>
      <c r="AC7126" s="195" t="n"/>
      <c r="AD7126" s="25" t="n"/>
      <c r="AE7126" s="25" t="n"/>
      <c r="AG7126" s="25" t="n"/>
      <c r="AH7126" s="25" t="n"/>
      <c r="AI7126" s="394" t="n"/>
      <c r="AM7126" s="48" t="n"/>
      <c r="AN7126" s="48" t="n"/>
      <c r="AO7126" s="48" t="n"/>
    </row>
    <row r="7127">
      <c r="M7127" s="25" t="n"/>
      <c r="Q7127" s="25" t="n"/>
      <c r="U7127" s="194" t="n"/>
      <c r="AA7127" s="25" t="n"/>
      <c r="AB7127" s="25" t="n"/>
      <c r="AC7127" s="195" t="n"/>
      <c r="AD7127" s="25" t="n"/>
      <c r="AE7127" s="25" t="n"/>
      <c r="AG7127" s="25" t="n"/>
      <c r="AH7127" s="25" t="n"/>
      <c r="AI7127" s="394" t="n"/>
      <c r="AM7127" s="48" t="n"/>
      <c r="AN7127" s="48" t="n"/>
      <c r="AO7127" s="48" t="n"/>
    </row>
    <row r="7128">
      <c r="M7128" s="25" t="n"/>
      <c r="Q7128" s="25" t="n"/>
      <c r="U7128" s="194" t="n"/>
      <c r="AA7128" s="25" t="n"/>
      <c r="AB7128" s="25" t="n"/>
      <c r="AC7128" s="195" t="n"/>
      <c r="AD7128" s="25" t="n"/>
      <c r="AE7128" s="25" t="n"/>
      <c r="AG7128" s="25" t="n"/>
      <c r="AH7128" s="25" t="n"/>
      <c r="AI7128" s="394" t="n"/>
      <c r="AM7128" s="48" t="n"/>
      <c r="AN7128" s="48" t="n"/>
      <c r="AO7128" s="48" t="n"/>
    </row>
    <row r="7129">
      <c r="M7129" s="25" t="n"/>
      <c r="Q7129" s="25" t="n"/>
      <c r="U7129" s="194" t="n"/>
      <c r="AA7129" s="25" t="n"/>
      <c r="AB7129" s="25" t="n"/>
      <c r="AC7129" s="195" t="n"/>
      <c r="AD7129" s="25" t="n"/>
      <c r="AE7129" s="25" t="n"/>
      <c r="AG7129" s="25" t="n"/>
      <c r="AH7129" s="25" t="n"/>
      <c r="AI7129" s="394" t="n"/>
      <c r="AM7129" s="48" t="n"/>
      <c r="AN7129" s="48" t="n"/>
      <c r="AO7129" s="48" t="n"/>
    </row>
    <row r="7130">
      <c r="M7130" s="25" t="n"/>
      <c r="Q7130" s="25" t="n"/>
      <c r="U7130" s="194" t="n"/>
      <c r="AA7130" s="25" t="n"/>
      <c r="AB7130" s="25" t="n"/>
      <c r="AC7130" s="195" t="n"/>
      <c r="AD7130" s="25" t="n"/>
      <c r="AE7130" s="25" t="n"/>
      <c r="AG7130" s="25" t="n"/>
      <c r="AH7130" s="25" t="n"/>
      <c r="AI7130" s="394" t="n"/>
      <c r="AM7130" s="48" t="n"/>
      <c r="AN7130" s="48" t="n"/>
      <c r="AO7130" s="48" t="n"/>
    </row>
    <row r="7131">
      <c r="M7131" s="25" t="n"/>
      <c r="Q7131" s="25" t="n"/>
      <c r="U7131" s="194" t="n"/>
      <c r="AA7131" s="25" t="n"/>
      <c r="AB7131" s="25" t="n"/>
      <c r="AC7131" s="195" t="n"/>
      <c r="AD7131" s="25" t="n"/>
      <c r="AE7131" s="25" t="n"/>
      <c r="AG7131" s="25" t="n"/>
      <c r="AH7131" s="25" t="n"/>
      <c r="AI7131" s="394" t="n"/>
      <c r="AM7131" s="48" t="n"/>
      <c r="AN7131" s="48" t="n"/>
      <c r="AO7131" s="48" t="n"/>
    </row>
    <row r="7132">
      <c r="M7132" s="25" t="n"/>
      <c r="Q7132" s="25" t="n"/>
      <c r="U7132" s="194" t="n"/>
      <c r="AA7132" s="25" t="n"/>
      <c r="AB7132" s="25" t="n"/>
      <c r="AC7132" s="195" t="n"/>
      <c r="AD7132" s="25" t="n"/>
      <c r="AE7132" s="25" t="n"/>
      <c r="AG7132" s="25" t="n"/>
      <c r="AH7132" s="25" t="n"/>
      <c r="AI7132" s="394" t="n"/>
      <c r="AM7132" s="48" t="n"/>
      <c r="AN7132" s="48" t="n"/>
      <c r="AO7132" s="48" t="n"/>
    </row>
    <row r="7133">
      <c r="M7133" s="25" t="n"/>
      <c r="Q7133" s="25" t="n"/>
      <c r="U7133" s="194" t="n"/>
      <c r="AA7133" s="25" t="n"/>
      <c r="AB7133" s="25" t="n"/>
      <c r="AC7133" s="195" t="n"/>
      <c r="AD7133" s="25" t="n"/>
      <c r="AE7133" s="25" t="n"/>
      <c r="AG7133" s="25" t="n"/>
      <c r="AH7133" s="25" t="n"/>
      <c r="AI7133" s="394" t="n"/>
      <c r="AM7133" s="48" t="n"/>
      <c r="AN7133" s="48" t="n"/>
      <c r="AO7133" s="48" t="n"/>
    </row>
    <row r="7134">
      <c r="M7134" s="25" t="n"/>
      <c r="Q7134" s="25" t="n"/>
      <c r="U7134" s="194" t="n"/>
      <c r="AA7134" s="25" t="n"/>
      <c r="AB7134" s="25" t="n"/>
      <c r="AC7134" s="195" t="n"/>
      <c r="AD7134" s="25" t="n"/>
      <c r="AE7134" s="25" t="n"/>
      <c r="AG7134" s="25" t="n"/>
      <c r="AH7134" s="25" t="n"/>
      <c r="AI7134" s="394" t="n"/>
      <c r="AM7134" s="48" t="n"/>
      <c r="AN7134" s="48" t="n"/>
      <c r="AO7134" s="48" t="n"/>
    </row>
    <row r="7135">
      <c r="M7135" s="25" t="n"/>
      <c r="Q7135" s="25" t="n"/>
      <c r="U7135" s="194" t="n"/>
      <c r="AA7135" s="25" t="n"/>
      <c r="AB7135" s="25" t="n"/>
      <c r="AC7135" s="195" t="n"/>
      <c r="AD7135" s="25" t="n"/>
      <c r="AE7135" s="25" t="n"/>
      <c r="AG7135" s="25" t="n"/>
      <c r="AH7135" s="25" t="n"/>
      <c r="AI7135" s="394" t="n"/>
      <c r="AM7135" s="48" t="n"/>
      <c r="AN7135" s="48" t="n"/>
      <c r="AO7135" s="48" t="n"/>
    </row>
    <row r="7136">
      <c r="M7136" s="25" t="n"/>
      <c r="Q7136" s="25" t="n"/>
      <c r="U7136" s="194" t="n"/>
      <c r="AA7136" s="25" t="n"/>
      <c r="AB7136" s="25" t="n"/>
      <c r="AC7136" s="195" t="n"/>
      <c r="AD7136" s="25" t="n"/>
      <c r="AE7136" s="25" t="n"/>
      <c r="AG7136" s="25" t="n"/>
      <c r="AH7136" s="25" t="n"/>
      <c r="AI7136" s="394" t="n"/>
      <c r="AM7136" s="48" t="n"/>
      <c r="AN7136" s="48" t="n"/>
      <c r="AO7136" s="48" t="n"/>
    </row>
    <row r="7137">
      <c r="M7137" s="25" t="n"/>
      <c r="Q7137" s="25" t="n"/>
      <c r="U7137" s="194" t="n"/>
      <c r="AA7137" s="25" t="n"/>
      <c r="AB7137" s="25" t="n"/>
      <c r="AC7137" s="195" t="n"/>
      <c r="AD7137" s="25" t="n"/>
      <c r="AE7137" s="25" t="n"/>
      <c r="AG7137" s="25" t="n"/>
      <c r="AH7137" s="25" t="n"/>
      <c r="AI7137" s="394" t="n"/>
      <c r="AM7137" s="48" t="n"/>
      <c r="AN7137" s="48" t="n"/>
      <c r="AO7137" s="48" t="n"/>
    </row>
    <row r="7138">
      <c r="M7138" s="25" t="n"/>
      <c r="Q7138" s="25" t="n"/>
      <c r="U7138" s="194" t="n"/>
      <c r="AA7138" s="25" t="n"/>
      <c r="AB7138" s="25" t="n"/>
      <c r="AC7138" s="195" t="n"/>
      <c r="AD7138" s="25" t="n"/>
      <c r="AE7138" s="25" t="n"/>
      <c r="AG7138" s="25" t="n"/>
      <c r="AH7138" s="25" t="n"/>
      <c r="AI7138" s="394" t="n"/>
      <c r="AM7138" s="48" t="n"/>
      <c r="AN7138" s="48" t="n"/>
      <c r="AO7138" s="48" t="n"/>
    </row>
    <row r="7139">
      <c r="M7139" s="25" t="n"/>
      <c r="Q7139" s="25" t="n"/>
      <c r="U7139" s="194" t="n"/>
      <c r="AA7139" s="25" t="n"/>
      <c r="AB7139" s="25" t="n"/>
      <c r="AC7139" s="195" t="n"/>
      <c r="AD7139" s="25" t="n"/>
      <c r="AE7139" s="25" t="n"/>
      <c r="AG7139" s="25" t="n"/>
      <c r="AH7139" s="25" t="n"/>
      <c r="AI7139" s="394" t="n"/>
      <c r="AM7139" s="48" t="n"/>
      <c r="AN7139" s="48" t="n"/>
      <c r="AO7139" s="48" t="n"/>
    </row>
    <row r="7140">
      <c r="M7140" s="25" t="n"/>
      <c r="Q7140" s="25" t="n"/>
      <c r="U7140" s="194" t="n"/>
      <c r="AA7140" s="25" t="n"/>
      <c r="AB7140" s="25" t="n"/>
      <c r="AC7140" s="195" t="n"/>
      <c r="AD7140" s="25" t="n"/>
      <c r="AE7140" s="25" t="n"/>
      <c r="AG7140" s="25" t="n"/>
      <c r="AH7140" s="25" t="n"/>
      <c r="AI7140" s="394" t="n"/>
      <c r="AM7140" s="48" t="n"/>
      <c r="AN7140" s="48" t="n"/>
      <c r="AO7140" s="48" t="n"/>
    </row>
    <row r="7141">
      <c r="M7141" s="25" t="n"/>
      <c r="Q7141" s="25" t="n"/>
      <c r="U7141" s="194" t="n"/>
      <c r="AA7141" s="25" t="n"/>
      <c r="AB7141" s="25" t="n"/>
      <c r="AC7141" s="195" t="n"/>
      <c r="AD7141" s="25" t="n"/>
      <c r="AE7141" s="25" t="n"/>
      <c r="AG7141" s="25" t="n"/>
      <c r="AH7141" s="25" t="n"/>
      <c r="AI7141" s="394" t="n"/>
      <c r="AM7141" s="48" t="n"/>
      <c r="AN7141" s="48" t="n"/>
      <c r="AO7141" s="48" t="n"/>
    </row>
    <row r="7142">
      <c r="M7142" s="25" t="n"/>
      <c r="Q7142" s="25" t="n"/>
      <c r="U7142" s="194" t="n"/>
      <c r="AA7142" s="25" t="n"/>
      <c r="AB7142" s="25" t="n"/>
      <c r="AC7142" s="195" t="n"/>
      <c r="AD7142" s="25" t="n"/>
      <c r="AE7142" s="25" t="n"/>
      <c r="AG7142" s="25" t="n"/>
      <c r="AH7142" s="25" t="n"/>
      <c r="AI7142" s="394" t="n"/>
      <c r="AM7142" s="48" t="n"/>
      <c r="AN7142" s="48" t="n"/>
      <c r="AO7142" s="48" t="n"/>
    </row>
    <row r="7143">
      <c r="M7143" s="25" t="n"/>
      <c r="Q7143" s="25" t="n"/>
      <c r="U7143" s="194" t="n"/>
      <c r="AA7143" s="25" t="n"/>
      <c r="AB7143" s="25" t="n"/>
      <c r="AC7143" s="195" t="n"/>
      <c r="AD7143" s="25" t="n"/>
      <c r="AE7143" s="25" t="n"/>
      <c r="AG7143" s="25" t="n"/>
      <c r="AH7143" s="25" t="n"/>
      <c r="AI7143" s="394" t="n"/>
      <c r="AM7143" s="48" t="n"/>
      <c r="AN7143" s="48" t="n"/>
      <c r="AO7143" s="48" t="n"/>
    </row>
    <row r="7144">
      <c r="M7144" s="25" t="n"/>
      <c r="Q7144" s="25" t="n"/>
      <c r="U7144" s="194" t="n"/>
      <c r="AA7144" s="25" t="n"/>
      <c r="AB7144" s="25" t="n"/>
      <c r="AC7144" s="195" t="n"/>
      <c r="AD7144" s="25" t="n"/>
      <c r="AE7144" s="25" t="n"/>
      <c r="AG7144" s="25" t="n"/>
      <c r="AH7144" s="25" t="n"/>
      <c r="AI7144" s="394" t="n"/>
      <c r="AM7144" s="48" t="n"/>
      <c r="AN7144" s="48" t="n"/>
      <c r="AO7144" s="48" t="n"/>
    </row>
    <row r="7145">
      <c r="M7145" s="25" t="n"/>
      <c r="Q7145" s="25" t="n"/>
      <c r="U7145" s="194" t="n"/>
      <c r="AA7145" s="25" t="n"/>
      <c r="AB7145" s="25" t="n"/>
      <c r="AC7145" s="195" t="n"/>
      <c r="AD7145" s="25" t="n"/>
      <c r="AE7145" s="25" t="n"/>
      <c r="AG7145" s="25" t="n"/>
      <c r="AH7145" s="25" t="n"/>
      <c r="AI7145" s="394" t="n"/>
      <c r="AM7145" s="48" t="n"/>
      <c r="AN7145" s="48" t="n"/>
      <c r="AO7145" s="48" t="n"/>
    </row>
    <row r="7146">
      <c r="M7146" s="25" t="n"/>
      <c r="Q7146" s="25" t="n"/>
      <c r="U7146" s="194" t="n"/>
      <c r="AA7146" s="25" t="n"/>
      <c r="AB7146" s="25" t="n"/>
      <c r="AC7146" s="195" t="n"/>
      <c r="AD7146" s="25" t="n"/>
      <c r="AE7146" s="25" t="n"/>
      <c r="AG7146" s="25" t="n"/>
      <c r="AH7146" s="25" t="n"/>
      <c r="AI7146" s="394" t="n"/>
      <c r="AM7146" s="48" t="n"/>
      <c r="AN7146" s="48" t="n"/>
      <c r="AO7146" s="48" t="n"/>
    </row>
    <row r="7147">
      <c r="M7147" s="25" t="n"/>
      <c r="Q7147" s="25" t="n"/>
      <c r="U7147" s="194" t="n"/>
      <c r="AA7147" s="25" t="n"/>
      <c r="AB7147" s="25" t="n"/>
      <c r="AC7147" s="195" t="n"/>
      <c r="AD7147" s="25" t="n"/>
      <c r="AE7147" s="25" t="n"/>
      <c r="AG7147" s="25" t="n"/>
      <c r="AH7147" s="25" t="n"/>
      <c r="AI7147" s="394" t="n"/>
      <c r="AM7147" s="48" t="n"/>
      <c r="AN7147" s="48" t="n"/>
      <c r="AO7147" s="48" t="n"/>
    </row>
    <row r="7148">
      <c r="M7148" s="25" t="n"/>
      <c r="Q7148" s="25" t="n"/>
      <c r="U7148" s="194" t="n"/>
      <c r="AA7148" s="25" t="n"/>
      <c r="AB7148" s="25" t="n"/>
      <c r="AC7148" s="195" t="n"/>
      <c r="AD7148" s="25" t="n"/>
      <c r="AE7148" s="25" t="n"/>
      <c r="AG7148" s="25" t="n"/>
      <c r="AH7148" s="25" t="n"/>
      <c r="AI7148" s="394" t="n"/>
      <c r="AM7148" s="48" t="n"/>
      <c r="AN7148" s="48" t="n"/>
      <c r="AO7148" s="48" t="n"/>
    </row>
    <row r="7149">
      <c r="M7149" s="25" t="n"/>
      <c r="Q7149" s="25" t="n"/>
      <c r="U7149" s="194" t="n"/>
      <c r="AA7149" s="25" t="n"/>
      <c r="AB7149" s="25" t="n"/>
      <c r="AC7149" s="195" t="n"/>
      <c r="AD7149" s="25" t="n"/>
      <c r="AE7149" s="25" t="n"/>
      <c r="AG7149" s="25" t="n"/>
      <c r="AH7149" s="25" t="n"/>
      <c r="AI7149" s="394" t="n"/>
      <c r="AM7149" s="48" t="n"/>
      <c r="AN7149" s="48" t="n"/>
      <c r="AO7149" s="48" t="n"/>
    </row>
    <row r="7150">
      <c r="M7150" s="25" t="n"/>
      <c r="Q7150" s="25" t="n"/>
      <c r="U7150" s="194" t="n"/>
      <c r="AA7150" s="25" t="n"/>
      <c r="AB7150" s="25" t="n"/>
      <c r="AC7150" s="195" t="n"/>
      <c r="AD7150" s="25" t="n"/>
      <c r="AE7150" s="25" t="n"/>
      <c r="AG7150" s="25" t="n"/>
      <c r="AH7150" s="25" t="n"/>
      <c r="AI7150" s="394" t="n"/>
      <c r="AM7150" s="48" t="n"/>
      <c r="AN7150" s="48" t="n"/>
      <c r="AO7150" s="48" t="n"/>
    </row>
    <row r="7151">
      <c r="M7151" s="25" t="n"/>
      <c r="Q7151" s="25" t="n"/>
      <c r="U7151" s="194" t="n"/>
      <c r="AA7151" s="25" t="n"/>
      <c r="AB7151" s="25" t="n"/>
      <c r="AC7151" s="195" t="n"/>
      <c r="AD7151" s="25" t="n"/>
      <c r="AE7151" s="25" t="n"/>
      <c r="AG7151" s="25" t="n"/>
      <c r="AH7151" s="25" t="n"/>
      <c r="AI7151" s="394" t="n"/>
      <c r="AM7151" s="48" t="n"/>
      <c r="AN7151" s="48" t="n"/>
      <c r="AO7151" s="48" t="n"/>
    </row>
    <row r="7152">
      <c r="M7152" s="25" t="n"/>
      <c r="Q7152" s="25" t="n"/>
      <c r="U7152" s="194" t="n"/>
      <c r="AA7152" s="25" t="n"/>
      <c r="AB7152" s="25" t="n"/>
      <c r="AC7152" s="195" t="n"/>
      <c r="AD7152" s="25" t="n"/>
      <c r="AE7152" s="25" t="n"/>
      <c r="AG7152" s="25" t="n"/>
      <c r="AH7152" s="25" t="n"/>
      <c r="AI7152" s="394" t="n"/>
      <c r="AM7152" s="48" t="n"/>
      <c r="AN7152" s="48" t="n"/>
      <c r="AO7152" s="48" t="n"/>
    </row>
    <row r="7153">
      <c r="M7153" s="25" t="n"/>
      <c r="Q7153" s="25" t="n"/>
      <c r="U7153" s="194" t="n"/>
      <c r="AA7153" s="25" t="n"/>
      <c r="AB7153" s="25" t="n"/>
      <c r="AC7153" s="195" t="n"/>
      <c r="AD7153" s="25" t="n"/>
      <c r="AE7153" s="25" t="n"/>
      <c r="AG7153" s="25" t="n"/>
      <c r="AH7153" s="25" t="n"/>
      <c r="AI7153" s="394" t="n"/>
      <c r="AM7153" s="48" t="n"/>
      <c r="AN7153" s="48" t="n"/>
      <c r="AO7153" s="48" t="n"/>
    </row>
    <row r="7154">
      <c r="M7154" s="25" t="n"/>
      <c r="Q7154" s="25" t="n"/>
      <c r="U7154" s="194" t="n"/>
      <c r="AA7154" s="25" t="n"/>
      <c r="AB7154" s="25" t="n"/>
      <c r="AC7154" s="195" t="n"/>
      <c r="AD7154" s="25" t="n"/>
      <c r="AE7154" s="25" t="n"/>
      <c r="AG7154" s="25" t="n"/>
      <c r="AH7154" s="25" t="n"/>
      <c r="AI7154" s="394" t="n"/>
      <c r="AM7154" s="48" t="n"/>
      <c r="AN7154" s="48" t="n"/>
      <c r="AO7154" s="48" t="n"/>
    </row>
    <row r="7155">
      <c r="M7155" s="25" t="n"/>
      <c r="Q7155" s="25" t="n"/>
      <c r="U7155" s="194" t="n"/>
      <c r="AA7155" s="25" t="n"/>
      <c r="AB7155" s="25" t="n"/>
      <c r="AC7155" s="195" t="n"/>
      <c r="AD7155" s="25" t="n"/>
      <c r="AE7155" s="25" t="n"/>
      <c r="AG7155" s="25" t="n"/>
      <c r="AH7155" s="25" t="n"/>
      <c r="AI7155" s="394" t="n"/>
      <c r="AM7155" s="48" t="n"/>
      <c r="AN7155" s="48" t="n"/>
      <c r="AO7155" s="48" t="n"/>
    </row>
    <row r="7156">
      <c r="M7156" s="25" t="n"/>
      <c r="Q7156" s="25" t="n"/>
      <c r="U7156" s="194" t="n"/>
      <c r="AA7156" s="25" t="n"/>
      <c r="AB7156" s="25" t="n"/>
      <c r="AC7156" s="195" t="n"/>
      <c r="AD7156" s="25" t="n"/>
      <c r="AE7156" s="25" t="n"/>
      <c r="AG7156" s="25" t="n"/>
      <c r="AH7156" s="25" t="n"/>
      <c r="AI7156" s="394" t="n"/>
      <c r="AM7156" s="48" t="n"/>
      <c r="AN7156" s="48" t="n"/>
      <c r="AO7156" s="48" t="n"/>
    </row>
    <row r="7157">
      <c r="M7157" s="25" t="n"/>
      <c r="Q7157" s="25" t="n"/>
      <c r="U7157" s="194" t="n"/>
      <c r="AA7157" s="25" t="n"/>
      <c r="AB7157" s="25" t="n"/>
      <c r="AC7157" s="195" t="n"/>
      <c r="AD7157" s="25" t="n"/>
      <c r="AE7157" s="25" t="n"/>
      <c r="AG7157" s="25" t="n"/>
      <c r="AH7157" s="25" t="n"/>
      <c r="AI7157" s="394" t="n"/>
      <c r="AM7157" s="48" t="n"/>
      <c r="AN7157" s="48" t="n"/>
      <c r="AO7157" s="48" t="n"/>
    </row>
    <row r="7158">
      <c r="M7158" s="25" t="n"/>
      <c r="Q7158" s="25" t="n"/>
      <c r="U7158" s="194" t="n"/>
      <c r="AA7158" s="25" t="n"/>
      <c r="AB7158" s="25" t="n"/>
      <c r="AC7158" s="195" t="n"/>
      <c r="AD7158" s="25" t="n"/>
      <c r="AE7158" s="25" t="n"/>
      <c r="AG7158" s="25" t="n"/>
      <c r="AH7158" s="25" t="n"/>
      <c r="AI7158" s="394" t="n"/>
      <c r="AM7158" s="48" t="n"/>
      <c r="AN7158" s="48" t="n"/>
      <c r="AO7158" s="48" t="n"/>
    </row>
    <row r="7159">
      <c r="M7159" s="25" t="n"/>
      <c r="Q7159" s="25" t="n"/>
      <c r="U7159" s="194" t="n"/>
      <c r="AA7159" s="25" t="n"/>
      <c r="AB7159" s="25" t="n"/>
      <c r="AC7159" s="195" t="n"/>
      <c r="AD7159" s="25" t="n"/>
      <c r="AE7159" s="25" t="n"/>
      <c r="AG7159" s="25" t="n"/>
      <c r="AH7159" s="25" t="n"/>
      <c r="AI7159" s="394" t="n"/>
      <c r="AM7159" s="48" t="n"/>
      <c r="AN7159" s="48" t="n"/>
      <c r="AO7159" s="48" t="n"/>
    </row>
    <row r="7160">
      <c r="M7160" s="25" t="n"/>
      <c r="Q7160" s="25" t="n"/>
      <c r="U7160" s="194" t="n"/>
      <c r="AA7160" s="25" t="n"/>
      <c r="AB7160" s="25" t="n"/>
      <c r="AC7160" s="195" t="n"/>
      <c r="AD7160" s="25" t="n"/>
      <c r="AE7160" s="25" t="n"/>
      <c r="AG7160" s="25" t="n"/>
      <c r="AH7160" s="25" t="n"/>
      <c r="AI7160" s="394" t="n"/>
      <c r="AM7160" s="48" t="n"/>
      <c r="AN7160" s="48" t="n"/>
      <c r="AO7160" s="48" t="n"/>
    </row>
    <row r="7161">
      <c r="M7161" s="25" t="n"/>
      <c r="Q7161" s="25" t="n"/>
      <c r="U7161" s="194" t="n"/>
      <c r="AA7161" s="25" t="n"/>
      <c r="AB7161" s="25" t="n"/>
      <c r="AC7161" s="195" t="n"/>
      <c r="AD7161" s="25" t="n"/>
      <c r="AE7161" s="25" t="n"/>
      <c r="AG7161" s="25" t="n"/>
      <c r="AH7161" s="25" t="n"/>
      <c r="AI7161" s="394" t="n"/>
      <c r="AM7161" s="48" t="n"/>
      <c r="AN7161" s="48" t="n"/>
      <c r="AO7161" s="48" t="n"/>
    </row>
    <row r="7162">
      <c r="M7162" s="25" t="n"/>
      <c r="Q7162" s="25" t="n"/>
      <c r="U7162" s="194" t="n"/>
      <c r="AA7162" s="25" t="n"/>
      <c r="AB7162" s="25" t="n"/>
      <c r="AC7162" s="195" t="n"/>
      <c r="AD7162" s="25" t="n"/>
      <c r="AE7162" s="25" t="n"/>
      <c r="AG7162" s="25" t="n"/>
      <c r="AH7162" s="25" t="n"/>
      <c r="AI7162" s="394" t="n"/>
      <c r="AM7162" s="48" t="n"/>
      <c r="AN7162" s="48" t="n"/>
      <c r="AO7162" s="48" t="n"/>
    </row>
    <row r="7163">
      <c r="M7163" s="25" t="n"/>
      <c r="Q7163" s="25" t="n"/>
      <c r="U7163" s="194" t="n"/>
      <c r="AA7163" s="25" t="n"/>
      <c r="AB7163" s="25" t="n"/>
      <c r="AC7163" s="195" t="n"/>
      <c r="AD7163" s="25" t="n"/>
      <c r="AE7163" s="25" t="n"/>
      <c r="AG7163" s="25" t="n"/>
      <c r="AH7163" s="25" t="n"/>
      <c r="AI7163" s="394" t="n"/>
      <c r="AM7163" s="48" t="n"/>
      <c r="AN7163" s="48" t="n"/>
      <c r="AO7163" s="48" t="n"/>
    </row>
    <row r="7164">
      <c r="M7164" s="25" t="n"/>
      <c r="Q7164" s="25" t="n"/>
      <c r="U7164" s="194" t="n"/>
      <c r="AA7164" s="25" t="n"/>
      <c r="AB7164" s="25" t="n"/>
      <c r="AC7164" s="195" t="n"/>
      <c r="AD7164" s="25" t="n"/>
      <c r="AE7164" s="25" t="n"/>
      <c r="AG7164" s="25" t="n"/>
      <c r="AH7164" s="25" t="n"/>
      <c r="AI7164" s="394" t="n"/>
      <c r="AM7164" s="48" t="n"/>
      <c r="AN7164" s="48" t="n"/>
      <c r="AO7164" s="48" t="n"/>
    </row>
    <row r="7165">
      <c r="M7165" s="25" t="n"/>
      <c r="Q7165" s="25" t="n"/>
      <c r="U7165" s="194" t="n"/>
      <c r="AA7165" s="25" t="n"/>
      <c r="AB7165" s="25" t="n"/>
      <c r="AC7165" s="195" t="n"/>
      <c r="AD7165" s="25" t="n"/>
      <c r="AE7165" s="25" t="n"/>
      <c r="AG7165" s="25" t="n"/>
      <c r="AH7165" s="25" t="n"/>
      <c r="AI7165" s="394" t="n"/>
      <c r="AM7165" s="48" t="n"/>
      <c r="AN7165" s="48" t="n"/>
      <c r="AO7165" s="48" t="n"/>
    </row>
    <row r="7166">
      <c r="M7166" s="25" t="n"/>
      <c r="Q7166" s="25" t="n"/>
      <c r="U7166" s="194" t="n"/>
      <c r="AA7166" s="25" t="n"/>
      <c r="AB7166" s="25" t="n"/>
      <c r="AC7166" s="195" t="n"/>
      <c r="AD7166" s="25" t="n"/>
      <c r="AE7166" s="25" t="n"/>
      <c r="AG7166" s="25" t="n"/>
      <c r="AH7166" s="25" t="n"/>
      <c r="AI7166" s="394" t="n"/>
      <c r="AM7166" s="48" t="n"/>
      <c r="AN7166" s="48" t="n"/>
      <c r="AO7166" s="48" t="n"/>
    </row>
    <row r="7167">
      <c r="M7167" s="25" t="n"/>
      <c r="Q7167" s="25" t="n"/>
      <c r="U7167" s="194" t="n"/>
      <c r="AA7167" s="25" t="n"/>
      <c r="AB7167" s="25" t="n"/>
      <c r="AC7167" s="195" t="n"/>
      <c r="AD7167" s="25" t="n"/>
      <c r="AE7167" s="25" t="n"/>
      <c r="AG7167" s="25" t="n"/>
      <c r="AH7167" s="25" t="n"/>
      <c r="AI7167" s="394" t="n"/>
      <c r="AM7167" s="48" t="n"/>
      <c r="AN7167" s="48" t="n"/>
      <c r="AO7167" s="48" t="n"/>
    </row>
    <row r="7168">
      <c r="M7168" s="25" t="n"/>
      <c r="Q7168" s="25" t="n"/>
      <c r="U7168" s="194" t="n"/>
      <c r="AA7168" s="25" t="n"/>
      <c r="AB7168" s="25" t="n"/>
      <c r="AC7168" s="195" t="n"/>
      <c r="AD7168" s="25" t="n"/>
      <c r="AE7168" s="25" t="n"/>
      <c r="AG7168" s="25" t="n"/>
      <c r="AH7168" s="25" t="n"/>
      <c r="AI7168" s="394" t="n"/>
      <c r="AM7168" s="48" t="n"/>
      <c r="AN7168" s="48" t="n"/>
      <c r="AO7168" s="48" t="n"/>
    </row>
    <row r="7169">
      <c r="M7169" s="25" t="n"/>
      <c r="Q7169" s="25" t="n"/>
      <c r="U7169" s="194" t="n"/>
      <c r="AA7169" s="25" t="n"/>
      <c r="AB7169" s="25" t="n"/>
      <c r="AC7169" s="195" t="n"/>
      <c r="AD7169" s="25" t="n"/>
      <c r="AE7169" s="25" t="n"/>
      <c r="AG7169" s="25" t="n"/>
      <c r="AH7169" s="25" t="n"/>
      <c r="AI7169" s="394" t="n"/>
      <c r="AM7169" s="48" t="n"/>
      <c r="AN7169" s="48" t="n"/>
      <c r="AO7169" s="48" t="n"/>
    </row>
    <row r="7170">
      <c r="M7170" s="25" t="n"/>
      <c r="Q7170" s="25" t="n"/>
      <c r="U7170" s="194" t="n"/>
      <c r="AA7170" s="25" t="n"/>
      <c r="AB7170" s="25" t="n"/>
      <c r="AC7170" s="195" t="n"/>
      <c r="AD7170" s="25" t="n"/>
      <c r="AE7170" s="25" t="n"/>
      <c r="AG7170" s="25" t="n"/>
      <c r="AH7170" s="25" t="n"/>
      <c r="AI7170" s="394" t="n"/>
      <c r="AM7170" s="48" t="n"/>
      <c r="AN7170" s="48" t="n"/>
      <c r="AO7170" s="48" t="n"/>
    </row>
    <row r="7171">
      <c r="M7171" s="25" t="n"/>
      <c r="Q7171" s="25" t="n"/>
      <c r="U7171" s="194" t="n"/>
      <c r="AA7171" s="25" t="n"/>
      <c r="AB7171" s="25" t="n"/>
      <c r="AC7171" s="195" t="n"/>
      <c r="AD7171" s="25" t="n"/>
      <c r="AE7171" s="25" t="n"/>
      <c r="AG7171" s="25" t="n"/>
      <c r="AH7171" s="25" t="n"/>
      <c r="AI7171" s="394" t="n"/>
      <c r="AM7171" s="48" t="n"/>
      <c r="AN7171" s="48" t="n"/>
      <c r="AO7171" s="48" t="n"/>
    </row>
    <row r="7172">
      <c r="M7172" s="25" t="n"/>
      <c r="Q7172" s="25" t="n"/>
      <c r="U7172" s="194" t="n"/>
      <c r="AA7172" s="25" t="n"/>
      <c r="AB7172" s="25" t="n"/>
      <c r="AC7172" s="195" t="n"/>
      <c r="AD7172" s="25" t="n"/>
      <c r="AE7172" s="25" t="n"/>
      <c r="AG7172" s="25" t="n"/>
      <c r="AH7172" s="25" t="n"/>
      <c r="AI7172" s="394" t="n"/>
      <c r="AM7172" s="48" t="n"/>
      <c r="AN7172" s="48" t="n"/>
      <c r="AO7172" s="48" t="n"/>
    </row>
    <row r="7173">
      <c r="M7173" s="25" t="n"/>
      <c r="Q7173" s="25" t="n"/>
      <c r="U7173" s="194" t="n"/>
      <c r="AA7173" s="25" t="n"/>
      <c r="AB7173" s="25" t="n"/>
      <c r="AC7173" s="195" t="n"/>
      <c r="AD7173" s="25" t="n"/>
      <c r="AE7173" s="25" t="n"/>
      <c r="AG7173" s="25" t="n"/>
      <c r="AH7173" s="25" t="n"/>
      <c r="AI7173" s="394" t="n"/>
      <c r="AM7173" s="48" t="n"/>
      <c r="AN7173" s="48" t="n"/>
      <c r="AO7173" s="48" t="n"/>
    </row>
    <row r="7174">
      <c r="M7174" s="25" t="n"/>
      <c r="Q7174" s="25" t="n"/>
      <c r="U7174" s="194" t="n"/>
      <c r="AA7174" s="25" t="n"/>
      <c r="AB7174" s="25" t="n"/>
      <c r="AC7174" s="195" t="n"/>
      <c r="AD7174" s="25" t="n"/>
      <c r="AE7174" s="25" t="n"/>
      <c r="AG7174" s="25" t="n"/>
      <c r="AH7174" s="25" t="n"/>
      <c r="AI7174" s="394" t="n"/>
      <c r="AM7174" s="48" t="n"/>
      <c r="AN7174" s="48" t="n"/>
      <c r="AO7174" s="48" t="n"/>
    </row>
    <row r="7175">
      <c r="M7175" s="25" t="n"/>
      <c r="Q7175" s="25" t="n"/>
      <c r="U7175" s="194" t="n"/>
      <c r="AA7175" s="25" t="n"/>
      <c r="AB7175" s="25" t="n"/>
      <c r="AC7175" s="195" t="n"/>
      <c r="AD7175" s="25" t="n"/>
      <c r="AE7175" s="25" t="n"/>
      <c r="AG7175" s="25" t="n"/>
      <c r="AH7175" s="25" t="n"/>
      <c r="AI7175" s="394" t="n"/>
      <c r="AM7175" s="48" t="n"/>
      <c r="AN7175" s="48" t="n"/>
      <c r="AO7175" s="48" t="n"/>
    </row>
    <row r="7176">
      <c r="M7176" s="25" t="n"/>
      <c r="Q7176" s="25" t="n"/>
      <c r="U7176" s="194" t="n"/>
      <c r="AA7176" s="25" t="n"/>
      <c r="AB7176" s="25" t="n"/>
      <c r="AC7176" s="195" t="n"/>
      <c r="AD7176" s="25" t="n"/>
      <c r="AE7176" s="25" t="n"/>
      <c r="AG7176" s="25" t="n"/>
      <c r="AH7176" s="25" t="n"/>
      <c r="AI7176" s="394" t="n"/>
      <c r="AM7176" s="48" t="n"/>
      <c r="AN7176" s="48" t="n"/>
      <c r="AO7176" s="48" t="n"/>
    </row>
    <row r="7177">
      <c r="M7177" s="25" t="n"/>
      <c r="Q7177" s="25" t="n"/>
      <c r="U7177" s="194" t="n"/>
      <c r="AA7177" s="25" t="n"/>
      <c r="AB7177" s="25" t="n"/>
      <c r="AC7177" s="195" t="n"/>
      <c r="AD7177" s="25" t="n"/>
      <c r="AE7177" s="25" t="n"/>
      <c r="AG7177" s="25" t="n"/>
      <c r="AH7177" s="25" t="n"/>
      <c r="AI7177" s="394" t="n"/>
      <c r="AM7177" s="48" t="n"/>
      <c r="AN7177" s="48" t="n"/>
      <c r="AO7177" s="48" t="n"/>
    </row>
    <row r="7178">
      <c r="M7178" s="25" t="n"/>
      <c r="Q7178" s="25" t="n"/>
      <c r="U7178" s="194" t="n"/>
      <c r="AA7178" s="25" t="n"/>
      <c r="AB7178" s="25" t="n"/>
      <c r="AC7178" s="195" t="n"/>
      <c r="AD7178" s="25" t="n"/>
      <c r="AE7178" s="25" t="n"/>
      <c r="AG7178" s="25" t="n"/>
      <c r="AH7178" s="25" t="n"/>
      <c r="AI7178" s="394" t="n"/>
      <c r="AM7178" s="48" t="n"/>
      <c r="AN7178" s="48" t="n"/>
      <c r="AO7178" s="48" t="n"/>
    </row>
    <row r="7179">
      <c r="M7179" s="25" t="n"/>
      <c r="Q7179" s="25" t="n"/>
      <c r="U7179" s="194" t="n"/>
      <c r="AA7179" s="25" t="n"/>
      <c r="AB7179" s="25" t="n"/>
      <c r="AC7179" s="195" t="n"/>
      <c r="AD7179" s="25" t="n"/>
      <c r="AE7179" s="25" t="n"/>
      <c r="AG7179" s="25" t="n"/>
      <c r="AH7179" s="25" t="n"/>
      <c r="AI7179" s="394" t="n"/>
      <c r="AM7179" s="48" t="n"/>
      <c r="AN7179" s="48" t="n"/>
      <c r="AO7179" s="48" t="n"/>
    </row>
    <row r="7180">
      <c r="M7180" s="25" t="n"/>
      <c r="Q7180" s="25" t="n"/>
      <c r="U7180" s="194" t="n"/>
      <c r="AA7180" s="25" t="n"/>
      <c r="AB7180" s="25" t="n"/>
      <c r="AC7180" s="195" t="n"/>
      <c r="AD7180" s="25" t="n"/>
      <c r="AE7180" s="25" t="n"/>
      <c r="AG7180" s="25" t="n"/>
      <c r="AH7180" s="25" t="n"/>
      <c r="AI7180" s="394" t="n"/>
      <c r="AM7180" s="48" t="n"/>
      <c r="AN7180" s="48" t="n"/>
      <c r="AO7180" s="48" t="n"/>
    </row>
    <row r="7181">
      <c r="M7181" s="25" t="n"/>
      <c r="Q7181" s="25" t="n"/>
      <c r="U7181" s="194" t="n"/>
      <c r="AA7181" s="25" t="n"/>
      <c r="AB7181" s="25" t="n"/>
      <c r="AC7181" s="195" t="n"/>
      <c r="AD7181" s="25" t="n"/>
      <c r="AE7181" s="25" t="n"/>
      <c r="AG7181" s="25" t="n"/>
      <c r="AH7181" s="25" t="n"/>
      <c r="AI7181" s="394" t="n"/>
      <c r="AM7181" s="48" t="n"/>
      <c r="AN7181" s="48" t="n"/>
      <c r="AO7181" s="48" t="n"/>
    </row>
    <row r="7182">
      <c r="M7182" s="25" t="n"/>
      <c r="Q7182" s="25" t="n"/>
      <c r="U7182" s="194" t="n"/>
      <c r="AA7182" s="25" t="n"/>
      <c r="AB7182" s="25" t="n"/>
      <c r="AC7182" s="195" t="n"/>
      <c r="AD7182" s="25" t="n"/>
      <c r="AE7182" s="25" t="n"/>
      <c r="AG7182" s="25" t="n"/>
      <c r="AH7182" s="25" t="n"/>
      <c r="AI7182" s="394" t="n"/>
      <c r="AM7182" s="48" t="n"/>
      <c r="AN7182" s="48" t="n"/>
      <c r="AO7182" s="48" t="n"/>
    </row>
    <row r="7183">
      <c r="M7183" s="25" t="n"/>
      <c r="Q7183" s="25" t="n"/>
      <c r="U7183" s="194" t="n"/>
      <c r="AA7183" s="25" t="n"/>
      <c r="AB7183" s="25" t="n"/>
      <c r="AC7183" s="195" t="n"/>
      <c r="AD7183" s="25" t="n"/>
      <c r="AE7183" s="25" t="n"/>
      <c r="AG7183" s="25" t="n"/>
      <c r="AH7183" s="25" t="n"/>
      <c r="AI7183" s="394" t="n"/>
      <c r="AM7183" s="48" t="n"/>
      <c r="AN7183" s="48" t="n"/>
      <c r="AO7183" s="48" t="n"/>
    </row>
    <row r="7184">
      <c r="M7184" s="25" t="n"/>
      <c r="Q7184" s="25" t="n"/>
      <c r="U7184" s="194" t="n"/>
      <c r="AA7184" s="25" t="n"/>
      <c r="AB7184" s="25" t="n"/>
      <c r="AC7184" s="195" t="n"/>
      <c r="AD7184" s="25" t="n"/>
      <c r="AE7184" s="25" t="n"/>
      <c r="AG7184" s="25" t="n"/>
      <c r="AH7184" s="25" t="n"/>
      <c r="AI7184" s="394" t="n"/>
      <c r="AM7184" s="48" t="n"/>
      <c r="AN7184" s="48" t="n"/>
      <c r="AO7184" s="48" t="n"/>
    </row>
    <row r="7185">
      <c r="M7185" s="25" t="n"/>
      <c r="Q7185" s="25" t="n"/>
      <c r="U7185" s="194" t="n"/>
      <c r="AA7185" s="25" t="n"/>
      <c r="AB7185" s="25" t="n"/>
      <c r="AC7185" s="195" t="n"/>
      <c r="AD7185" s="25" t="n"/>
      <c r="AE7185" s="25" t="n"/>
      <c r="AG7185" s="25" t="n"/>
      <c r="AH7185" s="25" t="n"/>
      <c r="AI7185" s="394" t="n"/>
      <c r="AM7185" s="48" t="n"/>
      <c r="AN7185" s="48" t="n"/>
      <c r="AO7185" s="48" t="n"/>
    </row>
    <row r="7186">
      <c r="M7186" s="25" t="n"/>
      <c r="Q7186" s="25" t="n"/>
      <c r="U7186" s="194" t="n"/>
      <c r="AA7186" s="25" t="n"/>
      <c r="AB7186" s="25" t="n"/>
      <c r="AC7186" s="195" t="n"/>
      <c r="AD7186" s="25" t="n"/>
      <c r="AE7186" s="25" t="n"/>
      <c r="AG7186" s="25" t="n"/>
      <c r="AH7186" s="25" t="n"/>
      <c r="AI7186" s="394" t="n"/>
      <c r="AM7186" s="48" t="n"/>
      <c r="AN7186" s="48" t="n"/>
      <c r="AO7186" s="48" t="n"/>
    </row>
    <row r="7187">
      <c r="M7187" s="25" t="n"/>
      <c r="Q7187" s="25" t="n"/>
      <c r="U7187" s="194" t="n"/>
      <c r="AA7187" s="25" t="n"/>
      <c r="AB7187" s="25" t="n"/>
      <c r="AC7187" s="195" t="n"/>
      <c r="AD7187" s="25" t="n"/>
      <c r="AE7187" s="25" t="n"/>
      <c r="AG7187" s="25" t="n"/>
      <c r="AH7187" s="25" t="n"/>
      <c r="AI7187" s="394" t="n"/>
      <c r="AM7187" s="48" t="n"/>
      <c r="AN7187" s="48" t="n"/>
      <c r="AO7187" s="48" t="n"/>
    </row>
    <row r="7188">
      <c r="M7188" s="25" t="n"/>
      <c r="Q7188" s="25" t="n"/>
      <c r="U7188" s="194" t="n"/>
      <c r="AA7188" s="25" t="n"/>
      <c r="AB7188" s="25" t="n"/>
      <c r="AC7188" s="195" t="n"/>
      <c r="AD7188" s="25" t="n"/>
      <c r="AE7188" s="25" t="n"/>
      <c r="AG7188" s="25" t="n"/>
      <c r="AH7188" s="25" t="n"/>
      <c r="AI7188" s="394" t="n"/>
      <c r="AM7188" s="48" t="n"/>
      <c r="AN7188" s="48" t="n"/>
      <c r="AO7188" s="48" t="n"/>
    </row>
    <row r="7189">
      <c r="M7189" s="25" t="n"/>
      <c r="Q7189" s="25" t="n"/>
      <c r="U7189" s="194" t="n"/>
      <c r="AA7189" s="25" t="n"/>
      <c r="AB7189" s="25" t="n"/>
      <c r="AC7189" s="195" t="n"/>
      <c r="AD7189" s="25" t="n"/>
      <c r="AE7189" s="25" t="n"/>
      <c r="AG7189" s="25" t="n"/>
      <c r="AH7189" s="25" t="n"/>
      <c r="AI7189" s="394" t="n"/>
      <c r="AM7189" s="48" t="n"/>
      <c r="AN7189" s="48" t="n"/>
      <c r="AO7189" s="48" t="n"/>
    </row>
    <row r="7190">
      <c r="M7190" s="25" t="n"/>
      <c r="Q7190" s="25" t="n"/>
      <c r="U7190" s="194" t="n"/>
      <c r="AA7190" s="25" t="n"/>
      <c r="AB7190" s="25" t="n"/>
      <c r="AC7190" s="195" t="n"/>
      <c r="AD7190" s="25" t="n"/>
      <c r="AE7190" s="25" t="n"/>
      <c r="AG7190" s="25" t="n"/>
      <c r="AH7190" s="25" t="n"/>
      <c r="AI7190" s="394" t="n"/>
      <c r="AM7190" s="48" t="n"/>
      <c r="AN7190" s="48" t="n"/>
      <c r="AO7190" s="48" t="n"/>
    </row>
    <row r="7191">
      <c r="M7191" s="25" t="n"/>
      <c r="Q7191" s="25" t="n"/>
      <c r="U7191" s="194" t="n"/>
      <c r="AA7191" s="25" t="n"/>
      <c r="AB7191" s="25" t="n"/>
      <c r="AC7191" s="195" t="n"/>
      <c r="AD7191" s="25" t="n"/>
      <c r="AE7191" s="25" t="n"/>
      <c r="AG7191" s="25" t="n"/>
      <c r="AH7191" s="25" t="n"/>
      <c r="AI7191" s="394" t="n"/>
      <c r="AM7191" s="48" t="n"/>
      <c r="AN7191" s="48" t="n"/>
      <c r="AO7191" s="48" t="n"/>
    </row>
    <row r="7192">
      <c r="M7192" s="25" t="n"/>
      <c r="Q7192" s="25" t="n"/>
      <c r="U7192" s="194" t="n"/>
      <c r="AA7192" s="25" t="n"/>
      <c r="AB7192" s="25" t="n"/>
      <c r="AC7192" s="195" t="n"/>
      <c r="AD7192" s="25" t="n"/>
      <c r="AE7192" s="25" t="n"/>
      <c r="AG7192" s="25" t="n"/>
      <c r="AH7192" s="25" t="n"/>
      <c r="AI7192" s="394" t="n"/>
      <c r="AM7192" s="48" t="n"/>
      <c r="AN7192" s="48" t="n"/>
      <c r="AO7192" s="48" t="n"/>
    </row>
    <row r="7193">
      <c r="M7193" s="25" t="n"/>
      <c r="Q7193" s="25" t="n"/>
      <c r="U7193" s="194" t="n"/>
      <c r="AA7193" s="25" t="n"/>
      <c r="AB7193" s="25" t="n"/>
      <c r="AC7193" s="195" t="n"/>
      <c r="AD7193" s="25" t="n"/>
      <c r="AE7193" s="25" t="n"/>
      <c r="AG7193" s="25" t="n"/>
      <c r="AH7193" s="25" t="n"/>
      <c r="AI7193" s="394" t="n"/>
      <c r="AM7193" s="48" t="n"/>
      <c r="AN7193" s="48" t="n"/>
      <c r="AO7193" s="48" t="n"/>
    </row>
    <row r="7194">
      <c r="M7194" s="25" t="n"/>
      <c r="Q7194" s="25" t="n"/>
      <c r="U7194" s="194" t="n"/>
      <c r="AA7194" s="25" t="n"/>
      <c r="AB7194" s="25" t="n"/>
      <c r="AC7194" s="195" t="n"/>
      <c r="AD7194" s="25" t="n"/>
      <c r="AE7194" s="25" t="n"/>
      <c r="AG7194" s="25" t="n"/>
      <c r="AH7194" s="25" t="n"/>
      <c r="AI7194" s="394" t="n"/>
      <c r="AM7194" s="48" t="n"/>
      <c r="AN7194" s="48" t="n"/>
      <c r="AO7194" s="48" t="n"/>
    </row>
    <row r="7195">
      <c r="M7195" s="25" t="n"/>
      <c r="Q7195" s="25" t="n"/>
      <c r="U7195" s="194" t="n"/>
      <c r="AA7195" s="25" t="n"/>
      <c r="AB7195" s="25" t="n"/>
      <c r="AC7195" s="195" t="n"/>
      <c r="AD7195" s="25" t="n"/>
      <c r="AE7195" s="25" t="n"/>
      <c r="AG7195" s="25" t="n"/>
      <c r="AH7195" s="25" t="n"/>
      <c r="AI7195" s="394" t="n"/>
      <c r="AM7195" s="48" t="n"/>
      <c r="AN7195" s="48" t="n"/>
      <c r="AO7195" s="48" t="n"/>
    </row>
    <row r="7196">
      <c r="M7196" s="25" t="n"/>
      <c r="Q7196" s="25" t="n"/>
      <c r="U7196" s="194" t="n"/>
      <c r="AA7196" s="25" t="n"/>
      <c r="AB7196" s="25" t="n"/>
      <c r="AC7196" s="195" t="n"/>
      <c r="AD7196" s="25" t="n"/>
      <c r="AE7196" s="25" t="n"/>
      <c r="AG7196" s="25" t="n"/>
      <c r="AH7196" s="25" t="n"/>
      <c r="AI7196" s="394" t="n"/>
      <c r="AM7196" s="48" t="n"/>
      <c r="AN7196" s="48" t="n"/>
      <c r="AO7196" s="48" t="n"/>
    </row>
    <row r="7197">
      <c r="M7197" s="25" t="n"/>
      <c r="Q7197" s="25" t="n"/>
      <c r="U7197" s="194" t="n"/>
      <c r="AA7197" s="25" t="n"/>
      <c r="AB7197" s="25" t="n"/>
      <c r="AC7197" s="195" t="n"/>
      <c r="AD7197" s="25" t="n"/>
      <c r="AE7197" s="25" t="n"/>
      <c r="AG7197" s="25" t="n"/>
      <c r="AH7197" s="25" t="n"/>
      <c r="AI7197" s="394" t="n"/>
      <c r="AM7197" s="48" t="n"/>
      <c r="AN7197" s="48" t="n"/>
      <c r="AO7197" s="48" t="n"/>
    </row>
    <row r="7198">
      <c r="M7198" s="25" t="n"/>
      <c r="Q7198" s="25" t="n"/>
      <c r="U7198" s="194" t="n"/>
      <c r="AA7198" s="25" t="n"/>
      <c r="AB7198" s="25" t="n"/>
      <c r="AC7198" s="195" t="n"/>
      <c r="AD7198" s="25" t="n"/>
      <c r="AE7198" s="25" t="n"/>
      <c r="AG7198" s="25" t="n"/>
      <c r="AH7198" s="25" t="n"/>
      <c r="AI7198" s="394" t="n"/>
      <c r="AM7198" s="48" t="n"/>
      <c r="AN7198" s="48" t="n"/>
      <c r="AO7198" s="48" t="n"/>
    </row>
    <row r="7199">
      <c r="M7199" s="25" t="n"/>
      <c r="Q7199" s="25" t="n"/>
      <c r="U7199" s="194" t="n"/>
      <c r="AA7199" s="25" t="n"/>
      <c r="AB7199" s="25" t="n"/>
      <c r="AC7199" s="195" t="n"/>
      <c r="AD7199" s="25" t="n"/>
      <c r="AE7199" s="25" t="n"/>
      <c r="AG7199" s="25" t="n"/>
      <c r="AH7199" s="25" t="n"/>
      <c r="AI7199" s="394" t="n"/>
      <c r="AM7199" s="48" t="n"/>
      <c r="AN7199" s="48" t="n"/>
      <c r="AO7199" s="48" t="n"/>
    </row>
    <row r="7200">
      <c r="M7200" s="25" t="n"/>
      <c r="Q7200" s="25" t="n"/>
      <c r="U7200" s="194" t="n"/>
      <c r="AA7200" s="25" t="n"/>
      <c r="AB7200" s="25" t="n"/>
      <c r="AC7200" s="195" t="n"/>
      <c r="AD7200" s="25" t="n"/>
      <c r="AE7200" s="25" t="n"/>
      <c r="AG7200" s="25" t="n"/>
      <c r="AH7200" s="25" t="n"/>
      <c r="AI7200" s="394" t="n"/>
      <c r="AM7200" s="48" t="n"/>
      <c r="AN7200" s="48" t="n"/>
      <c r="AO7200" s="48" t="n"/>
    </row>
    <row r="7201">
      <c r="M7201" s="25" t="n"/>
      <c r="Q7201" s="25" t="n"/>
      <c r="U7201" s="194" t="n"/>
      <c r="AA7201" s="25" t="n"/>
      <c r="AB7201" s="25" t="n"/>
      <c r="AC7201" s="195" t="n"/>
      <c r="AD7201" s="25" t="n"/>
      <c r="AE7201" s="25" t="n"/>
      <c r="AG7201" s="25" t="n"/>
      <c r="AH7201" s="25" t="n"/>
      <c r="AI7201" s="394" t="n"/>
      <c r="AM7201" s="48" t="n"/>
      <c r="AN7201" s="48" t="n"/>
      <c r="AO7201" s="48" t="n"/>
    </row>
    <row r="7202">
      <c r="M7202" s="25" t="n"/>
      <c r="Q7202" s="25" t="n"/>
      <c r="U7202" s="194" t="n"/>
      <c r="AA7202" s="25" t="n"/>
      <c r="AB7202" s="25" t="n"/>
      <c r="AC7202" s="195" t="n"/>
      <c r="AD7202" s="25" t="n"/>
      <c r="AE7202" s="25" t="n"/>
      <c r="AG7202" s="25" t="n"/>
      <c r="AH7202" s="25" t="n"/>
      <c r="AI7202" s="394" t="n"/>
      <c r="AM7202" s="48" t="n"/>
      <c r="AN7202" s="48" t="n"/>
      <c r="AO7202" s="48" t="n"/>
    </row>
    <row r="7203">
      <c r="M7203" s="25" t="n"/>
      <c r="Q7203" s="25" t="n"/>
      <c r="U7203" s="194" t="n"/>
      <c r="AA7203" s="25" t="n"/>
      <c r="AB7203" s="25" t="n"/>
      <c r="AC7203" s="195" t="n"/>
      <c r="AD7203" s="25" t="n"/>
      <c r="AE7203" s="25" t="n"/>
      <c r="AG7203" s="25" t="n"/>
      <c r="AH7203" s="25" t="n"/>
      <c r="AI7203" s="394" t="n"/>
      <c r="AM7203" s="48" t="n"/>
      <c r="AN7203" s="48" t="n"/>
      <c r="AO7203" s="48" t="n"/>
    </row>
    <row r="7204">
      <c r="M7204" s="25" t="n"/>
      <c r="Q7204" s="25" t="n"/>
      <c r="U7204" s="194" t="n"/>
      <c r="AA7204" s="25" t="n"/>
      <c r="AB7204" s="25" t="n"/>
      <c r="AC7204" s="195" t="n"/>
      <c r="AD7204" s="25" t="n"/>
      <c r="AE7204" s="25" t="n"/>
      <c r="AG7204" s="25" t="n"/>
      <c r="AH7204" s="25" t="n"/>
      <c r="AI7204" s="394" t="n"/>
      <c r="AM7204" s="48" t="n"/>
      <c r="AN7204" s="48" t="n"/>
      <c r="AO7204" s="48" t="n"/>
    </row>
    <row r="7205">
      <c r="M7205" s="25" t="n"/>
      <c r="Q7205" s="25" t="n"/>
      <c r="U7205" s="194" t="n"/>
      <c r="AA7205" s="25" t="n"/>
      <c r="AB7205" s="25" t="n"/>
      <c r="AC7205" s="195" t="n"/>
      <c r="AD7205" s="25" t="n"/>
      <c r="AE7205" s="25" t="n"/>
      <c r="AG7205" s="25" t="n"/>
      <c r="AH7205" s="25" t="n"/>
      <c r="AI7205" s="394" t="n"/>
      <c r="AM7205" s="48" t="n"/>
      <c r="AN7205" s="48" t="n"/>
      <c r="AO7205" s="48" t="n"/>
    </row>
    <row r="7206">
      <c r="M7206" s="25" t="n"/>
      <c r="Q7206" s="25" t="n"/>
      <c r="U7206" s="194" t="n"/>
      <c r="AA7206" s="25" t="n"/>
      <c r="AB7206" s="25" t="n"/>
      <c r="AC7206" s="195" t="n"/>
      <c r="AD7206" s="25" t="n"/>
      <c r="AE7206" s="25" t="n"/>
      <c r="AG7206" s="25" t="n"/>
      <c r="AH7206" s="25" t="n"/>
      <c r="AI7206" s="394" t="n"/>
      <c r="AM7206" s="48" t="n"/>
      <c r="AN7206" s="48" t="n"/>
      <c r="AO7206" s="48" t="n"/>
    </row>
    <row r="7207">
      <c r="M7207" s="25" t="n"/>
      <c r="Q7207" s="25" t="n"/>
      <c r="U7207" s="194" t="n"/>
      <c r="AA7207" s="25" t="n"/>
      <c r="AB7207" s="25" t="n"/>
      <c r="AC7207" s="195" t="n"/>
      <c r="AD7207" s="25" t="n"/>
      <c r="AE7207" s="25" t="n"/>
      <c r="AG7207" s="25" t="n"/>
      <c r="AH7207" s="25" t="n"/>
      <c r="AI7207" s="394" t="n"/>
      <c r="AM7207" s="48" t="n"/>
      <c r="AN7207" s="48" t="n"/>
      <c r="AO7207" s="48" t="n"/>
    </row>
    <row r="7208">
      <c r="M7208" s="25" t="n"/>
      <c r="Q7208" s="25" t="n"/>
      <c r="U7208" s="194" t="n"/>
      <c r="AA7208" s="25" t="n"/>
      <c r="AB7208" s="25" t="n"/>
      <c r="AC7208" s="195" t="n"/>
      <c r="AD7208" s="25" t="n"/>
      <c r="AE7208" s="25" t="n"/>
      <c r="AG7208" s="25" t="n"/>
      <c r="AH7208" s="25" t="n"/>
      <c r="AI7208" s="394" t="n"/>
      <c r="AM7208" s="48" t="n"/>
      <c r="AN7208" s="48" t="n"/>
      <c r="AO7208" s="48" t="n"/>
    </row>
    <row r="7209">
      <c r="M7209" s="25" t="n"/>
      <c r="Q7209" s="25" t="n"/>
      <c r="U7209" s="194" t="n"/>
      <c r="AA7209" s="25" t="n"/>
      <c r="AB7209" s="25" t="n"/>
      <c r="AC7209" s="195" t="n"/>
      <c r="AD7209" s="25" t="n"/>
      <c r="AE7209" s="25" t="n"/>
      <c r="AG7209" s="25" t="n"/>
      <c r="AH7209" s="25" t="n"/>
      <c r="AI7209" s="394" t="n"/>
      <c r="AM7209" s="48" t="n"/>
      <c r="AN7209" s="48" t="n"/>
      <c r="AO7209" s="48" t="n"/>
    </row>
    <row r="7210">
      <c r="M7210" s="25" t="n"/>
      <c r="Q7210" s="25" t="n"/>
      <c r="U7210" s="194" t="n"/>
      <c r="AA7210" s="25" t="n"/>
      <c r="AB7210" s="25" t="n"/>
      <c r="AC7210" s="195" t="n"/>
      <c r="AD7210" s="25" t="n"/>
      <c r="AE7210" s="25" t="n"/>
      <c r="AG7210" s="25" t="n"/>
      <c r="AH7210" s="25" t="n"/>
      <c r="AI7210" s="394" t="n"/>
      <c r="AM7210" s="48" t="n"/>
      <c r="AN7210" s="48" t="n"/>
      <c r="AO7210" s="48" t="n"/>
    </row>
    <row r="7211">
      <c r="M7211" s="25" t="n"/>
      <c r="Q7211" s="25" t="n"/>
      <c r="U7211" s="194" t="n"/>
      <c r="AA7211" s="25" t="n"/>
      <c r="AB7211" s="25" t="n"/>
      <c r="AC7211" s="195" t="n"/>
      <c r="AD7211" s="25" t="n"/>
      <c r="AE7211" s="25" t="n"/>
      <c r="AG7211" s="25" t="n"/>
      <c r="AH7211" s="25" t="n"/>
      <c r="AI7211" s="394" t="n"/>
      <c r="AM7211" s="48" t="n"/>
      <c r="AN7211" s="48" t="n"/>
      <c r="AO7211" s="48" t="n"/>
    </row>
    <row r="7212">
      <c r="M7212" s="25" t="n"/>
      <c r="Q7212" s="25" t="n"/>
      <c r="U7212" s="194" t="n"/>
      <c r="AA7212" s="25" t="n"/>
      <c r="AB7212" s="25" t="n"/>
      <c r="AC7212" s="195" t="n"/>
      <c r="AD7212" s="25" t="n"/>
      <c r="AE7212" s="25" t="n"/>
      <c r="AG7212" s="25" t="n"/>
      <c r="AH7212" s="25" t="n"/>
      <c r="AI7212" s="394" t="n"/>
      <c r="AM7212" s="48" t="n"/>
      <c r="AN7212" s="48" t="n"/>
      <c r="AO7212" s="48" t="n"/>
    </row>
    <row r="7213">
      <c r="M7213" s="25" t="n"/>
      <c r="Q7213" s="25" t="n"/>
      <c r="U7213" s="194" t="n"/>
      <c r="AA7213" s="25" t="n"/>
      <c r="AB7213" s="25" t="n"/>
      <c r="AC7213" s="195" t="n"/>
      <c r="AD7213" s="25" t="n"/>
      <c r="AE7213" s="25" t="n"/>
      <c r="AG7213" s="25" t="n"/>
      <c r="AH7213" s="25" t="n"/>
      <c r="AI7213" s="394" t="n"/>
      <c r="AM7213" s="48" t="n"/>
      <c r="AN7213" s="48" t="n"/>
      <c r="AO7213" s="48" t="n"/>
    </row>
    <row r="7214">
      <c r="M7214" s="25" t="n"/>
      <c r="Q7214" s="25" t="n"/>
      <c r="U7214" s="194" t="n"/>
      <c r="AA7214" s="25" t="n"/>
      <c r="AB7214" s="25" t="n"/>
      <c r="AC7214" s="195" t="n"/>
      <c r="AD7214" s="25" t="n"/>
      <c r="AE7214" s="25" t="n"/>
      <c r="AG7214" s="25" t="n"/>
      <c r="AH7214" s="25" t="n"/>
      <c r="AI7214" s="394" t="n"/>
      <c r="AM7214" s="48" t="n"/>
      <c r="AN7214" s="48" t="n"/>
      <c r="AO7214" s="48" t="n"/>
    </row>
    <row r="7215">
      <c r="M7215" s="25" t="n"/>
      <c r="Q7215" s="25" t="n"/>
      <c r="U7215" s="194" t="n"/>
      <c r="AA7215" s="25" t="n"/>
      <c r="AB7215" s="25" t="n"/>
      <c r="AC7215" s="195" t="n"/>
      <c r="AD7215" s="25" t="n"/>
      <c r="AE7215" s="25" t="n"/>
      <c r="AG7215" s="25" t="n"/>
      <c r="AH7215" s="25" t="n"/>
      <c r="AI7215" s="394" t="n"/>
      <c r="AM7215" s="48" t="n"/>
      <c r="AN7215" s="48" t="n"/>
      <c r="AO7215" s="48" t="n"/>
    </row>
    <row r="7216">
      <c r="M7216" s="25" t="n"/>
      <c r="Q7216" s="25" t="n"/>
      <c r="U7216" s="194" t="n"/>
      <c r="AA7216" s="25" t="n"/>
      <c r="AB7216" s="25" t="n"/>
      <c r="AC7216" s="195" t="n"/>
      <c r="AD7216" s="25" t="n"/>
      <c r="AE7216" s="25" t="n"/>
      <c r="AG7216" s="25" t="n"/>
      <c r="AH7216" s="25" t="n"/>
      <c r="AI7216" s="394" t="n"/>
      <c r="AM7216" s="48" t="n"/>
      <c r="AN7216" s="48" t="n"/>
      <c r="AO7216" s="48" t="n"/>
    </row>
    <row r="7217">
      <c r="M7217" s="25" t="n"/>
      <c r="Q7217" s="25" t="n"/>
      <c r="U7217" s="194" t="n"/>
      <c r="AA7217" s="25" t="n"/>
      <c r="AB7217" s="25" t="n"/>
      <c r="AC7217" s="195" t="n"/>
      <c r="AD7217" s="25" t="n"/>
      <c r="AE7217" s="25" t="n"/>
      <c r="AG7217" s="25" t="n"/>
      <c r="AH7217" s="25" t="n"/>
      <c r="AI7217" s="394" t="n"/>
      <c r="AM7217" s="48" t="n"/>
      <c r="AN7217" s="48" t="n"/>
      <c r="AO7217" s="48" t="n"/>
    </row>
    <row r="7218">
      <c r="M7218" s="25" t="n"/>
      <c r="Q7218" s="25" t="n"/>
      <c r="U7218" s="194" t="n"/>
      <c r="AA7218" s="25" t="n"/>
      <c r="AB7218" s="25" t="n"/>
      <c r="AC7218" s="195" t="n"/>
      <c r="AD7218" s="25" t="n"/>
      <c r="AE7218" s="25" t="n"/>
      <c r="AG7218" s="25" t="n"/>
      <c r="AH7218" s="25" t="n"/>
      <c r="AI7218" s="394" t="n"/>
      <c r="AM7218" s="48" t="n"/>
      <c r="AN7218" s="48" t="n"/>
      <c r="AO7218" s="48" t="n"/>
    </row>
    <row r="7219">
      <c r="M7219" s="25" t="n"/>
      <c r="Q7219" s="25" t="n"/>
      <c r="U7219" s="194" t="n"/>
      <c r="AA7219" s="25" t="n"/>
      <c r="AB7219" s="25" t="n"/>
      <c r="AC7219" s="195" t="n"/>
      <c r="AD7219" s="25" t="n"/>
      <c r="AE7219" s="25" t="n"/>
      <c r="AG7219" s="25" t="n"/>
      <c r="AH7219" s="25" t="n"/>
      <c r="AI7219" s="394" t="n"/>
      <c r="AM7219" s="48" t="n"/>
      <c r="AN7219" s="48" t="n"/>
      <c r="AO7219" s="48" t="n"/>
    </row>
    <row r="7220">
      <c r="M7220" s="25" t="n"/>
      <c r="Q7220" s="25" t="n"/>
      <c r="U7220" s="194" t="n"/>
      <c r="AA7220" s="25" t="n"/>
      <c r="AB7220" s="25" t="n"/>
      <c r="AC7220" s="195" t="n"/>
      <c r="AD7220" s="25" t="n"/>
      <c r="AE7220" s="25" t="n"/>
      <c r="AG7220" s="25" t="n"/>
      <c r="AH7220" s="25" t="n"/>
      <c r="AI7220" s="394" t="n"/>
      <c r="AM7220" s="48" t="n"/>
      <c r="AN7220" s="48" t="n"/>
      <c r="AO7220" s="48" t="n"/>
    </row>
    <row r="7221">
      <c r="M7221" s="25" t="n"/>
      <c r="Q7221" s="25" t="n"/>
      <c r="U7221" s="194" t="n"/>
      <c r="AA7221" s="25" t="n"/>
      <c r="AB7221" s="25" t="n"/>
      <c r="AC7221" s="195" t="n"/>
      <c r="AD7221" s="25" t="n"/>
      <c r="AE7221" s="25" t="n"/>
      <c r="AG7221" s="25" t="n"/>
      <c r="AH7221" s="25" t="n"/>
      <c r="AI7221" s="394" t="n"/>
      <c r="AM7221" s="48" t="n"/>
      <c r="AN7221" s="48" t="n"/>
      <c r="AO7221" s="48" t="n"/>
    </row>
    <row r="7222">
      <c r="M7222" s="25" t="n"/>
      <c r="Q7222" s="25" t="n"/>
      <c r="U7222" s="194" t="n"/>
      <c r="AA7222" s="25" t="n"/>
      <c r="AB7222" s="25" t="n"/>
      <c r="AC7222" s="195" t="n"/>
      <c r="AD7222" s="25" t="n"/>
      <c r="AE7222" s="25" t="n"/>
      <c r="AG7222" s="25" t="n"/>
      <c r="AH7222" s="25" t="n"/>
      <c r="AI7222" s="394" t="n"/>
      <c r="AM7222" s="48" t="n"/>
      <c r="AN7222" s="48" t="n"/>
      <c r="AO7222" s="48" t="n"/>
    </row>
    <row r="7223">
      <c r="M7223" s="25" t="n"/>
      <c r="Q7223" s="25" t="n"/>
      <c r="U7223" s="194" t="n"/>
      <c r="AA7223" s="25" t="n"/>
      <c r="AB7223" s="25" t="n"/>
      <c r="AC7223" s="195" t="n"/>
      <c r="AD7223" s="25" t="n"/>
      <c r="AE7223" s="25" t="n"/>
      <c r="AG7223" s="25" t="n"/>
      <c r="AH7223" s="25" t="n"/>
      <c r="AI7223" s="394" t="n"/>
      <c r="AM7223" s="48" t="n"/>
      <c r="AN7223" s="48" t="n"/>
      <c r="AO7223" s="48" t="n"/>
    </row>
    <row r="7224">
      <c r="M7224" s="25" t="n"/>
      <c r="Q7224" s="25" t="n"/>
      <c r="U7224" s="194" t="n"/>
      <c r="AA7224" s="25" t="n"/>
      <c r="AB7224" s="25" t="n"/>
      <c r="AC7224" s="195" t="n"/>
      <c r="AD7224" s="25" t="n"/>
      <c r="AE7224" s="25" t="n"/>
      <c r="AG7224" s="25" t="n"/>
      <c r="AH7224" s="25" t="n"/>
      <c r="AI7224" s="394" t="n"/>
      <c r="AM7224" s="48" t="n"/>
      <c r="AN7224" s="48" t="n"/>
      <c r="AO7224" s="48" t="n"/>
    </row>
    <row r="7225">
      <c r="M7225" s="25" t="n"/>
      <c r="Q7225" s="25" t="n"/>
      <c r="U7225" s="194" t="n"/>
      <c r="AA7225" s="25" t="n"/>
      <c r="AB7225" s="25" t="n"/>
      <c r="AC7225" s="195" t="n"/>
      <c r="AD7225" s="25" t="n"/>
      <c r="AE7225" s="25" t="n"/>
      <c r="AG7225" s="25" t="n"/>
      <c r="AH7225" s="25" t="n"/>
      <c r="AI7225" s="394" t="n"/>
      <c r="AM7225" s="48" t="n"/>
      <c r="AN7225" s="48" t="n"/>
      <c r="AO7225" s="48" t="n"/>
    </row>
    <row r="7226">
      <c r="M7226" s="25" t="n"/>
      <c r="Q7226" s="25" t="n"/>
      <c r="U7226" s="194" t="n"/>
      <c r="AA7226" s="25" t="n"/>
      <c r="AB7226" s="25" t="n"/>
      <c r="AC7226" s="195" t="n"/>
      <c r="AD7226" s="25" t="n"/>
      <c r="AE7226" s="25" t="n"/>
      <c r="AG7226" s="25" t="n"/>
      <c r="AH7226" s="25" t="n"/>
      <c r="AI7226" s="394" t="n"/>
      <c r="AM7226" s="48" t="n"/>
      <c r="AN7226" s="48" t="n"/>
      <c r="AO7226" s="48" t="n"/>
    </row>
    <row r="7227">
      <c r="M7227" s="25" t="n"/>
      <c r="Q7227" s="25" t="n"/>
      <c r="U7227" s="194" t="n"/>
      <c r="AA7227" s="25" t="n"/>
      <c r="AB7227" s="25" t="n"/>
      <c r="AC7227" s="195" t="n"/>
      <c r="AD7227" s="25" t="n"/>
      <c r="AE7227" s="25" t="n"/>
      <c r="AG7227" s="25" t="n"/>
      <c r="AH7227" s="25" t="n"/>
      <c r="AI7227" s="394" t="n"/>
      <c r="AM7227" s="48" t="n"/>
      <c r="AN7227" s="48" t="n"/>
      <c r="AO7227" s="48" t="n"/>
    </row>
    <row r="7228">
      <c r="M7228" s="25" t="n"/>
      <c r="Q7228" s="25" t="n"/>
      <c r="U7228" s="194" t="n"/>
      <c r="AA7228" s="25" t="n"/>
      <c r="AB7228" s="25" t="n"/>
      <c r="AC7228" s="195" t="n"/>
      <c r="AD7228" s="25" t="n"/>
      <c r="AE7228" s="25" t="n"/>
      <c r="AG7228" s="25" t="n"/>
      <c r="AH7228" s="25" t="n"/>
      <c r="AI7228" s="394" t="n"/>
      <c r="AM7228" s="48" t="n"/>
      <c r="AN7228" s="48" t="n"/>
      <c r="AO7228" s="48" t="n"/>
    </row>
    <row r="7229">
      <c r="M7229" s="25" t="n"/>
      <c r="Q7229" s="25" t="n"/>
      <c r="U7229" s="194" t="n"/>
      <c r="AA7229" s="25" t="n"/>
      <c r="AB7229" s="25" t="n"/>
      <c r="AC7229" s="195" t="n"/>
      <c r="AD7229" s="25" t="n"/>
      <c r="AE7229" s="25" t="n"/>
      <c r="AG7229" s="25" t="n"/>
      <c r="AH7229" s="25" t="n"/>
      <c r="AI7229" s="394" t="n"/>
      <c r="AM7229" s="48" t="n"/>
      <c r="AN7229" s="48" t="n"/>
      <c r="AO7229" s="48" t="n"/>
    </row>
    <row r="7230">
      <c r="M7230" s="25" t="n"/>
      <c r="Q7230" s="25" t="n"/>
      <c r="U7230" s="194" t="n"/>
      <c r="AA7230" s="25" t="n"/>
      <c r="AB7230" s="25" t="n"/>
      <c r="AC7230" s="195" t="n"/>
      <c r="AD7230" s="25" t="n"/>
      <c r="AE7230" s="25" t="n"/>
      <c r="AG7230" s="25" t="n"/>
      <c r="AH7230" s="25" t="n"/>
      <c r="AI7230" s="394" t="n"/>
      <c r="AM7230" s="48" t="n"/>
      <c r="AN7230" s="48" t="n"/>
      <c r="AO7230" s="48" t="n"/>
    </row>
    <row r="7231">
      <c r="M7231" s="25" t="n"/>
      <c r="Q7231" s="25" t="n"/>
      <c r="U7231" s="194" t="n"/>
      <c r="AA7231" s="25" t="n"/>
      <c r="AB7231" s="25" t="n"/>
      <c r="AC7231" s="195" t="n"/>
      <c r="AD7231" s="25" t="n"/>
      <c r="AE7231" s="25" t="n"/>
      <c r="AG7231" s="25" t="n"/>
      <c r="AH7231" s="25" t="n"/>
      <c r="AI7231" s="394" t="n"/>
      <c r="AM7231" s="48" t="n"/>
      <c r="AN7231" s="48" t="n"/>
      <c r="AO7231" s="48" t="n"/>
    </row>
    <row r="7232">
      <c r="M7232" s="25" t="n"/>
      <c r="Q7232" s="25" t="n"/>
      <c r="U7232" s="194" t="n"/>
      <c r="AA7232" s="25" t="n"/>
      <c r="AB7232" s="25" t="n"/>
      <c r="AC7232" s="195" t="n"/>
      <c r="AD7232" s="25" t="n"/>
      <c r="AE7232" s="25" t="n"/>
      <c r="AG7232" s="25" t="n"/>
      <c r="AH7232" s="25" t="n"/>
      <c r="AI7232" s="394" t="n"/>
      <c r="AM7232" s="48" t="n"/>
      <c r="AN7232" s="48" t="n"/>
      <c r="AO7232" s="48" t="n"/>
    </row>
    <row r="7233">
      <c r="M7233" s="25" t="n"/>
      <c r="Q7233" s="25" t="n"/>
      <c r="U7233" s="194" t="n"/>
      <c r="AA7233" s="25" t="n"/>
      <c r="AB7233" s="25" t="n"/>
      <c r="AC7233" s="195" t="n"/>
      <c r="AD7233" s="25" t="n"/>
      <c r="AE7233" s="25" t="n"/>
      <c r="AG7233" s="25" t="n"/>
      <c r="AH7233" s="25" t="n"/>
      <c r="AI7233" s="394" t="n"/>
      <c r="AM7233" s="48" t="n"/>
      <c r="AN7233" s="48" t="n"/>
      <c r="AO7233" s="48" t="n"/>
    </row>
    <row r="7234">
      <c r="M7234" s="25" t="n"/>
      <c r="Q7234" s="25" t="n"/>
      <c r="U7234" s="194" t="n"/>
      <c r="AA7234" s="25" t="n"/>
      <c r="AB7234" s="25" t="n"/>
      <c r="AC7234" s="195" t="n"/>
      <c r="AD7234" s="25" t="n"/>
      <c r="AE7234" s="25" t="n"/>
      <c r="AG7234" s="25" t="n"/>
      <c r="AH7234" s="25" t="n"/>
      <c r="AI7234" s="394" t="n"/>
      <c r="AM7234" s="48" t="n"/>
      <c r="AN7234" s="48" t="n"/>
      <c r="AO7234" s="48" t="n"/>
    </row>
    <row r="7235">
      <c r="M7235" s="25" t="n"/>
      <c r="Q7235" s="25" t="n"/>
      <c r="U7235" s="194" t="n"/>
      <c r="AA7235" s="25" t="n"/>
      <c r="AB7235" s="25" t="n"/>
      <c r="AC7235" s="195" t="n"/>
      <c r="AD7235" s="25" t="n"/>
      <c r="AE7235" s="25" t="n"/>
      <c r="AG7235" s="25" t="n"/>
      <c r="AH7235" s="25" t="n"/>
      <c r="AI7235" s="394" t="n"/>
      <c r="AM7235" s="48" t="n"/>
      <c r="AN7235" s="48" t="n"/>
      <c r="AO7235" s="48" t="n"/>
    </row>
    <row r="7236">
      <c r="M7236" s="25" t="n"/>
      <c r="Q7236" s="25" t="n"/>
      <c r="U7236" s="194" t="n"/>
      <c r="AA7236" s="25" t="n"/>
      <c r="AB7236" s="25" t="n"/>
      <c r="AC7236" s="195" t="n"/>
      <c r="AD7236" s="25" t="n"/>
      <c r="AE7236" s="25" t="n"/>
      <c r="AG7236" s="25" t="n"/>
      <c r="AH7236" s="25" t="n"/>
      <c r="AI7236" s="394" t="n"/>
      <c r="AM7236" s="48" t="n"/>
      <c r="AN7236" s="48" t="n"/>
      <c r="AO7236" s="48" t="n"/>
    </row>
    <row r="7237">
      <c r="M7237" s="25" t="n"/>
      <c r="Q7237" s="25" t="n"/>
      <c r="U7237" s="194" t="n"/>
      <c r="AA7237" s="25" t="n"/>
      <c r="AB7237" s="25" t="n"/>
      <c r="AC7237" s="195" t="n"/>
      <c r="AD7237" s="25" t="n"/>
      <c r="AE7237" s="25" t="n"/>
      <c r="AG7237" s="25" t="n"/>
      <c r="AH7237" s="25" t="n"/>
      <c r="AI7237" s="394" t="n"/>
      <c r="AM7237" s="48" t="n"/>
      <c r="AN7237" s="48" t="n"/>
      <c r="AO7237" s="48" t="n"/>
    </row>
    <row r="7238">
      <c r="M7238" s="25" t="n"/>
      <c r="Q7238" s="25" t="n"/>
      <c r="U7238" s="194" t="n"/>
      <c r="AA7238" s="25" t="n"/>
      <c r="AB7238" s="25" t="n"/>
      <c r="AC7238" s="195" t="n"/>
      <c r="AD7238" s="25" t="n"/>
      <c r="AE7238" s="25" t="n"/>
      <c r="AG7238" s="25" t="n"/>
      <c r="AH7238" s="25" t="n"/>
      <c r="AI7238" s="394" t="n"/>
      <c r="AM7238" s="48" t="n"/>
      <c r="AN7238" s="48" t="n"/>
      <c r="AO7238" s="48" t="n"/>
    </row>
    <row r="7239">
      <c r="M7239" s="25" t="n"/>
      <c r="Q7239" s="25" t="n"/>
      <c r="U7239" s="194" t="n"/>
      <c r="AA7239" s="25" t="n"/>
      <c r="AB7239" s="25" t="n"/>
      <c r="AC7239" s="195" t="n"/>
      <c r="AD7239" s="25" t="n"/>
      <c r="AE7239" s="25" t="n"/>
      <c r="AG7239" s="25" t="n"/>
      <c r="AH7239" s="25" t="n"/>
      <c r="AI7239" s="394" t="n"/>
      <c r="AM7239" s="48" t="n"/>
      <c r="AN7239" s="48" t="n"/>
      <c r="AO7239" s="48" t="n"/>
    </row>
    <row r="7240">
      <c r="M7240" s="25" t="n"/>
      <c r="Q7240" s="25" t="n"/>
      <c r="U7240" s="194" t="n"/>
      <c r="AA7240" s="25" t="n"/>
      <c r="AB7240" s="25" t="n"/>
      <c r="AC7240" s="195" t="n"/>
      <c r="AD7240" s="25" t="n"/>
      <c r="AE7240" s="25" t="n"/>
      <c r="AG7240" s="25" t="n"/>
      <c r="AH7240" s="25" t="n"/>
      <c r="AI7240" s="394" t="n"/>
      <c r="AM7240" s="48" t="n"/>
      <c r="AN7240" s="48" t="n"/>
      <c r="AO7240" s="48" t="n"/>
    </row>
    <row r="7241">
      <c r="M7241" s="25" t="n"/>
      <c r="Q7241" s="25" t="n"/>
      <c r="U7241" s="194" t="n"/>
      <c r="AA7241" s="25" t="n"/>
      <c r="AB7241" s="25" t="n"/>
      <c r="AC7241" s="195" t="n"/>
      <c r="AD7241" s="25" t="n"/>
      <c r="AE7241" s="25" t="n"/>
      <c r="AG7241" s="25" t="n"/>
      <c r="AH7241" s="25" t="n"/>
      <c r="AI7241" s="394" t="n"/>
      <c r="AM7241" s="48" t="n"/>
      <c r="AN7241" s="48" t="n"/>
      <c r="AO7241" s="48" t="n"/>
    </row>
    <row r="7242">
      <c r="M7242" s="25" t="n"/>
      <c r="Q7242" s="25" t="n"/>
      <c r="U7242" s="194" t="n"/>
      <c r="AA7242" s="25" t="n"/>
      <c r="AB7242" s="25" t="n"/>
      <c r="AC7242" s="195" t="n"/>
      <c r="AD7242" s="25" t="n"/>
      <c r="AE7242" s="25" t="n"/>
      <c r="AG7242" s="25" t="n"/>
      <c r="AH7242" s="25" t="n"/>
      <c r="AI7242" s="394" t="n"/>
      <c r="AM7242" s="48" t="n"/>
      <c r="AN7242" s="48" t="n"/>
      <c r="AO7242" s="48" t="n"/>
    </row>
    <row r="7243">
      <c r="M7243" s="25" t="n"/>
      <c r="Q7243" s="25" t="n"/>
      <c r="U7243" s="194" t="n"/>
      <c r="AA7243" s="25" t="n"/>
      <c r="AB7243" s="25" t="n"/>
      <c r="AC7243" s="195" t="n"/>
      <c r="AD7243" s="25" t="n"/>
      <c r="AE7243" s="25" t="n"/>
      <c r="AG7243" s="25" t="n"/>
      <c r="AH7243" s="25" t="n"/>
      <c r="AI7243" s="394" t="n"/>
      <c r="AM7243" s="48" t="n"/>
      <c r="AN7243" s="48" t="n"/>
      <c r="AO7243" s="48" t="n"/>
    </row>
    <row r="7244">
      <c r="M7244" s="25" t="n"/>
      <c r="Q7244" s="25" t="n"/>
      <c r="U7244" s="194" t="n"/>
      <c r="AA7244" s="25" t="n"/>
      <c r="AB7244" s="25" t="n"/>
      <c r="AC7244" s="195" t="n"/>
      <c r="AD7244" s="25" t="n"/>
      <c r="AE7244" s="25" t="n"/>
      <c r="AG7244" s="25" t="n"/>
      <c r="AH7244" s="25" t="n"/>
      <c r="AI7244" s="394" t="n"/>
      <c r="AM7244" s="48" t="n"/>
      <c r="AN7244" s="48" t="n"/>
      <c r="AO7244" s="48" t="n"/>
    </row>
    <row r="7245">
      <c r="M7245" s="25" t="n"/>
      <c r="Q7245" s="25" t="n"/>
      <c r="U7245" s="194" t="n"/>
      <c r="AA7245" s="25" t="n"/>
      <c r="AB7245" s="25" t="n"/>
      <c r="AC7245" s="195" t="n"/>
      <c r="AD7245" s="25" t="n"/>
      <c r="AE7245" s="25" t="n"/>
      <c r="AG7245" s="25" t="n"/>
      <c r="AH7245" s="25" t="n"/>
      <c r="AI7245" s="394" t="n"/>
      <c r="AM7245" s="48" t="n"/>
      <c r="AN7245" s="48" t="n"/>
      <c r="AO7245" s="48" t="n"/>
    </row>
    <row r="7246">
      <c r="M7246" s="25" t="n"/>
      <c r="Q7246" s="25" t="n"/>
      <c r="U7246" s="194" t="n"/>
      <c r="AA7246" s="25" t="n"/>
      <c r="AB7246" s="25" t="n"/>
      <c r="AC7246" s="195" t="n"/>
      <c r="AD7246" s="25" t="n"/>
      <c r="AE7246" s="25" t="n"/>
      <c r="AG7246" s="25" t="n"/>
      <c r="AH7246" s="25" t="n"/>
      <c r="AI7246" s="394" t="n"/>
      <c r="AM7246" s="48" t="n"/>
      <c r="AN7246" s="48" t="n"/>
      <c r="AO7246" s="48" t="n"/>
    </row>
    <row r="7247">
      <c r="M7247" s="25" t="n"/>
      <c r="Q7247" s="25" t="n"/>
      <c r="U7247" s="194" t="n"/>
      <c r="AA7247" s="25" t="n"/>
      <c r="AB7247" s="25" t="n"/>
      <c r="AC7247" s="195" t="n"/>
      <c r="AD7247" s="25" t="n"/>
      <c r="AE7247" s="25" t="n"/>
      <c r="AG7247" s="25" t="n"/>
      <c r="AH7247" s="25" t="n"/>
      <c r="AI7247" s="394" t="n"/>
      <c r="AM7247" s="48" t="n"/>
      <c r="AN7247" s="48" t="n"/>
      <c r="AO7247" s="48" t="n"/>
    </row>
    <row r="7248">
      <c r="M7248" s="25" t="n"/>
      <c r="Q7248" s="25" t="n"/>
      <c r="U7248" s="194" t="n"/>
      <c r="AA7248" s="25" t="n"/>
      <c r="AB7248" s="25" t="n"/>
      <c r="AC7248" s="195" t="n"/>
      <c r="AD7248" s="25" t="n"/>
      <c r="AE7248" s="25" t="n"/>
      <c r="AG7248" s="25" t="n"/>
      <c r="AH7248" s="25" t="n"/>
      <c r="AI7248" s="394" t="n"/>
      <c r="AM7248" s="48" t="n"/>
      <c r="AN7248" s="48" t="n"/>
      <c r="AO7248" s="48" t="n"/>
    </row>
    <row r="7249">
      <c r="M7249" s="25" t="n"/>
      <c r="Q7249" s="25" t="n"/>
      <c r="U7249" s="194" t="n"/>
      <c r="AA7249" s="25" t="n"/>
      <c r="AB7249" s="25" t="n"/>
      <c r="AC7249" s="195" t="n"/>
      <c r="AD7249" s="25" t="n"/>
      <c r="AE7249" s="25" t="n"/>
      <c r="AG7249" s="25" t="n"/>
      <c r="AH7249" s="25" t="n"/>
      <c r="AI7249" s="394" t="n"/>
      <c r="AM7249" s="48" t="n"/>
      <c r="AN7249" s="48" t="n"/>
      <c r="AO7249" s="48" t="n"/>
    </row>
    <row r="7250">
      <c r="M7250" s="25" t="n"/>
      <c r="Q7250" s="25" t="n"/>
      <c r="U7250" s="194" t="n"/>
      <c r="AA7250" s="25" t="n"/>
      <c r="AB7250" s="25" t="n"/>
      <c r="AC7250" s="195" t="n"/>
      <c r="AD7250" s="25" t="n"/>
      <c r="AE7250" s="25" t="n"/>
      <c r="AG7250" s="25" t="n"/>
      <c r="AH7250" s="25" t="n"/>
      <c r="AI7250" s="394" t="n"/>
      <c r="AM7250" s="48" t="n"/>
      <c r="AN7250" s="48" t="n"/>
      <c r="AO7250" s="48" t="n"/>
    </row>
    <row r="7251">
      <c r="M7251" s="25" t="n"/>
      <c r="Q7251" s="25" t="n"/>
      <c r="U7251" s="194" t="n"/>
      <c r="AA7251" s="25" t="n"/>
      <c r="AB7251" s="25" t="n"/>
      <c r="AC7251" s="195" t="n"/>
      <c r="AD7251" s="25" t="n"/>
      <c r="AE7251" s="25" t="n"/>
      <c r="AG7251" s="25" t="n"/>
      <c r="AH7251" s="25" t="n"/>
      <c r="AI7251" s="394" t="n"/>
      <c r="AM7251" s="48" t="n"/>
      <c r="AN7251" s="48" t="n"/>
      <c r="AO7251" s="48" t="n"/>
    </row>
    <row r="7252">
      <c r="M7252" s="25" t="n"/>
      <c r="Q7252" s="25" t="n"/>
      <c r="U7252" s="194" t="n"/>
      <c r="AA7252" s="25" t="n"/>
      <c r="AB7252" s="25" t="n"/>
      <c r="AC7252" s="195" t="n"/>
      <c r="AD7252" s="25" t="n"/>
      <c r="AE7252" s="25" t="n"/>
      <c r="AG7252" s="25" t="n"/>
      <c r="AH7252" s="25" t="n"/>
      <c r="AI7252" s="394" t="n"/>
      <c r="AM7252" s="48" t="n"/>
      <c r="AN7252" s="48" t="n"/>
      <c r="AO7252" s="48" t="n"/>
    </row>
    <row r="7253">
      <c r="M7253" s="25" t="n"/>
      <c r="Q7253" s="25" t="n"/>
      <c r="U7253" s="194" t="n"/>
      <c r="AA7253" s="25" t="n"/>
      <c r="AB7253" s="25" t="n"/>
      <c r="AC7253" s="195" t="n"/>
      <c r="AD7253" s="25" t="n"/>
      <c r="AE7253" s="25" t="n"/>
      <c r="AG7253" s="25" t="n"/>
      <c r="AH7253" s="25" t="n"/>
      <c r="AI7253" s="394" t="n"/>
      <c r="AM7253" s="48" t="n"/>
      <c r="AN7253" s="48" t="n"/>
      <c r="AO7253" s="48" t="n"/>
    </row>
    <row r="7254">
      <c r="M7254" s="25" t="n"/>
      <c r="Q7254" s="25" t="n"/>
      <c r="U7254" s="194" t="n"/>
      <c r="AA7254" s="25" t="n"/>
      <c r="AB7254" s="25" t="n"/>
      <c r="AC7254" s="195" t="n"/>
      <c r="AD7254" s="25" t="n"/>
      <c r="AE7254" s="25" t="n"/>
      <c r="AG7254" s="25" t="n"/>
      <c r="AH7254" s="25" t="n"/>
      <c r="AI7254" s="394" t="n"/>
      <c r="AM7254" s="48" t="n"/>
      <c r="AN7254" s="48" t="n"/>
      <c r="AO7254" s="48" t="n"/>
    </row>
    <row r="7255">
      <c r="M7255" s="25" t="n"/>
      <c r="Q7255" s="25" t="n"/>
      <c r="U7255" s="194" t="n"/>
      <c r="AA7255" s="25" t="n"/>
      <c r="AB7255" s="25" t="n"/>
      <c r="AC7255" s="195" t="n"/>
      <c r="AD7255" s="25" t="n"/>
      <c r="AE7255" s="25" t="n"/>
      <c r="AG7255" s="25" t="n"/>
      <c r="AH7255" s="25" t="n"/>
      <c r="AI7255" s="394" t="n"/>
      <c r="AM7255" s="48" t="n"/>
      <c r="AN7255" s="48" t="n"/>
      <c r="AO7255" s="48" t="n"/>
    </row>
    <row r="7256">
      <c r="M7256" s="25" t="n"/>
      <c r="Q7256" s="25" t="n"/>
      <c r="U7256" s="194" t="n"/>
      <c r="AA7256" s="25" t="n"/>
      <c r="AB7256" s="25" t="n"/>
      <c r="AC7256" s="195" t="n"/>
      <c r="AD7256" s="25" t="n"/>
      <c r="AE7256" s="25" t="n"/>
      <c r="AG7256" s="25" t="n"/>
      <c r="AH7256" s="25" t="n"/>
      <c r="AI7256" s="394" t="n"/>
      <c r="AM7256" s="48" t="n"/>
      <c r="AN7256" s="48" t="n"/>
      <c r="AO7256" s="48" t="n"/>
    </row>
    <row r="7257">
      <c r="M7257" s="25" t="n"/>
      <c r="Q7257" s="25" t="n"/>
      <c r="U7257" s="194" t="n"/>
      <c r="AA7257" s="25" t="n"/>
      <c r="AB7257" s="25" t="n"/>
      <c r="AC7257" s="195" t="n"/>
      <c r="AD7257" s="25" t="n"/>
      <c r="AE7257" s="25" t="n"/>
      <c r="AG7257" s="25" t="n"/>
      <c r="AH7257" s="25" t="n"/>
      <c r="AI7257" s="394" t="n"/>
      <c r="AM7257" s="48" t="n"/>
      <c r="AN7257" s="48" t="n"/>
      <c r="AO7257" s="48" t="n"/>
    </row>
    <row r="7258">
      <c r="M7258" s="25" t="n"/>
      <c r="Q7258" s="25" t="n"/>
      <c r="U7258" s="194" t="n"/>
      <c r="AA7258" s="25" t="n"/>
      <c r="AB7258" s="25" t="n"/>
      <c r="AC7258" s="195" t="n"/>
      <c r="AD7258" s="25" t="n"/>
      <c r="AE7258" s="25" t="n"/>
      <c r="AG7258" s="25" t="n"/>
      <c r="AH7258" s="25" t="n"/>
      <c r="AI7258" s="394" t="n"/>
      <c r="AM7258" s="48" t="n"/>
      <c r="AN7258" s="48" t="n"/>
      <c r="AO7258" s="48" t="n"/>
    </row>
    <row r="7259">
      <c r="M7259" s="25" t="n"/>
      <c r="Q7259" s="25" t="n"/>
      <c r="U7259" s="194" t="n"/>
      <c r="AA7259" s="25" t="n"/>
      <c r="AB7259" s="25" t="n"/>
      <c r="AC7259" s="195" t="n"/>
      <c r="AD7259" s="25" t="n"/>
      <c r="AE7259" s="25" t="n"/>
      <c r="AG7259" s="25" t="n"/>
      <c r="AH7259" s="25" t="n"/>
      <c r="AI7259" s="394" t="n"/>
      <c r="AM7259" s="48" t="n"/>
      <c r="AN7259" s="48" t="n"/>
      <c r="AO7259" s="48" t="n"/>
    </row>
    <row r="7260">
      <c r="M7260" s="25" t="n"/>
      <c r="Q7260" s="25" t="n"/>
      <c r="U7260" s="194" t="n"/>
      <c r="AA7260" s="25" t="n"/>
      <c r="AB7260" s="25" t="n"/>
      <c r="AC7260" s="195" t="n"/>
      <c r="AD7260" s="25" t="n"/>
      <c r="AE7260" s="25" t="n"/>
      <c r="AG7260" s="25" t="n"/>
      <c r="AH7260" s="25" t="n"/>
      <c r="AI7260" s="394" t="n"/>
      <c r="AM7260" s="48" t="n"/>
      <c r="AN7260" s="48" t="n"/>
      <c r="AO7260" s="48" t="n"/>
    </row>
    <row r="7261">
      <c r="M7261" s="25" t="n"/>
      <c r="Q7261" s="25" t="n"/>
      <c r="U7261" s="194" t="n"/>
      <c r="AA7261" s="25" t="n"/>
      <c r="AB7261" s="25" t="n"/>
      <c r="AC7261" s="195" t="n"/>
      <c r="AD7261" s="25" t="n"/>
      <c r="AE7261" s="25" t="n"/>
      <c r="AG7261" s="25" t="n"/>
      <c r="AH7261" s="25" t="n"/>
      <c r="AI7261" s="394" t="n"/>
      <c r="AM7261" s="48" t="n"/>
      <c r="AN7261" s="48" t="n"/>
      <c r="AO7261" s="48" t="n"/>
    </row>
    <row r="7262">
      <c r="M7262" s="25" t="n"/>
      <c r="Q7262" s="25" t="n"/>
      <c r="U7262" s="194" t="n"/>
      <c r="AA7262" s="25" t="n"/>
      <c r="AB7262" s="25" t="n"/>
      <c r="AC7262" s="195" t="n"/>
      <c r="AD7262" s="25" t="n"/>
      <c r="AE7262" s="25" t="n"/>
      <c r="AG7262" s="25" t="n"/>
      <c r="AH7262" s="25" t="n"/>
      <c r="AI7262" s="394" t="n"/>
      <c r="AM7262" s="48" t="n"/>
      <c r="AN7262" s="48" t="n"/>
      <c r="AO7262" s="48" t="n"/>
    </row>
    <row r="7263">
      <c r="M7263" s="25" t="n"/>
      <c r="Q7263" s="25" t="n"/>
      <c r="U7263" s="194" t="n"/>
      <c r="AA7263" s="25" t="n"/>
      <c r="AB7263" s="25" t="n"/>
      <c r="AC7263" s="195" t="n"/>
      <c r="AD7263" s="25" t="n"/>
      <c r="AE7263" s="25" t="n"/>
      <c r="AG7263" s="25" t="n"/>
      <c r="AH7263" s="25" t="n"/>
      <c r="AI7263" s="394" t="n"/>
      <c r="AM7263" s="48" t="n"/>
      <c r="AN7263" s="48" t="n"/>
      <c r="AO7263" s="48" t="n"/>
    </row>
    <row r="7264">
      <c r="M7264" s="25" t="n"/>
      <c r="Q7264" s="25" t="n"/>
      <c r="U7264" s="194" t="n"/>
      <c r="AA7264" s="25" t="n"/>
      <c r="AB7264" s="25" t="n"/>
      <c r="AC7264" s="195" t="n"/>
      <c r="AD7264" s="25" t="n"/>
      <c r="AE7264" s="25" t="n"/>
      <c r="AG7264" s="25" t="n"/>
      <c r="AH7264" s="25" t="n"/>
      <c r="AI7264" s="394" t="n"/>
      <c r="AM7264" s="48" t="n"/>
      <c r="AN7264" s="48" t="n"/>
      <c r="AO7264" s="48" t="n"/>
    </row>
    <row r="7265">
      <c r="M7265" s="25" t="n"/>
      <c r="Q7265" s="25" t="n"/>
      <c r="U7265" s="194" t="n"/>
      <c r="AA7265" s="25" t="n"/>
      <c r="AB7265" s="25" t="n"/>
      <c r="AC7265" s="195" t="n"/>
      <c r="AD7265" s="25" t="n"/>
      <c r="AE7265" s="25" t="n"/>
      <c r="AG7265" s="25" t="n"/>
      <c r="AH7265" s="25" t="n"/>
      <c r="AI7265" s="394" t="n"/>
      <c r="AM7265" s="48" t="n"/>
      <c r="AN7265" s="48" t="n"/>
      <c r="AO7265" s="48" t="n"/>
    </row>
    <row r="7266">
      <c r="M7266" s="25" t="n"/>
      <c r="Q7266" s="25" t="n"/>
      <c r="U7266" s="194" t="n"/>
      <c r="AA7266" s="25" t="n"/>
      <c r="AB7266" s="25" t="n"/>
      <c r="AC7266" s="195" t="n"/>
      <c r="AD7266" s="25" t="n"/>
      <c r="AE7266" s="25" t="n"/>
      <c r="AG7266" s="25" t="n"/>
      <c r="AH7266" s="25" t="n"/>
      <c r="AI7266" s="394" t="n"/>
      <c r="AM7266" s="48" t="n"/>
      <c r="AN7266" s="48" t="n"/>
      <c r="AO7266" s="48" t="n"/>
    </row>
    <row r="7267">
      <c r="M7267" s="25" t="n"/>
      <c r="Q7267" s="25" t="n"/>
      <c r="U7267" s="194" t="n"/>
      <c r="AA7267" s="25" t="n"/>
      <c r="AB7267" s="25" t="n"/>
      <c r="AC7267" s="195" t="n"/>
      <c r="AD7267" s="25" t="n"/>
      <c r="AE7267" s="25" t="n"/>
      <c r="AG7267" s="25" t="n"/>
      <c r="AH7267" s="25" t="n"/>
      <c r="AI7267" s="394" t="n"/>
      <c r="AM7267" s="48" t="n"/>
      <c r="AN7267" s="48" t="n"/>
      <c r="AO7267" s="48" t="n"/>
    </row>
    <row r="7268">
      <c r="M7268" s="25" t="n"/>
      <c r="Q7268" s="25" t="n"/>
      <c r="U7268" s="194" t="n"/>
      <c r="AA7268" s="25" t="n"/>
      <c r="AB7268" s="25" t="n"/>
      <c r="AC7268" s="195" t="n"/>
      <c r="AD7268" s="25" t="n"/>
      <c r="AE7268" s="25" t="n"/>
      <c r="AG7268" s="25" t="n"/>
      <c r="AH7268" s="25" t="n"/>
      <c r="AI7268" s="394" t="n"/>
      <c r="AM7268" s="48" t="n"/>
      <c r="AN7268" s="48" t="n"/>
      <c r="AO7268" s="48" t="n"/>
    </row>
    <row r="7269">
      <c r="M7269" s="25" t="n"/>
      <c r="Q7269" s="25" t="n"/>
      <c r="U7269" s="194" t="n"/>
      <c r="AA7269" s="25" t="n"/>
      <c r="AB7269" s="25" t="n"/>
      <c r="AC7269" s="195" t="n"/>
      <c r="AD7269" s="25" t="n"/>
      <c r="AE7269" s="25" t="n"/>
      <c r="AG7269" s="25" t="n"/>
      <c r="AH7269" s="25" t="n"/>
      <c r="AI7269" s="394" t="n"/>
      <c r="AM7269" s="48" t="n"/>
      <c r="AN7269" s="48" t="n"/>
      <c r="AO7269" s="48" t="n"/>
    </row>
    <row r="7270">
      <c r="M7270" s="25" t="n"/>
      <c r="Q7270" s="25" t="n"/>
      <c r="U7270" s="194" t="n"/>
      <c r="AA7270" s="25" t="n"/>
      <c r="AB7270" s="25" t="n"/>
      <c r="AC7270" s="195" t="n"/>
      <c r="AD7270" s="25" t="n"/>
      <c r="AE7270" s="25" t="n"/>
      <c r="AG7270" s="25" t="n"/>
      <c r="AH7270" s="25" t="n"/>
      <c r="AI7270" s="394" t="n"/>
      <c r="AM7270" s="48" t="n"/>
      <c r="AN7270" s="48" t="n"/>
      <c r="AO7270" s="48" t="n"/>
    </row>
    <row r="7271">
      <c r="M7271" s="25" t="n"/>
      <c r="Q7271" s="25" t="n"/>
      <c r="U7271" s="194" t="n"/>
      <c r="AA7271" s="25" t="n"/>
      <c r="AB7271" s="25" t="n"/>
      <c r="AC7271" s="195" t="n"/>
      <c r="AD7271" s="25" t="n"/>
      <c r="AE7271" s="25" t="n"/>
      <c r="AG7271" s="25" t="n"/>
      <c r="AH7271" s="25" t="n"/>
      <c r="AI7271" s="394" t="n"/>
      <c r="AM7271" s="48" t="n"/>
      <c r="AN7271" s="48" t="n"/>
      <c r="AO7271" s="48" t="n"/>
    </row>
    <row r="7272">
      <c r="M7272" s="25" t="n"/>
      <c r="Q7272" s="25" t="n"/>
      <c r="U7272" s="194" t="n"/>
      <c r="AA7272" s="25" t="n"/>
      <c r="AB7272" s="25" t="n"/>
      <c r="AC7272" s="195" t="n"/>
      <c r="AD7272" s="25" t="n"/>
      <c r="AE7272" s="25" t="n"/>
      <c r="AG7272" s="25" t="n"/>
      <c r="AH7272" s="25" t="n"/>
      <c r="AI7272" s="394" t="n"/>
      <c r="AM7272" s="48" t="n"/>
      <c r="AN7272" s="48" t="n"/>
      <c r="AO7272" s="48" t="n"/>
    </row>
    <row r="7273">
      <c r="M7273" s="25" t="n"/>
      <c r="Q7273" s="25" t="n"/>
      <c r="U7273" s="194" t="n"/>
      <c r="AA7273" s="25" t="n"/>
      <c r="AB7273" s="25" t="n"/>
      <c r="AC7273" s="195" t="n"/>
      <c r="AD7273" s="25" t="n"/>
      <c r="AE7273" s="25" t="n"/>
      <c r="AG7273" s="25" t="n"/>
      <c r="AH7273" s="25" t="n"/>
      <c r="AI7273" s="394" t="n"/>
      <c r="AM7273" s="48" t="n"/>
      <c r="AN7273" s="48" t="n"/>
      <c r="AO7273" s="48" t="n"/>
    </row>
    <row r="7274">
      <c r="M7274" s="25" t="n"/>
      <c r="Q7274" s="25" t="n"/>
      <c r="U7274" s="194" t="n"/>
      <c r="AA7274" s="25" t="n"/>
      <c r="AB7274" s="25" t="n"/>
      <c r="AC7274" s="195" t="n"/>
      <c r="AD7274" s="25" t="n"/>
      <c r="AE7274" s="25" t="n"/>
      <c r="AG7274" s="25" t="n"/>
      <c r="AH7274" s="25" t="n"/>
      <c r="AI7274" s="394" t="n"/>
      <c r="AM7274" s="48" t="n"/>
      <c r="AN7274" s="48" t="n"/>
      <c r="AO7274" s="48" t="n"/>
    </row>
    <row r="7275">
      <c r="M7275" s="25" t="n"/>
      <c r="Q7275" s="25" t="n"/>
      <c r="U7275" s="194" t="n"/>
      <c r="AA7275" s="25" t="n"/>
      <c r="AB7275" s="25" t="n"/>
      <c r="AC7275" s="195" t="n"/>
      <c r="AD7275" s="25" t="n"/>
      <c r="AE7275" s="25" t="n"/>
      <c r="AG7275" s="25" t="n"/>
      <c r="AH7275" s="25" t="n"/>
      <c r="AI7275" s="394" t="n"/>
      <c r="AM7275" s="48" t="n"/>
      <c r="AN7275" s="48" t="n"/>
      <c r="AO7275" s="48" t="n"/>
    </row>
    <row r="7276">
      <c r="M7276" s="25" t="n"/>
      <c r="Q7276" s="25" t="n"/>
      <c r="U7276" s="194" t="n"/>
      <c r="AA7276" s="25" t="n"/>
      <c r="AB7276" s="25" t="n"/>
      <c r="AC7276" s="195" t="n"/>
      <c r="AD7276" s="25" t="n"/>
      <c r="AE7276" s="25" t="n"/>
      <c r="AG7276" s="25" t="n"/>
      <c r="AH7276" s="25" t="n"/>
      <c r="AI7276" s="394" t="n"/>
      <c r="AM7276" s="48" t="n"/>
      <c r="AN7276" s="48" t="n"/>
      <c r="AO7276" s="48" t="n"/>
    </row>
    <row r="7277">
      <c r="M7277" s="25" t="n"/>
      <c r="Q7277" s="25" t="n"/>
      <c r="U7277" s="194" t="n"/>
      <c r="AA7277" s="25" t="n"/>
      <c r="AB7277" s="25" t="n"/>
      <c r="AC7277" s="195" t="n"/>
      <c r="AD7277" s="25" t="n"/>
      <c r="AE7277" s="25" t="n"/>
      <c r="AG7277" s="25" t="n"/>
      <c r="AH7277" s="25" t="n"/>
      <c r="AI7277" s="394" t="n"/>
      <c r="AM7277" s="48" t="n"/>
      <c r="AN7277" s="48" t="n"/>
      <c r="AO7277" s="48" t="n"/>
    </row>
    <row r="7278">
      <c r="M7278" s="25" t="n"/>
      <c r="Q7278" s="25" t="n"/>
      <c r="U7278" s="194" t="n"/>
      <c r="AA7278" s="25" t="n"/>
      <c r="AB7278" s="25" t="n"/>
      <c r="AC7278" s="195" t="n"/>
      <c r="AD7278" s="25" t="n"/>
      <c r="AE7278" s="25" t="n"/>
      <c r="AG7278" s="25" t="n"/>
      <c r="AH7278" s="25" t="n"/>
      <c r="AI7278" s="394" t="n"/>
      <c r="AM7278" s="48" t="n"/>
      <c r="AN7278" s="48" t="n"/>
      <c r="AO7278" s="48" t="n"/>
    </row>
    <row r="7279">
      <c r="M7279" s="25" t="n"/>
      <c r="Q7279" s="25" t="n"/>
      <c r="U7279" s="194" t="n"/>
      <c r="AA7279" s="25" t="n"/>
      <c r="AB7279" s="25" t="n"/>
      <c r="AC7279" s="195" t="n"/>
      <c r="AD7279" s="25" t="n"/>
      <c r="AE7279" s="25" t="n"/>
      <c r="AG7279" s="25" t="n"/>
      <c r="AH7279" s="25" t="n"/>
      <c r="AI7279" s="394" t="n"/>
      <c r="AM7279" s="48" t="n"/>
      <c r="AN7279" s="48" t="n"/>
      <c r="AO7279" s="48" t="n"/>
    </row>
    <row r="7280">
      <c r="M7280" s="25" t="n"/>
      <c r="Q7280" s="25" t="n"/>
      <c r="U7280" s="194" t="n"/>
      <c r="AA7280" s="25" t="n"/>
      <c r="AB7280" s="25" t="n"/>
      <c r="AC7280" s="195" t="n"/>
      <c r="AD7280" s="25" t="n"/>
      <c r="AE7280" s="25" t="n"/>
      <c r="AG7280" s="25" t="n"/>
      <c r="AH7280" s="25" t="n"/>
      <c r="AI7280" s="394" t="n"/>
      <c r="AM7280" s="48" t="n"/>
      <c r="AN7280" s="48" t="n"/>
      <c r="AO7280" s="48" t="n"/>
    </row>
    <row r="7281">
      <c r="M7281" s="25" t="n"/>
      <c r="Q7281" s="25" t="n"/>
      <c r="U7281" s="194" t="n"/>
      <c r="AA7281" s="25" t="n"/>
      <c r="AB7281" s="25" t="n"/>
      <c r="AC7281" s="195" t="n"/>
      <c r="AD7281" s="25" t="n"/>
      <c r="AE7281" s="25" t="n"/>
      <c r="AG7281" s="25" t="n"/>
      <c r="AH7281" s="25" t="n"/>
      <c r="AI7281" s="394" t="n"/>
      <c r="AM7281" s="48" t="n"/>
      <c r="AN7281" s="48" t="n"/>
      <c r="AO7281" s="48" t="n"/>
    </row>
    <row r="7282">
      <c r="M7282" s="25" t="n"/>
      <c r="Q7282" s="25" t="n"/>
      <c r="U7282" s="194" t="n"/>
      <c r="AA7282" s="25" t="n"/>
      <c r="AB7282" s="25" t="n"/>
      <c r="AC7282" s="195" t="n"/>
      <c r="AD7282" s="25" t="n"/>
      <c r="AE7282" s="25" t="n"/>
      <c r="AG7282" s="25" t="n"/>
      <c r="AH7282" s="25" t="n"/>
      <c r="AI7282" s="394" t="n"/>
      <c r="AM7282" s="48" t="n"/>
      <c r="AN7282" s="48" t="n"/>
      <c r="AO7282" s="48" t="n"/>
    </row>
    <row r="7283">
      <c r="M7283" s="25" t="n"/>
      <c r="Q7283" s="25" t="n"/>
      <c r="U7283" s="194" t="n"/>
      <c r="AA7283" s="25" t="n"/>
      <c r="AB7283" s="25" t="n"/>
      <c r="AC7283" s="195" t="n"/>
      <c r="AD7283" s="25" t="n"/>
      <c r="AE7283" s="25" t="n"/>
      <c r="AG7283" s="25" t="n"/>
      <c r="AH7283" s="25" t="n"/>
      <c r="AI7283" s="394" t="n"/>
      <c r="AM7283" s="48" t="n"/>
      <c r="AN7283" s="48" t="n"/>
      <c r="AO7283" s="48" t="n"/>
    </row>
    <row r="7284">
      <c r="M7284" s="25" t="n"/>
      <c r="Q7284" s="25" t="n"/>
      <c r="U7284" s="194" t="n"/>
      <c r="AA7284" s="25" t="n"/>
      <c r="AB7284" s="25" t="n"/>
      <c r="AC7284" s="195" t="n"/>
      <c r="AD7284" s="25" t="n"/>
      <c r="AE7284" s="25" t="n"/>
      <c r="AG7284" s="25" t="n"/>
      <c r="AH7284" s="25" t="n"/>
      <c r="AI7284" s="394" t="n"/>
      <c r="AM7284" s="48" t="n"/>
      <c r="AN7284" s="48" t="n"/>
      <c r="AO7284" s="48" t="n"/>
    </row>
    <row r="7285">
      <c r="M7285" s="25" t="n"/>
      <c r="Q7285" s="25" t="n"/>
      <c r="U7285" s="194" t="n"/>
      <c r="AA7285" s="25" t="n"/>
      <c r="AB7285" s="25" t="n"/>
      <c r="AC7285" s="195" t="n"/>
      <c r="AD7285" s="25" t="n"/>
      <c r="AE7285" s="25" t="n"/>
      <c r="AG7285" s="25" t="n"/>
      <c r="AH7285" s="25" t="n"/>
      <c r="AI7285" s="394" t="n"/>
      <c r="AM7285" s="48" t="n"/>
      <c r="AN7285" s="48" t="n"/>
      <c r="AO7285" s="48" t="n"/>
    </row>
    <row r="7286">
      <c r="M7286" s="25" t="n"/>
      <c r="Q7286" s="25" t="n"/>
      <c r="U7286" s="194" t="n"/>
      <c r="AA7286" s="25" t="n"/>
      <c r="AB7286" s="25" t="n"/>
      <c r="AC7286" s="195" t="n"/>
      <c r="AD7286" s="25" t="n"/>
      <c r="AE7286" s="25" t="n"/>
      <c r="AG7286" s="25" t="n"/>
      <c r="AH7286" s="25" t="n"/>
      <c r="AI7286" s="394" t="n"/>
      <c r="AM7286" s="48" t="n"/>
      <c r="AN7286" s="48" t="n"/>
      <c r="AO7286" s="48" t="n"/>
    </row>
    <row r="7287">
      <c r="M7287" s="25" t="n"/>
      <c r="Q7287" s="25" t="n"/>
      <c r="U7287" s="194" t="n"/>
      <c r="AA7287" s="25" t="n"/>
      <c r="AB7287" s="25" t="n"/>
      <c r="AC7287" s="195" t="n"/>
      <c r="AD7287" s="25" t="n"/>
      <c r="AE7287" s="25" t="n"/>
      <c r="AG7287" s="25" t="n"/>
      <c r="AH7287" s="25" t="n"/>
      <c r="AI7287" s="394" t="n"/>
      <c r="AM7287" s="48" t="n"/>
      <c r="AN7287" s="48" t="n"/>
      <c r="AO7287" s="48" t="n"/>
    </row>
    <row r="7288">
      <c r="M7288" s="25" t="n"/>
      <c r="Q7288" s="25" t="n"/>
      <c r="U7288" s="194" t="n"/>
      <c r="AA7288" s="25" t="n"/>
      <c r="AB7288" s="25" t="n"/>
      <c r="AC7288" s="195" t="n"/>
      <c r="AD7288" s="25" t="n"/>
      <c r="AE7288" s="25" t="n"/>
      <c r="AG7288" s="25" t="n"/>
      <c r="AH7288" s="25" t="n"/>
      <c r="AI7288" s="394" t="n"/>
      <c r="AM7288" s="48" t="n"/>
      <c r="AN7288" s="48" t="n"/>
      <c r="AO7288" s="48" t="n"/>
    </row>
    <row r="7289">
      <c r="M7289" s="25" t="n"/>
      <c r="Q7289" s="25" t="n"/>
      <c r="U7289" s="194" t="n"/>
      <c r="AA7289" s="25" t="n"/>
      <c r="AB7289" s="25" t="n"/>
      <c r="AC7289" s="195" t="n"/>
      <c r="AD7289" s="25" t="n"/>
      <c r="AE7289" s="25" t="n"/>
      <c r="AG7289" s="25" t="n"/>
      <c r="AH7289" s="25" t="n"/>
      <c r="AI7289" s="394" t="n"/>
      <c r="AM7289" s="48" t="n"/>
      <c r="AN7289" s="48" t="n"/>
      <c r="AO7289" s="48" t="n"/>
    </row>
    <row r="7290">
      <c r="M7290" s="25" t="n"/>
      <c r="Q7290" s="25" t="n"/>
      <c r="U7290" s="194" t="n"/>
      <c r="AA7290" s="25" t="n"/>
      <c r="AB7290" s="25" t="n"/>
      <c r="AC7290" s="195" t="n"/>
      <c r="AD7290" s="25" t="n"/>
      <c r="AE7290" s="25" t="n"/>
      <c r="AG7290" s="25" t="n"/>
      <c r="AH7290" s="25" t="n"/>
      <c r="AI7290" s="394" t="n"/>
      <c r="AM7290" s="48" t="n"/>
      <c r="AN7290" s="48" t="n"/>
      <c r="AO7290" s="48" t="n"/>
    </row>
    <row r="7291">
      <c r="M7291" s="25" t="n"/>
      <c r="Q7291" s="25" t="n"/>
      <c r="U7291" s="194" t="n"/>
      <c r="AA7291" s="25" t="n"/>
      <c r="AB7291" s="25" t="n"/>
      <c r="AC7291" s="195" t="n"/>
      <c r="AD7291" s="25" t="n"/>
      <c r="AE7291" s="25" t="n"/>
      <c r="AG7291" s="25" t="n"/>
      <c r="AH7291" s="25" t="n"/>
      <c r="AI7291" s="394" t="n"/>
      <c r="AM7291" s="48" t="n"/>
      <c r="AN7291" s="48" t="n"/>
      <c r="AO7291" s="48" t="n"/>
    </row>
    <row r="7292">
      <c r="M7292" s="25" t="n"/>
      <c r="Q7292" s="25" t="n"/>
      <c r="U7292" s="194" t="n"/>
      <c r="AA7292" s="25" t="n"/>
      <c r="AB7292" s="25" t="n"/>
      <c r="AC7292" s="195" t="n"/>
      <c r="AD7292" s="25" t="n"/>
      <c r="AE7292" s="25" t="n"/>
      <c r="AG7292" s="25" t="n"/>
      <c r="AH7292" s="25" t="n"/>
      <c r="AI7292" s="394" t="n"/>
      <c r="AM7292" s="48" t="n"/>
      <c r="AN7292" s="48" t="n"/>
      <c r="AO7292" s="48" t="n"/>
    </row>
    <row r="7293">
      <c r="M7293" s="25" t="n"/>
      <c r="Q7293" s="25" t="n"/>
      <c r="U7293" s="194" t="n"/>
      <c r="AA7293" s="25" t="n"/>
      <c r="AB7293" s="25" t="n"/>
      <c r="AC7293" s="195" t="n"/>
      <c r="AD7293" s="25" t="n"/>
      <c r="AE7293" s="25" t="n"/>
      <c r="AG7293" s="25" t="n"/>
      <c r="AH7293" s="25" t="n"/>
      <c r="AI7293" s="394" t="n"/>
      <c r="AM7293" s="48" t="n"/>
      <c r="AN7293" s="48" t="n"/>
      <c r="AO7293" s="48" t="n"/>
    </row>
    <row r="7294">
      <c r="M7294" s="25" t="n"/>
      <c r="Q7294" s="25" t="n"/>
      <c r="U7294" s="194" t="n"/>
      <c r="AA7294" s="25" t="n"/>
      <c r="AB7294" s="25" t="n"/>
      <c r="AC7294" s="195" t="n"/>
      <c r="AD7294" s="25" t="n"/>
      <c r="AE7294" s="25" t="n"/>
      <c r="AG7294" s="25" t="n"/>
      <c r="AH7294" s="25" t="n"/>
      <c r="AI7294" s="394" t="n"/>
      <c r="AM7294" s="48" t="n"/>
      <c r="AN7294" s="48" t="n"/>
      <c r="AO7294" s="48" t="n"/>
    </row>
    <row r="7295">
      <c r="M7295" s="25" t="n"/>
      <c r="Q7295" s="25" t="n"/>
      <c r="U7295" s="194" t="n"/>
      <c r="AA7295" s="25" t="n"/>
      <c r="AB7295" s="25" t="n"/>
      <c r="AC7295" s="195" t="n"/>
      <c r="AD7295" s="25" t="n"/>
      <c r="AE7295" s="25" t="n"/>
      <c r="AG7295" s="25" t="n"/>
      <c r="AH7295" s="25" t="n"/>
      <c r="AI7295" s="394" t="n"/>
      <c r="AM7295" s="48" t="n"/>
      <c r="AN7295" s="48" t="n"/>
      <c r="AO7295" s="48" t="n"/>
    </row>
    <row r="7296">
      <c r="M7296" s="25" t="n"/>
      <c r="Q7296" s="25" t="n"/>
      <c r="U7296" s="194" t="n"/>
      <c r="AA7296" s="25" t="n"/>
      <c r="AB7296" s="25" t="n"/>
      <c r="AC7296" s="195" t="n"/>
      <c r="AD7296" s="25" t="n"/>
      <c r="AE7296" s="25" t="n"/>
      <c r="AG7296" s="25" t="n"/>
      <c r="AH7296" s="25" t="n"/>
      <c r="AI7296" s="394" t="n"/>
      <c r="AM7296" s="48" t="n"/>
      <c r="AN7296" s="48" t="n"/>
      <c r="AO7296" s="48" t="n"/>
    </row>
    <row r="7297">
      <c r="M7297" s="25" t="n"/>
      <c r="Q7297" s="25" t="n"/>
      <c r="U7297" s="194" t="n"/>
      <c r="AA7297" s="25" t="n"/>
      <c r="AB7297" s="25" t="n"/>
      <c r="AC7297" s="195" t="n"/>
      <c r="AD7297" s="25" t="n"/>
      <c r="AE7297" s="25" t="n"/>
      <c r="AG7297" s="25" t="n"/>
      <c r="AH7297" s="25" t="n"/>
      <c r="AI7297" s="394" t="n"/>
      <c r="AM7297" s="48" t="n"/>
      <c r="AN7297" s="48" t="n"/>
      <c r="AO7297" s="48" t="n"/>
    </row>
    <row r="7298">
      <c r="M7298" s="25" t="n"/>
      <c r="Q7298" s="25" t="n"/>
      <c r="U7298" s="194" t="n"/>
      <c r="AA7298" s="25" t="n"/>
      <c r="AB7298" s="25" t="n"/>
      <c r="AC7298" s="195" t="n"/>
      <c r="AD7298" s="25" t="n"/>
      <c r="AE7298" s="25" t="n"/>
      <c r="AG7298" s="25" t="n"/>
      <c r="AH7298" s="25" t="n"/>
      <c r="AI7298" s="394" t="n"/>
      <c r="AM7298" s="48" t="n"/>
      <c r="AN7298" s="48" t="n"/>
      <c r="AO7298" s="48" t="n"/>
    </row>
    <row r="7299">
      <c r="M7299" s="25" t="n"/>
      <c r="Q7299" s="25" t="n"/>
      <c r="U7299" s="194" t="n"/>
      <c r="AA7299" s="25" t="n"/>
      <c r="AB7299" s="25" t="n"/>
      <c r="AC7299" s="195" t="n"/>
      <c r="AD7299" s="25" t="n"/>
      <c r="AE7299" s="25" t="n"/>
      <c r="AG7299" s="25" t="n"/>
      <c r="AH7299" s="25" t="n"/>
      <c r="AI7299" s="394" t="n"/>
      <c r="AM7299" s="48" t="n"/>
      <c r="AN7299" s="48" t="n"/>
      <c r="AO7299" s="48" t="n"/>
    </row>
    <row r="7300">
      <c r="M7300" s="25" t="n"/>
      <c r="Q7300" s="25" t="n"/>
      <c r="U7300" s="194" t="n"/>
      <c r="AA7300" s="25" t="n"/>
      <c r="AB7300" s="25" t="n"/>
      <c r="AC7300" s="195" t="n"/>
      <c r="AD7300" s="25" t="n"/>
      <c r="AE7300" s="25" t="n"/>
      <c r="AG7300" s="25" t="n"/>
      <c r="AH7300" s="25" t="n"/>
      <c r="AI7300" s="394" t="n"/>
      <c r="AM7300" s="48" t="n"/>
      <c r="AN7300" s="48" t="n"/>
      <c r="AO7300" s="48" t="n"/>
    </row>
    <row r="7301">
      <c r="M7301" s="25" t="n"/>
      <c r="Q7301" s="25" t="n"/>
      <c r="U7301" s="194" t="n"/>
      <c r="AA7301" s="25" t="n"/>
      <c r="AB7301" s="25" t="n"/>
      <c r="AC7301" s="195" t="n"/>
      <c r="AD7301" s="25" t="n"/>
      <c r="AE7301" s="25" t="n"/>
      <c r="AG7301" s="25" t="n"/>
      <c r="AH7301" s="25" t="n"/>
      <c r="AI7301" s="394" t="n"/>
      <c r="AM7301" s="48" t="n"/>
      <c r="AN7301" s="48" t="n"/>
      <c r="AO7301" s="48" t="n"/>
    </row>
    <row r="7302">
      <c r="M7302" s="25" t="n"/>
      <c r="Q7302" s="25" t="n"/>
      <c r="U7302" s="194" t="n"/>
      <c r="AA7302" s="25" t="n"/>
      <c r="AB7302" s="25" t="n"/>
      <c r="AC7302" s="195" t="n"/>
      <c r="AD7302" s="25" t="n"/>
      <c r="AE7302" s="25" t="n"/>
      <c r="AG7302" s="25" t="n"/>
      <c r="AH7302" s="25" t="n"/>
      <c r="AI7302" s="394" t="n"/>
      <c r="AM7302" s="48" t="n"/>
      <c r="AN7302" s="48" t="n"/>
      <c r="AO7302" s="48" t="n"/>
    </row>
    <row r="7303">
      <c r="M7303" s="25" t="n"/>
      <c r="Q7303" s="25" t="n"/>
      <c r="U7303" s="194" t="n"/>
      <c r="AA7303" s="25" t="n"/>
      <c r="AB7303" s="25" t="n"/>
      <c r="AC7303" s="195" t="n"/>
      <c r="AD7303" s="25" t="n"/>
      <c r="AE7303" s="25" t="n"/>
      <c r="AG7303" s="25" t="n"/>
      <c r="AH7303" s="25" t="n"/>
      <c r="AI7303" s="394" t="n"/>
      <c r="AM7303" s="48" t="n"/>
      <c r="AN7303" s="48" t="n"/>
      <c r="AO7303" s="48" t="n"/>
    </row>
    <row r="7304">
      <c r="M7304" s="25" t="n"/>
      <c r="Q7304" s="25" t="n"/>
      <c r="U7304" s="194" t="n"/>
      <c r="AA7304" s="25" t="n"/>
      <c r="AB7304" s="25" t="n"/>
      <c r="AC7304" s="195" t="n"/>
      <c r="AD7304" s="25" t="n"/>
      <c r="AE7304" s="25" t="n"/>
      <c r="AG7304" s="25" t="n"/>
      <c r="AH7304" s="25" t="n"/>
      <c r="AI7304" s="394" t="n"/>
      <c r="AM7304" s="48" t="n"/>
      <c r="AN7304" s="48" t="n"/>
      <c r="AO7304" s="48" t="n"/>
    </row>
    <row r="7305">
      <c r="M7305" s="25" t="n"/>
      <c r="Q7305" s="25" t="n"/>
      <c r="U7305" s="194" t="n"/>
      <c r="AA7305" s="25" t="n"/>
      <c r="AB7305" s="25" t="n"/>
      <c r="AC7305" s="195" t="n"/>
      <c r="AD7305" s="25" t="n"/>
      <c r="AE7305" s="25" t="n"/>
      <c r="AG7305" s="25" t="n"/>
      <c r="AH7305" s="25" t="n"/>
      <c r="AI7305" s="394" t="n"/>
      <c r="AM7305" s="48" t="n"/>
      <c r="AN7305" s="48" t="n"/>
      <c r="AO7305" s="48" t="n"/>
    </row>
    <row r="7306">
      <c r="M7306" s="25" t="n"/>
      <c r="Q7306" s="25" t="n"/>
      <c r="U7306" s="194" t="n"/>
      <c r="AA7306" s="25" t="n"/>
      <c r="AB7306" s="25" t="n"/>
      <c r="AC7306" s="195" t="n"/>
      <c r="AD7306" s="25" t="n"/>
      <c r="AE7306" s="25" t="n"/>
      <c r="AG7306" s="25" t="n"/>
      <c r="AH7306" s="25" t="n"/>
      <c r="AI7306" s="394" t="n"/>
      <c r="AM7306" s="48" t="n"/>
      <c r="AN7306" s="48" t="n"/>
      <c r="AO7306" s="48" t="n"/>
    </row>
    <row r="7307">
      <c r="M7307" s="25" t="n"/>
      <c r="Q7307" s="25" t="n"/>
      <c r="U7307" s="194" t="n"/>
      <c r="AA7307" s="25" t="n"/>
      <c r="AB7307" s="25" t="n"/>
      <c r="AC7307" s="195" t="n"/>
      <c r="AD7307" s="25" t="n"/>
      <c r="AE7307" s="25" t="n"/>
      <c r="AG7307" s="25" t="n"/>
      <c r="AH7307" s="25" t="n"/>
      <c r="AI7307" s="394" t="n"/>
      <c r="AM7307" s="48" t="n"/>
      <c r="AN7307" s="48" t="n"/>
      <c r="AO7307" s="48" t="n"/>
    </row>
    <row r="7308">
      <c r="M7308" s="25" t="n"/>
      <c r="Q7308" s="25" t="n"/>
      <c r="U7308" s="194" t="n"/>
      <c r="AA7308" s="25" t="n"/>
      <c r="AB7308" s="25" t="n"/>
      <c r="AC7308" s="195" t="n"/>
      <c r="AD7308" s="25" t="n"/>
      <c r="AE7308" s="25" t="n"/>
      <c r="AG7308" s="25" t="n"/>
      <c r="AH7308" s="25" t="n"/>
      <c r="AI7308" s="394" t="n"/>
      <c r="AM7308" s="48" t="n"/>
      <c r="AN7308" s="48" t="n"/>
      <c r="AO7308" s="48" t="n"/>
    </row>
    <row r="7309">
      <c r="M7309" s="25" t="n"/>
      <c r="Q7309" s="25" t="n"/>
      <c r="U7309" s="194" t="n"/>
      <c r="AA7309" s="25" t="n"/>
      <c r="AB7309" s="25" t="n"/>
      <c r="AC7309" s="195" t="n"/>
      <c r="AD7309" s="25" t="n"/>
      <c r="AE7309" s="25" t="n"/>
      <c r="AG7309" s="25" t="n"/>
      <c r="AH7309" s="25" t="n"/>
      <c r="AI7309" s="394" t="n"/>
      <c r="AM7309" s="48" t="n"/>
      <c r="AN7309" s="48" t="n"/>
      <c r="AO7309" s="48" t="n"/>
    </row>
    <row r="7310">
      <c r="M7310" s="25" t="n"/>
      <c r="Q7310" s="25" t="n"/>
      <c r="U7310" s="194" t="n"/>
      <c r="AA7310" s="25" t="n"/>
      <c r="AB7310" s="25" t="n"/>
      <c r="AC7310" s="195" t="n"/>
      <c r="AD7310" s="25" t="n"/>
      <c r="AE7310" s="25" t="n"/>
      <c r="AG7310" s="25" t="n"/>
      <c r="AH7310" s="25" t="n"/>
      <c r="AI7310" s="394" t="n"/>
      <c r="AM7310" s="48" t="n"/>
      <c r="AN7310" s="48" t="n"/>
      <c r="AO7310" s="48" t="n"/>
    </row>
    <row r="7311">
      <c r="M7311" s="25" t="n"/>
      <c r="Q7311" s="25" t="n"/>
      <c r="U7311" s="194" t="n"/>
      <c r="AA7311" s="25" t="n"/>
      <c r="AB7311" s="25" t="n"/>
      <c r="AC7311" s="195" t="n"/>
      <c r="AD7311" s="25" t="n"/>
      <c r="AE7311" s="25" t="n"/>
      <c r="AG7311" s="25" t="n"/>
      <c r="AH7311" s="25" t="n"/>
      <c r="AI7311" s="394" t="n"/>
      <c r="AM7311" s="48" t="n"/>
      <c r="AN7311" s="48" t="n"/>
      <c r="AO7311" s="48" t="n"/>
    </row>
    <row r="7312">
      <c r="M7312" s="25" t="n"/>
      <c r="Q7312" s="25" t="n"/>
      <c r="U7312" s="194" t="n"/>
      <c r="AA7312" s="25" t="n"/>
      <c r="AB7312" s="25" t="n"/>
      <c r="AC7312" s="195" t="n"/>
      <c r="AD7312" s="25" t="n"/>
      <c r="AE7312" s="25" t="n"/>
      <c r="AG7312" s="25" t="n"/>
      <c r="AH7312" s="25" t="n"/>
      <c r="AI7312" s="394" t="n"/>
      <c r="AM7312" s="48" t="n"/>
      <c r="AN7312" s="48" t="n"/>
      <c r="AO7312" s="48" t="n"/>
    </row>
    <row r="7313">
      <c r="M7313" s="25" t="n"/>
      <c r="Q7313" s="25" t="n"/>
      <c r="U7313" s="194" t="n"/>
      <c r="AA7313" s="25" t="n"/>
      <c r="AB7313" s="25" t="n"/>
      <c r="AC7313" s="195" t="n"/>
      <c r="AD7313" s="25" t="n"/>
      <c r="AE7313" s="25" t="n"/>
      <c r="AG7313" s="25" t="n"/>
      <c r="AH7313" s="25" t="n"/>
      <c r="AI7313" s="394" t="n"/>
      <c r="AM7313" s="48" t="n"/>
      <c r="AN7313" s="48" t="n"/>
      <c r="AO7313" s="48" t="n"/>
    </row>
    <row r="7314">
      <c r="M7314" s="25" t="n"/>
      <c r="Q7314" s="25" t="n"/>
      <c r="U7314" s="194" t="n"/>
      <c r="AA7314" s="25" t="n"/>
      <c r="AB7314" s="25" t="n"/>
      <c r="AC7314" s="195" t="n"/>
      <c r="AD7314" s="25" t="n"/>
      <c r="AE7314" s="25" t="n"/>
      <c r="AG7314" s="25" t="n"/>
      <c r="AH7314" s="25" t="n"/>
      <c r="AI7314" s="394" t="n"/>
      <c r="AM7314" s="48" t="n"/>
      <c r="AN7314" s="48" t="n"/>
      <c r="AO7314" s="48" t="n"/>
    </row>
    <row r="7315">
      <c r="M7315" s="25" t="n"/>
      <c r="Q7315" s="25" t="n"/>
      <c r="U7315" s="194" t="n"/>
      <c r="AA7315" s="25" t="n"/>
      <c r="AB7315" s="25" t="n"/>
      <c r="AC7315" s="195" t="n"/>
      <c r="AD7315" s="25" t="n"/>
      <c r="AE7315" s="25" t="n"/>
      <c r="AG7315" s="25" t="n"/>
      <c r="AH7315" s="25" t="n"/>
      <c r="AI7315" s="394" t="n"/>
      <c r="AM7315" s="48" t="n"/>
      <c r="AN7315" s="48" t="n"/>
      <c r="AO7315" s="48" t="n"/>
    </row>
    <row r="7316">
      <c r="M7316" s="25" t="n"/>
      <c r="Q7316" s="25" t="n"/>
      <c r="U7316" s="194" t="n"/>
      <c r="AA7316" s="25" t="n"/>
      <c r="AB7316" s="25" t="n"/>
      <c r="AC7316" s="195" t="n"/>
      <c r="AD7316" s="25" t="n"/>
      <c r="AE7316" s="25" t="n"/>
      <c r="AG7316" s="25" t="n"/>
      <c r="AH7316" s="25" t="n"/>
      <c r="AI7316" s="394" t="n"/>
      <c r="AM7316" s="48" t="n"/>
      <c r="AN7316" s="48" t="n"/>
      <c r="AO7316" s="48" t="n"/>
    </row>
    <row r="7317">
      <c r="M7317" s="25" t="n"/>
      <c r="Q7317" s="25" t="n"/>
      <c r="U7317" s="194" t="n"/>
      <c r="AA7317" s="25" t="n"/>
      <c r="AB7317" s="25" t="n"/>
      <c r="AC7317" s="195" t="n"/>
      <c r="AD7317" s="25" t="n"/>
      <c r="AE7317" s="25" t="n"/>
      <c r="AG7317" s="25" t="n"/>
      <c r="AH7317" s="25" t="n"/>
      <c r="AI7317" s="394" t="n"/>
      <c r="AM7317" s="48" t="n"/>
      <c r="AN7317" s="48" t="n"/>
      <c r="AO7317" s="48" t="n"/>
    </row>
    <row r="7318">
      <c r="M7318" s="25" t="n"/>
      <c r="Q7318" s="25" t="n"/>
      <c r="U7318" s="194" t="n"/>
      <c r="AA7318" s="25" t="n"/>
      <c r="AB7318" s="25" t="n"/>
      <c r="AC7318" s="195" t="n"/>
      <c r="AD7318" s="25" t="n"/>
      <c r="AE7318" s="25" t="n"/>
      <c r="AG7318" s="25" t="n"/>
      <c r="AH7318" s="25" t="n"/>
      <c r="AI7318" s="394" t="n"/>
      <c r="AM7318" s="48" t="n"/>
      <c r="AN7318" s="48" t="n"/>
      <c r="AO7318" s="48" t="n"/>
    </row>
    <row r="7319">
      <c r="M7319" s="25" t="n"/>
      <c r="Q7319" s="25" t="n"/>
      <c r="U7319" s="194" t="n"/>
      <c r="AA7319" s="25" t="n"/>
      <c r="AB7319" s="25" t="n"/>
      <c r="AC7319" s="195" t="n"/>
      <c r="AD7319" s="25" t="n"/>
      <c r="AE7319" s="25" t="n"/>
      <c r="AG7319" s="25" t="n"/>
      <c r="AH7319" s="25" t="n"/>
      <c r="AI7319" s="394" t="n"/>
      <c r="AM7319" s="48" t="n"/>
      <c r="AN7319" s="48" t="n"/>
      <c r="AO7319" s="48" t="n"/>
    </row>
    <row r="7320">
      <c r="M7320" s="25" t="n"/>
      <c r="Q7320" s="25" t="n"/>
      <c r="U7320" s="194" t="n"/>
      <c r="AA7320" s="25" t="n"/>
      <c r="AB7320" s="25" t="n"/>
      <c r="AC7320" s="195" t="n"/>
      <c r="AD7320" s="25" t="n"/>
      <c r="AE7320" s="25" t="n"/>
      <c r="AG7320" s="25" t="n"/>
      <c r="AH7320" s="25" t="n"/>
      <c r="AI7320" s="394" t="n"/>
      <c r="AM7320" s="48" t="n"/>
      <c r="AN7320" s="48" t="n"/>
      <c r="AO7320" s="48" t="n"/>
    </row>
    <row r="7321">
      <c r="M7321" s="25" t="n"/>
      <c r="Q7321" s="25" t="n"/>
      <c r="U7321" s="194" t="n"/>
      <c r="AA7321" s="25" t="n"/>
      <c r="AB7321" s="25" t="n"/>
      <c r="AC7321" s="195" t="n"/>
      <c r="AD7321" s="25" t="n"/>
      <c r="AE7321" s="25" t="n"/>
      <c r="AG7321" s="25" t="n"/>
      <c r="AH7321" s="25" t="n"/>
      <c r="AI7321" s="394" t="n"/>
      <c r="AM7321" s="48" t="n"/>
      <c r="AN7321" s="48" t="n"/>
      <c r="AO7321" s="48" t="n"/>
    </row>
    <row r="7322">
      <c r="M7322" s="25" t="n"/>
      <c r="Q7322" s="25" t="n"/>
      <c r="U7322" s="194" t="n"/>
      <c r="AA7322" s="25" t="n"/>
      <c r="AB7322" s="25" t="n"/>
      <c r="AC7322" s="195" t="n"/>
      <c r="AD7322" s="25" t="n"/>
      <c r="AE7322" s="25" t="n"/>
      <c r="AG7322" s="25" t="n"/>
      <c r="AH7322" s="25" t="n"/>
      <c r="AI7322" s="394" t="n"/>
      <c r="AM7322" s="48" t="n"/>
      <c r="AN7322" s="48" t="n"/>
      <c r="AO7322" s="48" t="n"/>
    </row>
    <row r="7323">
      <c r="M7323" s="25" t="n"/>
      <c r="Q7323" s="25" t="n"/>
      <c r="U7323" s="194" t="n"/>
      <c r="AA7323" s="25" t="n"/>
      <c r="AB7323" s="25" t="n"/>
      <c r="AC7323" s="195" t="n"/>
      <c r="AD7323" s="25" t="n"/>
      <c r="AE7323" s="25" t="n"/>
      <c r="AG7323" s="25" t="n"/>
      <c r="AH7323" s="25" t="n"/>
      <c r="AI7323" s="394" t="n"/>
      <c r="AM7323" s="48" t="n"/>
      <c r="AN7323" s="48" t="n"/>
      <c r="AO7323" s="48" t="n"/>
    </row>
    <row r="7324">
      <c r="M7324" s="25" t="n"/>
      <c r="Q7324" s="25" t="n"/>
      <c r="U7324" s="194" t="n"/>
      <c r="AA7324" s="25" t="n"/>
      <c r="AB7324" s="25" t="n"/>
      <c r="AC7324" s="195" t="n"/>
      <c r="AD7324" s="25" t="n"/>
      <c r="AE7324" s="25" t="n"/>
      <c r="AG7324" s="25" t="n"/>
      <c r="AH7324" s="25" t="n"/>
      <c r="AI7324" s="394" t="n"/>
      <c r="AM7324" s="48" t="n"/>
      <c r="AN7324" s="48" t="n"/>
      <c r="AO7324" s="48" t="n"/>
    </row>
    <row r="7325">
      <c r="M7325" s="25" t="n"/>
      <c r="Q7325" s="25" t="n"/>
      <c r="U7325" s="194" t="n"/>
      <c r="AA7325" s="25" t="n"/>
      <c r="AB7325" s="25" t="n"/>
      <c r="AC7325" s="195" t="n"/>
      <c r="AD7325" s="25" t="n"/>
      <c r="AE7325" s="25" t="n"/>
      <c r="AG7325" s="25" t="n"/>
      <c r="AH7325" s="25" t="n"/>
      <c r="AI7325" s="394" t="n"/>
      <c r="AM7325" s="48" t="n"/>
      <c r="AN7325" s="48" t="n"/>
      <c r="AO7325" s="48" t="n"/>
    </row>
    <row r="7326">
      <c r="M7326" s="25" t="n"/>
      <c r="Q7326" s="25" t="n"/>
      <c r="U7326" s="194" t="n"/>
      <c r="AA7326" s="25" t="n"/>
      <c r="AB7326" s="25" t="n"/>
      <c r="AC7326" s="195" t="n"/>
      <c r="AD7326" s="25" t="n"/>
      <c r="AE7326" s="25" t="n"/>
      <c r="AG7326" s="25" t="n"/>
      <c r="AH7326" s="25" t="n"/>
      <c r="AI7326" s="394" t="n"/>
      <c r="AM7326" s="48" t="n"/>
      <c r="AN7326" s="48" t="n"/>
      <c r="AO7326" s="48" t="n"/>
    </row>
    <row r="7327">
      <c r="M7327" s="25" t="n"/>
      <c r="Q7327" s="25" t="n"/>
      <c r="U7327" s="194" t="n"/>
      <c r="AA7327" s="25" t="n"/>
      <c r="AB7327" s="25" t="n"/>
      <c r="AC7327" s="195" t="n"/>
      <c r="AD7327" s="25" t="n"/>
      <c r="AE7327" s="25" t="n"/>
      <c r="AG7327" s="25" t="n"/>
      <c r="AH7327" s="25" t="n"/>
      <c r="AI7327" s="394" t="n"/>
      <c r="AM7327" s="48" t="n"/>
      <c r="AN7327" s="48" t="n"/>
      <c r="AO7327" s="48" t="n"/>
    </row>
    <row r="7328">
      <c r="M7328" s="25" t="n"/>
      <c r="Q7328" s="25" t="n"/>
      <c r="U7328" s="194" t="n"/>
      <c r="AA7328" s="25" t="n"/>
      <c r="AB7328" s="25" t="n"/>
      <c r="AC7328" s="195" t="n"/>
      <c r="AD7328" s="25" t="n"/>
      <c r="AE7328" s="25" t="n"/>
      <c r="AG7328" s="25" t="n"/>
      <c r="AH7328" s="25" t="n"/>
      <c r="AI7328" s="394" t="n"/>
      <c r="AM7328" s="48" t="n"/>
      <c r="AN7328" s="48" t="n"/>
      <c r="AO7328" s="48" t="n"/>
    </row>
    <row r="7329">
      <c r="M7329" s="25" t="n"/>
      <c r="Q7329" s="25" t="n"/>
      <c r="U7329" s="194" t="n"/>
      <c r="AA7329" s="25" t="n"/>
      <c r="AB7329" s="25" t="n"/>
      <c r="AC7329" s="195" t="n"/>
      <c r="AD7329" s="25" t="n"/>
      <c r="AE7329" s="25" t="n"/>
      <c r="AG7329" s="25" t="n"/>
      <c r="AH7329" s="25" t="n"/>
      <c r="AI7329" s="394" t="n"/>
      <c r="AM7329" s="48" t="n"/>
      <c r="AN7329" s="48" t="n"/>
      <c r="AO7329" s="48" t="n"/>
    </row>
    <row r="7330">
      <c r="M7330" s="25" t="n"/>
      <c r="Q7330" s="25" t="n"/>
      <c r="U7330" s="194" t="n"/>
      <c r="AA7330" s="25" t="n"/>
      <c r="AB7330" s="25" t="n"/>
      <c r="AC7330" s="195" t="n"/>
      <c r="AD7330" s="25" t="n"/>
      <c r="AE7330" s="25" t="n"/>
      <c r="AG7330" s="25" t="n"/>
      <c r="AH7330" s="25" t="n"/>
      <c r="AI7330" s="394" t="n"/>
      <c r="AM7330" s="48" t="n"/>
      <c r="AN7330" s="48" t="n"/>
      <c r="AO7330" s="48" t="n"/>
    </row>
    <row r="7331">
      <c r="M7331" s="25" t="n"/>
      <c r="Q7331" s="25" t="n"/>
      <c r="U7331" s="194" t="n"/>
      <c r="AA7331" s="25" t="n"/>
      <c r="AB7331" s="25" t="n"/>
      <c r="AC7331" s="195" t="n"/>
      <c r="AD7331" s="25" t="n"/>
      <c r="AE7331" s="25" t="n"/>
      <c r="AG7331" s="25" t="n"/>
      <c r="AH7331" s="25" t="n"/>
      <c r="AI7331" s="394" t="n"/>
      <c r="AM7331" s="48" t="n"/>
      <c r="AN7331" s="48" t="n"/>
      <c r="AO7331" s="48" t="n"/>
    </row>
    <row r="7332">
      <c r="M7332" s="25" t="n"/>
      <c r="Q7332" s="25" t="n"/>
      <c r="U7332" s="194" t="n"/>
      <c r="AA7332" s="25" t="n"/>
      <c r="AB7332" s="25" t="n"/>
      <c r="AC7332" s="195" t="n"/>
      <c r="AD7332" s="25" t="n"/>
      <c r="AE7332" s="25" t="n"/>
      <c r="AG7332" s="25" t="n"/>
      <c r="AH7332" s="25" t="n"/>
      <c r="AI7332" s="394" t="n"/>
      <c r="AM7332" s="48" t="n"/>
      <c r="AN7332" s="48" t="n"/>
      <c r="AO7332" s="48" t="n"/>
    </row>
    <row r="7333">
      <c r="M7333" s="25" t="n"/>
      <c r="Q7333" s="25" t="n"/>
      <c r="U7333" s="194" t="n"/>
      <c r="AA7333" s="25" t="n"/>
      <c r="AB7333" s="25" t="n"/>
      <c r="AC7333" s="195" t="n"/>
      <c r="AD7333" s="25" t="n"/>
      <c r="AE7333" s="25" t="n"/>
      <c r="AG7333" s="25" t="n"/>
      <c r="AH7333" s="25" t="n"/>
      <c r="AI7333" s="394" t="n"/>
      <c r="AM7333" s="48" t="n"/>
      <c r="AN7333" s="48" t="n"/>
      <c r="AO7333" s="48" t="n"/>
    </row>
    <row r="7334">
      <c r="M7334" s="25" t="n"/>
      <c r="Q7334" s="25" t="n"/>
      <c r="U7334" s="194" t="n"/>
      <c r="AA7334" s="25" t="n"/>
      <c r="AB7334" s="25" t="n"/>
      <c r="AC7334" s="195" t="n"/>
      <c r="AD7334" s="25" t="n"/>
      <c r="AE7334" s="25" t="n"/>
      <c r="AG7334" s="25" t="n"/>
      <c r="AH7334" s="25" t="n"/>
      <c r="AI7334" s="394" t="n"/>
      <c r="AM7334" s="48" t="n"/>
      <c r="AN7334" s="48" t="n"/>
      <c r="AO7334" s="48" t="n"/>
    </row>
    <row r="7335">
      <c r="M7335" s="25" t="n"/>
      <c r="Q7335" s="25" t="n"/>
      <c r="U7335" s="194" t="n"/>
      <c r="AA7335" s="25" t="n"/>
      <c r="AB7335" s="25" t="n"/>
      <c r="AC7335" s="195" t="n"/>
      <c r="AD7335" s="25" t="n"/>
      <c r="AE7335" s="25" t="n"/>
      <c r="AG7335" s="25" t="n"/>
      <c r="AH7335" s="25" t="n"/>
      <c r="AI7335" s="394" t="n"/>
      <c r="AM7335" s="48" t="n"/>
      <c r="AN7335" s="48" t="n"/>
      <c r="AO7335" s="48" t="n"/>
    </row>
    <row r="7336">
      <c r="M7336" s="25" t="n"/>
      <c r="Q7336" s="25" t="n"/>
      <c r="U7336" s="194" t="n"/>
      <c r="AA7336" s="25" t="n"/>
      <c r="AB7336" s="25" t="n"/>
      <c r="AC7336" s="195" t="n"/>
      <c r="AD7336" s="25" t="n"/>
      <c r="AE7336" s="25" t="n"/>
      <c r="AG7336" s="25" t="n"/>
      <c r="AH7336" s="25" t="n"/>
      <c r="AI7336" s="394" t="n"/>
      <c r="AM7336" s="48" t="n"/>
      <c r="AN7336" s="48" t="n"/>
      <c r="AO7336" s="48" t="n"/>
    </row>
    <row r="7337">
      <c r="M7337" s="25" t="n"/>
      <c r="Q7337" s="25" t="n"/>
      <c r="U7337" s="194" t="n"/>
      <c r="AA7337" s="25" t="n"/>
      <c r="AB7337" s="25" t="n"/>
      <c r="AC7337" s="195" t="n"/>
      <c r="AD7337" s="25" t="n"/>
      <c r="AE7337" s="25" t="n"/>
      <c r="AG7337" s="25" t="n"/>
      <c r="AH7337" s="25" t="n"/>
      <c r="AI7337" s="394" t="n"/>
      <c r="AM7337" s="48" t="n"/>
      <c r="AN7337" s="48" t="n"/>
      <c r="AO7337" s="48" t="n"/>
    </row>
    <row r="7338">
      <c r="M7338" s="25" t="n"/>
      <c r="Q7338" s="25" t="n"/>
      <c r="U7338" s="194" t="n"/>
      <c r="AA7338" s="25" t="n"/>
      <c r="AB7338" s="25" t="n"/>
      <c r="AC7338" s="195" t="n"/>
      <c r="AD7338" s="25" t="n"/>
      <c r="AE7338" s="25" t="n"/>
      <c r="AG7338" s="25" t="n"/>
      <c r="AH7338" s="25" t="n"/>
      <c r="AI7338" s="394" t="n"/>
      <c r="AM7338" s="48" t="n"/>
      <c r="AN7338" s="48" t="n"/>
      <c r="AO7338" s="48" t="n"/>
    </row>
    <row r="7339">
      <c r="M7339" s="25" t="n"/>
      <c r="Q7339" s="25" t="n"/>
      <c r="U7339" s="194" t="n"/>
      <c r="AA7339" s="25" t="n"/>
      <c r="AB7339" s="25" t="n"/>
      <c r="AC7339" s="195" t="n"/>
      <c r="AD7339" s="25" t="n"/>
      <c r="AE7339" s="25" t="n"/>
      <c r="AG7339" s="25" t="n"/>
      <c r="AH7339" s="25" t="n"/>
      <c r="AI7339" s="394" t="n"/>
      <c r="AM7339" s="48" t="n"/>
      <c r="AN7339" s="48" t="n"/>
      <c r="AO7339" s="48" t="n"/>
    </row>
    <row r="7340">
      <c r="M7340" s="25" t="n"/>
      <c r="Q7340" s="25" t="n"/>
      <c r="U7340" s="194" t="n"/>
      <c r="AA7340" s="25" t="n"/>
      <c r="AB7340" s="25" t="n"/>
      <c r="AC7340" s="195" t="n"/>
      <c r="AD7340" s="25" t="n"/>
      <c r="AE7340" s="25" t="n"/>
      <c r="AG7340" s="25" t="n"/>
      <c r="AH7340" s="25" t="n"/>
      <c r="AI7340" s="394" t="n"/>
      <c r="AM7340" s="48" t="n"/>
      <c r="AN7340" s="48" t="n"/>
      <c r="AO7340" s="48" t="n"/>
    </row>
    <row r="7341">
      <c r="M7341" s="25" t="n"/>
      <c r="Q7341" s="25" t="n"/>
      <c r="U7341" s="194" t="n"/>
      <c r="AA7341" s="25" t="n"/>
      <c r="AB7341" s="25" t="n"/>
      <c r="AC7341" s="195" t="n"/>
      <c r="AD7341" s="25" t="n"/>
      <c r="AE7341" s="25" t="n"/>
      <c r="AG7341" s="25" t="n"/>
      <c r="AH7341" s="25" t="n"/>
      <c r="AI7341" s="394" t="n"/>
      <c r="AM7341" s="48" t="n"/>
      <c r="AN7341" s="48" t="n"/>
      <c r="AO7341" s="48" t="n"/>
    </row>
    <row r="7342">
      <c r="M7342" s="25" t="n"/>
      <c r="Q7342" s="25" t="n"/>
      <c r="U7342" s="194" t="n"/>
      <c r="AA7342" s="25" t="n"/>
      <c r="AB7342" s="25" t="n"/>
      <c r="AC7342" s="195" t="n"/>
      <c r="AD7342" s="25" t="n"/>
      <c r="AE7342" s="25" t="n"/>
      <c r="AG7342" s="25" t="n"/>
      <c r="AH7342" s="25" t="n"/>
      <c r="AI7342" s="394" t="n"/>
      <c r="AM7342" s="48" t="n"/>
      <c r="AN7342" s="48" t="n"/>
      <c r="AO7342" s="48" t="n"/>
    </row>
    <row r="7343">
      <c r="M7343" s="25" t="n"/>
      <c r="Q7343" s="25" t="n"/>
      <c r="U7343" s="194" t="n"/>
      <c r="AA7343" s="25" t="n"/>
      <c r="AB7343" s="25" t="n"/>
      <c r="AC7343" s="195" t="n"/>
      <c r="AD7343" s="25" t="n"/>
      <c r="AE7343" s="25" t="n"/>
      <c r="AG7343" s="25" t="n"/>
      <c r="AH7343" s="25" t="n"/>
      <c r="AI7343" s="394" t="n"/>
      <c r="AM7343" s="48" t="n"/>
      <c r="AN7343" s="48" t="n"/>
      <c r="AO7343" s="48" t="n"/>
    </row>
    <row r="7344">
      <c r="M7344" s="25" t="n"/>
      <c r="Q7344" s="25" t="n"/>
      <c r="U7344" s="194" t="n"/>
      <c r="AA7344" s="25" t="n"/>
      <c r="AB7344" s="25" t="n"/>
      <c r="AC7344" s="195" t="n"/>
      <c r="AD7344" s="25" t="n"/>
      <c r="AE7344" s="25" t="n"/>
      <c r="AG7344" s="25" t="n"/>
      <c r="AH7344" s="25" t="n"/>
      <c r="AI7344" s="394" t="n"/>
      <c r="AM7344" s="48" t="n"/>
      <c r="AN7344" s="48" t="n"/>
      <c r="AO7344" s="48" t="n"/>
    </row>
    <row r="7345">
      <c r="M7345" s="25" t="n"/>
      <c r="Q7345" s="25" t="n"/>
      <c r="U7345" s="194" t="n"/>
      <c r="AA7345" s="25" t="n"/>
      <c r="AB7345" s="25" t="n"/>
      <c r="AC7345" s="195" t="n"/>
      <c r="AD7345" s="25" t="n"/>
      <c r="AE7345" s="25" t="n"/>
      <c r="AG7345" s="25" t="n"/>
      <c r="AH7345" s="25" t="n"/>
      <c r="AI7345" s="394" t="n"/>
      <c r="AM7345" s="48" t="n"/>
      <c r="AN7345" s="48" t="n"/>
      <c r="AO7345" s="48" t="n"/>
    </row>
    <row r="7346">
      <c r="M7346" s="25" t="n"/>
      <c r="Q7346" s="25" t="n"/>
      <c r="U7346" s="194" t="n"/>
      <c r="AA7346" s="25" t="n"/>
      <c r="AB7346" s="25" t="n"/>
      <c r="AC7346" s="195" t="n"/>
      <c r="AD7346" s="25" t="n"/>
      <c r="AE7346" s="25" t="n"/>
      <c r="AG7346" s="25" t="n"/>
      <c r="AH7346" s="25" t="n"/>
      <c r="AI7346" s="394" t="n"/>
      <c r="AM7346" s="48" t="n"/>
      <c r="AN7346" s="48" t="n"/>
      <c r="AO7346" s="48" t="n"/>
    </row>
    <row r="7347">
      <c r="M7347" s="25" t="n"/>
      <c r="Q7347" s="25" t="n"/>
      <c r="U7347" s="194" t="n"/>
      <c r="AA7347" s="25" t="n"/>
      <c r="AB7347" s="25" t="n"/>
      <c r="AC7347" s="195" t="n"/>
      <c r="AD7347" s="25" t="n"/>
      <c r="AE7347" s="25" t="n"/>
      <c r="AG7347" s="25" t="n"/>
      <c r="AH7347" s="25" t="n"/>
      <c r="AI7347" s="394" t="n"/>
      <c r="AM7347" s="48" t="n"/>
      <c r="AN7347" s="48" t="n"/>
      <c r="AO7347" s="48" t="n"/>
    </row>
    <row r="7348">
      <c r="M7348" s="25" t="n"/>
      <c r="Q7348" s="25" t="n"/>
      <c r="U7348" s="194" t="n"/>
      <c r="AA7348" s="25" t="n"/>
      <c r="AB7348" s="25" t="n"/>
      <c r="AC7348" s="195" t="n"/>
      <c r="AD7348" s="25" t="n"/>
      <c r="AE7348" s="25" t="n"/>
      <c r="AG7348" s="25" t="n"/>
      <c r="AH7348" s="25" t="n"/>
      <c r="AI7348" s="394" t="n"/>
      <c r="AM7348" s="48" t="n"/>
      <c r="AN7348" s="48" t="n"/>
      <c r="AO7348" s="48" t="n"/>
    </row>
    <row r="7349">
      <c r="M7349" s="25" t="n"/>
      <c r="Q7349" s="25" t="n"/>
      <c r="U7349" s="194" t="n"/>
      <c r="AA7349" s="25" t="n"/>
      <c r="AB7349" s="25" t="n"/>
      <c r="AC7349" s="195" t="n"/>
      <c r="AD7349" s="25" t="n"/>
      <c r="AE7349" s="25" t="n"/>
      <c r="AG7349" s="25" t="n"/>
      <c r="AH7349" s="25" t="n"/>
      <c r="AI7349" s="394" t="n"/>
      <c r="AM7349" s="48" t="n"/>
      <c r="AN7349" s="48" t="n"/>
      <c r="AO7349" s="48" t="n"/>
    </row>
    <row r="7350">
      <c r="M7350" s="25" t="n"/>
      <c r="Q7350" s="25" t="n"/>
      <c r="U7350" s="194" t="n"/>
      <c r="AA7350" s="25" t="n"/>
      <c r="AB7350" s="25" t="n"/>
      <c r="AC7350" s="195" t="n"/>
      <c r="AD7350" s="25" t="n"/>
      <c r="AE7350" s="25" t="n"/>
      <c r="AG7350" s="25" t="n"/>
      <c r="AH7350" s="25" t="n"/>
      <c r="AI7350" s="394" t="n"/>
      <c r="AM7350" s="48" t="n"/>
      <c r="AN7350" s="48" t="n"/>
      <c r="AO7350" s="48" t="n"/>
    </row>
    <row r="7351">
      <c r="M7351" s="25" t="n"/>
      <c r="Q7351" s="25" t="n"/>
      <c r="U7351" s="194" t="n"/>
      <c r="AA7351" s="25" t="n"/>
      <c r="AB7351" s="25" t="n"/>
      <c r="AC7351" s="195" t="n"/>
      <c r="AD7351" s="25" t="n"/>
      <c r="AE7351" s="25" t="n"/>
      <c r="AG7351" s="25" t="n"/>
      <c r="AH7351" s="25" t="n"/>
      <c r="AI7351" s="394" t="n"/>
      <c r="AM7351" s="48" t="n"/>
      <c r="AN7351" s="48" t="n"/>
      <c r="AO7351" s="48" t="n"/>
    </row>
    <row r="7352">
      <c r="M7352" s="25" t="n"/>
      <c r="Q7352" s="25" t="n"/>
      <c r="U7352" s="194" t="n"/>
      <c r="AA7352" s="25" t="n"/>
      <c r="AB7352" s="25" t="n"/>
      <c r="AC7352" s="195" t="n"/>
      <c r="AD7352" s="25" t="n"/>
      <c r="AE7352" s="25" t="n"/>
      <c r="AG7352" s="25" t="n"/>
      <c r="AH7352" s="25" t="n"/>
      <c r="AI7352" s="394" t="n"/>
      <c r="AM7352" s="48" t="n"/>
      <c r="AN7352" s="48" t="n"/>
      <c r="AO7352" s="48" t="n"/>
    </row>
    <row r="7353">
      <c r="M7353" s="25" t="n"/>
      <c r="Q7353" s="25" t="n"/>
      <c r="U7353" s="194" t="n"/>
      <c r="AA7353" s="25" t="n"/>
      <c r="AB7353" s="25" t="n"/>
      <c r="AC7353" s="195" t="n"/>
      <c r="AD7353" s="25" t="n"/>
      <c r="AE7353" s="25" t="n"/>
      <c r="AG7353" s="25" t="n"/>
      <c r="AH7353" s="25" t="n"/>
      <c r="AI7353" s="394" t="n"/>
      <c r="AM7353" s="48" t="n"/>
      <c r="AN7353" s="48" t="n"/>
      <c r="AO7353" s="48" t="n"/>
    </row>
    <row r="7354">
      <c r="M7354" s="25" t="n"/>
      <c r="Q7354" s="25" t="n"/>
      <c r="U7354" s="194" t="n"/>
      <c r="AA7354" s="25" t="n"/>
      <c r="AB7354" s="25" t="n"/>
      <c r="AC7354" s="195" t="n"/>
      <c r="AD7354" s="25" t="n"/>
      <c r="AE7354" s="25" t="n"/>
      <c r="AG7354" s="25" t="n"/>
      <c r="AH7354" s="25" t="n"/>
      <c r="AI7354" s="394" t="n"/>
      <c r="AM7354" s="48" t="n"/>
      <c r="AN7354" s="48" t="n"/>
      <c r="AO7354" s="48" t="n"/>
    </row>
    <row r="7355">
      <c r="M7355" s="25" t="n"/>
      <c r="Q7355" s="25" t="n"/>
      <c r="U7355" s="194" t="n"/>
      <c r="AA7355" s="25" t="n"/>
      <c r="AB7355" s="25" t="n"/>
      <c r="AC7355" s="195" t="n"/>
      <c r="AD7355" s="25" t="n"/>
      <c r="AE7355" s="25" t="n"/>
      <c r="AG7355" s="25" t="n"/>
      <c r="AH7355" s="25" t="n"/>
      <c r="AI7355" s="394" t="n"/>
      <c r="AM7355" s="48" t="n"/>
      <c r="AN7355" s="48" t="n"/>
      <c r="AO7355" s="48" t="n"/>
    </row>
    <row r="7356">
      <c r="M7356" s="25" t="n"/>
      <c r="Q7356" s="25" t="n"/>
      <c r="U7356" s="194" t="n"/>
      <c r="AA7356" s="25" t="n"/>
      <c r="AB7356" s="25" t="n"/>
      <c r="AC7356" s="195" t="n"/>
      <c r="AD7356" s="25" t="n"/>
      <c r="AE7356" s="25" t="n"/>
      <c r="AG7356" s="25" t="n"/>
      <c r="AH7356" s="25" t="n"/>
      <c r="AI7356" s="394" t="n"/>
      <c r="AM7356" s="48" t="n"/>
      <c r="AN7356" s="48" t="n"/>
      <c r="AO7356" s="48" t="n"/>
    </row>
    <row r="7357">
      <c r="M7357" s="25" t="n"/>
      <c r="Q7357" s="25" t="n"/>
      <c r="U7357" s="194" t="n"/>
      <c r="AA7357" s="25" t="n"/>
      <c r="AB7357" s="25" t="n"/>
      <c r="AC7357" s="195" t="n"/>
      <c r="AD7357" s="25" t="n"/>
      <c r="AE7357" s="25" t="n"/>
      <c r="AG7357" s="25" t="n"/>
      <c r="AH7357" s="25" t="n"/>
      <c r="AI7357" s="394" t="n"/>
      <c r="AM7357" s="48" t="n"/>
      <c r="AN7357" s="48" t="n"/>
      <c r="AO7357" s="48" t="n"/>
    </row>
    <row r="7358">
      <c r="M7358" s="25" t="n"/>
      <c r="Q7358" s="25" t="n"/>
      <c r="U7358" s="194" t="n"/>
      <c r="AA7358" s="25" t="n"/>
      <c r="AB7358" s="25" t="n"/>
      <c r="AC7358" s="195" t="n"/>
      <c r="AD7358" s="25" t="n"/>
      <c r="AE7358" s="25" t="n"/>
      <c r="AG7358" s="25" t="n"/>
      <c r="AH7358" s="25" t="n"/>
      <c r="AI7358" s="394" t="n"/>
      <c r="AM7358" s="48" t="n"/>
      <c r="AN7358" s="48" t="n"/>
      <c r="AO7358" s="48" t="n"/>
    </row>
    <row r="7359">
      <c r="M7359" s="25" t="n"/>
      <c r="Q7359" s="25" t="n"/>
      <c r="U7359" s="194" t="n"/>
      <c r="AA7359" s="25" t="n"/>
      <c r="AB7359" s="25" t="n"/>
      <c r="AC7359" s="195" t="n"/>
      <c r="AD7359" s="25" t="n"/>
      <c r="AE7359" s="25" t="n"/>
      <c r="AG7359" s="25" t="n"/>
      <c r="AH7359" s="25" t="n"/>
      <c r="AI7359" s="394" t="n"/>
      <c r="AM7359" s="48" t="n"/>
      <c r="AN7359" s="48" t="n"/>
      <c r="AO7359" s="48" t="n"/>
    </row>
    <row r="7360">
      <c r="M7360" s="25" t="n"/>
      <c r="Q7360" s="25" t="n"/>
      <c r="U7360" s="194" t="n"/>
      <c r="AA7360" s="25" t="n"/>
      <c r="AB7360" s="25" t="n"/>
      <c r="AC7360" s="195" t="n"/>
      <c r="AD7360" s="25" t="n"/>
      <c r="AE7360" s="25" t="n"/>
      <c r="AG7360" s="25" t="n"/>
      <c r="AH7360" s="25" t="n"/>
      <c r="AI7360" s="394" t="n"/>
      <c r="AM7360" s="48" t="n"/>
      <c r="AN7360" s="48" t="n"/>
      <c r="AO7360" s="48" t="n"/>
    </row>
    <row r="7361">
      <c r="M7361" s="25" t="n"/>
      <c r="Q7361" s="25" t="n"/>
      <c r="U7361" s="194" t="n"/>
      <c r="AA7361" s="25" t="n"/>
      <c r="AB7361" s="25" t="n"/>
      <c r="AC7361" s="195" t="n"/>
      <c r="AD7361" s="25" t="n"/>
      <c r="AE7361" s="25" t="n"/>
      <c r="AG7361" s="25" t="n"/>
      <c r="AH7361" s="25" t="n"/>
      <c r="AI7361" s="394" t="n"/>
      <c r="AM7361" s="48" t="n"/>
      <c r="AN7361" s="48" t="n"/>
      <c r="AO7361" s="48" t="n"/>
    </row>
    <row r="7362">
      <c r="M7362" s="25" t="n"/>
      <c r="Q7362" s="25" t="n"/>
      <c r="U7362" s="194" t="n"/>
      <c r="AA7362" s="25" t="n"/>
      <c r="AB7362" s="25" t="n"/>
      <c r="AC7362" s="195" t="n"/>
      <c r="AD7362" s="25" t="n"/>
      <c r="AE7362" s="25" t="n"/>
      <c r="AG7362" s="25" t="n"/>
      <c r="AH7362" s="25" t="n"/>
      <c r="AI7362" s="394" t="n"/>
      <c r="AM7362" s="48" t="n"/>
      <c r="AN7362" s="48" t="n"/>
      <c r="AO7362" s="48" t="n"/>
    </row>
    <row r="7363">
      <c r="M7363" s="25" t="n"/>
      <c r="Q7363" s="25" t="n"/>
      <c r="U7363" s="194" t="n"/>
      <c r="AA7363" s="25" t="n"/>
      <c r="AB7363" s="25" t="n"/>
      <c r="AC7363" s="195" t="n"/>
      <c r="AD7363" s="25" t="n"/>
      <c r="AE7363" s="25" t="n"/>
      <c r="AG7363" s="25" t="n"/>
      <c r="AH7363" s="25" t="n"/>
      <c r="AI7363" s="394" t="n"/>
      <c r="AM7363" s="48" t="n"/>
      <c r="AN7363" s="48" t="n"/>
      <c r="AO7363" s="48" t="n"/>
    </row>
    <row r="7364">
      <c r="M7364" s="25" t="n"/>
      <c r="Q7364" s="25" t="n"/>
      <c r="U7364" s="194" t="n"/>
      <c r="AA7364" s="25" t="n"/>
      <c r="AB7364" s="25" t="n"/>
      <c r="AC7364" s="195" t="n"/>
      <c r="AD7364" s="25" t="n"/>
      <c r="AE7364" s="25" t="n"/>
      <c r="AG7364" s="25" t="n"/>
      <c r="AH7364" s="25" t="n"/>
      <c r="AI7364" s="394" t="n"/>
      <c r="AM7364" s="48" t="n"/>
      <c r="AN7364" s="48" t="n"/>
      <c r="AO7364" s="48" t="n"/>
    </row>
    <row r="7365">
      <c r="M7365" s="25" t="n"/>
      <c r="Q7365" s="25" t="n"/>
      <c r="U7365" s="194" t="n"/>
      <c r="AA7365" s="25" t="n"/>
      <c r="AB7365" s="25" t="n"/>
      <c r="AC7365" s="195" t="n"/>
      <c r="AD7365" s="25" t="n"/>
      <c r="AE7365" s="25" t="n"/>
      <c r="AG7365" s="25" t="n"/>
      <c r="AH7365" s="25" t="n"/>
      <c r="AI7365" s="394" t="n"/>
      <c r="AM7365" s="48" t="n"/>
      <c r="AN7365" s="48" t="n"/>
      <c r="AO7365" s="48" t="n"/>
    </row>
    <row r="7366">
      <c r="M7366" s="25" t="n"/>
      <c r="Q7366" s="25" t="n"/>
      <c r="U7366" s="194" t="n"/>
      <c r="AA7366" s="25" t="n"/>
      <c r="AB7366" s="25" t="n"/>
      <c r="AC7366" s="195" t="n"/>
      <c r="AD7366" s="25" t="n"/>
      <c r="AE7366" s="25" t="n"/>
      <c r="AG7366" s="25" t="n"/>
      <c r="AH7366" s="25" t="n"/>
      <c r="AI7366" s="394" t="n"/>
      <c r="AM7366" s="48" t="n"/>
      <c r="AN7366" s="48" t="n"/>
      <c r="AO7366" s="48" t="n"/>
    </row>
    <row r="7367">
      <c r="M7367" s="25" t="n"/>
      <c r="Q7367" s="25" t="n"/>
      <c r="U7367" s="194" t="n"/>
      <c r="AA7367" s="25" t="n"/>
      <c r="AB7367" s="25" t="n"/>
      <c r="AC7367" s="195" t="n"/>
      <c r="AD7367" s="25" t="n"/>
      <c r="AE7367" s="25" t="n"/>
      <c r="AG7367" s="25" t="n"/>
      <c r="AH7367" s="25" t="n"/>
      <c r="AI7367" s="394" t="n"/>
      <c r="AM7367" s="48" t="n"/>
      <c r="AN7367" s="48" t="n"/>
      <c r="AO7367" s="48" t="n"/>
    </row>
    <row r="7368">
      <c r="M7368" s="25" t="n"/>
      <c r="Q7368" s="25" t="n"/>
      <c r="U7368" s="194" t="n"/>
      <c r="AA7368" s="25" t="n"/>
      <c r="AB7368" s="25" t="n"/>
      <c r="AC7368" s="195" t="n"/>
      <c r="AD7368" s="25" t="n"/>
      <c r="AE7368" s="25" t="n"/>
      <c r="AG7368" s="25" t="n"/>
      <c r="AH7368" s="25" t="n"/>
      <c r="AI7368" s="394" t="n"/>
      <c r="AM7368" s="48" t="n"/>
      <c r="AN7368" s="48" t="n"/>
      <c r="AO7368" s="48" t="n"/>
    </row>
    <row r="7369">
      <c r="M7369" s="25" t="n"/>
      <c r="Q7369" s="25" t="n"/>
      <c r="U7369" s="194" t="n"/>
      <c r="AA7369" s="25" t="n"/>
      <c r="AB7369" s="25" t="n"/>
      <c r="AC7369" s="195" t="n"/>
      <c r="AD7369" s="25" t="n"/>
      <c r="AE7369" s="25" t="n"/>
      <c r="AG7369" s="25" t="n"/>
      <c r="AH7369" s="25" t="n"/>
      <c r="AI7369" s="394" t="n"/>
      <c r="AM7369" s="48" t="n"/>
      <c r="AN7369" s="48" t="n"/>
      <c r="AO7369" s="48" t="n"/>
    </row>
    <row r="7370">
      <c r="M7370" s="25" t="n"/>
      <c r="Q7370" s="25" t="n"/>
      <c r="U7370" s="194" t="n"/>
      <c r="AA7370" s="25" t="n"/>
      <c r="AB7370" s="25" t="n"/>
      <c r="AC7370" s="195" t="n"/>
      <c r="AD7370" s="25" t="n"/>
      <c r="AE7370" s="25" t="n"/>
      <c r="AG7370" s="25" t="n"/>
      <c r="AH7370" s="25" t="n"/>
      <c r="AI7370" s="394" t="n"/>
      <c r="AM7370" s="48" t="n"/>
      <c r="AN7370" s="48" t="n"/>
      <c r="AO7370" s="48" t="n"/>
    </row>
    <row r="7371">
      <c r="M7371" s="25" t="n"/>
      <c r="Q7371" s="25" t="n"/>
      <c r="U7371" s="194" t="n"/>
      <c r="AA7371" s="25" t="n"/>
      <c r="AB7371" s="25" t="n"/>
      <c r="AC7371" s="195" t="n"/>
      <c r="AD7371" s="25" t="n"/>
      <c r="AE7371" s="25" t="n"/>
      <c r="AG7371" s="25" t="n"/>
      <c r="AH7371" s="25" t="n"/>
      <c r="AI7371" s="394" t="n"/>
      <c r="AM7371" s="48" t="n"/>
      <c r="AN7371" s="48" t="n"/>
      <c r="AO7371" s="48" t="n"/>
    </row>
    <row r="7372">
      <c r="M7372" s="25" t="n"/>
      <c r="Q7372" s="25" t="n"/>
      <c r="U7372" s="194" t="n"/>
      <c r="AA7372" s="25" t="n"/>
      <c r="AB7372" s="25" t="n"/>
      <c r="AC7372" s="195" t="n"/>
      <c r="AD7372" s="25" t="n"/>
      <c r="AE7372" s="25" t="n"/>
      <c r="AG7372" s="25" t="n"/>
      <c r="AH7372" s="25" t="n"/>
      <c r="AI7372" s="394" t="n"/>
      <c r="AM7372" s="48" t="n"/>
      <c r="AN7372" s="48" t="n"/>
      <c r="AO7372" s="48" t="n"/>
    </row>
    <row r="7373">
      <c r="M7373" s="25" t="n"/>
      <c r="Q7373" s="25" t="n"/>
      <c r="U7373" s="194" t="n"/>
      <c r="AA7373" s="25" t="n"/>
      <c r="AB7373" s="25" t="n"/>
      <c r="AC7373" s="195" t="n"/>
      <c r="AD7373" s="25" t="n"/>
      <c r="AE7373" s="25" t="n"/>
      <c r="AG7373" s="25" t="n"/>
      <c r="AH7373" s="25" t="n"/>
      <c r="AI7373" s="394" t="n"/>
      <c r="AM7373" s="48" t="n"/>
      <c r="AN7373" s="48" t="n"/>
      <c r="AO7373" s="48" t="n"/>
    </row>
    <row r="7374">
      <c r="M7374" s="25" t="n"/>
      <c r="Q7374" s="25" t="n"/>
      <c r="U7374" s="194" t="n"/>
      <c r="AA7374" s="25" t="n"/>
      <c r="AB7374" s="25" t="n"/>
      <c r="AC7374" s="195" t="n"/>
      <c r="AD7374" s="25" t="n"/>
      <c r="AE7374" s="25" t="n"/>
      <c r="AG7374" s="25" t="n"/>
      <c r="AH7374" s="25" t="n"/>
      <c r="AI7374" s="394" t="n"/>
      <c r="AM7374" s="48" t="n"/>
      <c r="AN7374" s="48" t="n"/>
      <c r="AO7374" s="48" t="n"/>
    </row>
    <row r="7375">
      <c r="M7375" s="25" t="n"/>
      <c r="Q7375" s="25" t="n"/>
      <c r="U7375" s="194" t="n"/>
      <c r="AA7375" s="25" t="n"/>
      <c r="AB7375" s="25" t="n"/>
      <c r="AC7375" s="195" t="n"/>
      <c r="AD7375" s="25" t="n"/>
      <c r="AE7375" s="25" t="n"/>
      <c r="AG7375" s="25" t="n"/>
      <c r="AH7375" s="25" t="n"/>
      <c r="AI7375" s="394" t="n"/>
      <c r="AM7375" s="48" t="n"/>
      <c r="AN7375" s="48" t="n"/>
      <c r="AO7375" s="48" t="n"/>
    </row>
    <row r="7376">
      <c r="M7376" s="25" t="n"/>
      <c r="Q7376" s="25" t="n"/>
      <c r="U7376" s="194" t="n"/>
      <c r="AA7376" s="25" t="n"/>
      <c r="AB7376" s="25" t="n"/>
      <c r="AC7376" s="195" t="n"/>
      <c r="AD7376" s="25" t="n"/>
      <c r="AE7376" s="25" t="n"/>
      <c r="AG7376" s="25" t="n"/>
      <c r="AH7376" s="25" t="n"/>
      <c r="AI7376" s="394" t="n"/>
      <c r="AM7376" s="48" t="n"/>
      <c r="AN7376" s="48" t="n"/>
      <c r="AO7376" s="48" t="n"/>
    </row>
    <row r="7377">
      <c r="M7377" s="25" t="n"/>
      <c r="Q7377" s="25" t="n"/>
      <c r="U7377" s="194" t="n"/>
      <c r="AA7377" s="25" t="n"/>
      <c r="AB7377" s="25" t="n"/>
      <c r="AC7377" s="195" t="n"/>
      <c r="AD7377" s="25" t="n"/>
      <c r="AE7377" s="25" t="n"/>
      <c r="AG7377" s="25" t="n"/>
      <c r="AH7377" s="25" t="n"/>
      <c r="AI7377" s="394" t="n"/>
      <c r="AM7377" s="48" t="n"/>
      <c r="AN7377" s="48" t="n"/>
      <c r="AO7377" s="48" t="n"/>
    </row>
    <row r="7378">
      <c r="M7378" s="25" t="n"/>
      <c r="Q7378" s="25" t="n"/>
      <c r="U7378" s="194" t="n"/>
      <c r="AA7378" s="25" t="n"/>
      <c r="AB7378" s="25" t="n"/>
      <c r="AC7378" s="195" t="n"/>
      <c r="AD7378" s="25" t="n"/>
      <c r="AE7378" s="25" t="n"/>
      <c r="AG7378" s="25" t="n"/>
      <c r="AH7378" s="25" t="n"/>
      <c r="AI7378" s="394" t="n"/>
      <c r="AM7378" s="48" t="n"/>
      <c r="AN7378" s="48" t="n"/>
      <c r="AO7378" s="48" t="n"/>
    </row>
    <row r="7379">
      <c r="M7379" s="25" t="n"/>
      <c r="Q7379" s="25" t="n"/>
      <c r="U7379" s="194" t="n"/>
      <c r="AA7379" s="25" t="n"/>
      <c r="AB7379" s="25" t="n"/>
      <c r="AC7379" s="195" t="n"/>
      <c r="AD7379" s="25" t="n"/>
      <c r="AE7379" s="25" t="n"/>
      <c r="AG7379" s="25" t="n"/>
      <c r="AH7379" s="25" t="n"/>
      <c r="AI7379" s="394" t="n"/>
      <c r="AM7379" s="48" t="n"/>
      <c r="AN7379" s="48" t="n"/>
      <c r="AO7379" s="48" t="n"/>
    </row>
    <row r="7380">
      <c r="M7380" s="25" t="n"/>
      <c r="Q7380" s="25" t="n"/>
      <c r="U7380" s="194" t="n"/>
      <c r="AA7380" s="25" t="n"/>
      <c r="AB7380" s="25" t="n"/>
      <c r="AC7380" s="195" t="n"/>
      <c r="AD7380" s="25" t="n"/>
      <c r="AE7380" s="25" t="n"/>
      <c r="AG7380" s="25" t="n"/>
      <c r="AH7380" s="25" t="n"/>
      <c r="AI7380" s="394" t="n"/>
      <c r="AM7380" s="48" t="n"/>
      <c r="AN7380" s="48" t="n"/>
      <c r="AO7380" s="48" t="n"/>
    </row>
    <row r="7381">
      <c r="M7381" s="25" t="n"/>
      <c r="Q7381" s="25" t="n"/>
      <c r="U7381" s="194" t="n"/>
      <c r="AA7381" s="25" t="n"/>
      <c r="AB7381" s="25" t="n"/>
      <c r="AC7381" s="195" t="n"/>
      <c r="AD7381" s="25" t="n"/>
      <c r="AE7381" s="25" t="n"/>
      <c r="AG7381" s="25" t="n"/>
      <c r="AH7381" s="25" t="n"/>
      <c r="AI7381" s="394" t="n"/>
      <c r="AM7381" s="48" t="n"/>
      <c r="AN7381" s="48" t="n"/>
      <c r="AO7381" s="48" t="n"/>
    </row>
    <row r="7382">
      <c r="M7382" s="25" t="n"/>
      <c r="Q7382" s="25" t="n"/>
      <c r="U7382" s="194" t="n"/>
      <c r="AA7382" s="25" t="n"/>
      <c r="AB7382" s="25" t="n"/>
      <c r="AC7382" s="195" t="n"/>
      <c r="AD7382" s="25" t="n"/>
      <c r="AE7382" s="25" t="n"/>
      <c r="AG7382" s="25" t="n"/>
      <c r="AH7382" s="25" t="n"/>
      <c r="AI7382" s="394" t="n"/>
      <c r="AM7382" s="48" t="n"/>
      <c r="AN7382" s="48" t="n"/>
      <c r="AO7382" s="48" t="n"/>
    </row>
    <row r="7383">
      <c r="M7383" s="25" t="n"/>
      <c r="Q7383" s="25" t="n"/>
      <c r="U7383" s="194" t="n"/>
      <c r="AA7383" s="25" t="n"/>
      <c r="AB7383" s="25" t="n"/>
      <c r="AC7383" s="195" t="n"/>
      <c r="AD7383" s="25" t="n"/>
      <c r="AE7383" s="25" t="n"/>
      <c r="AG7383" s="25" t="n"/>
      <c r="AH7383" s="25" t="n"/>
      <c r="AI7383" s="394" t="n"/>
      <c r="AM7383" s="48" t="n"/>
      <c r="AN7383" s="48" t="n"/>
      <c r="AO7383" s="48" t="n"/>
    </row>
    <row r="7384">
      <c r="M7384" s="25" t="n"/>
      <c r="Q7384" s="25" t="n"/>
      <c r="U7384" s="194" t="n"/>
      <c r="AA7384" s="25" t="n"/>
      <c r="AB7384" s="25" t="n"/>
      <c r="AC7384" s="195" t="n"/>
      <c r="AD7384" s="25" t="n"/>
      <c r="AE7384" s="25" t="n"/>
      <c r="AG7384" s="25" t="n"/>
      <c r="AH7384" s="25" t="n"/>
      <c r="AI7384" s="394" t="n"/>
      <c r="AM7384" s="48" t="n"/>
      <c r="AN7384" s="48" t="n"/>
      <c r="AO7384" s="48" t="n"/>
    </row>
    <row r="7385">
      <c r="M7385" s="25" t="n"/>
      <c r="Q7385" s="25" t="n"/>
      <c r="U7385" s="194" t="n"/>
      <c r="AA7385" s="25" t="n"/>
      <c r="AB7385" s="25" t="n"/>
      <c r="AC7385" s="195" t="n"/>
      <c r="AD7385" s="25" t="n"/>
      <c r="AE7385" s="25" t="n"/>
      <c r="AG7385" s="25" t="n"/>
      <c r="AH7385" s="25" t="n"/>
      <c r="AI7385" s="394" t="n"/>
      <c r="AM7385" s="48" t="n"/>
      <c r="AN7385" s="48" t="n"/>
      <c r="AO7385" s="48" t="n"/>
    </row>
    <row r="7386">
      <c r="M7386" s="25" t="n"/>
      <c r="Q7386" s="25" t="n"/>
      <c r="U7386" s="194" t="n"/>
      <c r="AA7386" s="25" t="n"/>
      <c r="AB7386" s="25" t="n"/>
      <c r="AC7386" s="195" t="n"/>
      <c r="AD7386" s="25" t="n"/>
      <c r="AE7386" s="25" t="n"/>
      <c r="AG7386" s="25" t="n"/>
      <c r="AH7386" s="25" t="n"/>
      <c r="AI7386" s="394" t="n"/>
      <c r="AM7386" s="48" t="n"/>
      <c r="AN7386" s="48" t="n"/>
      <c r="AO7386" s="48" t="n"/>
    </row>
    <row r="7387">
      <c r="M7387" s="25" t="n"/>
      <c r="Q7387" s="25" t="n"/>
      <c r="U7387" s="194" t="n"/>
      <c r="AA7387" s="25" t="n"/>
      <c r="AB7387" s="25" t="n"/>
      <c r="AC7387" s="195" t="n"/>
      <c r="AD7387" s="25" t="n"/>
      <c r="AE7387" s="25" t="n"/>
      <c r="AG7387" s="25" t="n"/>
      <c r="AH7387" s="25" t="n"/>
      <c r="AI7387" s="394" t="n"/>
      <c r="AM7387" s="48" t="n"/>
      <c r="AN7387" s="48" t="n"/>
      <c r="AO7387" s="48" t="n"/>
    </row>
    <row r="7388">
      <c r="M7388" s="25" t="n"/>
      <c r="Q7388" s="25" t="n"/>
      <c r="U7388" s="194" t="n"/>
      <c r="AA7388" s="25" t="n"/>
      <c r="AB7388" s="25" t="n"/>
      <c r="AC7388" s="195" t="n"/>
      <c r="AD7388" s="25" t="n"/>
      <c r="AE7388" s="25" t="n"/>
      <c r="AG7388" s="25" t="n"/>
      <c r="AH7388" s="25" t="n"/>
      <c r="AI7388" s="394" t="n"/>
      <c r="AM7388" s="48" t="n"/>
      <c r="AN7388" s="48" t="n"/>
      <c r="AO7388" s="48" t="n"/>
    </row>
    <row r="7389">
      <c r="M7389" s="25" t="n"/>
      <c r="Q7389" s="25" t="n"/>
      <c r="U7389" s="194" t="n"/>
      <c r="AA7389" s="25" t="n"/>
      <c r="AB7389" s="25" t="n"/>
      <c r="AC7389" s="195" t="n"/>
      <c r="AD7389" s="25" t="n"/>
      <c r="AE7389" s="25" t="n"/>
      <c r="AG7389" s="25" t="n"/>
      <c r="AH7389" s="25" t="n"/>
      <c r="AI7389" s="394" t="n"/>
      <c r="AM7389" s="48" t="n"/>
      <c r="AN7389" s="48" t="n"/>
      <c r="AO7389" s="48" t="n"/>
    </row>
    <row r="7390">
      <c r="M7390" s="25" t="n"/>
      <c r="Q7390" s="25" t="n"/>
      <c r="U7390" s="194" t="n"/>
      <c r="AA7390" s="25" t="n"/>
      <c r="AB7390" s="25" t="n"/>
      <c r="AC7390" s="195" t="n"/>
      <c r="AD7390" s="25" t="n"/>
      <c r="AE7390" s="25" t="n"/>
      <c r="AG7390" s="25" t="n"/>
      <c r="AH7390" s="25" t="n"/>
      <c r="AI7390" s="394" t="n"/>
      <c r="AM7390" s="48" t="n"/>
      <c r="AN7390" s="48" t="n"/>
      <c r="AO7390" s="48" t="n"/>
    </row>
    <row r="7391">
      <c r="M7391" s="25" t="n"/>
      <c r="Q7391" s="25" t="n"/>
      <c r="U7391" s="194" t="n"/>
      <c r="AA7391" s="25" t="n"/>
      <c r="AB7391" s="25" t="n"/>
      <c r="AC7391" s="195" t="n"/>
      <c r="AD7391" s="25" t="n"/>
      <c r="AE7391" s="25" t="n"/>
      <c r="AG7391" s="25" t="n"/>
      <c r="AH7391" s="25" t="n"/>
      <c r="AI7391" s="394" t="n"/>
      <c r="AM7391" s="48" t="n"/>
      <c r="AN7391" s="48" t="n"/>
      <c r="AO7391" s="48" t="n"/>
    </row>
    <row r="7392">
      <c r="M7392" s="25" t="n"/>
      <c r="Q7392" s="25" t="n"/>
      <c r="U7392" s="194" t="n"/>
      <c r="AA7392" s="25" t="n"/>
      <c r="AB7392" s="25" t="n"/>
      <c r="AC7392" s="195" t="n"/>
      <c r="AD7392" s="25" t="n"/>
      <c r="AE7392" s="25" t="n"/>
      <c r="AG7392" s="25" t="n"/>
      <c r="AH7392" s="25" t="n"/>
      <c r="AI7392" s="394" t="n"/>
      <c r="AM7392" s="48" t="n"/>
      <c r="AN7392" s="48" t="n"/>
      <c r="AO7392" s="48" t="n"/>
    </row>
    <row r="7393">
      <c r="M7393" s="25" t="n"/>
      <c r="Q7393" s="25" t="n"/>
      <c r="U7393" s="194" t="n"/>
      <c r="AA7393" s="25" t="n"/>
      <c r="AB7393" s="25" t="n"/>
      <c r="AC7393" s="195" t="n"/>
      <c r="AD7393" s="25" t="n"/>
      <c r="AE7393" s="25" t="n"/>
      <c r="AG7393" s="25" t="n"/>
      <c r="AH7393" s="25" t="n"/>
      <c r="AI7393" s="394" t="n"/>
      <c r="AM7393" s="48" t="n"/>
      <c r="AN7393" s="48" t="n"/>
      <c r="AO7393" s="48" t="n"/>
    </row>
    <row r="7394">
      <c r="M7394" s="25" t="n"/>
      <c r="Q7394" s="25" t="n"/>
      <c r="U7394" s="194" t="n"/>
      <c r="AA7394" s="25" t="n"/>
      <c r="AB7394" s="25" t="n"/>
      <c r="AC7394" s="195" t="n"/>
      <c r="AD7394" s="25" t="n"/>
      <c r="AE7394" s="25" t="n"/>
      <c r="AG7394" s="25" t="n"/>
      <c r="AH7394" s="25" t="n"/>
      <c r="AI7394" s="394" t="n"/>
      <c r="AM7394" s="48" t="n"/>
      <c r="AN7394" s="48" t="n"/>
      <c r="AO7394" s="48" t="n"/>
    </row>
    <row r="7395">
      <c r="M7395" s="25" t="n"/>
      <c r="Q7395" s="25" t="n"/>
      <c r="U7395" s="194" t="n"/>
      <c r="AA7395" s="25" t="n"/>
      <c r="AB7395" s="25" t="n"/>
      <c r="AC7395" s="195" t="n"/>
      <c r="AD7395" s="25" t="n"/>
      <c r="AE7395" s="25" t="n"/>
      <c r="AG7395" s="25" t="n"/>
      <c r="AH7395" s="25" t="n"/>
      <c r="AI7395" s="394" t="n"/>
      <c r="AM7395" s="48" t="n"/>
      <c r="AN7395" s="48" t="n"/>
      <c r="AO7395" s="48" t="n"/>
    </row>
    <row r="7396">
      <c r="M7396" s="25" t="n"/>
      <c r="Q7396" s="25" t="n"/>
      <c r="U7396" s="194" t="n"/>
      <c r="AA7396" s="25" t="n"/>
      <c r="AB7396" s="25" t="n"/>
      <c r="AC7396" s="195" t="n"/>
      <c r="AD7396" s="25" t="n"/>
      <c r="AE7396" s="25" t="n"/>
      <c r="AG7396" s="25" t="n"/>
      <c r="AH7396" s="25" t="n"/>
      <c r="AI7396" s="394" t="n"/>
      <c r="AM7396" s="48" t="n"/>
      <c r="AN7396" s="48" t="n"/>
      <c r="AO7396" s="48" t="n"/>
    </row>
    <row r="7397">
      <c r="M7397" s="25" t="n"/>
      <c r="Q7397" s="25" t="n"/>
      <c r="U7397" s="194" t="n"/>
      <c r="AA7397" s="25" t="n"/>
      <c r="AB7397" s="25" t="n"/>
      <c r="AC7397" s="195" t="n"/>
      <c r="AD7397" s="25" t="n"/>
      <c r="AE7397" s="25" t="n"/>
      <c r="AG7397" s="25" t="n"/>
      <c r="AH7397" s="25" t="n"/>
      <c r="AI7397" s="394" t="n"/>
      <c r="AM7397" s="48" t="n"/>
      <c r="AN7397" s="48" t="n"/>
      <c r="AO7397" s="48" t="n"/>
    </row>
    <row r="7398">
      <c r="M7398" s="25" t="n"/>
      <c r="Q7398" s="25" t="n"/>
      <c r="U7398" s="194" t="n"/>
      <c r="AA7398" s="25" t="n"/>
      <c r="AB7398" s="25" t="n"/>
      <c r="AC7398" s="195" t="n"/>
      <c r="AD7398" s="25" t="n"/>
      <c r="AE7398" s="25" t="n"/>
      <c r="AG7398" s="25" t="n"/>
      <c r="AH7398" s="25" t="n"/>
      <c r="AI7398" s="394" t="n"/>
      <c r="AM7398" s="48" t="n"/>
      <c r="AN7398" s="48" t="n"/>
      <c r="AO7398" s="48" t="n"/>
    </row>
    <row r="7399">
      <c r="M7399" s="25" t="n"/>
      <c r="Q7399" s="25" t="n"/>
      <c r="U7399" s="194" t="n"/>
      <c r="AA7399" s="25" t="n"/>
      <c r="AB7399" s="25" t="n"/>
      <c r="AC7399" s="195" t="n"/>
      <c r="AD7399" s="25" t="n"/>
      <c r="AE7399" s="25" t="n"/>
      <c r="AG7399" s="25" t="n"/>
      <c r="AH7399" s="25" t="n"/>
      <c r="AI7399" s="394" t="n"/>
      <c r="AM7399" s="48" t="n"/>
      <c r="AN7399" s="48" t="n"/>
      <c r="AO7399" s="48" t="n"/>
    </row>
    <row r="7400">
      <c r="M7400" s="25" t="n"/>
      <c r="Q7400" s="25" t="n"/>
      <c r="U7400" s="194" t="n"/>
      <c r="AA7400" s="25" t="n"/>
      <c r="AB7400" s="25" t="n"/>
      <c r="AC7400" s="195" t="n"/>
      <c r="AD7400" s="25" t="n"/>
      <c r="AE7400" s="25" t="n"/>
      <c r="AG7400" s="25" t="n"/>
      <c r="AH7400" s="25" t="n"/>
      <c r="AI7400" s="394" t="n"/>
      <c r="AM7400" s="48" t="n"/>
      <c r="AN7400" s="48" t="n"/>
      <c r="AO7400" s="48" t="n"/>
    </row>
    <row r="7401">
      <c r="M7401" s="25" t="n"/>
      <c r="Q7401" s="25" t="n"/>
      <c r="U7401" s="194" t="n"/>
      <c r="AA7401" s="25" t="n"/>
      <c r="AB7401" s="25" t="n"/>
      <c r="AC7401" s="195" t="n"/>
      <c r="AD7401" s="25" t="n"/>
      <c r="AE7401" s="25" t="n"/>
      <c r="AG7401" s="25" t="n"/>
      <c r="AH7401" s="25" t="n"/>
      <c r="AI7401" s="394" t="n"/>
      <c r="AM7401" s="48" t="n"/>
      <c r="AN7401" s="48" t="n"/>
      <c r="AO7401" s="48" t="n"/>
    </row>
    <row r="7402">
      <c r="M7402" s="25" t="n"/>
      <c r="Q7402" s="25" t="n"/>
      <c r="U7402" s="194" t="n"/>
      <c r="AA7402" s="25" t="n"/>
      <c r="AB7402" s="25" t="n"/>
      <c r="AC7402" s="195" t="n"/>
      <c r="AD7402" s="25" t="n"/>
      <c r="AE7402" s="25" t="n"/>
      <c r="AG7402" s="25" t="n"/>
      <c r="AH7402" s="25" t="n"/>
      <c r="AI7402" s="394" t="n"/>
      <c r="AM7402" s="48" t="n"/>
      <c r="AN7402" s="48" t="n"/>
      <c r="AO7402" s="48" t="n"/>
    </row>
    <row r="7403">
      <c r="M7403" s="25" t="n"/>
      <c r="Q7403" s="25" t="n"/>
      <c r="U7403" s="194" t="n"/>
      <c r="AA7403" s="25" t="n"/>
      <c r="AB7403" s="25" t="n"/>
      <c r="AC7403" s="195" t="n"/>
      <c r="AD7403" s="25" t="n"/>
      <c r="AE7403" s="25" t="n"/>
      <c r="AG7403" s="25" t="n"/>
      <c r="AH7403" s="25" t="n"/>
      <c r="AI7403" s="394" t="n"/>
      <c r="AM7403" s="48" t="n"/>
      <c r="AN7403" s="48" t="n"/>
      <c r="AO7403" s="48" t="n"/>
    </row>
    <row r="7404">
      <c r="M7404" s="25" t="n"/>
      <c r="Q7404" s="25" t="n"/>
      <c r="U7404" s="194" t="n"/>
      <c r="AA7404" s="25" t="n"/>
      <c r="AB7404" s="25" t="n"/>
      <c r="AC7404" s="195" t="n"/>
      <c r="AD7404" s="25" t="n"/>
      <c r="AE7404" s="25" t="n"/>
      <c r="AG7404" s="25" t="n"/>
      <c r="AH7404" s="25" t="n"/>
      <c r="AI7404" s="394" t="n"/>
      <c r="AM7404" s="48" t="n"/>
      <c r="AN7404" s="48" t="n"/>
      <c r="AO7404" s="48" t="n"/>
    </row>
    <row r="7405">
      <c r="M7405" s="25" t="n"/>
      <c r="Q7405" s="25" t="n"/>
      <c r="U7405" s="194" t="n"/>
      <c r="AA7405" s="25" t="n"/>
      <c r="AB7405" s="25" t="n"/>
      <c r="AC7405" s="195" t="n"/>
      <c r="AD7405" s="25" t="n"/>
      <c r="AE7405" s="25" t="n"/>
      <c r="AG7405" s="25" t="n"/>
      <c r="AH7405" s="25" t="n"/>
      <c r="AI7405" s="394" t="n"/>
      <c r="AM7405" s="48" t="n"/>
      <c r="AN7405" s="48" t="n"/>
      <c r="AO7405" s="48" t="n"/>
    </row>
    <row r="7406">
      <c r="M7406" s="25" t="n"/>
      <c r="Q7406" s="25" t="n"/>
      <c r="U7406" s="194" t="n"/>
      <c r="AA7406" s="25" t="n"/>
      <c r="AB7406" s="25" t="n"/>
      <c r="AC7406" s="195" t="n"/>
      <c r="AD7406" s="25" t="n"/>
      <c r="AE7406" s="25" t="n"/>
      <c r="AG7406" s="25" t="n"/>
      <c r="AH7406" s="25" t="n"/>
      <c r="AI7406" s="394" t="n"/>
      <c r="AM7406" s="48" t="n"/>
      <c r="AN7406" s="48" t="n"/>
      <c r="AO7406" s="48" t="n"/>
    </row>
    <row r="7407">
      <c r="M7407" s="25" t="n"/>
      <c r="Q7407" s="25" t="n"/>
      <c r="U7407" s="194" t="n"/>
      <c r="AA7407" s="25" t="n"/>
      <c r="AB7407" s="25" t="n"/>
      <c r="AC7407" s="195" t="n"/>
      <c r="AD7407" s="25" t="n"/>
      <c r="AE7407" s="25" t="n"/>
      <c r="AG7407" s="25" t="n"/>
      <c r="AH7407" s="25" t="n"/>
      <c r="AI7407" s="394" t="n"/>
      <c r="AM7407" s="48" t="n"/>
      <c r="AN7407" s="48" t="n"/>
      <c r="AO7407" s="48" t="n"/>
    </row>
    <row r="7408">
      <c r="M7408" s="25" t="n"/>
      <c r="Q7408" s="25" t="n"/>
      <c r="U7408" s="194" t="n"/>
      <c r="AA7408" s="25" t="n"/>
      <c r="AB7408" s="25" t="n"/>
      <c r="AC7408" s="195" t="n"/>
      <c r="AD7408" s="25" t="n"/>
      <c r="AE7408" s="25" t="n"/>
      <c r="AG7408" s="25" t="n"/>
      <c r="AH7408" s="25" t="n"/>
      <c r="AI7408" s="394" t="n"/>
      <c r="AM7408" s="48" t="n"/>
      <c r="AN7408" s="48" t="n"/>
      <c r="AO7408" s="48" t="n"/>
    </row>
    <row r="7409">
      <c r="M7409" s="25" t="n"/>
      <c r="Q7409" s="25" t="n"/>
      <c r="U7409" s="194" t="n"/>
      <c r="AA7409" s="25" t="n"/>
      <c r="AB7409" s="25" t="n"/>
      <c r="AC7409" s="195" t="n"/>
      <c r="AD7409" s="25" t="n"/>
      <c r="AE7409" s="25" t="n"/>
      <c r="AG7409" s="25" t="n"/>
      <c r="AH7409" s="25" t="n"/>
      <c r="AI7409" s="394" t="n"/>
      <c r="AM7409" s="48" t="n"/>
      <c r="AN7409" s="48" t="n"/>
      <c r="AO7409" s="48" t="n"/>
    </row>
    <row r="7410">
      <c r="M7410" s="25" t="n"/>
      <c r="Q7410" s="25" t="n"/>
      <c r="U7410" s="194" t="n"/>
      <c r="AA7410" s="25" t="n"/>
      <c r="AB7410" s="25" t="n"/>
      <c r="AC7410" s="195" t="n"/>
      <c r="AD7410" s="25" t="n"/>
      <c r="AE7410" s="25" t="n"/>
      <c r="AG7410" s="25" t="n"/>
      <c r="AH7410" s="25" t="n"/>
      <c r="AI7410" s="394" t="n"/>
      <c r="AM7410" s="48" t="n"/>
      <c r="AN7410" s="48" t="n"/>
      <c r="AO7410" s="48" t="n"/>
    </row>
    <row r="7411">
      <c r="M7411" s="25" t="n"/>
      <c r="Q7411" s="25" t="n"/>
      <c r="U7411" s="194" t="n"/>
      <c r="AA7411" s="25" t="n"/>
      <c r="AB7411" s="25" t="n"/>
      <c r="AC7411" s="195" t="n"/>
      <c r="AD7411" s="25" t="n"/>
      <c r="AE7411" s="25" t="n"/>
      <c r="AG7411" s="25" t="n"/>
      <c r="AH7411" s="25" t="n"/>
      <c r="AI7411" s="394" t="n"/>
      <c r="AM7411" s="48" t="n"/>
      <c r="AN7411" s="48" t="n"/>
      <c r="AO7411" s="48" t="n"/>
    </row>
    <row r="7412">
      <c r="M7412" s="25" t="n"/>
      <c r="Q7412" s="25" t="n"/>
      <c r="U7412" s="194" t="n"/>
      <c r="AA7412" s="25" t="n"/>
      <c r="AB7412" s="25" t="n"/>
      <c r="AC7412" s="195" t="n"/>
      <c r="AD7412" s="25" t="n"/>
      <c r="AE7412" s="25" t="n"/>
      <c r="AG7412" s="25" t="n"/>
      <c r="AH7412" s="25" t="n"/>
      <c r="AI7412" s="394" t="n"/>
      <c r="AM7412" s="48" t="n"/>
      <c r="AN7412" s="48" t="n"/>
      <c r="AO7412" s="48" t="n"/>
    </row>
    <row r="7413">
      <c r="M7413" s="25" t="n"/>
      <c r="Q7413" s="25" t="n"/>
      <c r="U7413" s="194" t="n"/>
      <c r="AA7413" s="25" t="n"/>
      <c r="AB7413" s="25" t="n"/>
      <c r="AC7413" s="195" t="n"/>
      <c r="AD7413" s="25" t="n"/>
      <c r="AE7413" s="25" t="n"/>
      <c r="AG7413" s="25" t="n"/>
      <c r="AH7413" s="25" t="n"/>
      <c r="AI7413" s="394" t="n"/>
      <c r="AM7413" s="48" t="n"/>
      <c r="AN7413" s="48" t="n"/>
      <c r="AO7413" s="48" t="n"/>
    </row>
    <row r="7414">
      <c r="M7414" s="25" t="n"/>
      <c r="Q7414" s="25" t="n"/>
      <c r="U7414" s="194" t="n"/>
      <c r="AA7414" s="25" t="n"/>
      <c r="AB7414" s="25" t="n"/>
      <c r="AC7414" s="195" t="n"/>
      <c r="AD7414" s="25" t="n"/>
      <c r="AE7414" s="25" t="n"/>
      <c r="AG7414" s="25" t="n"/>
      <c r="AH7414" s="25" t="n"/>
      <c r="AI7414" s="394" t="n"/>
      <c r="AM7414" s="48" t="n"/>
      <c r="AN7414" s="48" t="n"/>
      <c r="AO7414" s="48" t="n"/>
    </row>
    <row r="7415">
      <c r="M7415" s="25" t="n"/>
      <c r="Q7415" s="25" t="n"/>
      <c r="U7415" s="194" t="n"/>
      <c r="AA7415" s="25" t="n"/>
      <c r="AB7415" s="25" t="n"/>
      <c r="AC7415" s="195" t="n"/>
      <c r="AD7415" s="25" t="n"/>
      <c r="AE7415" s="25" t="n"/>
      <c r="AG7415" s="25" t="n"/>
      <c r="AH7415" s="25" t="n"/>
      <c r="AI7415" s="394" t="n"/>
      <c r="AM7415" s="48" t="n"/>
      <c r="AN7415" s="48" t="n"/>
      <c r="AO7415" s="48" t="n"/>
    </row>
    <row r="7416">
      <c r="M7416" s="25" t="n"/>
      <c r="Q7416" s="25" t="n"/>
      <c r="U7416" s="194" t="n"/>
      <c r="AA7416" s="25" t="n"/>
      <c r="AB7416" s="25" t="n"/>
      <c r="AC7416" s="195" t="n"/>
      <c r="AD7416" s="25" t="n"/>
      <c r="AE7416" s="25" t="n"/>
      <c r="AG7416" s="25" t="n"/>
      <c r="AH7416" s="25" t="n"/>
      <c r="AI7416" s="394" t="n"/>
      <c r="AM7416" s="48" t="n"/>
      <c r="AN7416" s="48" t="n"/>
      <c r="AO7416" s="48" t="n"/>
    </row>
    <row r="7417">
      <c r="M7417" s="25" t="n"/>
      <c r="Q7417" s="25" t="n"/>
      <c r="U7417" s="194" t="n"/>
      <c r="AA7417" s="25" t="n"/>
      <c r="AB7417" s="25" t="n"/>
      <c r="AC7417" s="195" t="n"/>
      <c r="AD7417" s="25" t="n"/>
      <c r="AE7417" s="25" t="n"/>
      <c r="AG7417" s="25" t="n"/>
      <c r="AH7417" s="25" t="n"/>
      <c r="AI7417" s="394" t="n"/>
      <c r="AM7417" s="48" t="n"/>
      <c r="AN7417" s="48" t="n"/>
      <c r="AO7417" s="48" t="n"/>
    </row>
    <row r="7418">
      <c r="M7418" s="25" t="n"/>
      <c r="Q7418" s="25" t="n"/>
      <c r="U7418" s="194" t="n"/>
      <c r="AA7418" s="25" t="n"/>
      <c r="AB7418" s="25" t="n"/>
      <c r="AC7418" s="195" t="n"/>
      <c r="AD7418" s="25" t="n"/>
      <c r="AE7418" s="25" t="n"/>
      <c r="AG7418" s="25" t="n"/>
      <c r="AH7418" s="25" t="n"/>
      <c r="AI7418" s="394" t="n"/>
      <c r="AM7418" s="48" t="n"/>
      <c r="AN7418" s="48" t="n"/>
      <c r="AO7418" s="48" t="n"/>
    </row>
    <row r="7419">
      <c r="M7419" s="25" t="n"/>
      <c r="Q7419" s="25" t="n"/>
      <c r="U7419" s="194" t="n"/>
      <c r="AA7419" s="25" t="n"/>
      <c r="AB7419" s="25" t="n"/>
      <c r="AC7419" s="195" t="n"/>
      <c r="AD7419" s="25" t="n"/>
      <c r="AE7419" s="25" t="n"/>
      <c r="AG7419" s="25" t="n"/>
      <c r="AH7419" s="25" t="n"/>
      <c r="AI7419" s="394" t="n"/>
      <c r="AM7419" s="48" t="n"/>
      <c r="AN7419" s="48" t="n"/>
      <c r="AO7419" s="48" t="n"/>
    </row>
    <row r="7420">
      <c r="M7420" s="25" t="n"/>
      <c r="Q7420" s="25" t="n"/>
      <c r="U7420" s="194" t="n"/>
      <c r="AA7420" s="25" t="n"/>
      <c r="AB7420" s="25" t="n"/>
      <c r="AC7420" s="195" t="n"/>
      <c r="AD7420" s="25" t="n"/>
      <c r="AE7420" s="25" t="n"/>
      <c r="AG7420" s="25" t="n"/>
      <c r="AH7420" s="25" t="n"/>
      <c r="AI7420" s="394" t="n"/>
      <c r="AM7420" s="48" t="n"/>
      <c r="AN7420" s="48" t="n"/>
      <c r="AO7420" s="48" t="n"/>
    </row>
    <row r="7421">
      <c r="M7421" s="25" t="n"/>
      <c r="Q7421" s="25" t="n"/>
      <c r="U7421" s="194" t="n"/>
      <c r="AA7421" s="25" t="n"/>
      <c r="AB7421" s="25" t="n"/>
      <c r="AC7421" s="195" t="n"/>
      <c r="AD7421" s="25" t="n"/>
      <c r="AE7421" s="25" t="n"/>
      <c r="AG7421" s="25" t="n"/>
      <c r="AH7421" s="25" t="n"/>
      <c r="AI7421" s="394" t="n"/>
      <c r="AM7421" s="48" t="n"/>
      <c r="AN7421" s="48" t="n"/>
      <c r="AO7421" s="48" t="n"/>
    </row>
    <row r="7422">
      <c r="M7422" s="25" t="n"/>
      <c r="Q7422" s="25" t="n"/>
      <c r="U7422" s="194" t="n"/>
      <c r="AA7422" s="25" t="n"/>
      <c r="AB7422" s="25" t="n"/>
      <c r="AC7422" s="195" t="n"/>
      <c r="AD7422" s="25" t="n"/>
      <c r="AE7422" s="25" t="n"/>
      <c r="AG7422" s="25" t="n"/>
      <c r="AH7422" s="25" t="n"/>
      <c r="AI7422" s="394" t="n"/>
      <c r="AM7422" s="48" t="n"/>
      <c r="AN7422" s="48" t="n"/>
      <c r="AO7422" s="48" t="n"/>
    </row>
    <row r="7423">
      <c r="M7423" s="25" t="n"/>
      <c r="Q7423" s="25" t="n"/>
      <c r="U7423" s="194" t="n"/>
      <c r="AA7423" s="25" t="n"/>
      <c r="AB7423" s="25" t="n"/>
      <c r="AC7423" s="195" t="n"/>
      <c r="AD7423" s="25" t="n"/>
      <c r="AE7423" s="25" t="n"/>
      <c r="AG7423" s="25" t="n"/>
      <c r="AH7423" s="25" t="n"/>
      <c r="AI7423" s="394" t="n"/>
      <c r="AM7423" s="48" t="n"/>
      <c r="AN7423" s="48" t="n"/>
      <c r="AO7423" s="48" t="n"/>
    </row>
    <row r="7424">
      <c r="M7424" s="25" t="n"/>
      <c r="Q7424" s="25" t="n"/>
      <c r="U7424" s="194" t="n"/>
      <c r="AA7424" s="25" t="n"/>
      <c r="AB7424" s="25" t="n"/>
      <c r="AC7424" s="195" t="n"/>
      <c r="AD7424" s="25" t="n"/>
      <c r="AE7424" s="25" t="n"/>
      <c r="AG7424" s="25" t="n"/>
      <c r="AH7424" s="25" t="n"/>
      <c r="AI7424" s="394" t="n"/>
      <c r="AM7424" s="48" t="n"/>
      <c r="AN7424" s="48" t="n"/>
      <c r="AO7424" s="48" t="n"/>
    </row>
    <row r="7425">
      <c r="M7425" s="25" t="n"/>
      <c r="Q7425" s="25" t="n"/>
      <c r="U7425" s="194" t="n"/>
      <c r="AA7425" s="25" t="n"/>
      <c r="AB7425" s="25" t="n"/>
      <c r="AC7425" s="195" t="n"/>
      <c r="AD7425" s="25" t="n"/>
      <c r="AE7425" s="25" t="n"/>
      <c r="AG7425" s="25" t="n"/>
      <c r="AH7425" s="25" t="n"/>
      <c r="AI7425" s="394" t="n"/>
      <c r="AM7425" s="48" t="n"/>
      <c r="AN7425" s="48" t="n"/>
      <c r="AO7425" s="48" t="n"/>
    </row>
    <row r="7426">
      <c r="M7426" s="25" t="n"/>
      <c r="Q7426" s="25" t="n"/>
      <c r="U7426" s="194" t="n"/>
      <c r="AA7426" s="25" t="n"/>
      <c r="AB7426" s="25" t="n"/>
      <c r="AC7426" s="195" t="n"/>
      <c r="AD7426" s="25" t="n"/>
      <c r="AE7426" s="25" t="n"/>
      <c r="AG7426" s="25" t="n"/>
      <c r="AH7426" s="25" t="n"/>
      <c r="AI7426" s="394" t="n"/>
      <c r="AM7426" s="48" t="n"/>
      <c r="AN7426" s="48" t="n"/>
      <c r="AO7426" s="48" t="n"/>
    </row>
    <row r="7427">
      <c r="M7427" s="25" t="n"/>
      <c r="Q7427" s="25" t="n"/>
      <c r="U7427" s="194" t="n"/>
      <c r="AA7427" s="25" t="n"/>
      <c r="AB7427" s="25" t="n"/>
      <c r="AC7427" s="195" t="n"/>
      <c r="AD7427" s="25" t="n"/>
      <c r="AE7427" s="25" t="n"/>
      <c r="AG7427" s="25" t="n"/>
      <c r="AH7427" s="25" t="n"/>
      <c r="AI7427" s="394" t="n"/>
      <c r="AM7427" s="48" t="n"/>
      <c r="AN7427" s="48" t="n"/>
      <c r="AO7427" s="48" t="n"/>
    </row>
    <row r="7428">
      <c r="M7428" s="25" t="n"/>
      <c r="Q7428" s="25" t="n"/>
      <c r="U7428" s="194" t="n"/>
      <c r="AA7428" s="25" t="n"/>
      <c r="AB7428" s="25" t="n"/>
      <c r="AC7428" s="195" t="n"/>
      <c r="AD7428" s="25" t="n"/>
      <c r="AE7428" s="25" t="n"/>
      <c r="AG7428" s="25" t="n"/>
      <c r="AH7428" s="25" t="n"/>
      <c r="AI7428" s="394" t="n"/>
      <c r="AM7428" s="48" t="n"/>
      <c r="AN7428" s="48" t="n"/>
      <c r="AO7428" s="48" t="n"/>
    </row>
    <row r="7429">
      <c r="M7429" s="25" t="n"/>
      <c r="Q7429" s="25" t="n"/>
      <c r="U7429" s="194" t="n"/>
      <c r="AA7429" s="25" t="n"/>
      <c r="AB7429" s="25" t="n"/>
      <c r="AC7429" s="195" t="n"/>
      <c r="AD7429" s="25" t="n"/>
      <c r="AE7429" s="25" t="n"/>
      <c r="AG7429" s="25" t="n"/>
      <c r="AH7429" s="25" t="n"/>
      <c r="AI7429" s="394" t="n"/>
      <c r="AM7429" s="48" t="n"/>
      <c r="AN7429" s="48" t="n"/>
      <c r="AO7429" s="48" t="n"/>
    </row>
    <row r="7430">
      <c r="M7430" s="25" t="n"/>
      <c r="Q7430" s="25" t="n"/>
      <c r="U7430" s="194" t="n"/>
      <c r="AA7430" s="25" t="n"/>
      <c r="AB7430" s="25" t="n"/>
      <c r="AC7430" s="195" t="n"/>
      <c r="AD7430" s="25" t="n"/>
      <c r="AE7430" s="25" t="n"/>
      <c r="AG7430" s="25" t="n"/>
      <c r="AH7430" s="25" t="n"/>
      <c r="AI7430" s="394" t="n"/>
      <c r="AM7430" s="48" t="n"/>
      <c r="AN7430" s="48" t="n"/>
      <c r="AO7430" s="48" t="n"/>
    </row>
    <row r="7431">
      <c r="M7431" s="25" t="n"/>
      <c r="Q7431" s="25" t="n"/>
      <c r="U7431" s="194" t="n"/>
      <c r="AA7431" s="25" t="n"/>
      <c r="AB7431" s="25" t="n"/>
      <c r="AC7431" s="195" t="n"/>
      <c r="AD7431" s="25" t="n"/>
      <c r="AE7431" s="25" t="n"/>
      <c r="AG7431" s="25" t="n"/>
      <c r="AH7431" s="25" t="n"/>
      <c r="AI7431" s="394" t="n"/>
      <c r="AM7431" s="48" t="n"/>
      <c r="AN7431" s="48" t="n"/>
      <c r="AO7431" s="48" t="n"/>
    </row>
    <row r="7432">
      <c r="M7432" s="25" t="n"/>
      <c r="Q7432" s="25" t="n"/>
      <c r="U7432" s="194" t="n"/>
      <c r="AA7432" s="25" t="n"/>
      <c r="AB7432" s="25" t="n"/>
      <c r="AC7432" s="195" t="n"/>
      <c r="AD7432" s="25" t="n"/>
      <c r="AE7432" s="25" t="n"/>
      <c r="AG7432" s="25" t="n"/>
      <c r="AH7432" s="25" t="n"/>
      <c r="AI7432" s="394" t="n"/>
      <c r="AM7432" s="48" t="n"/>
      <c r="AN7432" s="48" t="n"/>
      <c r="AO7432" s="48" t="n"/>
    </row>
    <row r="7433">
      <c r="M7433" s="25" t="n"/>
      <c r="Q7433" s="25" t="n"/>
      <c r="U7433" s="194" t="n"/>
      <c r="AA7433" s="25" t="n"/>
      <c r="AB7433" s="25" t="n"/>
      <c r="AC7433" s="195" t="n"/>
      <c r="AD7433" s="25" t="n"/>
      <c r="AE7433" s="25" t="n"/>
      <c r="AG7433" s="25" t="n"/>
      <c r="AH7433" s="25" t="n"/>
      <c r="AI7433" s="394" t="n"/>
      <c r="AM7433" s="48" t="n"/>
      <c r="AN7433" s="48" t="n"/>
      <c r="AO7433" s="48" t="n"/>
    </row>
    <row r="7434">
      <c r="M7434" s="25" t="n"/>
      <c r="Q7434" s="25" t="n"/>
      <c r="U7434" s="194" t="n"/>
      <c r="AA7434" s="25" t="n"/>
      <c r="AB7434" s="25" t="n"/>
      <c r="AC7434" s="195" t="n"/>
      <c r="AD7434" s="25" t="n"/>
      <c r="AE7434" s="25" t="n"/>
      <c r="AG7434" s="25" t="n"/>
      <c r="AH7434" s="25" t="n"/>
      <c r="AI7434" s="394" t="n"/>
      <c r="AM7434" s="48" t="n"/>
      <c r="AN7434" s="48" t="n"/>
      <c r="AO7434" s="48" t="n"/>
    </row>
    <row r="7435">
      <c r="M7435" s="25" t="n"/>
      <c r="Q7435" s="25" t="n"/>
      <c r="U7435" s="194" t="n"/>
      <c r="AA7435" s="25" t="n"/>
      <c r="AB7435" s="25" t="n"/>
      <c r="AC7435" s="195" t="n"/>
      <c r="AD7435" s="25" t="n"/>
      <c r="AE7435" s="25" t="n"/>
      <c r="AG7435" s="25" t="n"/>
      <c r="AH7435" s="25" t="n"/>
      <c r="AI7435" s="394" t="n"/>
      <c r="AM7435" s="48" t="n"/>
      <c r="AN7435" s="48" t="n"/>
      <c r="AO7435" s="48" t="n"/>
    </row>
    <row r="7436">
      <c r="M7436" s="25" t="n"/>
      <c r="Q7436" s="25" t="n"/>
      <c r="U7436" s="194" t="n"/>
      <c r="AA7436" s="25" t="n"/>
      <c r="AB7436" s="25" t="n"/>
      <c r="AC7436" s="195" t="n"/>
      <c r="AD7436" s="25" t="n"/>
      <c r="AE7436" s="25" t="n"/>
      <c r="AG7436" s="25" t="n"/>
      <c r="AH7436" s="25" t="n"/>
      <c r="AI7436" s="394" t="n"/>
      <c r="AM7436" s="48" t="n"/>
      <c r="AN7436" s="48" t="n"/>
      <c r="AO7436" s="48" t="n"/>
    </row>
    <row r="7437">
      <c r="M7437" s="25" t="n"/>
      <c r="Q7437" s="25" t="n"/>
      <c r="U7437" s="194" t="n"/>
      <c r="AA7437" s="25" t="n"/>
      <c r="AB7437" s="25" t="n"/>
      <c r="AC7437" s="195" t="n"/>
      <c r="AD7437" s="25" t="n"/>
      <c r="AE7437" s="25" t="n"/>
      <c r="AG7437" s="25" t="n"/>
      <c r="AH7437" s="25" t="n"/>
      <c r="AI7437" s="394" t="n"/>
      <c r="AM7437" s="48" t="n"/>
      <c r="AN7437" s="48" t="n"/>
      <c r="AO7437" s="48" t="n"/>
    </row>
    <row r="7438">
      <c r="M7438" s="25" t="n"/>
      <c r="Q7438" s="25" t="n"/>
      <c r="U7438" s="194" t="n"/>
      <c r="AA7438" s="25" t="n"/>
      <c r="AB7438" s="25" t="n"/>
      <c r="AC7438" s="195" t="n"/>
      <c r="AD7438" s="25" t="n"/>
      <c r="AE7438" s="25" t="n"/>
      <c r="AG7438" s="25" t="n"/>
      <c r="AH7438" s="25" t="n"/>
      <c r="AI7438" s="394" t="n"/>
      <c r="AM7438" s="48" t="n"/>
      <c r="AN7438" s="48" t="n"/>
      <c r="AO7438" s="48" t="n"/>
    </row>
    <row r="7439">
      <c r="M7439" s="25" t="n"/>
      <c r="Q7439" s="25" t="n"/>
      <c r="U7439" s="194" t="n"/>
      <c r="AA7439" s="25" t="n"/>
      <c r="AB7439" s="25" t="n"/>
      <c r="AC7439" s="195" t="n"/>
      <c r="AD7439" s="25" t="n"/>
      <c r="AE7439" s="25" t="n"/>
      <c r="AG7439" s="25" t="n"/>
      <c r="AH7439" s="25" t="n"/>
      <c r="AI7439" s="394" t="n"/>
      <c r="AM7439" s="48" t="n"/>
      <c r="AN7439" s="48" t="n"/>
      <c r="AO7439" s="48" t="n"/>
    </row>
    <row r="7440">
      <c r="M7440" s="25" t="n"/>
      <c r="Q7440" s="25" t="n"/>
      <c r="U7440" s="194" t="n"/>
      <c r="AA7440" s="25" t="n"/>
      <c r="AB7440" s="25" t="n"/>
      <c r="AC7440" s="195" t="n"/>
      <c r="AD7440" s="25" t="n"/>
      <c r="AE7440" s="25" t="n"/>
      <c r="AG7440" s="25" t="n"/>
      <c r="AH7440" s="25" t="n"/>
      <c r="AI7440" s="394" t="n"/>
      <c r="AM7440" s="48" t="n"/>
      <c r="AN7440" s="48" t="n"/>
      <c r="AO7440" s="48" t="n"/>
    </row>
    <row r="7441">
      <c r="M7441" s="25" t="n"/>
      <c r="Q7441" s="25" t="n"/>
      <c r="U7441" s="194" t="n"/>
      <c r="AA7441" s="25" t="n"/>
      <c r="AB7441" s="25" t="n"/>
      <c r="AC7441" s="195" t="n"/>
      <c r="AD7441" s="25" t="n"/>
      <c r="AE7441" s="25" t="n"/>
      <c r="AG7441" s="25" t="n"/>
      <c r="AH7441" s="25" t="n"/>
      <c r="AI7441" s="394" t="n"/>
      <c r="AM7441" s="48" t="n"/>
      <c r="AN7441" s="48" t="n"/>
      <c r="AO7441" s="48" t="n"/>
    </row>
    <row r="7442">
      <c r="M7442" s="25" t="n"/>
      <c r="Q7442" s="25" t="n"/>
      <c r="U7442" s="194" t="n"/>
      <c r="AA7442" s="25" t="n"/>
      <c r="AB7442" s="25" t="n"/>
      <c r="AC7442" s="195" t="n"/>
      <c r="AD7442" s="25" t="n"/>
      <c r="AE7442" s="25" t="n"/>
      <c r="AG7442" s="25" t="n"/>
      <c r="AH7442" s="25" t="n"/>
      <c r="AI7442" s="394" t="n"/>
      <c r="AM7442" s="48" t="n"/>
      <c r="AN7442" s="48" t="n"/>
      <c r="AO7442" s="48" t="n"/>
    </row>
    <row r="7443">
      <c r="M7443" s="25" t="n"/>
      <c r="Q7443" s="25" t="n"/>
      <c r="U7443" s="194" t="n"/>
      <c r="AA7443" s="25" t="n"/>
      <c r="AB7443" s="25" t="n"/>
      <c r="AC7443" s="195" t="n"/>
      <c r="AD7443" s="25" t="n"/>
      <c r="AE7443" s="25" t="n"/>
      <c r="AG7443" s="25" t="n"/>
      <c r="AH7443" s="25" t="n"/>
      <c r="AI7443" s="394" t="n"/>
      <c r="AM7443" s="48" t="n"/>
      <c r="AN7443" s="48" t="n"/>
      <c r="AO7443" s="48" t="n"/>
    </row>
    <row r="7444">
      <c r="M7444" s="25" t="n"/>
      <c r="Q7444" s="25" t="n"/>
      <c r="U7444" s="194" t="n"/>
      <c r="AA7444" s="25" t="n"/>
      <c r="AB7444" s="25" t="n"/>
      <c r="AC7444" s="195" t="n"/>
      <c r="AD7444" s="25" t="n"/>
      <c r="AE7444" s="25" t="n"/>
      <c r="AG7444" s="25" t="n"/>
      <c r="AH7444" s="25" t="n"/>
      <c r="AI7444" s="394" t="n"/>
      <c r="AM7444" s="48" t="n"/>
      <c r="AN7444" s="48" t="n"/>
      <c r="AO7444" s="48" t="n"/>
    </row>
    <row r="7445">
      <c r="M7445" s="25" t="n"/>
      <c r="Q7445" s="25" t="n"/>
      <c r="U7445" s="194" t="n"/>
      <c r="AA7445" s="25" t="n"/>
      <c r="AB7445" s="25" t="n"/>
      <c r="AC7445" s="195" t="n"/>
      <c r="AD7445" s="25" t="n"/>
      <c r="AE7445" s="25" t="n"/>
      <c r="AG7445" s="25" t="n"/>
      <c r="AH7445" s="25" t="n"/>
      <c r="AI7445" s="394" t="n"/>
      <c r="AM7445" s="48" t="n"/>
      <c r="AN7445" s="48" t="n"/>
      <c r="AO7445" s="48" t="n"/>
    </row>
    <row r="7446">
      <c r="M7446" s="25" t="n"/>
      <c r="Q7446" s="25" t="n"/>
      <c r="U7446" s="194" t="n"/>
      <c r="AA7446" s="25" t="n"/>
      <c r="AB7446" s="25" t="n"/>
      <c r="AC7446" s="195" t="n"/>
      <c r="AD7446" s="25" t="n"/>
      <c r="AE7446" s="25" t="n"/>
      <c r="AG7446" s="25" t="n"/>
      <c r="AH7446" s="25" t="n"/>
      <c r="AI7446" s="394" t="n"/>
      <c r="AM7446" s="48" t="n"/>
      <c r="AN7446" s="48" t="n"/>
      <c r="AO7446" s="48" t="n"/>
    </row>
    <row r="7447">
      <c r="M7447" s="25" t="n"/>
      <c r="Q7447" s="25" t="n"/>
      <c r="U7447" s="194" t="n"/>
      <c r="AA7447" s="25" t="n"/>
      <c r="AB7447" s="25" t="n"/>
      <c r="AC7447" s="195" t="n"/>
      <c r="AD7447" s="25" t="n"/>
      <c r="AE7447" s="25" t="n"/>
      <c r="AG7447" s="25" t="n"/>
      <c r="AH7447" s="25" t="n"/>
      <c r="AI7447" s="394" t="n"/>
      <c r="AM7447" s="48" t="n"/>
      <c r="AN7447" s="48" t="n"/>
      <c r="AO7447" s="48" t="n"/>
    </row>
    <row r="7448">
      <c r="M7448" s="25" t="n"/>
      <c r="Q7448" s="25" t="n"/>
      <c r="U7448" s="194" t="n"/>
      <c r="AA7448" s="25" t="n"/>
      <c r="AB7448" s="25" t="n"/>
      <c r="AC7448" s="195" t="n"/>
      <c r="AD7448" s="25" t="n"/>
      <c r="AE7448" s="25" t="n"/>
      <c r="AG7448" s="25" t="n"/>
      <c r="AH7448" s="25" t="n"/>
      <c r="AI7448" s="394" t="n"/>
      <c r="AM7448" s="48" t="n"/>
      <c r="AN7448" s="48" t="n"/>
      <c r="AO7448" s="48" t="n"/>
    </row>
    <row r="7449">
      <c r="M7449" s="25" t="n"/>
      <c r="Q7449" s="25" t="n"/>
      <c r="U7449" s="194" t="n"/>
      <c r="AA7449" s="25" t="n"/>
      <c r="AB7449" s="25" t="n"/>
      <c r="AC7449" s="195" t="n"/>
      <c r="AD7449" s="25" t="n"/>
      <c r="AE7449" s="25" t="n"/>
      <c r="AG7449" s="25" t="n"/>
      <c r="AH7449" s="25" t="n"/>
      <c r="AI7449" s="394" t="n"/>
      <c r="AM7449" s="48" t="n"/>
      <c r="AN7449" s="48" t="n"/>
      <c r="AO7449" s="48" t="n"/>
    </row>
    <row r="7450">
      <c r="M7450" s="25" t="n"/>
      <c r="Q7450" s="25" t="n"/>
      <c r="U7450" s="194" t="n"/>
      <c r="AA7450" s="25" t="n"/>
      <c r="AB7450" s="25" t="n"/>
      <c r="AC7450" s="195" t="n"/>
      <c r="AD7450" s="25" t="n"/>
      <c r="AE7450" s="25" t="n"/>
      <c r="AG7450" s="25" t="n"/>
      <c r="AH7450" s="25" t="n"/>
      <c r="AI7450" s="394" t="n"/>
      <c r="AM7450" s="48" t="n"/>
      <c r="AN7450" s="48" t="n"/>
      <c r="AO7450" s="48" t="n"/>
    </row>
    <row r="7451">
      <c r="M7451" s="25" t="n"/>
      <c r="Q7451" s="25" t="n"/>
      <c r="U7451" s="194" t="n"/>
      <c r="AA7451" s="25" t="n"/>
      <c r="AB7451" s="25" t="n"/>
      <c r="AC7451" s="195" t="n"/>
      <c r="AD7451" s="25" t="n"/>
      <c r="AE7451" s="25" t="n"/>
      <c r="AG7451" s="25" t="n"/>
      <c r="AH7451" s="25" t="n"/>
      <c r="AI7451" s="394" t="n"/>
      <c r="AM7451" s="48" t="n"/>
      <c r="AN7451" s="48" t="n"/>
      <c r="AO7451" s="48" t="n"/>
    </row>
    <row r="7452">
      <c r="M7452" s="25" t="n"/>
      <c r="Q7452" s="25" t="n"/>
      <c r="U7452" s="194" t="n"/>
      <c r="AA7452" s="25" t="n"/>
      <c r="AB7452" s="25" t="n"/>
      <c r="AC7452" s="195" t="n"/>
      <c r="AD7452" s="25" t="n"/>
      <c r="AE7452" s="25" t="n"/>
      <c r="AG7452" s="25" t="n"/>
      <c r="AH7452" s="25" t="n"/>
      <c r="AI7452" s="394" t="n"/>
      <c r="AM7452" s="48" t="n"/>
      <c r="AN7452" s="48" t="n"/>
      <c r="AO7452" s="48" t="n"/>
    </row>
    <row r="7453">
      <c r="M7453" s="25" t="n"/>
      <c r="Q7453" s="25" t="n"/>
      <c r="U7453" s="194" t="n"/>
      <c r="AA7453" s="25" t="n"/>
      <c r="AB7453" s="25" t="n"/>
      <c r="AC7453" s="195" t="n"/>
      <c r="AD7453" s="25" t="n"/>
      <c r="AE7453" s="25" t="n"/>
      <c r="AG7453" s="25" t="n"/>
      <c r="AH7453" s="25" t="n"/>
      <c r="AI7453" s="394" t="n"/>
      <c r="AM7453" s="48" t="n"/>
      <c r="AN7453" s="48" t="n"/>
      <c r="AO7453" s="48" t="n"/>
    </row>
    <row r="7454">
      <c r="M7454" s="25" t="n"/>
      <c r="Q7454" s="25" t="n"/>
      <c r="U7454" s="194" t="n"/>
      <c r="AA7454" s="25" t="n"/>
      <c r="AB7454" s="25" t="n"/>
      <c r="AC7454" s="195" t="n"/>
      <c r="AD7454" s="25" t="n"/>
      <c r="AE7454" s="25" t="n"/>
      <c r="AG7454" s="25" t="n"/>
      <c r="AH7454" s="25" t="n"/>
      <c r="AI7454" s="394" t="n"/>
      <c r="AM7454" s="48" t="n"/>
      <c r="AN7454" s="48" t="n"/>
      <c r="AO7454" s="48" t="n"/>
    </row>
    <row r="7455">
      <c r="M7455" s="25" t="n"/>
      <c r="Q7455" s="25" t="n"/>
      <c r="U7455" s="194" t="n"/>
      <c r="AA7455" s="25" t="n"/>
      <c r="AB7455" s="25" t="n"/>
      <c r="AC7455" s="195" t="n"/>
      <c r="AD7455" s="25" t="n"/>
      <c r="AE7455" s="25" t="n"/>
      <c r="AG7455" s="25" t="n"/>
      <c r="AH7455" s="25" t="n"/>
      <c r="AI7455" s="394" t="n"/>
      <c r="AM7455" s="48" t="n"/>
      <c r="AN7455" s="48" t="n"/>
      <c r="AO7455" s="48" t="n"/>
    </row>
    <row r="7456">
      <c r="M7456" s="25" t="n"/>
      <c r="Q7456" s="25" t="n"/>
      <c r="U7456" s="194" t="n"/>
      <c r="AA7456" s="25" t="n"/>
      <c r="AB7456" s="25" t="n"/>
      <c r="AC7456" s="195" t="n"/>
      <c r="AD7456" s="25" t="n"/>
      <c r="AE7456" s="25" t="n"/>
      <c r="AG7456" s="25" t="n"/>
      <c r="AH7456" s="25" t="n"/>
      <c r="AI7456" s="394" t="n"/>
      <c r="AM7456" s="48" t="n"/>
      <c r="AN7456" s="48" t="n"/>
      <c r="AO7456" s="48" t="n"/>
    </row>
    <row r="7457">
      <c r="M7457" s="25" t="n"/>
      <c r="Q7457" s="25" t="n"/>
      <c r="U7457" s="194" t="n"/>
      <c r="AA7457" s="25" t="n"/>
      <c r="AB7457" s="25" t="n"/>
      <c r="AC7457" s="195" t="n"/>
      <c r="AD7457" s="25" t="n"/>
      <c r="AE7457" s="25" t="n"/>
      <c r="AG7457" s="25" t="n"/>
      <c r="AH7457" s="25" t="n"/>
      <c r="AI7457" s="394" t="n"/>
      <c r="AM7457" s="48" t="n"/>
      <c r="AN7457" s="48" t="n"/>
      <c r="AO7457" s="48" t="n"/>
    </row>
    <row r="7458">
      <c r="M7458" s="25" t="n"/>
      <c r="Q7458" s="25" t="n"/>
      <c r="U7458" s="194" t="n"/>
      <c r="AA7458" s="25" t="n"/>
      <c r="AB7458" s="25" t="n"/>
      <c r="AC7458" s="195" t="n"/>
      <c r="AD7458" s="25" t="n"/>
      <c r="AE7458" s="25" t="n"/>
      <c r="AG7458" s="25" t="n"/>
      <c r="AH7458" s="25" t="n"/>
      <c r="AI7458" s="394" t="n"/>
      <c r="AM7458" s="48" t="n"/>
      <c r="AN7458" s="48" t="n"/>
      <c r="AO7458" s="48" t="n"/>
    </row>
    <row r="7459">
      <c r="M7459" s="25" t="n"/>
      <c r="Q7459" s="25" t="n"/>
      <c r="U7459" s="194" t="n"/>
      <c r="AA7459" s="25" t="n"/>
      <c r="AB7459" s="25" t="n"/>
      <c r="AC7459" s="195" t="n"/>
      <c r="AD7459" s="25" t="n"/>
      <c r="AE7459" s="25" t="n"/>
      <c r="AG7459" s="25" t="n"/>
      <c r="AH7459" s="25" t="n"/>
      <c r="AI7459" s="394" t="n"/>
      <c r="AM7459" s="48" t="n"/>
      <c r="AN7459" s="48" t="n"/>
      <c r="AO7459" s="48" t="n"/>
    </row>
    <row r="7460">
      <c r="M7460" s="25" t="n"/>
      <c r="Q7460" s="25" t="n"/>
      <c r="U7460" s="194" t="n"/>
      <c r="AA7460" s="25" t="n"/>
      <c r="AB7460" s="25" t="n"/>
      <c r="AC7460" s="195" t="n"/>
      <c r="AD7460" s="25" t="n"/>
      <c r="AE7460" s="25" t="n"/>
      <c r="AG7460" s="25" t="n"/>
      <c r="AH7460" s="25" t="n"/>
      <c r="AI7460" s="394" t="n"/>
      <c r="AM7460" s="48" t="n"/>
      <c r="AN7460" s="48" t="n"/>
      <c r="AO7460" s="48" t="n"/>
    </row>
    <row r="7461">
      <c r="M7461" s="25" t="n"/>
      <c r="Q7461" s="25" t="n"/>
      <c r="U7461" s="194" t="n"/>
      <c r="AA7461" s="25" t="n"/>
      <c r="AB7461" s="25" t="n"/>
      <c r="AC7461" s="195" t="n"/>
      <c r="AD7461" s="25" t="n"/>
      <c r="AE7461" s="25" t="n"/>
      <c r="AG7461" s="25" t="n"/>
      <c r="AH7461" s="25" t="n"/>
      <c r="AI7461" s="394" t="n"/>
      <c r="AM7461" s="48" t="n"/>
      <c r="AN7461" s="48" t="n"/>
      <c r="AO7461" s="48" t="n"/>
    </row>
    <row r="7462">
      <c r="M7462" s="25" t="n"/>
      <c r="Q7462" s="25" t="n"/>
      <c r="U7462" s="194" t="n"/>
      <c r="AA7462" s="25" t="n"/>
      <c r="AB7462" s="25" t="n"/>
      <c r="AC7462" s="195" t="n"/>
      <c r="AD7462" s="25" t="n"/>
      <c r="AE7462" s="25" t="n"/>
      <c r="AG7462" s="25" t="n"/>
      <c r="AH7462" s="25" t="n"/>
      <c r="AI7462" s="394" t="n"/>
      <c r="AM7462" s="48" t="n"/>
      <c r="AN7462" s="48" t="n"/>
      <c r="AO7462" s="48" t="n"/>
    </row>
    <row r="7463">
      <c r="M7463" s="25" t="n"/>
      <c r="Q7463" s="25" t="n"/>
      <c r="U7463" s="194" t="n"/>
      <c r="AA7463" s="25" t="n"/>
      <c r="AB7463" s="25" t="n"/>
      <c r="AC7463" s="195" t="n"/>
      <c r="AD7463" s="25" t="n"/>
      <c r="AE7463" s="25" t="n"/>
      <c r="AG7463" s="25" t="n"/>
      <c r="AH7463" s="25" t="n"/>
      <c r="AI7463" s="394" t="n"/>
      <c r="AM7463" s="48" t="n"/>
      <c r="AN7463" s="48" t="n"/>
      <c r="AO7463" s="48" t="n"/>
    </row>
    <row r="7464">
      <c r="M7464" s="25" t="n"/>
      <c r="Q7464" s="25" t="n"/>
      <c r="U7464" s="194" t="n"/>
      <c r="AA7464" s="25" t="n"/>
      <c r="AB7464" s="25" t="n"/>
      <c r="AC7464" s="195" t="n"/>
      <c r="AD7464" s="25" t="n"/>
      <c r="AE7464" s="25" t="n"/>
      <c r="AG7464" s="25" t="n"/>
      <c r="AH7464" s="25" t="n"/>
      <c r="AI7464" s="394" t="n"/>
      <c r="AM7464" s="48" t="n"/>
      <c r="AN7464" s="48" t="n"/>
      <c r="AO7464" s="48" t="n"/>
    </row>
    <row r="7465">
      <c r="M7465" s="25" t="n"/>
      <c r="Q7465" s="25" t="n"/>
      <c r="U7465" s="194" t="n"/>
      <c r="AA7465" s="25" t="n"/>
      <c r="AB7465" s="25" t="n"/>
      <c r="AC7465" s="195" t="n"/>
      <c r="AD7465" s="25" t="n"/>
      <c r="AE7465" s="25" t="n"/>
      <c r="AG7465" s="25" t="n"/>
      <c r="AH7465" s="25" t="n"/>
      <c r="AI7465" s="394" t="n"/>
      <c r="AM7465" s="48" t="n"/>
      <c r="AN7465" s="48" t="n"/>
      <c r="AO7465" s="48" t="n"/>
    </row>
    <row r="7466">
      <c r="M7466" s="25" t="n"/>
      <c r="Q7466" s="25" t="n"/>
      <c r="U7466" s="194" t="n"/>
      <c r="AA7466" s="25" t="n"/>
      <c r="AB7466" s="25" t="n"/>
      <c r="AC7466" s="195" t="n"/>
      <c r="AD7466" s="25" t="n"/>
      <c r="AE7466" s="25" t="n"/>
      <c r="AG7466" s="25" t="n"/>
      <c r="AH7466" s="25" t="n"/>
      <c r="AI7466" s="394" t="n"/>
      <c r="AM7466" s="48" t="n"/>
      <c r="AN7466" s="48" t="n"/>
      <c r="AO7466" s="48" t="n"/>
    </row>
    <row r="7467">
      <c r="M7467" s="25" t="n"/>
      <c r="Q7467" s="25" t="n"/>
      <c r="U7467" s="194" t="n"/>
      <c r="AA7467" s="25" t="n"/>
      <c r="AB7467" s="25" t="n"/>
      <c r="AC7467" s="195" t="n"/>
      <c r="AD7467" s="25" t="n"/>
      <c r="AE7467" s="25" t="n"/>
      <c r="AG7467" s="25" t="n"/>
      <c r="AH7467" s="25" t="n"/>
      <c r="AI7467" s="394" t="n"/>
      <c r="AM7467" s="48" t="n"/>
      <c r="AN7467" s="48" t="n"/>
      <c r="AO7467" s="48" t="n"/>
    </row>
    <row r="7468">
      <c r="M7468" s="25" t="n"/>
      <c r="Q7468" s="25" t="n"/>
      <c r="U7468" s="194" t="n"/>
      <c r="AA7468" s="25" t="n"/>
      <c r="AB7468" s="25" t="n"/>
      <c r="AC7468" s="195" t="n"/>
      <c r="AD7468" s="25" t="n"/>
      <c r="AE7468" s="25" t="n"/>
      <c r="AG7468" s="25" t="n"/>
      <c r="AH7468" s="25" t="n"/>
      <c r="AI7468" s="394" t="n"/>
      <c r="AM7468" s="48" t="n"/>
      <c r="AN7468" s="48" t="n"/>
      <c r="AO7468" s="48" t="n"/>
    </row>
    <row r="7469">
      <c r="M7469" s="25" t="n"/>
      <c r="Q7469" s="25" t="n"/>
      <c r="U7469" s="194" t="n"/>
      <c r="AA7469" s="25" t="n"/>
      <c r="AB7469" s="25" t="n"/>
      <c r="AC7469" s="195" t="n"/>
      <c r="AD7469" s="25" t="n"/>
      <c r="AE7469" s="25" t="n"/>
      <c r="AG7469" s="25" t="n"/>
      <c r="AH7469" s="25" t="n"/>
      <c r="AI7469" s="394" t="n"/>
      <c r="AM7469" s="48" t="n"/>
      <c r="AN7469" s="48" t="n"/>
      <c r="AO7469" s="48" t="n"/>
    </row>
    <row r="7470">
      <c r="M7470" s="25" t="n"/>
      <c r="Q7470" s="25" t="n"/>
      <c r="U7470" s="194" t="n"/>
      <c r="AA7470" s="25" t="n"/>
      <c r="AB7470" s="25" t="n"/>
      <c r="AC7470" s="195" t="n"/>
      <c r="AD7470" s="25" t="n"/>
      <c r="AE7470" s="25" t="n"/>
      <c r="AG7470" s="25" t="n"/>
      <c r="AH7470" s="25" t="n"/>
      <c r="AI7470" s="394" t="n"/>
      <c r="AM7470" s="48" t="n"/>
      <c r="AN7470" s="48" t="n"/>
      <c r="AO7470" s="48" t="n"/>
    </row>
    <row r="7471">
      <c r="M7471" s="25" t="n"/>
      <c r="Q7471" s="25" t="n"/>
      <c r="U7471" s="194" t="n"/>
      <c r="AA7471" s="25" t="n"/>
      <c r="AB7471" s="25" t="n"/>
      <c r="AC7471" s="195" t="n"/>
      <c r="AD7471" s="25" t="n"/>
      <c r="AE7471" s="25" t="n"/>
      <c r="AG7471" s="25" t="n"/>
      <c r="AH7471" s="25" t="n"/>
      <c r="AI7471" s="394" t="n"/>
      <c r="AM7471" s="48" t="n"/>
      <c r="AN7471" s="48" t="n"/>
      <c r="AO7471" s="48" t="n"/>
    </row>
    <row r="7472">
      <c r="M7472" s="25" t="n"/>
      <c r="Q7472" s="25" t="n"/>
      <c r="U7472" s="194" t="n"/>
      <c r="AA7472" s="25" t="n"/>
      <c r="AB7472" s="25" t="n"/>
      <c r="AC7472" s="195" t="n"/>
      <c r="AD7472" s="25" t="n"/>
      <c r="AE7472" s="25" t="n"/>
      <c r="AG7472" s="25" t="n"/>
      <c r="AH7472" s="25" t="n"/>
      <c r="AI7472" s="394" t="n"/>
      <c r="AM7472" s="48" t="n"/>
      <c r="AN7472" s="48" t="n"/>
      <c r="AO7472" s="48" t="n"/>
    </row>
    <row r="7473">
      <c r="M7473" s="25" t="n"/>
      <c r="Q7473" s="25" t="n"/>
      <c r="U7473" s="194" t="n"/>
      <c r="AA7473" s="25" t="n"/>
      <c r="AB7473" s="25" t="n"/>
      <c r="AC7473" s="195" t="n"/>
      <c r="AD7473" s="25" t="n"/>
      <c r="AE7473" s="25" t="n"/>
      <c r="AG7473" s="25" t="n"/>
      <c r="AH7473" s="25" t="n"/>
      <c r="AI7473" s="394" t="n"/>
      <c r="AM7473" s="48" t="n"/>
      <c r="AN7473" s="48" t="n"/>
      <c r="AO7473" s="48" t="n"/>
    </row>
    <row r="7474">
      <c r="M7474" s="25" t="n"/>
      <c r="Q7474" s="25" t="n"/>
      <c r="U7474" s="194" t="n"/>
      <c r="AA7474" s="25" t="n"/>
      <c r="AB7474" s="25" t="n"/>
      <c r="AC7474" s="195" t="n"/>
      <c r="AD7474" s="25" t="n"/>
      <c r="AE7474" s="25" t="n"/>
      <c r="AG7474" s="25" t="n"/>
      <c r="AH7474" s="25" t="n"/>
      <c r="AI7474" s="394" t="n"/>
      <c r="AM7474" s="48" t="n"/>
      <c r="AN7474" s="48" t="n"/>
      <c r="AO7474" s="48" t="n"/>
    </row>
    <row r="7475">
      <c r="M7475" s="25" t="n"/>
      <c r="Q7475" s="25" t="n"/>
      <c r="U7475" s="194" t="n"/>
      <c r="AA7475" s="25" t="n"/>
      <c r="AB7475" s="25" t="n"/>
      <c r="AC7475" s="195" t="n"/>
      <c r="AD7475" s="25" t="n"/>
      <c r="AE7475" s="25" t="n"/>
      <c r="AG7475" s="25" t="n"/>
      <c r="AH7475" s="25" t="n"/>
      <c r="AI7475" s="394" t="n"/>
      <c r="AM7475" s="48" t="n"/>
      <c r="AN7475" s="48" t="n"/>
      <c r="AO7475" s="48" t="n"/>
    </row>
    <row r="7476">
      <c r="M7476" s="25" t="n"/>
      <c r="Q7476" s="25" t="n"/>
      <c r="U7476" s="194" t="n"/>
      <c r="AA7476" s="25" t="n"/>
      <c r="AB7476" s="25" t="n"/>
      <c r="AC7476" s="195" t="n"/>
      <c r="AD7476" s="25" t="n"/>
      <c r="AE7476" s="25" t="n"/>
      <c r="AG7476" s="25" t="n"/>
      <c r="AH7476" s="25" t="n"/>
      <c r="AI7476" s="394" t="n"/>
      <c r="AM7476" s="48" t="n"/>
      <c r="AN7476" s="48" t="n"/>
      <c r="AO7476" s="48" t="n"/>
    </row>
    <row r="7477">
      <c r="M7477" s="25" t="n"/>
      <c r="Q7477" s="25" t="n"/>
      <c r="U7477" s="194" t="n"/>
      <c r="AA7477" s="25" t="n"/>
      <c r="AB7477" s="25" t="n"/>
      <c r="AC7477" s="195" t="n"/>
      <c r="AD7477" s="25" t="n"/>
      <c r="AE7477" s="25" t="n"/>
      <c r="AG7477" s="25" t="n"/>
      <c r="AH7477" s="25" t="n"/>
      <c r="AI7477" s="394" t="n"/>
      <c r="AM7477" s="48" t="n"/>
      <c r="AN7477" s="48" t="n"/>
      <c r="AO7477" s="48" t="n"/>
    </row>
    <row r="7478">
      <c r="M7478" s="25" t="n"/>
      <c r="Q7478" s="25" t="n"/>
      <c r="U7478" s="194" t="n"/>
      <c r="AA7478" s="25" t="n"/>
      <c r="AB7478" s="25" t="n"/>
      <c r="AC7478" s="195" t="n"/>
      <c r="AD7478" s="25" t="n"/>
      <c r="AE7478" s="25" t="n"/>
      <c r="AG7478" s="25" t="n"/>
      <c r="AH7478" s="25" t="n"/>
      <c r="AI7478" s="394" t="n"/>
      <c r="AM7478" s="48" t="n"/>
      <c r="AN7478" s="48" t="n"/>
      <c r="AO7478" s="48" t="n"/>
    </row>
    <row r="7479">
      <c r="M7479" s="25" t="n"/>
      <c r="Q7479" s="25" t="n"/>
      <c r="U7479" s="194" t="n"/>
      <c r="AA7479" s="25" t="n"/>
      <c r="AB7479" s="25" t="n"/>
      <c r="AC7479" s="195" t="n"/>
      <c r="AD7479" s="25" t="n"/>
      <c r="AE7479" s="25" t="n"/>
      <c r="AG7479" s="25" t="n"/>
      <c r="AH7479" s="25" t="n"/>
      <c r="AI7479" s="394" t="n"/>
      <c r="AM7479" s="48" t="n"/>
      <c r="AN7479" s="48" t="n"/>
      <c r="AO7479" s="48" t="n"/>
    </row>
    <row r="7480">
      <c r="M7480" s="25" t="n"/>
      <c r="Q7480" s="25" t="n"/>
      <c r="U7480" s="194" t="n"/>
      <c r="AA7480" s="25" t="n"/>
      <c r="AB7480" s="25" t="n"/>
      <c r="AC7480" s="195" t="n"/>
      <c r="AD7480" s="25" t="n"/>
      <c r="AE7480" s="25" t="n"/>
      <c r="AG7480" s="25" t="n"/>
      <c r="AH7480" s="25" t="n"/>
      <c r="AI7480" s="394" t="n"/>
      <c r="AM7480" s="48" t="n"/>
      <c r="AN7480" s="48" t="n"/>
      <c r="AO7480" s="48" t="n"/>
    </row>
    <row r="7481">
      <c r="M7481" s="25" t="n"/>
      <c r="Q7481" s="25" t="n"/>
      <c r="U7481" s="194" t="n"/>
      <c r="AA7481" s="25" t="n"/>
      <c r="AB7481" s="25" t="n"/>
      <c r="AC7481" s="195" t="n"/>
      <c r="AD7481" s="25" t="n"/>
      <c r="AE7481" s="25" t="n"/>
      <c r="AG7481" s="25" t="n"/>
      <c r="AH7481" s="25" t="n"/>
      <c r="AI7481" s="394" t="n"/>
      <c r="AM7481" s="48" t="n"/>
      <c r="AN7481" s="48" t="n"/>
      <c r="AO7481" s="48" t="n"/>
    </row>
    <row r="7482">
      <c r="M7482" s="25" t="n"/>
      <c r="Q7482" s="25" t="n"/>
      <c r="U7482" s="194" t="n"/>
      <c r="AA7482" s="25" t="n"/>
      <c r="AB7482" s="25" t="n"/>
      <c r="AC7482" s="195" t="n"/>
      <c r="AD7482" s="25" t="n"/>
      <c r="AE7482" s="25" t="n"/>
      <c r="AG7482" s="25" t="n"/>
      <c r="AH7482" s="25" t="n"/>
      <c r="AI7482" s="394" t="n"/>
      <c r="AM7482" s="48" t="n"/>
      <c r="AN7482" s="48" t="n"/>
      <c r="AO7482" s="48" t="n"/>
    </row>
    <row r="7483">
      <c r="M7483" s="25" t="n"/>
      <c r="Q7483" s="25" t="n"/>
      <c r="U7483" s="194" t="n"/>
      <c r="AA7483" s="25" t="n"/>
      <c r="AB7483" s="25" t="n"/>
      <c r="AC7483" s="195" t="n"/>
      <c r="AD7483" s="25" t="n"/>
      <c r="AE7483" s="25" t="n"/>
      <c r="AG7483" s="25" t="n"/>
      <c r="AH7483" s="25" t="n"/>
      <c r="AI7483" s="394" t="n"/>
      <c r="AM7483" s="48" t="n"/>
      <c r="AN7483" s="48" t="n"/>
      <c r="AO7483" s="48" t="n"/>
    </row>
    <row r="7484">
      <c r="M7484" s="25" t="n"/>
      <c r="Q7484" s="25" t="n"/>
      <c r="U7484" s="194" t="n"/>
      <c r="AA7484" s="25" t="n"/>
      <c r="AB7484" s="25" t="n"/>
      <c r="AC7484" s="195" t="n"/>
      <c r="AD7484" s="25" t="n"/>
      <c r="AE7484" s="25" t="n"/>
      <c r="AG7484" s="25" t="n"/>
      <c r="AH7484" s="25" t="n"/>
      <c r="AI7484" s="394" t="n"/>
      <c r="AM7484" s="48" t="n"/>
      <c r="AN7484" s="48" t="n"/>
      <c r="AO7484" s="48" t="n"/>
    </row>
    <row r="7485">
      <c r="M7485" s="25" t="n"/>
      <c r="Q7485" s="25" t="n"/>
      <c r="U7485" s="194" t="n"/>
      <c r="AA7485" s="25" t="n"/>
      <c r="AB7485" s="25" t="n"/>
      <c r="AC7485" s="195" t="n"/>
      <c r="AD7485" s="25" t="n"/>
      <c r="AE7485" s="25" t="n"/>
      <c r="AG7485" s="25" t="n"/>
      <c r="AH7485" s="25" t="n"/>
      <c r="AI7485" s="394" t="n"/>
      <c r="AM7485" s="48" t="n"/>
      <c r="AN7485" s="48" t="n"/>
      <c r="AO7485" s="48" t="n"/>
    </row>
    <row r="7486">
      <c r="M7486" s="25" t="n"/>
      <c r="Q7486" s="25" t="n"/>
      <c r="U7486" s="194" t="n"/>
      <c r="AA7486" s="25" t="n"/>
      <c r="AB7486" s="25" t="n"/>
      <c r="AC7486" s="195" t="n"/>
      <c r="AD7486" s="25" t="n"/>
      <c r="AE7486" s="25" t="n"/>
      <c r="AG7486" s="25" t="n"/>
      <c r="AH7486" s="25" t="n"/>
      <c r="AI7486" s="394" t="n"/>
      <c r="AM7486" s="48" t="n"/>
      <c r="AN7486" s="48" t="n"/>
      <c r="AO7486" s="48" t="n"/>
    </row>
    <row r="7487">
      <c r="M7487" s="25" t="n"/>
      <c r="Q7487" s="25" t="n"/>
      <c r="U7487" s="194" t="n"/>
      <c r="AA7487" s="25" t="n"/>
      <c r="AB7487" s="25" t="n"/>
      <c r="AC7487" s="195" t="n"/>
      <c r="AD7487" s="25" t="n"/>
      <c r="AE7487" s="25" t="n"/>
      <c r="AG7487" s="25" t="n"/>
      <c r="AH7487" s="25" t="n"/>
      <c r="AI7487" s="394" t="n"/>
      <c r="AM7487" s="48" t="n"/>
      <c r="AN7487" s="48" t="n"/>
      <c r="AO7487" s="48" t="n"/>
    </row>
    <row r="7488">
      <c r="M7488" s="25" t="n"/>
      <c r="Q7488" s="25" t="n"/>
      <c r="U7488" s="194" t="n"/>
      <c r="AA7488" s="25" t="n"/>
      <c r="AB7488" s="25" t="n"/>
      <c r="AC7488" s="195" t="n"/>
      <c r="AD7488" s="25" t="n"/>
      <c r="AE7488" s="25" t="n"/>
      <c r="AG7488" s="25" t="n"/>
      <c r="AH7488" s="25" t="n"/>
      <c r="AI7488" s="394" t="n"/>
      <c r="AM7488" s="48" t="n"/>
      <c r="AN7488" s="48" t="n"/>
      <c r="AO7488" s="48" t="n"/>
    </row>
    <row r="7489">
      <c r="M7489" s="25" t="n"/>
      <c r="Q7489" s="25" t="n"/>
      <c r="U7489" s="194" t="n"/>
      <c r="AA7489" s="25" t="n"/>
      <c r="AB7489" s="25" t="n"/>
      <c r="AC7489" s="195" t="n"/>
      <c r="AD7489" s="25" t="n"/>
      <c r="AE7489" s="25" t="n"/>
      <c r="AG7489" s="25" t="n"/>
      <c r="AH7489" s="25" t="n"/>
      <c r="AI7489" s="394" t="n"/>
      <c r="AM7489" s="48" t="n"/>
      <c r="AN7489" s="48" t="n"/>
      <c r="AO7489" s="48" t="n"/>
    </row>
    <row r="7490">
      <c r="M7490" s="25" t="n"/>
      <c r="Q7490" s="25" t="n"/>
      <c r="U7490" s="194" t="n"/>
      <c r="AA7490" s="25" t="n"/>
      <c r="AB7490" s="25" t="n"/>
      <c r="AC7490" s="195" t="n"/>
      <c r="AD7490" s="25" t="n"/>
      <c r="AE7490" s="25" t="n"/>
      <c r="AG7490" s="25" t="n"/>
      <c r="AH7490" s="25" t="n"/>
      <c r="AI7490" s="394" t="n"/>
      <c r="AM7490" s="48" t="n"/>
      <c r="AN7490" s="48" t="n"/>
      <c r="AO7490" s="48" t="n"/>
    </row>
    <row r="7491">
      <c r="M7491" s="25" t="n"/>
      <c r="Q7491" s="25" t="n"/>
      <c r="U7491" s="194" t="n"/>
      <c r="AA7491" s="25" t="n"/>
      <c r="AB7491" s="25" t="n"/>
      <c r="AC7491" s="195" t="n"/>
      <c r="AD7491" s="25" t="n"/>
      <c r="AE7491" s="25" t="n"/>
      <c r="AG7491" s="25" t="n"/>
      <c r="AH7491" s="25" t="n"/>
      <c r="AI7491" s="394" t="n"/>
      <c r="AM7491" s="48" t="n"/>
      <c r="AN7491" s="48" t="n"/>
      <c r="AO7491" s="48" t="n"/>
    </row>
    <row r="7492">
      <c r="M7492" s="25" t="n"/>
      <c r="Q7492" s="25" t="n"/>
      <c r="U7492" s="194" t="n"/>
      <c r="AA7492" s="25" t="n"/>
      <c r="AB7492" s="25" t="n"/>
      <c r="AC7492" s="195" t="n"/>
      <c r="AD7492" s="25" t="n"/>
      <c r="AE7492" s="25" t="n"/>
      <c r="AG7492" s="25" t="n"/>
      <c r="AH7492" s="25" t="n"/>
      <c r="AI7492" s="394" t="n"/>
      <c r="AM7492" s="48" t="n"/>
      <c r="AN7492" s="48" t="n"/>
      <c r="AO7492" s="48" t="n"/>
    </row>
    <row r="7493">
      <c r="M7493" s="25" t="n"/>
      <c r="Q7493" s="25" t="n"/>
      <c r="U7493" s="194" t="n"/>
      <c r="AA7493" s="25" t="n"/>
      <c r="AB7493" s="25" t="n"/>
      <c r="AC7493" s="195" t="n"/>
      <c r="AD7493" s="25" t="n"/>
      <c r="AE7493" s="25" t="n"/>
      <c r="AG7493" s="25" t="n"/>
      <c r="AH7493" s="25" t="n"/>
      <c r="AI7493" s="394" t="n"/>
      <c r="AM7493" s="48" t="n"/>
      <c r="AN7493" s="48" t="n"/>
      <c r="AO7493" s="48" t="n"/>
    </row>
    <row r="7494">
      <c r="M7494" s="25" t="n"/>
      <c r="Q7494" s="25" t="n"/>
      <c r="U7494" s="194" t="n"/>
      <c r="AA7494" s="25" t="n"/>
      <c r="AB7494" s="25" t="n"/>
      <c r="AC7494" s="195" t="n"/>
      <c r="AD7494" s="25" t="n"/>
      <c r="AE7494" s="25" t="n"/>
      <c r="AG7494" s="25" t="n"/>
      <c r="AH7494" s="25" t="n"/>
      <c r="AI7494" s="394" t="n"/>
      <c r="AM7494" s="48" t="n"/>
      <c r="AN7494" s="48" t="n"/>
      <c r="AO7494" s="48" t="n"/>
    </row>
    <row r="7495">
      <c r="M7495" s="25" t="n"/>
      <c r="Q7495" s="25" t="n"/>
      <c r="U7495" s="194" t="n"/>
      <c r="AA7495" s="25" t="n"/>
      <c r="AB7495" s="25" t="n"/>
      <c r="AC7495" s="195" t="n"/>
      <c r="AD7495" s="25" t="n"/>
      <c r="AE7495" s="25" t="n"/>
      <c r="AG7495" s="25" t="n"/>
      <c r="AH7495" s="25" t="n"/>
      <c r="AI7495" s="394" t="n"/>
      <c r="AM7495" s="48" t="n"/>
      <c r="AN7495" s="48" t="n"/>
      <c r="AO7495" s="48" t="n"/>
    </row>
    <row r="7496">
      <c r="M7496" s="25" t="n"/>
      <c r="Q7496" s="25" t="n"/>
      <c r="U7496" s="194" t="n"/>
      <c r="AA7496" s="25" t="n"/>
      <c r="AB7496" s="25" t="n"/>
      <c r="AC7496" s="195" t="n"/>
      <c r="AD7496" s="25" t="n"/>
      <c r="AE7496" s="25" t="n"/>
      <c r="AG7496" s="25" t="n"/>
      <c r="AH7496" s="25" t="n"/>
      <c r="AI7496" s="394" t="n"/>
      <c r="AM7496" s="48" t="n"/>
      <c r="AN7496" s="48" t="n"/>
      <c r="AO7496" s="48" t="n"/>
    </row>
    <row r="7497">
      <c r="M7497" s="25" t="n"/>
      <c r="Q7497" s="25" t="n"/>
      <c r="U7497" s="194" t="n"/>
      <c r="AA7497" s="25" t="n"/>
      <c r="AB7497" s="25" t="n"/>
      <c r="AC7497" s="195" t="n"/>
      <c r="AD7497" s="25" t="n"/>
      <c r="AE7497" s="25" t="n"/>
      <c r="AG7497" s="25" t="n"/>
      <c r="AH7497" s="25" t="n"/>
      <c r="AI7497" s="394" t="n"/>
      <c r="AM7497" s="48" t="n"/>
      <c r="AN7497" s="48" t="n"/>
      <c r="AO7497" s="48" t="n"/>
    </row>
    <row r="7498">
      <c r="M7498" s="25" t="n"/>
      <c r="Q7498" s="25" t="n"/>
      <c r="U7498" s="194" t="n"/>
      <c r="AA7498" s="25" t="n"/>
      <c r="AB7498" s="25" t="n"/>
      <c r="AC7498" s="195" t="n"/>
      <c r="AD7498" s="25" t="n"/>
      <c r="AE7498" s="25" t="n"/>
      <c r="AG7498" s="25" t="n"/>
      <c r="AH7498" s="25" t="n"/>
      <c r="AI7498" s="394" t="n"/>
      <c r="AM7498" s="48" t="n"/>
      <c r="AN7498" s="48" t="n"/>
      <c r="AO7498" s="48" t="n"/>
    </row>
    <row r="7499">
      <c r="M7499" s="25" t="n"/>
      <c r="Q7499" s="25" t="n"/>
      <c r="U7499" s="194" t="n"/>
      <c r="AA7499" s="25" t="n"/>
      <c r="AB7499" s="25" t="n"/>
      <c r="AC7499" s="195" t="n"/>
      <c r="AD7499" s="25" t="n"/>
      <c r="AE7499" s="25" t="n"/>
      <c r="AG7499" s="25" t="n"/>
      <c r="AH7499" s="25" t="n"/>
      <c r="AI7499" s="394" t="n"/>
      <c r="AM7499" s="48" t="n"/>
      <c r="AN7499" s="48" t="n"/>
      <c r="AO7499" s="48" t="n"/>
    </row>
    <row r="7500">
      <c r="M7500" s="25" t="n"/>
      <c r="Q7500" s="25" t="n"/>
      <c r="U7500" s="194" t="n"/>
      <c r="AA7500" s="25" t="n"/>
      <c r="AB7500" s="25" t="n"/>
      <c r="AC7500" s="195" t="n"/>
      <c r="AD7500" s="25" t="n"/>
      <c r="AE7500" s="25" t="n"/>
      <c r="AG7500" s="25" t="n"/>
      <c r="AH7500" s="25" t="n"/>
      <c r="AI7500" s="394" t="n"/>
      <c r="AM7500" s="48" t="n"/>
      <c r="AN7500" s="48" t="n"/>
      <c r="AO7500" s="48" t="n"/>
    </row>
    <row r="7501">
      <c r="M7501" s="25" t="n"/>
      <c r="Q7501" s="25" t="n"/>
      <c r="U7501" s="194" t="n"/>
      <c r="AA7501" s="25" t="n"/>
      <c r="AB7501" s="25" t="n"/>
      <c r="AC7501" s="195" t="n"/>
      <c r="AD7501" s="25" t="n"/>
      <c r="AE7501" s="25" t="n"/>
      <c r="AG7501" s="25" t="n"/>
      <c r="AH7501" s="25" t="n"/>
      <c r="AI7501" s="394" t="n"/>
      <c r="AM7501" s="48" t="n"/>
      <c r="AN7501" s="48" t="n"/>
      <c r="AO7501" s="48" t="n"/>
    </row>
    <row r="7502">
      <c r="M7502" s="25" t="n"/>
      <c r="Q7502" s="25" t="n"/>
      <c r="U7502" s="194" t="n"/>
      <c r="AA7502" s="25" t="n"/>
      <c r="AB7502" s="25" t="n"/>
      <c r="AC7502" s="195" t="n"/>
      <c r="AD7502" s="25" t="n"/>
      <c r="AE7502" s="25" t="n"/>
      <c r="AG7502" s="25" t="n"/>
      <c r="AH7502" s="25" t="n"/>
      <c r="AI7502" s="394" t="n"/>
      <c r="AM7502" s="48" t="n"/>
      <c r="AN7502" s="48" t="n"/>
      <c r="AO7502" s="48" t="n"/>
    </row>
    <row r="7503">
      <c r="M7503" s="25" t="n"/>
      <c r="Q7503" s="25" t="n"/>
      <c r="U7503" s="194" t="n"/>
      <c r="AA7503" s="25" t="n"/>
      <c r="AB7503" s="25" t="n"/>
      <c r="AC7503" s="195" t="n"/>
      <c r="AD7503" s="25" t="n"/>
      <c r="AE7503" s="25" t="n"/>
      <c r="AG7503" s="25" t="n"/>
      <c r="AH7503" s="25" t="n"/>
      <c r="AI7503" s="394" t="n"/>
      <c r="AM7503" s="48" t="n"/>
      <c r="AN7503" s="48" t="n"/>
      <c r="AO7503" s="48" t="n"/>
    </row>
    <row r="7504">
      <c r="M7504" s="25" t="n"/>
      <c r="Q7504" s="25" t="n"/>
      <c r="U7504" s="194" t="n"/>
      <c r="AA7504" s="25" t="n"/>
      <c r="AB7504" s="25" t="n"/>
      <c r="AC7504" s="195" t="n"/>
      <c r="AD7504" s="25" t="n"/>
      <c r="AE7504" s="25" t="n"/>
      <c r="AG7504" s="25" t="n"/>
      <c r="AH7504" s="25" t="n"/>
      <c r="AI7504" s="394" t="n"/>
      <c r="AM7504" s="48" t="n"/>
      <c r="AN7504" s="48" t="n"/>
      <c r="AO7504" s="48" t="n"/>
    </row>
    <row r="7505">
      <c r="M7505" s="25" t="n"/>
      <c r="Q7505" s="25" t="n"/>
      <c r="U7505" s="194" t="n"/>
      <c r="AA7505" s="25" t="n"/>
      <c r="AB7505" s="25" t="n"/>
      <c r="AC7505" s="195" t="n"/>
      <c r="AD7505" s="25" t="n"/>
      <c r="AE7505" s="25" t="n"/>
      <c r="AG7505" s="25" t="n"/>
      <c r="AH7505" s="25" t="n"/>
      <c r="AI7505" s="394" t="n"/>
      <c r="AM7505" s="48" t="n"/>
      <c r="AN7505" s="48" t="n"/>
      <c r="AO7505" s="48" t="n"/>
    </row>
    <row r="7506">
      <c r="M7506" s="25" t="n"/>
      <c r="Q7506" s="25" t="n"/>
      <c r="U7506" s="194" t="n"/>
      <c r="AA7506" s="25" t="n"/>
      <c r="AB7506" s="25" t="n"/>
      <c r="AC7506" s="195" t="n"/>
      <c r="AD7506" s="25" t="n"/>
      <c r="AE7506" s="25" t="n"/>
      <c r="AG7506" s="25" t="n"/>
      <c r="AH7506" s="25" t="n"/>
      <c r="AI7506" s="394" t="n"/>
      <c r="AM7506" s="48" t="n"/>
      <c r="AN7506" s="48" t="n"/>
      <c r="AO7506" s="48" t="n"/>
    </row>
    <row r="7507">
      <c r="M7507" s="25" t="n"/>
      <c r="Q7507" s="25" t="n"/>
      <c r="U7507" s="194" t="n"/>
      <c r="AA7507" s="25" t="n"/>
      <c r="AB7507" s="25" t="n"/>
      <c r="AC7507" s="195" t="n"/>
      <c r="AD7507" s="25" t="n"/>
      <c r="AE7507" s="25" t="n"/>
      <c r="AG7507" s="25" t="n"/>
      <c r="AH7507" s="25" t="n"/>
      <c r="AI7507" s="394" t="n"/>
      <c r="AM7507" s="48" t="n"/>
      <c r="AN7507" s="48" t="n"/>
      <c r="AO7507" s="48" t="n"/>
    </row>
    <row r="7508">
      <c r="M7508" s="25" t="n"/>
      <c r="Q7508" s="25" t="n"/>
      <c r="U7508" s="194" t="n"/>
      <c r="AA7508" s="25" t="n"/>
      <c r="AB7508" s="25" t="n"/>
      <c r="AC7508" s="195" t="n"/>
      <c r="AD7508" s="25" t="n"/>
      <c r="AE7508" s="25" t="n"/>
      <c r="AG7508" s="25" t="n"/>
      <c r="AH7508" s="25" t="n"/>
      <c r="AI7508" s="394" t="n"/>
      <c r="AM7508" s="48" t="n"/>
      <c r="AN7508" s="48" t="n"/>
      <c r="AO7508" s="48" t="n"/>
    </row>
    <row r="7509">
      <c r="M7509" s="25" t="n"/>
      <c r="Q7509" s="25" t="n"/>
      <c r="U7509" s="194" t="n"/>
      <c r="AA7509" s="25" t="n"/>
      <c r="AB7509" s="25" t="n"/>
      <c r="AC7509" s="195" t="n"/>
      <c r="AD7509" s="25" t="n"/>
      <c r="AE7509" s="25" t="n"/>
      <c r="AG7509" s="25" t="n"/>
      <c r="AH7509" s="25" t="n"/>
      <c r="AI7509" s="394" t="n"/>
      <c r="AM7509" s="48" t="n"/>
      <c r="AN7509" s="48" t="n"/>
      <c r="AO7509" s="48" t="n"/>
    </row>
    <row r="7510">
      <c r="M7510" s="25" t="n"/>
      <c r="Q7510" s="25" t="n"/>
      <c r="U7510" s="194" t="n"/>
      <c r="AA7510" s="25" t="n"/>
      <c r="AB7510" s="25" t="n"/>
      <c r="AC7510" s="195" t="n"/>
      <c r="AD7510" s="25" t="n"/>
      <c r="AE7510" s="25" t="n"/>
      <c r="AG7510" s="25" t="n"/>
      <c r="AH7510" s="25" t="n"/>
      <c r="AI7510" s="394" t="n"/>
      <c r="AM7510" s="48" t="n"/>
      <c r="AN7510" s="48" t="n"/>
      <c r="AO7510" s="48" t="n"/>
    </row>
    <row r="7511">
      <c r="M7511" s="25" t="n"/>
      <c r="Q7511" s="25" t="n"/>
      <c r="U7511" s="194" t="n"/>
      <c r="AA7511" s="25" t="n"/>
      <c r="AB7511" s="25" t="n"/>
      <c r="AC7511" s="195" t="n"/>
      <c r="AD7511" s="25" t="n"/>
      <c r="AE7511" s="25" t="n"/>
      <c r="AG7511" s="25" t="n"/>
      <c r="AH7511" s="25" t="n"/>
      <c r="AI7511" s="394" t="n"/>
      <c r="AM7511" s="48" t="n"/>
      <c r="AN7511" s="48" t="n"/>
      <c r="AO7511" s="48" t="n"/>
    </row>
    <row r="7512">
      <c r="M7512" s="25" t="n"/>
      <c r="Q7512" s="25" t="n"/>
      <c r="U7512" s="194" t="n"/>
      <c r="AA7512" s="25" t="n"/>
      <c r="AB7512" s="25" t="n"/>
      <c r="AC7512" s="195" t="n"/>
      <c r="AD7512" s="25" t="n"/>
      <c r="AE7512" s="25" t="n"/>
      <c r="AG7512" s="25" t="n"/>
      <c r="AH7512" s="25" t="n"/>
      <c r="AI7512" s="394" t="n"/>
      <c r="AM7512" s="48" t="n"/>
      <c r="AN7512" s="48" t="n"/>
      <c r="AO7512" s="48" t="n"/>
    </row>
    <row r="7513">
      <c r="M7513" s="25" t="n"/>
      <c r="Q7513" s="25" t="n"/>
      <c r="U7513" s="194" t="n"/>
      <c r="AA7513" s="25" t="n"/>
      <c r="AB7513" s="25" t="n"/>
      <c r="AC7513" s="195" t="n"/>
      <c r="AD7513" s="25" t="n"/>
      <c r="AE7513" s="25" t="n"/>
      <c r="AG7513" s="25" t="n"/>
      <c r="AH7513" s="25" t="n"/>
      <c r="AI7513" s="394" t="n"/>
      <c r="AM7513" s="48" t="n"/>
      <c r="AN7513" s="48" t="n"/>
      <c r="AO7513" s="48" t="n"/>
    </row>
    <row r="7514">
      <c r="M7514" s="25" t="n"/>
      <c r="Q7514" s="25" t="n"/>
      <c r="U7514" s="194" t="n"/>
      <c r="AA7514" s="25" t="n"/>
      <c r="AB7514" s="25" t="n"/>
      <c r="AC7514" s="195" t="n"/>
      <c r="AD7514" s="25" t="n"/>
      <c r="AE7514" s="25" t="n"/>
      <c r="AG7514" s="25" t="n"/>
      <c r="AH7514" s="25" t="n"/>
      <c r="AI7514" s="394" t="n"/>
      <c r="AM7514" s="48" t="n"/>
      <c r="AN7514" s="48" t="n"/>
      <c r="AO7514" s="48" t="n"/>
    </row>
    <row r="7515">
      <c r="M7515" s="25" t="n"/>
      <c r="Q7515" s="25" t="n"/>
      <c r="U7515" s="194" t="n"/>
      <c r="AA7515" s="25" t="n"/>
      <c r="AB7515" s="25" t="n"/>
      <c r="AC7515" s="195" t="n"/>
      <c r="AD7515" s="25" t="n"/>
      <c r="AE7515" s="25" t="n"/>
      <c r="AG7515" s="25" t="n"/>
      <c r="AH7515" s="25" t="n"/>
      <c r="AI7515" s="394" t="n"/>
      <c r="AM7515" s="48" t="n"/>
      <c r="AN7515" s="48" t="n"/>
      <c r="AO7515" s="48" t="n"/>
    </row>
    <row r="7516">
      <c r="M7516" s="25" t="n"/>
      <c r="Q7516" s="25" t="n"/>
      <c r="U7516" s="194" t="n"/>
      <c r="AA7516" s="25" t="n"/>
      <c r="AB7516" s="25" t="n"/>
      <c r="AC7516" s="195" t="n"/>
      <c r="AD7516" s="25" t="n"/>
      <c r="AE7516" s="25" t="n"/>
      <c r="AG7516" s="25" t="n"/>
      <c r="AH7516" s="25" t="n"/>
      <c r="AI7516" s="394" t="n"/>
      <c r="AM7516" s="48" t="n"/>
      <c r="AN7516" s="48" t="n"/>
      <c r="AO7516" s="48" t="n"/>
    </row>
    <row r="7517">
      <c r="M7517" s="25" t="n"/>
      <c r="Q7517" s="25" t="n"/>
      <c r="U7517" s="194" t="n"/>
      <c r="AA7517" s="25" t="n"/>
      <c r="AB7517" s="25" t="n"/>
      <c r="AC7517" s="195" t="n"/>
      <c r="AD7517" s="25" t="n"/>
      <c r="AE7517" s="25" t="n"/>
      <c r="AG7517" s="25" t="n"/>
      <c r="AH7517" s="25" t="n"/>
      <c r="AI7517" s="394" t="n"/>
      <c r="AM7517" s="48" t="n"/>
      <c r="AN7517" s="48" t="n"/>
      <c r="AO7517" s="48" t="n"/>
    </row>
    <row r="7518">
      <c r="M7518" s="25" t="n"/>
      <c r="Q7518" s="25" t="n"/>
      <c r="U7518" s="194" t="n"/>
      <c r="AA7518" s="25" t="n"/>
      <c r="AB7518" s="25" t="n"/>
      <c r="AC7518" s="195" t="n"/>
      <c r="AD7518" s="25" t="n"/>
      <c r="AE7518" s="25" t="n"/>
      <c r="AG7518" s="25" t="n"/>
      <c r="AH7518" s="25" t="n"/>
      <c r="AI7518" s="394" t="n"/>
      <c r="AM7518" s="48" t="n"/>
      <c r="AN7518" s="48" t="n"/>
      <c r="AO7518" s="48" t="n"/>
    </row>
    <row r="7519">
      <c r="M7519" s="25" t="n"/>
      <c r="Q7519" s="25" t="n"/>
      <c r="U7519" s="194" t="n"/>
      <c r="AA7519" s="25" t="n"/>
      <c r="AB7519" s="25" t="n"/>
      <c r="AC7519" s="195" t="n"/>
      <c r="AD7519" s="25" t="n"/>
      <c r="AE7519" s="25" t="n"/>
      <c r="AG7519" s="25" t="n"/>
      <c r="AH7519" s="25" t="n"/>
      <c r="AI7519" s="394" t="n"/>
      <c r="AM7519" s="48" t="n"/>
      <c r="AN7519" s="48" t="n"/>
      <c r="AO7519" s="48" t="n"/>
    </row>
    <row r="7520">
      <c r="M7520" s="25" t="n"/>
      <c r="Q7520" s="25" t="n"/>
      <c r="U7520" s="194" t="n"/>
      <c r="AA7520" s="25" t="n"/>
      <c r="AB7520" s="25" t="n"/>
      <c r="AC7520" s="195" t="n"/>
      <c r="AD7520" s="25" t="n"/>
      <c r="AE7520" s="25" t="n"/>
      <c r="AG7520" s="25" t="n"/>
      <c r="AH7520" s="25" t="n"/>
      <c r="AI7520" s="394" t="n"/>
      <c r="AM7520" s="48" t="n"/>
      <c r="AN7520" s="48" t="n"/>
      <c r="AO7520" s="48" t="n"/>
    </row>
    <row r="7521">
      <c r="M7521" s="25" t="n"/>
      <c r="Q7521" s="25" t="n"/>
      <c r="U7521" s="194" t="n"/>
      <c r="AA7521" s="25" t="n"/>
      <c r="AB7521" s="25" t="n"/>
      <c r="AC7521" s="195" t="n"/>
      <c r="AD7521" s="25" t="n"/>
      <c r="AE7521" s="25" t="n"/>
      <c r="AG7521" s="25" t="n"/>
      <c r="AH7521" s="25" t="n"/>
      <c r="AI7521" s="394" t="n"/>
      <c r="AM7521" s="48" t="n"/>
      <c r="AN7521" s="48" t="n"/>
      <c r="AO7521" s="48" t="n"/>
    </row>
    <row r="7522">
      <c r="M7522" s="25" t="n"/>
      <c r="Q7522" s="25" t="n"/>
      <c r="U7522" s="194" t="n"/>
      <c r="AA7522" s="25" t="n"/>
      <c r="AB7522" s="25" t="n"/>
      <c r="AC7522" s="195" t="n"/>
      <c r="AD7522" s="25" t="n"/>
      <c r="AE7522" s="25" t="n"/>
      <c r="AG7522" s="25" t="n"/>
      <c r="AH7522" s="25" t="n"/>
      <c r="AI7522" s="394" t="n"/>
      <c r="AM7522" s="48" t="n"/>
      <c r="AN7522" s="48" t="n"/>
      <c r="AO7522" s="48" t="n"/>
    </row>
    <row r="7523">
      <c r="M7523" s="25" t="n"/>
      <c r="Q7523" s="25" t="n"/>
      <c r="U7523" s="194" t="n"/>
      <c r="AA7523" s="25" t="n"/>
      <c r="AB7523" s="25" t="n"/>
      <c r="AC7523" s="195" t="n"/>
      <c r="AD7523" s="25" t="n"/>
      <c r="AE7523" s="25" t="n"/>
      <c r="AG7523" s="25" t="n"/>
      <c r="AH7523" s="25" t="n"/>
      <c r="AI7523" s="394" t="n"/>
      <c r="AM7523" s="48" t="n"/>
      <c r="AN7523" s="48" t="n"/>
      <c r="AO7523" s="48" t="n"/>
    </row>
    <row r="7524">
      <c r="M7524" s="25" t="n"/>
      <c r="Q7524" s="25" t="n"/>
      <c r="U7524" s="194" t="n"/>
      <c r="AA7524" s="25" t="n"/>
      <c r="AB7524" s="25" t="n"/>
      <c r="AC7524" s="195" t="n"/>
      <c r="AD7524" s="25" t="n"/>
      <c r="AE7524" s="25" t="n"/>
      <c r="AG7524" s="25" t="n"/>
      <c r="AH7524" s="25" t="n"/>
      <c r="AI7524" s="394" t="n"/>
      <c r="AM7524" s="48" t="n"/>
      <c r="AN7524" s="48" t="n"/>
      <c r="AO7524" s="48" t="n"/>
    </row>
    <row r="7525">
      <c r="M7525" s="25" t="n"/>
      <c r="Q7525" s="25" t="n"/>
      <c r="U7525" s="194" t="n"/>
      <c r="AA7525" s="25" t="n"/>
      <c r="AB7525" s="25" t="n"/>
      <c r="AC7525" s="195" t="n"/>
      <c r="AD7525" s="25" t="n"/>
      <c r="AE7525" s="25" t="n"/>
      <c r="AG7525" s="25" t="n"/>
      <c r="AH7525" s="25" t="n"/>
      <c r="AI7525" s="394" t="n"/>
      <c r="AM7525" s="48" t="n"/>
      <c r="AN7525" s="48" t="n"/>
      <c r="AO7525" s="48" t="n"/>
    </row>
    <row r="7526">
      <c r="M7526" s="25" t="n"/>
      <c r="Q7526" s="25" t="n"/>
      <c r="U7526" s="194" t="n"/>
      <c r="AA7526" s="25" t="n"/>
      <c r="AB7526" s="25" t="n"/>
      <c r="AC7526" s="195" t="n"/>
      <c r="AD7526" s="25" t="n"/>
      <c r="AE7526" s="25" t="n"/>
      <c r="AG7526" s="25" t="n"/>
      <c r="AH7526" s="25" t="n"/>
      <c r="AI7526" s="394" t="n"/>
      <c r="AM7526" s="48" t="n"/>
      <c r="AN7526" s="48" t="n"/>
      <c r="AO7526" s="48" t="n"/>
    </row>
    <row r="7527">
      <c r="M7527" s="25" t="n"/>
      <c r="Q7527" s="25" t="n"/>
      <c r="U7527" s="194" t="n"/>
      <c r="AA7527" s="25" t="n"/>
      <c r="AB7527" s="25" t="n"/>
      <c r="AC7527" s="195" t="n"/>
      <c r="AD7527" s="25" t="n"/>
      <c r="AE7527" s="25" t="n"/>
      <c r="AG7527" s="25" t="n"/>
      <c r="AH7527" s="25" t="n"/>
      <c r="AI7527" s="394" t="n"/>
      <c r="AM7527" s="48" t="n"/>
      <c r="AN7527" s="48" t="n"/>
      <c r="AO7527" s="48" t="n"/>
    </row>
    <row r="7528">
      <c r="M7528" s="25" t="n"/>
      <c r="Q7528" s="25" t="n"/>
      <c r="U7528" s="194" t="n"/>
      <c r="AA7528" s="25" t="n"/>
      <c r="AB7528" s="25" t="n"/>
      <c r="AC7528" s="195" t="n"/>
      <c r="AD7528" s="25" t="n"/>
      <c r="AE7528" s="25" t="n"/>
      <c r="AG7528" s="25" t="n"/>
      <c r="AH7528" s="25" t="n"/>
      <c r="AI7528" s="394" t="n"/>
      <c r="AM7528" s="48" t="n"/>
      <c r="AN7528" s="48" t="n"/>
      <c r="AO7528" s="48" t="n"/>
    </row>
    <row r="7529">
      <c r="M7529" s="25" t="n"/>
      <c r="Q7529" s="25" t="n"/>
      <c r="U7529" s="194" t="n"/>
      <c r="AA7529" s="25" t="n"/>
      <c r="AB7529" s="25" t="n"/>
      <c r="AC7529" s="195" t="n"/>
      <c r="AD7529" s="25" t="n"/>
      <c r="AE7529" s="25" t="n"/>
      <c r="AG7529" s="25" t="n"/>
      <c r="AH7529" s="25" t="n"/>
      <c r="AI7529" s="394" t="n"/>
      <c r="AM7529" s="48" t="n"/>
      <c r="AN7529" s="48" t="n"/>
      <c r="AO7529" s="48" t="n"/>
    </row>
    <row r="7530">
      <c r="M7530" s="25" t="n"/>
      <c r="Q7530" s="25" t="n"/>
      <c r="U7530" s="194" t="n"/>
      <c r="AA7530" s="25" t="n"/>
      <c r="AB7530" s="25" t="n"/>
      <c r="AC7530" s="195" t="n"/>
      <c r="AD7530" s="25" t="n"/>
      <c r="AE7530" s="25" t="n"/>
      <c r="AG7530" s="25" t="n"/>
      <c r="AH7530" s="25" t="n"/>
      <c r="AI7530" s="394" t="n"/>
      <c r="AM7530" s="48" t="n"/>
      <c r="AN7530" s="48" t="n"/>
      <c r="AO7530" s="48" t="n"/>
    </row>
    <row r="7531">
      <c r="M7531" s="25" t="n"/>
      <c r="Q7531" s="25" t="n"/>
      <c r="U7531" s="194" t="n"/>
      <c r="AA7531" s="25" t="n"/>
      <c r="AB7531" s="25" t="n"/>
      <c r="AC7531" s="195" t="n"/>
      <c r="AD7531" s="25" t="n"/>
      <c r="AE7531" s="25" t="n"/>
      <c r="AG7531" s="25" t="n"/>
      <c r="AH7531" s="25" t="n"/>
      <c r="AI7531" s="394" t="n"/>
      <c r="AM7531" s="48" t="n"/>
      <c r="AN7531" s="48" t="n"/>
      <c r="AO7531" s="48" t="n"/>
    </row>
    <row r="7532">
      <c r="M7532" s="25" t="n"/>
      <c r="Q7532" s="25" t="n"/>
      <c r="U7532" s="194" t="n"/>
      <c r="AA7532" s="25" t="n"/>
      <c r="AB7532" s="25" t="n"/>
      <c r="AC7532" s="195" t="n"/>
      <c r="AD7532" s="25" t="n"/>
      <c r="AE7532" s="25" t="n"/>
      <c r="AG7532" s="25" t="n"/>
      <c r="AH7532" s="25" t="n"/>
      <c r="AI7532" s="394" t="n"/>
      <c r="AM7532" s="48" t="n"/>
      <c r="AN7532" s="48" t="n"/>
      <c r="AO7532" s="48" t="n"/>
    </row>
    <row r="7533">
      <c r="M7533" s="25" t="n"/>
      <c r="Q7533" s="25" t="n"/>
      <c r="U7533" s="194" t="n"/>
      <c r="AA7533" s="25" t="n"/>
      <c r="AB7533" s="25" t="n"/>
      <c r="AC7533" s="195" t="n"/>
      <c r="AD7533" s="25" t="n"/>
      <c r="AE7533" s="25" t="n"/>
      <c r="AG7533" s="25" t="n"/>
      <c r="AH7533" s="25" t="n"/>
      <c r="AI7533" s="394" t="n"/>
      <c r="AM7533" s="48" t="n"/>
      <c r="AN7533" s="48" t="n"/>
      <c r="AO7533" s="48" t="n"/>
    </row>
    <row r="7534">
      <c r="M7534" s="25" t="n"/>
      <c r="Q7534" s="25" t="n"/>
      <c r="U7534" s="194" t="n"/>
      <c r="AA7534" s="25" t="n"/>
      <c r="AB7534" s="25" t="n"/>
      <c r="AC7534" s="195" t="n"/>
      <c r="AD7534" s="25" t="n"/>
      <c r="AE7534" s="25" t="n"/>
      <c r="AG7534" s="25" t="n"/>
      <c r="AH7534" s="25" t="n"/>
      <c r="AI7534" s="394" t="n"/>
      <c r="AM7534" s="48" t="n"/>
      <c r="AN7534" s="48" t="n"/>
      <c r="AO7534" s="48" t="n"/>
    </row>
    <row r="7535">
      <c r="M7535" s="25" t="n"/>
      <c r="Q7535" s="25" t="n"/>
      <c r="U7535" s="194" t="n"/>
      <c r="AA7535" s="25" t="n"/>
      <c r="AB7535" s="25" t="n"/>
      <c r="AC7535" s="195" t="n"/>
      <c r="AD7535" s="25" t="n"/>
      <c r="AE7535" s="25" t="n"/>
      <c r="AG7535" s="25" t="n"/>
      <c r="AH7535" s="25" t="n"/>
      <c r="AI7535" s="394" t="n"/>
      <c r="AM7535" s="48" t="n"/>
      <c r="AN7535" s="48" t="n"/>
      <c r="AO7535" s="48" t="n"/>
    </row>
    <row r="7536">
      <c r="M7536" s="25" t="n"/>
      <c r="Q7536" s="25" t="n"/>
      <c r="U7536" s="194" t="n"/>
      <c r="AA7536" s="25" t="n"/>
      <c r="AB7536" s="25" t="n"/>
      <c r="AC7536" s="195" t="n"/>
      <c r="AD7536" s="25" t="n"/>
      <c r="AE7536" s="25" t="n"/>
      <c r="AG7536" s="25" t="n"/>
      <c r="AH7536" s="25" t="n"/>
      <c r="AI7536" s="394" t="n"/>
      <c r="AM7536" s="48" t="n"/>
      <c r="AN7536" s="48" t="n"/>
      <c r="AO7536" s="48" t="n"/>
    </row>
    <row r="7537">
      <c r="M7537" s="25" t="n"/>
      <c r="Q7537" s="25" t="n"/>
      <c r="U7537" s="194" t="n"/>
      <c r="AA7537" s="25" t="n"/>
      <c r="AB7537" s="25" t="n"/>
      <c r="AC7537" s="195" t="n"/>
      <c r="AD7537" s="25" t="n"/>
      <c r="AE7537" s="25" t="n"/>
      <c r="AG7537" s="25" t="n"/>
      <c r="AH7537" s="25" t="n"/>
      <c r="AI7537" s="394" t="n"/>
      <c r="AM7537" s="48" t="n"/>
      <c r="AN7537" s="48" t="n"/>
      <c r="AO7537" s="48" t="n"/>
    </row>
    <row r="7538">
      <c r="M7538" s="25" t="n"/>
      <c r="Q7538" s="25" t="n"/>
      <c r="U7538" s="194" t="n"/>
      <c r="AA7538" s="25" t="n"/>
      <c r="AB7538" s="25" t="n"/>
      <c r="AC7538" s="195" t="n"/>
      <c r="AD7538" s="25" t="n"/>
      <c r="AE7538" s="25" t="n"/>
      <c r="AG7538" s="25" t="n"/>
      <c r="AH7538" s="25" t="n"/>
      <c r="AI7538" s="394" t="n"/>
      <c r="AM7538" s="48" t="n"/>
      <c r="AN7538" s="48" t="n"/>
      <c r="AO7538" s="48" t="n"/>
    </row>
    <row r="7539">
      <c r="M7539" s="25" t="n"/>
      <c r="Q7539" s="25" t="n"/>
      <c r="U7539" s="194" t="n"/>
      <c r="AA7539" s="25" t="n"/>
      <c r="AB7539" s="25" t="n"/>
      <c r="AC7539" s="195" t="n"/>
      <c r="AD7539" s="25" t="n"/>
      <c r="AE7539" s="25" t="n"/>
      <c r="AG7539" s="25" t="n"/>
      <c r="AH7539" s="25" t="n"/>
      <c r="AI7539" s="394" t="n"/>
      <c r="AM7539" s="48" t="n"/>
      <c r="AN7539" s="48" t="n"/>
      <c r="AO7539" s="48" t="n"/>
    </row>
    <row r="7540">
      <c r="M7540" s="25" t="n"/>
      <c r="Q7540" s="25" t="n"/>
      <c r="U7540" s="194" t="n"/>
      <c r="AA7540" s="25" t="n"/>
      <c r="AB7540" s="25" t="n"/>
      <c r="AC7540" s="195" t="n"/>
      <c r="AD7540" s="25" t="n"/>
      <c r="AE7540" s="25" t="n"/>
      <c r="AG7540" s="25" t="n"/>
      <c r="AH7540" s="25" t="n"/>
      <c r="AI7540" s="394" t="n"/>
      <c r="AM7540" s="48" t="n"/>
      <c r="AN7540" s="48" t="n"/>
      <c r="AO7540" s="48" t="n"/>
    </row>
    <row r="7541">
      <c r="M7541" s="25" t="n"/>
      <c r="Q7541" s="25" t="n"/>
      <c r="U7541" s="194" t="n"/>
      <c r="AA7541" s="25" t="n"/>
      <c r="AB7541" s="25" t="n"/>
      <c r="AC7541" s="195" t="n"/>
      <c r="AD7541" s="25" t="n"/>
      <c r="AE7541" s="25" t="n"/>
      <c r="AG7541" s="25" t="n"/>
      <c r="AH7541" s="25" t="n"/>
      <c r="AI7541" s="394" t="n"/>
      <c r="AM7541" s="48" t="n"/>
      <c r="AN7541" s="48" t="n"/>
      <c r="AO7541" s="48" t="n"/>
    </row>
    <row r="7542">
      <c r="M7542" s="25" t="n"/>
      <c r="Q7542" s="25" t="n"/>
      <c r="U7542" s="194" t="n"/>
      <c r="AA7542" s="25" t="n"/>
      <c r="AB7542" s="25" t="n"/>
      <c r="AC7542" s="195" t="n"/>
      <c r="AD7542" s="25" t="n"/>
      <c r="AE7542" s="25" t="n"/>
      <c r="AG7542" s="25" t="n"/>
      <c r="AH7542" s="25" t="n"/>
      <c r="AI7542" s="394" t="n"/>
      <c r="AM7542" s="48" t="n"/>
      <c r="AN7542" s="48" t="n"/>
      <c r="AO7542" s="48" t="n"/>
    </row>
    <row r="7543">
      <c r="M7543" s="25" t="n"/>
      <c r="Q7543" s="25" t="n"/>
      <c r="U7543" s="194" t="n"/>
      <c r="AA7543" s="25" t="n"/>
      <c r="AB7543" s="25" t="n"/>
      <c r="AC7543" s="195" t="n"/>
      <c r="AD7543" s="25" t="n"/>
      <c r="AE7543" s="25" t="n"/>
      <c r="AG7543" s="25" t="n"/>
      <c r="AH7543" s="25" t="n"/>
      <c r="AI7543" s="394" t="n"/>
      <c r="AM7543" s="48" t="n"/>
      <c r="AN7543" s="48" t="n"/>
      <c r="AO7543" s="48" t="n"/>
    </row>
    <row r="7544">
      <c r="M7544" s="25" t="n"/>
      <c r="Q7544" s="25" t="n"/>
      <c r="U7544" s="194" t="n"/>
      <c r="AA7544" s="25" t="n"/>
      <c r="AB7544" s="25" t="n"/>
      <c r="AC7544" s="195" t="n"/>
      <c r="AD7544" s="25" t="n"/>
      <c r="AE7544" s="25" t="n"/>
      <c r="AG7544" s="25" t="n"/>
      <c r="AH7544" s="25" t="n"/>
      <c r="AI7544" s="394" t="n"/>
      <c r="AM7544" s="48" t="n"/>
      <c r="AN7544" s="48" t="n"/>
      <c r="AO7544" s="48" t="n"/>
    </row>
    <row r="7545">
      <c r="M7545" s="25" t="n"/>
      <c r="Q7545" s="25" t="n"/>
      <c r="U7545" s="194" t="n"/>
      <c r="AA7545" s="25" t="n"/>
      <c r="AB7545" s="25" t="n"/>
      <c r="AC7545" s="195" t="n"/>
      <c r="AD7545" s="25" t="n"/>
      <c r="AE7545" s="25" t="n"/>
      <c r="AG7545" s="25" t="n"/>
      <c r="AH7545" s="25" t="n"/>
      <c r="AI7545" s="394" t="n"/>
      <c r="AM7545" s="48" t="n"/>
      <c r="AN7545" s="48" t="n"/>
      <c r="AO7545" s="48" t="n"/>
    </row>
    <row r="7546">
      <c r="M7546" s="25" t="n"/>
      <c r="Q7546" s="25" t="n"/>
      <c r="U7546" s="194" t="n"/>
      <c r="AA7546" s="25" t="n"/>
      <c r="AB7546" s="25" t="n"/>
      <c r="AC7546" s="195" t="n"/>
      <c r="AD7546" s="25" t="n"/>
      <c r="AE7546" s="25" t="n"/>
      <c r="AG7546" s="25" t="n"/>
      <c r="AH7546" s="25" t="n"/>
      <c r="AI7546" s="394" t="n"/>
      <c r="AM7546" s="48" t="n"/>
      <c r="AN7546" s="48" t="n"/>
      <c r="AO7546" s="48" t="n"/>
    </row>
    <row r="7547">
      <c r="M7547" s="25" t="n"/>
      <c r="Q7547" s="25" t="n"/>
      <c r="U7547" s="194" t="n"/>
      <c r="AA7547" s="25" t="n"/>
      <c r="AB7547" s="25" t="n"/>
      <c r="AC7547" s="195" t="n"/>
      <c r="AD7547" s="25" t="n"/>
      <c r="AE7547" s="25" t="n"/>
      <c r="AG7547" s="25" t="n"/>
      <c r="AH7547" s="25" t="n"/>
      <c r="AI7547" s="394" t="n"/>
      <c r="AM7547" s="48" t="n"/>
      <c r="AN7547" s="48" t="n"/>
      <c r="AO7547" s="48" t="n"/>
    </row>
    <row r="7548">
      <c r="M7548" s="25" t="n"/>
      <c r="Q7548" s="25" t="n"/>
      <c r="U7548" s="194" t="n"/>
      <c r="AA7548" s="25" t="n"/>
      <c r="AB7548" s="25" t="n"/>
      <c r="AC7548" s="195" t="n"/>
      <c r="AD7548" s="25" t="n"/>
      <c r="AE7548" s="25" t="n"/>
      <c r="AG7548" s="25" t="n"/>
      <c r="AH7548" s="25" t="n"/>
      <c r="AI7548" s="394" t="n"/>
      <c r="AM7548" s="48" t="n"/>
      <c r="AN7548" s="48" t="n"/>
      <c r="AO7548" s="48" t="n"/>
    </row>
    <row r="7549">
      <c r="M7549" s="25" t="n"/>
      <c r="Q7549" s="25" t="n"/>
      <c r="U7549" s="194" t="n"/>
      <c r="AA7549" s="25" t="n"/>
      <c r="AB7549" s="25" t="n"/>
      <c r="AC7549" s="195" t="n"/>
      <c r="AD7549" s="25" t="n"/>
      <c r="AE7549" s="25" t="n"/>
      <c r="AG7549" s="25" t="n"/>
      <c r="AH7549" s="25" t="n"/>
      <c r="AI7549" s="394" t="n"/>
      <c r="AM7549" s="48" t="n"/>
      <c r="AN7549" s="48" t="n"/>
      <c r="AO7549" s="48" t="n"/>
    </row>
    <row r="7550">
      <c r="M7550" s="25" t="n"/>
      <c r="Q7550" s="25" t="n"/>
      <c r="U7550" s="194" t="n"/>
      <c r="AA7550" s="25" t="n"/>
      <c r="AB7550" s="25" t="n"/>
      <c r="AC7550" s="195" t="n"/>
      <c r="AD7550" s="25" t="n"/>
      <c r="AE7550" s="25" t="n"/>
      <c r="AG7550" s="25" t="n"/>
      <c r="AH7550" s="25" t="n"/>
      <c r="AI7550" s="394" t="n"/>
      <c r="AM7550" s="48" t="n"/>
      <c r="AN7550" s="48" t="n"/>
      <c r="AO7550" s="48" t="n"/>
    </row>
    <row r="7551">
      <c r="M7551" s="25" t="n"/>
      <c r="Q7551" s="25" t="n"/>
      <c r="U7551" s="194" t="n"/>
      <c r="AA7551" s="25" t="n"/>
      <c r="AB7551" s="25" t="n"/>
      <c r="AC7551" s="195" t="n"/>
      <c r="AD7551" s="25" t="n"/>
      <c r="AE7551" s="25" t="n"/>
      <c r="AG7551" s="25" t="n"/>
      <c r="AH7551" s="25" t="n"/>
      <c r="AI7551" s="394" t="n"/>
      <c r="AM7551" s="48" t="n"/>
      <c r="AN7551" s="48" t="n"/>
      <c r="AO7551" s="48" t="n"/>
    </row>
    <row r="7552">
      <c r="M7552" s="25" t="n"/>
      <c r="Q7552" s="25" t="n"/>
      <c r="U7552" s="194" t="n"/>
      <c r="AA7552" s="25" t="n"/>
      <c r="AB7552" s="25" t="n"/>
      <c r="AC7552" s="195" t="n"/>
      <c r="AD7552" s="25" t="n"/>
      <c r="AE7552" s="25" t="n"/>
      <c r="AG7552" s="25" t="n"/>
      <c r="AH7552" s="25" t="n"/>
      <c r="AI7552" s="394" t="n"/>
      <c r="AM7552" s="48" t="n"/>
      <c r="AN7552" s="48" t="n"/>
      <c r="AO7552" s="48" t="n"/>
    </row>
    <row r="7553">
      <c r="M7553" s="25" t="n"/>
      <c r="Q7553" s="25" t="n"/>
      <c r="U7553" s="194" t="n"/>
      <c r="AA7553" s="25" t="n"/>
      <c r="AB7553" s="25" t="n"/>
      <c r="AC7553" s="195" t="n"/>
      <c r="AD7553" s="25" t="n"/>
      <c r="AE7553" s="25" t="n"/>
      <c r="AG7553" s="25" t="n"/>
      <c r="AH7553" s="25" t="n"/>
      <c r="AI7553" s="394" t="n"/>
      <c r="AM7553" s="48" t="n"/>
      <c r="AN7553" s="48" t="n"/>
      <c r="AO7553" s="48" t="n"/>
    </row>
    <row r="7554">
      <c r="M7554" s="25" t="n"/>
      <c r="Q7554" s="25" t="n"/>
      <c r="U7554" s="194" t="n"/>
      <c r="AA7554" s="25" t="n"/>
      <c r="AB7554" s="25" t="n"/>
      <c r="AC7554" s="195" t="n"/>
      <c r="AD7554" s="25" t="n"/>
      <c r="AE7554" s="25" t="n"/>
      <c r="AG7554" s="25" t="n"/>
      <c r="AH7554" s="25" t="n"/>
      <c r="AI7554" s="394" t="n"/>
      <c r="AM7554" s="48" t="n"/>
      <c r="AN7554" s="48" t="n"/>
      <c r="AO7554" s="48" t="n"/>
    </row>
    <row r="7555">
      <c r="M7555" s="25" t="n"/>
      <c r="Q7555" s="25" t="n"/>
      <c r="U7555" s="194" t="n"/>
      <c r="AA7555" s="25" t="n"/>
      <c r="AB7555" s="25" t="n"/>
      <c r="AC7555" s="195" t="n"/>
      <c r="AD7555" s="25" t="n"/>
      <c r="AE7555" s="25" t="n"/>
      <c r="AG7555" s="25" t="n"/>
      <c r="AH7555" s="25" t="n"/>
      <c r="AI7555" s="394" t="n"/>
      <c r="AM7555" s="48" t="n"/>
      <c r="AN7555" s="48" t="n"/>
      <c r="AO7555" s="48" t="n"/>
    </row>
    <row r="7556">
      <c r="M7556" s="25" t="n"/>
      <c r="Q7556" s="25" t="n"/>
      <c r="U7556" s="194" t="n"/>
      <c r="AA7556" s="25" t="n"/>
      <c r="AB7556" s="25" t="n"/>
      <c r="AC7556" s="195" t="n"/>
      <c r="AD7556" s="25" t="n"/>
      <c r="AE7556" s="25" t="n"/>
      <c r="AG7556" s="25" t="n"/>
      <c r="AH7556" s="25" t="n"/>
      <c r="AI7556" s="394" t="n"/>
      <c r="AM7556" s="48" t="n"/>
      <c r="AN7556" s="48" t="n"/>
      <c r="AO7556" s="48" t="n"/>
    </row>
    <row r="7557">
      <c r="M7557" s="25" t="n"/>
      <c r="Q7557" s="25" t="n"/>
      <c r="U7557" s="194" t="n"/>
      <c r="AA7557" s="25" t="n"/>
      <c r="AB7557" s="25" t="n"/>
      <c r="AC7557" s="195" t="n"/>
      <c r="AD7557" s="25" t="n"/>
      <c r="AE7557" s="25" t="n"/>
      <c r="AG7557" s="25" t="n"/>
      <c r="AH7557" s="25" t="n"/>
      <c r="AI7557" s="394" t="n"/>
      <c r="AM7557" s="48" t="n"/>
      <c r="AN7557" s="48" t="n"/>
      <c r="AO7557" s="48" t="n"/>
    </row>
    <row r="7558">
      <c r="M7558" s="25" t="n"/>
      <c r="Q7558" s="25" t="n"/>
      <c r="U7558" s="194" t="n"/>
      <c r="AA7558" s="25" t="n"/>
      <c r="AB7558" s="25" t="n"/>
      <c r="AC7558" s="195" t="n"/>
      <c r="AD7558" s="25" t="n"/>
      <c r="AE7558" s="25" t="n"/>
      <c r="AG7558" s="25" t="n"/>
      <c r="AH7558" s="25" t="n"/>
      <c r="AI7558" s="394" t="n"/>
      <c r="AM7558" s="48" t="n"/>
      <c r="AN7558" s="48" t="n"/>
      <c r="AO7558" s="48" t="n"/>
    </row>
    <row r="7559">
      <c r="M7559" s="25" t="n"/>
      <c r="Q7559" s="25" t="n"/>
      <c r="U7559" s="194" t="n"/>
      <c r="AA7559" s="25" t="n"/>
      <c r="AB7559" s="25" t="n"/>
      <c r="AC7559" s="195" t="n"/>
      <c r="AD7559" s="25" t="n"/>
      <c r="AE7559" s="25" t="n"/>
      <c r="AG7559" s="25" t="n"/>
      <c r="AH7559" s="25" t="n"/>
      <c r="AI7559" s="394" t="n"/>
      <c r="AM7559" s="48" t="n"/>
      <c r="AN7559" s="48" t="n"/>
      <c r="AO7559" s="48" t="n"/>
    </row>
    <row r="7560">
      <c r="M7560" s="25" t="n"/>
      <c r="Q7560" s="25" t="n"/>
      <c r="U7560" s="194" t="n"/>
      <c r="AA7560" s="25" t="n"/>
      <c r="AB7560" s="25" t="n"/>
      <c r="AC7560" s="195" t="n"/>
      <c r="AD7560" s="25" t="n"/>
      <c r="AE7560" s="25" t="n"/>
      <c r="AG7560" s="25" t="n"/>
      <c r="AH7560" s="25" t="n"/>
      <c r="AI7560" s="394" t="n"/>
      <c r="AM7560" s="48" t="n"/>
      <c r="AN7560" s="48" t="n"/>
      <c r="AO7560" s="48" t="n"/>
    </row>
    <row r="7561">
      <c r="M7561" s="25" t="n"/>
      <c r="Q7561" s="25" t="n"/>
      <c r="U7561" s="194" t="n"/>
      <c r="AA7561" s="25" t="n"/>
      <c r="AB7561" s="25" t="n"/>
      <c r="AC7561" s="195" t="n"/>
      <c r="AD7561" s="25" t="n"/>
      <c r="AE7561" s="25" t="n"/>
      <c r="AG7561" s="25" t="n"/>
      <c r="AH7561" s="25" t="n"/>
      <c r="AI7561" s="394" t="n"/>
      <c r="AM7561" s="48" t="n"/>
      <c r="AN7561" s="48" t="n"/>
      <c r="AO7561" s="48" t="n"/>
    </row>
    <row r="7562">
      <c r="M7562" s="25" t="n"/>
      <c r="Q7562" s="25" t="n"/>
      <c r="U7562" s="194" t="n"/>
      <c r="AA7562" s="25" t="n"/>
      <c r="AB7562" s="25" t="n"/>
      <c r="AC7562" s="195" t="n"/>
      <c r="AD7562" s="25" t="n"/>
      <c r="AE7562" s="25" t="n"/>
      <c r="AG7562" s="25" t="n"/>
      <c r="AH7562" s="25" t="n"/>
      <c r="AI7562" s="394" t="n"/>
      <c r="AM7562" s="48" t="n"/>
      <c r="AN7562" s="48" t="n"/>
      <c r="AO7562" s="48" t="n"/>
    </row>
    <row r="7563">
      <c r="M7563" s="25" t="n"/>
      <c r="Q7563" s="25" t="n"/>
      <c r="U7563" s="194" t="n"/>
      <c r="AA7563" s="25" t="n"/>
      <c r="AB7563" s="25" t="n"/>
      <c r="AC7563" s="195" t="n"/>
      <c r="AD7563" s="25" t="n"/>
      <c r="AE7563" s="25" t="n"/>
      <c r="AG7563" s="25" t="n"/>
      <c r="AH7563" s="25" t="n"/>
      <c r="AI7563" s="394" t="n"/>
      <c r="AM7563" s="48" t="n"/>
      <c r="AN7563" s="48" t="n"/>
      <c r="AO7563" s="48" t="n"/>
    </row>
    <row r="7564">
      <c r="M7564" s="25" t="n"/>
      <c r="Q7564" s="25" t="n"/>
      <c r="U7564" s="194" t="n"/>
      <c r="AA7564" s="25" t="n"/>
      <c r="AB7564" s="25" t="n"/>
      <c r="AC7564" s="195" t="n"/>
      <c r="AD7564" s="25" t="n"/>
      <c r="AE7564" s="25" t="n"/>
      <c r="AG7564" s="25" t="n"/>
      <c r="AH7564" s="25" t="n"/>
      <c r="AI7564" s="394" t="n"/>
      <c r="AM7564" s="48" t="n"/>
      <c r="AN7564" s="48" t="n"/>
      <c r="AO7564" s="48" t="n"/>
    </row>
    <row r="7565">
      <c r="M7565" s="25" t="n"/>
      <c r="Q7565" s="25" t="n"/>
      <c r="U7565" s="194" t="n"/>
      <c r="AA7565" s="25" t="n"/>
      <c r="AB7565" s="25" t="n"/>
      <c r="AC7565" s="195" t="n"/>
      <c r="AD7565" s="25" t="n"/>
      <c r="AE7565" s="25" t="n"/>
      <c r="AG7565" s="25" t="n"/>
      <c r="AH7565" s="25" t="n"/>
      <c r="AI7565" s="394" t="n"/>
      <c r="AM7565" s="48" t="n"/>
      <c r="AN7565" s="48" t="n"/>
      <c r="AO7565" s="48" t="n"/>
    </row>
    <row r="7566">
      <c r="M7566" s="25" t="n"/>
      <c r="Q7566" s="25" t="n"/>
      <c r="U7566" s="194" t="n"/>
      <c r="AA7566" s="25" t="n"/>
      <c r="AB7566" s="25" t="n"/>
      <c r="AC7566" s="195" t="n"/>
      <c r="AD7566" s="25" t="n"/>
      <c r="AE7566" s="25" t="n"/>
      <c r="AG7566" s="25" t="n"/>
      <c r="AH7566" s="25" t="n"/>
      <c r="AI7566" s="394" t="n"/>
      <c r="AM7566" s="48" t="n"/>
      <c r="AN7566" s="48" t="n"/>
      <c r="AO7566" s="48" t="n"/>
    </row>
    <row r="7567">
      <c r="M7567" s="25" t="n"/>
      <c r="Q7567" s="25" t="n"/>
      <c r="U7567" s="194" t="n"/>
      <c r="AA7567" s="25" t="n"/>
      <c r="AB7567" s="25" t="n"/>
      <c r="AC7567" s="195" t="n"/>
      <c r="AD7567" s="25" t="n"/>
      <c r="AE7567" s="25" t="n"/>
      <c r="AG7567" s="25" t="n"/>
      <c r="AH7567" s="25" t="n"/>
      <c r="AI7567" s="394" t="n"/>
      <c r="AM7567" s="48" t="n"/>
      <c r="AN7567" s="48" t="n"/>
      <c r="AO7567" s="48" t="n"/>
    </row>
    <row r="7568">
      <c r="M7568" s="25" t="n"/>
      <c r="Q7568" s="25" t="n"/>
      <c r="U7568" s="194" t="n"/>
      <c r="AA7568" s="25" t="n"/>
      <c r="AB7568" s="25" t="n"/>
      <c r="AC7568" s="195" t="n"/>
      <c r="AD7568" s="25" t="n"/>
      <c r="AE7568" s="25" t="n"/>
      <c r="AG7568" s="25" t="n"/>
      <c r="AH7568" s="25" t="n"/>
      <c r="AI7568" s="394" t="n"/>
      <c r="AM7568" s="48" t="n"/>
      <c r="AN7568" s="48" t="n"/>
      <c r="AO7568" s="48" t="n"/>
    </row>
    <row r="7569">
      <c r="M7569" s="25" t="n"/>
      <c r="Q7569" s="25" t="n"/>
      <c r="U7569" s="194" t="n"/>
      <c r="AA7569" s="25" t="n"/>
      <c r="AB7569" s="25" t="n"/>
      <c r="AC7569" s="195" t="n"/>
      <c r="AD7569" s="25" t="n"/>
      <c r="AE7569" s="25" t="n"/>
      <c r="AG7569" s="25" t="n"/>
      <c r="AH7569" s="25" t="n"/>
      <c r="AI7569" s="394" t="n"/>
      <c r="AM7569" s="48" t="n"/>
      <c r="AN7569" s="48" t="n"/>
      <c r="AO7569" s="48" t="n"/>
    </row>
    <row r="7570">
      <c r="M7570" s="25" t="n"/>
      <c r="Q7570" s="25" t="n"/>
      <c r="U7570" s="194" t="n"/>
      <c r="AA7570" s="25" t="n"/>
      <c r="AB7570" s="25" t="n"/>
      <c r="AC7570" s="195" t="n"/>
      <c r="AD7570" s="25" t="n"/>
      <c r="AE7570" s="25" t="n"/>
      <c r="AG7570" s="25" t="n"/>
      <c r="AH7570" s="25" t="n"/>
      <c r="AI7570" s="394" t="n"/>
      <c r="AM7570" s="48" t="n"/>
      <c r="AN7570" s="48" t="n"/>
      <c r="AO7570" s="48" t="n"/>
    </row>
    <row r="7571">
      <c r="M7571" s="25" t="n"/>
      <c r="Q7571" s="25" t="n"/>
      <c r="U7571" s="194" t="n"/>
      <c r="AA7571" s="25" t="n"/>
      <c r="AB7571" s="25" t="n"/>
      <c r="AC7571" s="195" t="n"/>
      <c r="AD7571" s="25" t="n"/>
      <c r="AE7571" s="25" t="n"/>
      <c r="AG7571" s="25" t="n"/>
      <c r="AH7571" s="25" t="n"/>
      <c r="AI7571" s="394" t="n"/>
      <c r="AM7571" s="48" t="n"/>
      <c r="AN7571" s="48" t="n"/>
      <c r="AO7571" s="48" t="n"/>
    </row>
    <row r="7572">
      <c r="M7572" s="25" t="n"/>
      <c r="Q7572" s="25" t="n"/>
      <c r="U7572" s="194" t="n"/>
      <c r="AA7572" s="25" t="n"/>
      <c r="AB7572" s="25" t="n"/>
      <c r="AC7572" s="195" t="n"/>
      <c r="AD7572" s="25" t="n"/>
      <c r="AE7572" s="25" t="n"/>
      <c r="AG7572" s="25" t="n"/>
      <c r="AH7572" s="25" t="n"/>
      <c r="AI7572" s="394" t="n"/>
      <c r="AM7572" s="48" t="n"/>
      <c r="AN7572" s="48" t="n"/>
      <c r="AO7572" s="48" t="n"/>
    </row>
    <row r="7573">
      <c r="M7573" s="25" t="n"/>
      <c r="Q7573" s="25" t="n"/>
      <c r="U7573" s="194" t="n"/>
      <c r="AA7573" s="25" t="n"/>
      <c r="AB7573" s="25" t="n"/>
      <c r="AC7573" s="195" t="n"/>
      <c r="AD7573" s="25" t="n"/>
      <c r="AE7573" s="25" t="n"/>
      <c r="AG7573" s="25" t="n"/>
      <c r="AH7573" s="25" t="n"/>
      <c r="AI7573" s="394" t="n"/>
      <c r="AM7573" s="48" t="n"/>
      <c r="AN7573" s="48" t="n"/>
      <c r="AO7573" s="48" t="n"/>
    </row>
    <row r="7574">
      <c r="M7574" s="25" t="n"/>
      <c r="Q7574" s="25" t="n"/>
      <c r="U7574" s="194" t="n"/>
      <c r="AA7574" s="25" t="n"/>
      <c r="AB7574" s="25" t="n"/>
      <c r="AC7574" s="195" t="n"/>
      <c r="AD7574" s="25" t="n"/>
      <c r="AE7574" s="25" t="n"/>
      <c r="AG7574" s="25" t="n"/>
      <c r="AH7574" s="25" t="n"/>
      <c r="AI7574" s="394" t="n"/>
      <c r="AM7574" s="48" t="n"/>
      <c r="AN7574" s="48" t="n"/>
      <c r="AO7574" s="48" t="n"/>
    </row>
    <row r="7575">
      <c r="M7575" s="25" t="n"/>
      <c r="Q7575" s="25" t="n"/>
      <c r="U7575" s="194" t="n"/>
      <c r="AA7575" s="25" t="n"/>
      <c r="AB7575" s="25" t="n"/>
      <c r="AC7575" s="195" t="n"/>
      <c r="AD7575" s="25" t="n"/>
      <c r="AE7575" s="25" t="n"/>
      <c r="AG7575" s="25" t="n"/>
      <c r="AH7575" s="25" t="n"/>
      <c r="AI7575" s="394" t="n"/>
      <c r="AM7575" s="48" t="n"/>
      <c r="AN7575" s="48" t="n"/>
      <c r="AO7575" s="48" t="n"/>
    </row>
    <row r="7576">
      <c r="M7576" s="25" t="n"/>
      <c r="Q7576" s="25" t="n"/>
      <c r="U7576" s="194" t="n"/>
      <c r="AA7576" s="25" t="n"/>
      <c r="AB7576" s="25" t="n"/>
      <c r="AC7576" s="195" t="n"/>
      <c r="AD7576" s="25" t="n"/>
      <c r="AE7576" s="25" t="n"/>
      <c r="AG7576" s="25" t="n"/>
      <c r="AH7576" s="25" t="n"/>
      <c r="AI7576" s="394" t="n"/>
      <c r="AM7576" s="48" t="n"/>
      <c r="AN7576" s="48" t="n"/>
      <c r="AO7576" s="48" t="n"/>
    </row>
    <row r="7577">
      <c r="M7577" s="25" t="n"/>
      <c r="Q7577" s="25" t="n"/>
      <c r="U7577" s="194" t="n"/>
      <c r="AA7577" s="25" t="n"/>
      <c r="AB7577" s="25" t="n"/>
      <c r="AC7577" s="195" t="n"/>
      <c r="AD7577" s="25" t="n"/>
      <c r="AE7577" s="25" t="n"/>
      <c r="AG7577" s="25" t="n"/>
      <c r="AH7577" s="25" t="n"/>
      <c r="AI7577" s="394" t="n"/>
      <c r="AM7577" s="48" t="n"/>
      <c r="AN7577" s="48" t="n"/>
      <c r="AO7577" s="48" t="n"/>
    </row>
    <row r="7578">
      <c r="M7578" s="25" t="n"/>
      <c r="Q7578" s="25" t="n"/>
      <c r="U7578" s="194" t="n"/>
      <c r="AA7578" s="25" t="n"/>
      <c r="AB7578" s="25" t="n"/>
      <c r="AC7578" s="195" t="n"/>
      <c r="AD7578" s="25" t="n"/>
      <c r="AE7578" s="25" t="n"/>
      <c r="AG7578" s="25" t="n"/>
      <c r="AH7578" s="25" t="n"/>
      <c r="AI7578" s="394" t="n"/>
      <c r="AM7578" s="48" t="n"/>
      <c r="AN7578" s="48" t="n"/>
      <c r="AO7578" s="48" t="n"/>
    </row>
    <row r="7579">
      <c r="M7579" s="25" t="n"/>
      <c r="Q7579" s="25" t="n"/>
      <c r="U7579" s="194" t="n"/>
      <c r="AA7579" s="25" t="n"/>
      <c r="AB7579" s="25" t="n"/>
      <c r="AC7579" s="195" t="n"/>
      <c r="AD7579" s="25" t="n"/>
      <c r="AE7579" s="25" t="n"/>
      <c r="AG7579" s="25" t="n"/>
      <c r="AH7579" s="25" t="n"/>
      <c r="AI7579" s="394" t="n"/>
      <c r="AM7579" s="48" t="n"/>
      <c r="AN7579" s="48" t="n"/>
      <c r="AO7579" s="48" t="n"/>
    </row>
    <row r="7580">
      <c r="M7580" s="25" t="n"/>
      <c r="Q7580" s="25" t="n"/>
      <c r="U7580" s="194" t="n"/>
      <c r="AA7580" s="25" t="n"/>
      <c r="AB7580" s="25" t="n"/>
      <c r="AC7580" s="195" t="n"/>
      <c r="AD7580" s="25" t="n"/>
      <c r="AE7580" s="25" t="n"/>
      <c r="AG7580" s="25" t="n"/>
      <c r="AH7580" s="25" t="n"/>
      <c r="AI7580" s="394" t="n"/>
      <c r="AM7580" s="48" t="n"/>
      <c r="AN7580" s="48" t="n"/>
      <c r="AO7580" s="48" t="n"/>
    </row>
    <row r="7581">
      <c r="M7581" s="25" t="n"/>
      <c r="Q7581" s="25" t="n"/>
      <c r="U7581" s="194" t="n"/>
      <c r="AA7581" s="25" t="n"/>
      <c r="AB7581" s="25" t="n"/>
      <c r="AC7581" s="195" t="n"/>
      <c r="AD7581" s="25" t="n"/>
      <c r="AE7581" s="25" t="n"/>
      <c r="AG7581" s="25" t="n"/>
      <c r="AH7581" s="25" t="n"/>
      <c r="AI7581" s="394" t="n"/>
      <c r="AM7581" s="48" t="n"/>
      <c r="AN7581" s="48" t="n"/>
      <c r="AO7581" s="48" t="n"/>
    </row>
    <row r="7582">
      <c r="M7582" s="25" t="n"/>
      <c r="Q7582" s="25" t="n"/>
      <c r="U7582" s="194" t="n"/>
      <c r="AA7582" s="25" t="n"/>
      <c r="AB7582" s="25" t="n"/>
      <c r="AC7582" s="195" t="n"/>
      <c r="AD7582" s="25" t="n"/>
      <c r="AE7582" s="25" t="n"/>
      <c r="AG7582" s="25" t="n"/>
      <c r="AH7582" s="25" t="n"/>
      <c r="AI7582" s="394" t="n"/>
      <c r="AM7582" s="48" t="n"/>
      <c r="AN7582" s="48" t="n"/>
      <c r="AO7582" s="48" t="n"/>
    </row>
    <row r="7583">
      <c r="M7583" s="25" t="n"/>
      <c r="Q7583" s="25" t="n"/>
      <c r="U7583" s="194" t="n"/>
      <c r="AA7583" s="25" t="n"/>
      <c r="AB7583" s="25" t="n"/>
      <c r="AC7583" s="195" t="n"/>
      <c r="AD7583" s="25" t="n"/>
      <c r="AE7583" s="25" t="n"/>
      <c r="AG7583" s="25" t="n"/>
      <c r="AH7583" s="25" t="n"/>
      <c r="AI7583" s="394" t="n"/>
      <c r="AM7583" s="48" t="n"/>
      <c r="AN7583" s="48" t="n"/>
      <c r="AO7583" s="48" t="n"/>
    </row>
    <row r="7584">
      <c r="M7584" s="25" t="n"/>
      <c r="Q7584" s="25" t="n"/>
      <c r="U7584" s="194" t="n"/>
      <c r="AA7584" s="25" t="n"/>
      <c r="AB7584" s="25" t="n"/>
      <c r="AC7584" s="195" t="n"/>
      <c r="AD7584" s="25" t="n"/>
      <c r="AE7584" s="25" t="n"/>
      <c r="AG7584" s="25" t="n"/>
      <c r="AH7584" s="25" t="n"/>
      <c r="AI7584" s="394" t="n"/>
      <c r="AM7584" s="48" t="n"/>
      <c r="AN7584" s="48" t="n"/>
      <c r="AO7584" s="48" t="n"/>
    </row>
    <row r="7585">
      <c r="M7585" s="25" t="n"/>
      <c r="Q7585" s="25" t="n"/>
      <c r="U7585" s="194" t="n"/>
      <c r="AA7585" s="25" t="n"/>
      <c r="AB7585" s="25" t="n"/>
      <c r="AC7585" s="195" t="n"/>
      <c r="AD7585" s="25" t="n"/>
      <c r="AE7585" s="25" t="n"/>
      <c r="AG7585" s="25" t="n"/>
      <c r="AH7585" s="25" t="n"/>
      <c r="AI7585" s="394" t="n"/>
      <c r="AM7585" s="48" t="n"/>
      <c r="AN7585" s="48" t="n"/>
      <c r="AO7585" s="48" t="n"/>
    </row>
    <row r="7586">
      <c r="M7586" s="25" t="n"/>
      <c r="Q7586" s="25" t="n"/>
      <c r="U7586" s="194" t="n"/>
      <c r="AA7586" s="25" t="n"/>
      <c r="AB7586" s="25" t="n"/>
      <c r="AC7586" s="195" t="n"/>
      <c r="AD7586" s="25" t="n"/>
      <c r="AE7586" s="25" t="n"/>
      <c r="AG7586" s="25" t="n"/>
      <c r="AH7586" s="25" t="n"/>
      <c r="AI7586" s="394" t="n"/>
      <c r="AM7586" s="48" t="n"/>
      <c r="AN7586" s="48" t="n"/>
      <c r="AO7586" s="48" t="n"/>
    </row>
    <row r="7587">
      <c r="M7587" s="25" t="n"/>
      <c r="Q7587" s="25" t="n"/>
      <c r="U7587" s="194" t="n"/>
      <c r="AA7587" s="25" t="n"/>
      <c r="AB7587" s="25" t="n"/>
      <c r="AC7587" s="195" t="n"/>
      <c r="AD7587" s="25" t="n"/>
      <c r="AE7587" s="25" t="n"/>
      <c r="AG7587" s="25" t="n"/>
      <c r="AH7587" s="25" t="n"/>
      <c r="AI7587" s="394" t="n"/>
      <c r="AM7587" s="48" t="n"/>
      <c r="AN7587" s="48" t="n"/>
      <c r="AO7587" s="48" t="n"/>
    </row>
    <row r="7588">
      <c r="M7588" s="25" t="n"/>
      <c r="Q7588" s="25" t="n"/>
      <c r="U7588" s="194" t="n"/>
      <c r="AA7588" s="25" t="n"/>
      <c r="AB7588" s="25" t="n"/>
      <c r="AC7588" s="195" t="n"/>
      <c r="AD7588" s="25" t="n"/>
      <c r="AE7588" s="25" t="n"/>
      <c r="AG7588" s="25" t="n"/>
      <c r="AH7588" s="25" t="n"/>
      <c r="AI7588" s="394" t="n"/>
      <c r="AM7588" s="48" t="n"/>
      <c r="AN7588" s="48" t="n"/>
      <c r="AO7588" s="48" t="n"/>
    </row>
    <row r="7589">
      <c r="M7589" s="25" t="n"/>
      <c r="Q7589" s="25" t="n"/>
      <c r="U7589" s="194" t="n"/>
      <c r="AA7589" s="25" t="n"/>
      <c r="AB7589" s="25" t="n"/>
      <c r="AC7589" s="195" t="n"/>
      <c r="AD7589" s="25" t="n"/>
      <c r="AE7589" s="25" t="n"/>
      <c r="AG7589" s="25" t="n"/>
      <c r="AH7589" s="25" t="n"/>
      <c r="AI7589" s="394" t="n"/>
      <c r="AM7589" s="48" t="n"/>
      <c r="AN7589" s="48" t="n"/>
      <c r="AO7589" s="48" t="n"/>
    </row>
    <row r="7590">
      <c r="M7590" s="25" t="n"/>
      <c r="Q7590" s="25" t="n"/>
      <c r="U7590" s="194" t="n"/>
      <c r="AA7590" s="25" t="n"/>
      <c r="AB7590" s="25" t="n"/>
      <c r="AC7590" s="195" t="n"/>
      <c r="AD7590" s="25" t="n"/>
      <c r="AE7590" s="25" t="n"/>
      <c r="AG7590" s="25" t="n"/>
      <c r="AH7590" s="25" t="n"/>
      <c r="AI7590" s="394" t="n"/>
      <c r="AM7590" s="48" t="n"/>
      <c r="AN7590" s="48" t="n"/>
      <c r="AO7590" s="48" t="n"/>
    </row>
    <row r="7591">
      <c r="M7591" s="25" t="n"/>
      <c r="Q7591" s="25" t="n"/>
      <c r="U7591" s="194" t="n"/>
      <c r="AA7591" s="25" t="n"/>
      <c r="AB7591" s="25" t="n"/>
      <c r="AC7591" s="195" t="n"/>
      <c r="AD7591" s="25" t="n"/>
      <c r="AE7591" s="25" t="n"/>
      <c r="AG7591" s="25" t="n"/>
      <c r="AH7591" s="25" t="n"/>
      <c r="AI7591" s="394" t="n"/>
      <c r="AM7591" s="48" t="n"/>
      <c r="AN7591" s="48" t="n"/>
      <c r="AO7591" s="48" t="n"/>
    </row>
    <row r="7592">
      <c r="M7592" s="25" t="n"/>
      <c r="Q7592" s="25" t="n"/>
      <c r="U7592" s="194" t="n"/>
      <c r="AA7592" s="25" t="n"/>
      <c r="AB7592" s="25" t="n"/>
      <c r="AC7592" s="195" t="n"/>
      <c r="AD7592" s="25" t="n"/>
      <c r="AE7592" s="25" t="n"/>
      <c r="AG7592" s="25" t="n"/>
      <c r="AH7592" s="25" t="n"/>
      <c r="AI7592" s="394" t="n"/>
      <c r="AM7592" s="48" t="n"/>
      <c r="AN7592" s="48" t="n"/>
      <c r="AO7592" s="48" t="n"/>
    </row>
    <row r="7593">
      <c r="M7593" s="25" t="n"/>
      <c r="Q7593" s="25" t="n"/>
      <c r="U7593" s="194" t="n"/>
      <c r="AA7593" s="25" t="n"/>
      <c r="AB7593" s="25" t="n"/>
      <c r="AC7593" s="195" t="n"/>
      <c r="AD7593" s="25" t="n"/>
      <c r="AE7593" s="25" t="n"/>
      <c r="AG7593" s="25" t="n"/>
      <c r="AH7593" s="25" t="n"/>
      <c r="AI7593" s="394" t="n"/>
      <c r="AM7593" s="48" t="n"/>
      <c r="AN7593" s="48" t="n"/>
      <c r="AO7593" s="48" t="n"/>
    </row>
    <row r="7594">
      <c r="M7594" s="25" t="n"/>
      <c r="Q7594" s="25" t="n"/>
      <c r="U7594" s="194" t="n"/>
      <c r="AA7594" s="25" t="n"/>
      <c r="AB7594" s="25" t="n"/>
      <c r="AC7594" s="195" t="n"/>
      <c r="AD7594" s="25" t="n"/>
      <c r="AE7594" s="25" t="n"/>
      <c r="AG7594" s="25" t="n"/>
      <c r="AH7594" s="25" t="n"/>
      <c r="AI7594" s="394" t="n"/>
      <c r="AM7594" s="48" t="n"/>
      <c r="AN7594" s="48" t="n"/>
      <c r="AO7594" s="48" t="n"/>
    </row>
    <row r="7595">
      <c r="M7595" s="25" t="n"/>
      <c r="Q7595" s="25" t="n"/>
      <c r="U7595" s="194" t="n"/>
      <c r="AA7595" s="25" t="n"/>
      <c r="AB7595" s="25" t="n"/>
      <c r="AC7595" s="195" t="n"/>
      <c r="AD7595" s="25" t="n"/>
      <c r="AE7595" s="25" t="n"/>
      <c r="AG7595" s="25" t="n"/>
      <c r="AH7595" s="25" t="n"/>
      <c r="AI7595" s="394" t="n"/>
      <c r="AM7595" s="48" t="n"/>
      <c r="AN7595" s="48" t="n"/>
      <c r="AO7595" s="48" t="n"/>
    </row>
    <row r="7596">
      <c r="M7596" s="25" t="n"/>
      <c r="Q7596" s="25" t="n"/>
      <c r="U7596" s="194" t="n"/>
      <c r="AA7596" s="25" t="n"/>
      <c r="AB7596" s="25" t="n"/>
      <c r="AC7596" s="195" t="n"/>
      <c r="AD7596" s="25" t="n"/>
      <c r="AE7596" s="25" t="n"/>
      <c r="AG7596" s="25" t="n"/>
      <c r="AH7596" s="25" t="n"/>
      <c r="AI7596" s="394" t="n"/>
      <c r="AM7596" s="48" t="n"/>
      <c r="AN7596" s="48" t="n"/>
      <c r="AO7596" s="48" t="n"/>
    </row>
    <row r="7597">
      <c r="M7597" s="25" t="n"/>
      <c r="Q7597" s="25" t="n"/>
      <c r="U7597" s="194" t="n"/>
      <c r="AA7597" s="25" t="n"/>
      <c r="AB7597" s="25" t="n"/>
      <c r="AC7597" s="195" t="n"/>
      <c r="AD7597" s="25" t="n"/>
      <c r="AE7597" s="25" t="n"/>
      <c r="AG7597" s="25" t="n"/>
      <c r="AH7597" s="25" t="n"/>
      <c r="AI7597" s="394" t="n"/>
      <c r="AM7597" s="48" t="n"/>
      <c r="AN7597" s="48" t="n"/>
      <c r="AO7597" s="48" t="n"/>
    </row>
    <row r="7598">
      <c r="M7598" s="25" t="n"/>
      <c r="Q7598" s="25" t="n"/>
      <c r="U7598" s="194" t="n"/>
      <c r="AA7598" s="25" t="n"/>
      <c r="AB7598" s="25" t="n"/>
      <c r="AC7598" s="195" t="n"/>
      <c r="AD7598" s="25" t="n"/>
      <c r="AE7598" s="25" t="n"/>
      <c r="AG7598" s="25" t="n"/>
      <c r="AH7598" s="25" t="n"/>
      <c r="AI7598" s="394" t="n"/>
      <c r="AM7598" s="48" t="n"/>
      <c r="AN7598" s="48" t="n"/>
      <c r="AO7598" s="48" t="n"/>
    </row>
    <row r="7599">
      <c r="M7599" s="25" t="n"/>
      <c r="Q7599" s="25" t="n"/>
      <c r="U7599" s="194" t="n"/>
      <c r="AA7599" s="25" t="n"/>
      <c r="AB7599" s="25" t="n"/>
      <c r="AC7599" s="195" t="n"/>
      <c r="AD7599" s="25" t="n"/>
      <c r="AE7599" s="25" t="n"/>
      <c r="AG7599" s="25" t="n"/>
      <c r="AH7599" s="25" t="n"/>
      <c r="AI7599" s="394" t="n"/>
      <c r="AM7599" s="48" t="n"/>
      <c r="AN7599" s="48" t="n"/>
      <c r="AO7599" s="48" t="n"/>
    </row>
    <row r="7600">
      <c r="M7600" s="25" t="n"/>
      <c r="Q7600" s="25" t="n"/>
      <c r="U7600" s="194" t="n"/>
      <c r="AA7600" s="25" t="n"/>
      <c r="AB7600" s="25" t="n"/>
      <c r="AC7600" s="195" t="n"/>
      <c r="AD7600" s="25" t="n"/>
      <c r="AE7600" s="25" t="n"/>
      <c r="AG7600" s="25" t="n"/>
      <c r="AH7600" s="25" t="n"/>
      <c r="AI7600" s="394" t="n"/>
      <c r="AM7600" s="48" t="n"/>
      <c r="AN7600" s="48" t="n"/>
      <c r="AO7600" s="48" t="n"/>
    </row>
    <row r="7601">
      <c r="M7601" s="25" t="n"/>
      <c r="Q7601" s="25" t="n"/>
      <c r="U7601" s="194" t="n"/>
      <c r="AA7601" s="25" t="n"/>
      <c r="AB7601" s="25" t="n"/>
      <c r="AC7601" s="195" t="n"/>
      <c r="AD7601" s="25" t="n"/>
      <c r="AE7601" s="25" t="n"/>
      <c r="AG7601" s="25" t="n"/>
      <c r="AH7601" s="25" t="n"/>
      <c r="AI7601" s="394" t="n"/>
      <c r="AM7601" s="48" t="n"/>
      <c r="AN7601" s="48" t="n"/>
      <c r="AO7601" s="48" t="n"/>
    </row>
    <row r="7602">
      <c r="M7602" s="25" t="n"/>
      <c r="Q7602" s="25" t="n"/>
      <c r="U7602" s="194" t="n"/>
      <c r="AA7602" s="25" t="n"/>
      <c r="AB7602" s="25" t="n"/>
      <c r="AC7602" s="195" t="n"/>
      <c r="AD7602" s="25" t="n"/>
      <c r="AE7602" s="25" t="n"/>
      <c r="AG7602" s="25" t="n"/>
      <c r="AH7602" s="25" t="n"/>
      <c r="AI7602" s="394" t="n"/>
      <c r="AM7602" s="48" t="n"/>
      <c r="AN7602" s="48" t="n"/>
      <c r="AO7602" s="48" t="n"/>
    </row>
    <row r="7603">
      <c r="M7603" s="25" t="n"/>
      <c r="Q7603" s="25" t="n"/>
      <c r="U7603" s="194" t="n"/>
      <c r="AA7603" s="25" t="n"/>
      <c r="AB7603" s="25" t="n"/>
      <c r="AC7603" s="195" t="n"/>
      <c r="AD7603" s="25" t="n"/>
      <c r="AE7603" s="25" t="n"/>
      <c r="AG7603" s="25" t="n"/>
      <c r="AH7603" s="25" t="n"/>
      <c r="AI7603" s="394" t="n"/>
      <c r="AM7603" s="48" t="n"/>
      <c r="AN7603" s="48" t="n"/>
      <c r="AO7603" s="48" t="n"/>
    </row>
    <row r="7604">
      <c r="M7604" s="25" t="n"/>
      <c r="Q7604" s="25" t="n"/>
      <c r="U7604" s="194" t="n"/>
      <c r="AA7604" s="25" t="n"/>
      <c r="AB7604" s="25" t="n"/>
      <c r="AC7604" s="195" t="n"/>
      <c r="AD7604" s="25" t="n"/>
      <c r="AE7604" s="25" t="n"/>
      <c r="AG7604" s="25" t="n"/>
      <c r="AH7604" s="25" t="n"/>
      <c r="AI7604" s="394" t="n"/>
      <c r="AM7604" s="48" t="n"/>
      <c r="AN7604" s="48" t="n"/>
      <c r="AO7604" s="48" t="n"/>
    </row>
    <row r="7605">
      <c r="M7605" s="25" t="n"/>
      <c r="Q7605" s="25" t="n"/>
      <c r="U7605" s="194" t="n"/>
      <c r="AA7605" s="25" t="n"/>
      <c r="AB7605" s="25" t="n"/>
      <c r="AC7605" s="195" t="n"/>
      <c r="AD7605" s="25" t="n"/>
      <c r="AE7605" s="25" t="n"/>
      <c r="AG7605" s="25" t="n"/>
      <c r="AH7605" s="25" t="n"/>
      <c r="AI7605" s="394" t="n"/>
      <c r="AM7605" s="48" t="n"/>
      <c r="AN7605" s="48" t="n"/>
      <c r="AO7605" s="48" t="n"/>
    </row>
    <row r="7606">
      <c r="M7606" s="25" t="n"/>
      <c r="Q7606" s="25" t="n"/>
      <c r="U7606" s="194" t="n"/>
      <c r="AA7606" s="25" t="n"/>
      <c r="AB7606" s="25" t="n"/>
      <c r="AC7606" s="195" t="n"/>
      <c r="AD7606" s="25" t="n"/>
      <c r="AE7606" s="25" t="n"/>
      <c r="AG7606" s="25" t="n"/>
      <c r="AH7606" s="25" t="n"/>
      <c r="AI7606" s="394" t="n"/>
      <c r="AM7606" s="48" t="n"/>
      <c r="AN7606" s="48" t="n"/>
      <c r="AO7606" s="48" t="n"/>
    </row>
    <row r="7607">
      <c r="M7607" s="25" t="n"/>
      <c r="Q7607" s="25" t="n"/>
      <c r="U7607" s="194" t="n"/>
      <c r="AA7607" s="25" t="n"/>
      <c r="AB7607" s="25" t="n"/>
      <c r="AC7607" s="195" t="n"/>
      <c r="AD7607" s="25" t="n"/>
      <c r="AE7607" s="25" t="n"/>
      <c r="AG7607" s="25" t="n"/>
      <c r="AH7607" s="25" t="n"/>
      <c r="AI7607" s="394" t="n"/>
      <c r="AM7607" s="48" t="n"/>
      <c r="AN7607" s="48" t="n"/>
      <c r="AO7607" s="48" t="n"/>
    </row>
    <row r="7608">
      <c r="M7608" s="25" t="n"/>
      <c r="Q7608" s="25" t="n"/>
      <c r="U7608" s="194" t="n"/>
      <c r="AA7608" s="25" t="n"/>
      <c r="AB7608" s="25" t="n"/>
      <c r="AC7608" s="195" t="n"/>
      <c r="AD7608" s="25" t="n"/>
      <c r="AE7608" s="25" t="n"/>
      <c r="AG7608" s="25" t="n"/>
      <c r="AH7608" s="25" t="n"/>
      <c r="AI7608" s="394" t="n"/>
      <c r="AM7608" s="48" t="n"/>
      <c r="AN7608" s="48" t="n"/>
      <c r="AO7608" s="48" t="n"/>
    </row>
    <row r="7609">
      <c r="M7609" s="25" t="n"/>
      <c r="Q7609" s="25" t="n"/>
      <c r="U7609" s="194" t="n"/>
      <c r="AA7609" s="25" t="n"/>
      <c r="AB7609" s="25" t="n"/>
      <c r="AC7609" s="195" t="n"/>
      <c r="AD7609" s="25" t="n"/>
      <c r="AE7609" s="25" t="n"/>
      <c r="AG7609" s="25" t="n"/>
      <c r="AH7609" s="25" t="n"/>
      <c r="AI7609" s="394" t="n"/>
      <c r="AM7609" s="48" t="n"/>
      <c r="AN7609" s="48" t="n"/>
      <c r="AO7609" s="48" t="n"/>
    </row>
    <row r="7610">
      <c r="M7610" s="25" t="n"/>
      <c r="Q7610" s="25" t="n"/>
      <c r="U7610" s="194" t="n"/>
      <c r="AA7610" s="25" t="n"/>
      <c r="AB7610" s="25" t="n"/>
      <c r="AC7610" s="195" t="n"/>
      <c r="AD7610" s="25" t="n"/>
      <c r="AE7610" s="25" t="n"/>
      <c r="AG7610" s="25" t="n"/>
      <c r="AH7610" s="25" t="n"/>
      <c r="AI7610" s="394" t="n"/>
      <c r="AM7610" s="48" t="n"/>
      <c r="AN7610" s="48" t="n"/>
      <c r="AO7610" s="48" t="n"/>
    </row>
    <row r="7611">
      <c r="M7611" s="25" t="n"/>
      <c r="Q7611" s="25" t="n"/>
      <c r="U7611" s="194" t="n"/>
      <c r="AA7611" s="25" t="n"/>
      <c r="AB7611" s="25" t="n"/>
      <c r="AC7611" s="195" t="n"/>
      <c r="AD7611" s="25" t="n"/>
      <c r="AE7611" s="25" t="n"/>
      <c r="AG7611" s="25" t="n"/>
      <c r="AH7611" s="25" t="n"/>
      <c r="AI7611" s="394" t="n"/>
      <c r="AM7611" s="48" t="n"/>
      <c r="AN7611" s="48" t="n"/>
      <c r="AO7611" s="48" t="n"/>
    </row>
    <row r="7612">
      <c r="M7612" s="25" t="n"/>
      <c r="Q7612" s="25" t="n"/>
      <c r="U7612" s="194" t="n"/>
      <c r="AA7612" s="25" t="n"/>
      <c r="AB7612" s="25" t="n"/>
      <c r="AC7612" s="195" t="n"/>
      <c r="AD7612" s="25" t="n"/>
      <c r="AE7612" s="25" t="n"/>
      <c r="AG7612" s="25" t="n"/>
      <c r="AH7612" s="25" t="n"/>
      <c r="AI7612" s="394" t="n"/>
      <c r="AM7612" s="48" t="n"/>
      <c r="AN7612" s="48" t="n"/>
      <c r="AO7612" s="48" t="n"/>
    </row>
    <row r="7613">
      <c r="M7613" s="25" t="n"/>
      <c r="Q7613" s="25" t="n"/>
      <c r="U7613" s="194" t="n"/>
      <c r="AA7613" s="25" t="n"/>
      <c r="AB7613" s="25" t="n"/>
      <c r="AC7613" s="195" t="n"/>
      <c r="AD7613" s="25" t="n"/>
      <c r="AE7613" s="25" t="n"/>
      <c r="AG7613" s="25" t="n"/>
      <c r="AH7613" s="25" t="n"/>
      <c r="AI7613" s="394" t="n"/>
      <c r="AM7613" s="48" t="n"/>
      <c r="AN7613" s="48" t="n"/>
      <c r="AO7613" s="48" t="n"/>
    </row>
    <row r="7614">
      <c r="M7614" s="25" t="n"/>
      <c r="Q7614" s="25" t="n"/>
      <c r="U7614" s="194" t="n"/>
      <c r="AA7614" s="25" t="n"/>
      <c r="AB7614" s="25" t="n"/>
      <c r="AC7614" s="195" t="n"/>
      <c r="AD7614" s="25" t="n"/>
      <c r="AE7614" s="25" t="n"/>
      <c r="AG7614" s="25" t="n"/>
      <c r="AH7614" s="25" t="n"/>
      <c r="AI7614" s="394" t="n"/>
      <c r="AM7614" s="48" t="n"/>
      <c r="AN7614" s="48" t="n"/>
      <c r="AO7614" s="48" t="n"/>
    </row>
    <row r="7615">
      <c r="M7615" s="25" t="n"/>
      <c r="Q7615" s="25" t="n"/>
      <c r="U7615" s="194" t="n"/>
      <c r="AA7615" s="25" t="n"/>
      <c r="AB7615" s="25" t="n"/>
      <c r="AC7615" s="195" t="n"/>
      <c r="AD7615" s="25" t="n"/>
      <c r="AE7615" s="25" t="n"/>
      <c r="AG7615" s="25" t="n"/>
      <c r="AH7615" s="25" t="n"/>
      <c r="AI7615" s="394" t="n"/>
      <c r="AM7615" s="48" t="n"/>
      <c r="AN7615" s="48" t="n"/>
      <c r="AO7615" s="48" t="n"/>
    </row>
    <row r="7616">
      <c r="M7616" s="25" t="n"/>
      <c r="Q7616" s="25" t="n"/>
      <c r="U7616" s="194" t="n"/>
      <c r="AA7616" s="25" t="n"/>
      <c r="AB7616" s="25" t="n"/>
      <c r="AC7616" s="195" t="n"/>
      <c r="AD7616" s="25" t="n"/>
      <c r="AE7616" s="25" t="n"/>
      <c r="AG7616" s="25" t="n"/>
      <c r="AH7616" s="25" t="n"/>
      <c r="AI7616" s="394" t="n"/>
      <c r="AM7616" s="48" t="n"/>
      <c r="AN7616" s="48" t="n"/>
      <c r="AO7616" s="48" t="n"/>
    </row>
    <row r="7617">
      <c r="M7617" s="25" t="n"/>
      <c r="Q7617" s="25" t="n"/>
      <c r="U7617" s="194" t="n"/>
      <c r="AA7617" s="25" t="n"/>
      <c r="AB7617" s="25" t="n"/>
      <c r="AC7617" s="195" t="n"/>
      <c r="AD7617" s="25" t="n"/>
      <c r="AE7617" s="25" t="n"/>
      <c r="AG7617" s="25" t="n"/>
      <c r="AH7617" s="25" t="n"/>
      <c r="AI7617" s="394" t="n"/>
      <c r="AM7617" s="48" t="n"/>
      <c r="AN7617" s="48" t="n"/>
      <c r="AO7617" s="48" t="n"/>
    </row>
    <row r="7618">
      <c r="M7618" s="25" t="n"/>
      <c r="Q7618" s="25" t="n"/>
      <c r="U7618" s="194" t="n"/>
      <c r="AA7618" s="25" t="n"/>
      <c r="AB7618" s="25" t="n"/>
      <c r="AC7618" s="195" t="n"/>
      <c r="AD7618" s="25" t="n"/>
      <c r="AE7618" s="25" t="n"/>
      <c r="AG7618" s="25" t="n"/>
      <c r="AH7618" s="25" t="n"/>
      <c r="AI7618" s="394" t="n"/>
      <c r="AM7618" s="48" t="n"/>
      <c r="AN7618" s="48" t="n"/>
      <c r="AO7618" s="48" t="n"/>
    </row>
    <row r="7619">
      <c r="M7619" s="25" t="n"/>
      <c r="Q7619" s="25" t="n"/>
      <c r="U7619" s="194" t="n"/>
      <c r="AA7619" s="25" t="n"/>
      <c r="AB7619" s="25" t="n"/>
      <c r="AC7619" s="195" t="n"/>
      <c r="AD7619" s="25" t="n"/>
      <c r="AE7619" s="25" t="n"/>
      <c r="AG7619" s="25" t="n"/>
      <c r="AH7619" s="25" t="n"/>
      <c r="AI7619" s="394" t="n"/>
      <c r="AM7619" s="48" t="n"/>
      <c r="AN7619" s="48" t="n"/>
      <c r="AO7619" s="48" t="n"/>
    </row>
    <row r="7620">
      <c r="M7620" s="25" t="n"/>
      <c r="Q7620" s="25" t="n"/>
      <c r="U7620" s="194" t="n"/>
      <c r="AA7620" s="25" t="n"/>
      <c r="AB7620" s="25" t="n"/>
      <c r="AC7620" s="195" t="n"/>
      <c r="AD7620" s="25" t="n"/>
      <c r="AE7620" s="25" t="n"/>
      <c r="AG7620" s="25" t="n"/>
      <c r="AH7620" s="25" t="n"/>
      <c r="AI7620" s="394" t="n"/>
      <c r="AM7620" s="48" t="n"/>
      <c r="AN7620" s="48" t="n"/>
      <c r="AO7620" s="48" t="n"/>
    </row>
    <row r="7621">
      <c r="M7621" s="25" t="n"/>
      <c r="Q7621" s="25" t="n"/>
      <c r="U7621" s="194" t="n"/>
      <c r="AA7621" s="25" t="n"/>
      <c r="AB7621" s="25" t="n"/>
      <c r="AC7621" s="195" t="n"/>
      <c r="AD7621" s="25" t="n"/>
      <c r="AE7621" s="25" t="n"/>
      <c r="AG7621" s="25" t="n"/>
      <c r="AH7621" s="25" t="n"/>
      <c r="AI7621" s="394" t="n"/>
      <c r="AM7621" s="48" t="n"/>
      <c r="AN7621" s="48" t="n"/>
      <c r="AO7621" s="48" t="n"/>
    </row>
    <row r="7622">
      <c r="M7622" s="25" t="n"/>
      <c r="Q7622" s="25" t="n"/>
      <c r="U7622" s="194" t="n"/>
      <c r="AA7622" s="25" t="n"/>
      <c r="AB7622" s="25" t="n"/>
      <c r="AC7622" s="195" t="n"/>
      <c r="AD7622" s="25" t="n"/>
      <c r="AE7622" s="25" t="n"/>
      <c r="AG7622" s="25" t="n"/>
      <c r="AH7622" s="25" t="n"/>
      <c r="AI7622" s="394" t="n"/>
      <c r="AM7622" s="48" t="n"/>
      <c r="AN7622" s="48" t="n"/>
      <c r="AO7622" s="48" t="n"/>
    </row>
    <row r="7623">
      <c r="M7623" s="25" t="n"/>
      <c r="Q7623" s="25" t="n"/>
      <c r="U7623" s="194" t="n"/>
      <c r="AA7623" s="25" t="n"/>
      <c r="AB7623" s="25" t="n"/>
      <c r="AC7623" s="195" t="n"/>
      <c r="AD7623" s="25" t="n"/>
      <c r="AE7623" s="25" t="n"/>
      <c r="AG7623" s="25" t="n"/>
      <c r="AH7623" s="25" t="n"/>
      <c r="AI7623" s="394" t="n"/>
      <c r="AM7623" s="48" t="n"/>
      <c r="AN7623" s="48" t="n"/>
      <c r="AO7623" s="48" t="n"/>
    </row>
    <row r="7624">
      <c r="M7624" s="25" t="n"/>
      <c r="Q7624" s="25" t="n"/>
      <c r="U7624" s="194" t="n"/>
      <c r="AA7624" s="25" t="n"/>
      <c r="AB7624" s="25" t="n"/>
      <c r="AC7624" s="195" t="n"/>
      <c r="AD7624" s="25" t="n"/>
      <c r="AE7624" s="25" t="n"/>
      <c r="AG7624" s="25" t="n"/>
      <c r="AH7624" s="25" t="n"/>
      <c r="AI7624" s="394" t="n"/>
      <c r="AM7624" s="48" t="n"/>
      <c r="AN7624" s="48" t="n"/>
      <c r="AO7624" s="48" t="n"/>
    </row>
    <row r="7625">
      <c r="M7625" s="25" t="n"/>
      <c r="Q7625" s="25" t="n"/>
      <c r="U7625" s="194" t="n"/>
      <c r="AA7625" s="25" t="n"/>
      <c r="AB7625" s="25" t="n"/>
      <c r="AC7625" s="195" t="n"/>
      <c r="AD7625" s="25" t="n"/>
      <c r="AE7625" s="25" t="n"/>
      <c r="AG7625" s="25" t="n"/>
      <c r="AH7625" s="25" t="n"/>
      <c r="AI7625" s="394" t="n"/>
      <c r="AM7625" s="48" t="n"/>
      <c r="AN7625" s="48" t="n"/>
      <c r="AO7625" s="48" t="n"/>
    </row>
    <row r="7626">
      <c r="M7626" s="25" t="n"/>
      <c r="Q7626" s="25" t="n"/>
      <c r="U7626" s="194" t="n"/>
      <c r="AA7626" s="25" t="n"/>
      <c r="AB7626" s="25" t="n"/>
      <c r="AC7626" s="195" t="n"/>
      <c r="AD7626" s="25" t="n"/>
      <c r="AE7626" s="25" t="n"/>
      <c r="AG7626" s="25" t="n"/>
      <c r="AH7626" s="25" t="n"/>
      <c r="AI7626" s="394" t="n"/>
      <c r="AM7626" s="48" t="n"/>
      <c r="AN7626" s="48" t="n"/>
      <c r="AO7626" s="48" t="n"/>
    </row>
    <row r="7627">
      <c r="M7627" s="25" t="n"/>
      <c r="Q7627" s="25" t="n"/>
      <c r="U7627" s="194" t="n"/>
      <c r="AA7627" s="25" t="n"/>
      <c r="AB7627" s="25" t="n"/>
      <c r="AC7627" s="195" t="n"/>
      <c r="AD7627" s="25" t="n"/>
      <c r="AE7627" s="25" t="n"/>
      <c r="AG7627" s="25" t="n"/>
      <c r="AH7627" s="25" t="n"/>
      <c r="AI7627" s="394" t="n"/>
      <c r="AM7627" s="48" t="n"/>
      <c r="AN7627" s="48" t="n"/>
      <c r="AO7627" s="48" t="n"/>
    </row>
    <row r="7628">
      <c r="M7628" s="25" t="n"/>
      <c r="Q7628" s="25" t="n"/>
      <c r="U7628" s="194" t="n"/>
      <c r="AA7628" s="25" t="n"/>
      <c r="AB7628" s="25" t="n"/>
      <c r="AC7628" s="195" t="n"/>
      <c r="AD7628" s="25" t="n"/>
      <c r="AE7628" s="25" t="n"/>
      <c r="AG7628" s="25" t="n"/>
      <c r="AH7628" s="25" t="n"/>
      <c r="AI7628" s="394" t="n"/>
      <c r="AM7628" s="48" t="n"/>
      <c r="AN7628" s="48" t="n"/>
      <c r="AO7628" s="48" t="n"/>
    </row>
    <row r="7629">
      <c r="M7629" s="25" t="n"/>
      <c r="Q7629" s="25" t="n"/>
      <c r="U7629" s="194" t="n"/>
      <c r="AA7629" s="25" t="n"/>
      <c r="AB7629" s="25" t="n"/>
      <c r="AC7629" s="195" t="n"/>
      <c r="AD7629" s="25" t="n"/>
      <c r="AE7629" s="25" t="n"/>
      <c r="AG7629" s="25" t="n"/>
      <c r="AH7629" s="25" t="n"/>
      <c r="AI7629" s="394" t="n"/>
      <c r="AM7629" s="48" t="n"/>
      <c r="AN7629" s="48" t="n"/>
      <c r="AO7629" s="48" t="n"/>
    </row>
    <row r="7630">
      <c r="M7630" s="25" t="n"/>
      <c r="Q7630" s="25" t="n"/>
      <c r="U7630" s="194" t="n"/>
      <c r="AA7630" s="25" t="n"/>
      <c r="AB7630" s="25" t="n"/>
      <c r="AC7630" s="195" t="n"/>
      <c r="AD7630" s="25" t="n"/>
      <c r="AE7630" s="25" t="n"/>
      <c r="AG7630" s="25" t="n"/>
      <c r="AH7630" s="25" t="n"/>
      <c r="AI7630" s="394" t="n"/>
      <c r="AM7630" s="48" t="n"/>
      <c r="AN7630" s="48" t="n"/>
      <c r="AO7630" s="48" t="n"/>
    </row>
    <row r="7631">
      <c r="M7631" s="25" t="n"/>
      <c r="Q7631" s="25" t="n"/>
      <c r="U7631" s="194" t="n"/>
      <c r="AA7631" s="25" t="n"/>
      <c r="AB7631" s="25" t="n"/>
      <c r="AC7631" s="195" t="n"/>
      <c r="AD7631" s="25" t="n"/>
      <c r="AE7631" s="25" t="n"/>
      <c r="AG7631" s="25" t="n"/>
      <c r="AH7631" s="25" t="n"/>
      <c r="AI7631" s="394" t="n"/>
      <c r="AM7631" s="48" t="n"/>
      <c r="AN7631" s="48" t="n"/>
      <c r="AO7631" s="48" t="n"/>
    </row>
    <row r="7632">
      <c r="M7632" s="25" t="n"/>
      <c r="Q7632" s="25" t="n"/>
      <c r="U7632" s="194" t="n"/>
      <c r="AA7632" s="25" t="n"/>
      <c r="AB7632" s="25" t="n"/>
      <c r="AC7632" s="195" t="n"/>
      <c r="AD7632" s="25" t="n"/>
      <c r="AE7632" s="25" t="n"/>
      <c r="AG7632" s="25" t="n"/>
      <c r="AH7632" s="25" t="n"/>
      <c r="AI7632" s="394" t="n"/>
      <c r="AM7632" s="48" t="n"/>
      <c r="AN7632" s="48" t="n"/>
      <c r="AO7632" s="48" t="n"/>
    </row>
    <row r="7633">
      <c r="M7633" s="25" t="n"/>
      <c r="Q7633" s="25" t="n"/>
      <c r="U7633" s="194" t="n"/>
      <c r="AA7633" s="25" t="n"/>
      <c r="AB7633" s="25" t="n"/>
      <c r="AC7633" s="195" t="n"/>
      <c r="AD7633" s="25" t="n"/>
      <c r="AE7633" s="25" t="n"/>
      <c r="AG7633" s="25" t="n"/>
      <c r="AH7633" s="25" t="n"/>
      <c r="AI7633" s="394" t="n"/>
      <c r="AM7633" s="48" t="n"/>
      <c r="AN7633" s="48" t="n"/>
      <c r="AO7633" s="48" t="n"/>
    </row>
    <row r="7634">
      <c r="M7634" s="25" t="n"/>
      <c r="Q7634" s="25" t="n"/>
      <c r="U7634" s="194" t="n"/>
      <c r="AA7634" s="25" t="n"/>
      <c r="AB7634" s="25" t="n"/>
      <c r="AC7634" s="195" t="n"/>
      <c r="AD7634" s="25" t="n"/>
      <c r="AE7634" s="25" t="n"/>
      <c r="AG7634" s="25" t="n"/>
      <c r="AH7634" s="25" t="n"/>
      <c r="AI7634" s="394" t="n"/>
      <c r="AM7634" s="48" t="n"/>
      <c r="AN7634" s="48" t="n"/>
      <c r="AO7634" s="48" t="n"/>
    </row>
    <row r="7635">
      <c r="M7635" s="25" t="n"/>
      <c r="Q7635" s="25" t="n"/>
      <c r="U7635" s="194" t="n"/>
      <c r="AA7635" s="25" t="n"/>
      <c r="AB7635" s="25" t="n"/>
      <c r="AC7635" s="195" t="n"/>
      <c r="AD7635" s="25" t="n"/>
      <c r="AE7635" s="25" t="n"/>
      <c r="AG7635" s="25" t="n"/>
      <c r="AH7635" s="25" t="n"/>
      <c r="AI7635" s="394" t="n"/>
      <c r="AM7635" s="48" t="n"/>
      <c r="AN7635" s="48" t="n"/>
      <c r="AO7635" s="48" t="n"/>
    </row>
    <row r="7636">
      <c r="M7636" s="25" t="n"/>
      <c r="Q7636" s="25" t="n"/>
      <c r="U7636" s="194" t="n"/>
      <c r="AA7636" s="25" t="n"/>
      <c r="AB7636" s="25" t="n"/>
      <c r="AC7636" s="195" t="n"/>
      <c r="AD7636" s="25" t="n"/>
      <c r="AE7636" s="25" t="n"/>
      <c r="AG7636" s="25" t="n"/>
      <c r="AH7636" s="25" t="n"/>
      <c r="AI7636" s="394" t="n"/>
      <c r="AM7636" s="48" t="n"/>
      <c r="AN7636" s="48" t="n"/>
      <c r="AO7636" s="48" t="n"/>
    </row>
    <row r="7637">
      <c r="M7637" s="25" t="n"/>
      <c r="Q7637" s="25" t="n"/>
      <c r="U7637" s="194" t="n"/>
      <c r="AA7637" s="25" t="n"/>
      <c r="AB7637" s="25" t="n"/>
      <c r="AC7637" s="195" t="n"/>
      <c r="AD7637" s="25" t="n"/>
      <c r="AE7637" s="25" t="n"/>
      <c r="AG7637" s="25" t="n"/>
      <c r="AH7637" s="25" t="n"/>
      <c r="AI7637" s="394" t="n"/>
      <c r="AM7637" s="48" t="n"/>
      <c r="AN7637" s="48" t="n"/>
      <c r="AO7637" s="48" t="n"/>
    </row>
    <row r="7638">
      <c r="M7638" s="25" t="n"/>
      <c r="Q7638" s="25" t="n"/>
      <c r="U7638" s="194" t="n"/>
      <c r="AA7638" s="25" t="n"/>
      <c r="AB7638" s="25" t="n"/>
      <c r="AC7638" s="195" t="n"/>
      <c r="AD7638" s="25" t="n"/>
      <c r="AE7638" s="25" t="n"/>
      <c r="AG7638" s="25" t="n"/>
      <c r="AH7638" s="25" t="n"/>
      <c r="AI7638" s="394" t="n"/>
      <c r="AM7638" s="48" t="n"/>
      <c r="AN7638" s="48" t="n"/>
      <c r="AO7638" s="48" t="n"/>
    </row>
    <row r="7639">
      <c r="M7639" s="25" t="n"/>
      <c r="Q7639" s="25" t="n"/>
      <c r="U7639" s="194" t="n"/>
      <c r="AA7639" s="25" t="n"/>
      <c r="AB7639" s="25" t="n"/>
      <c r="AC7639" s="195" t="n"/>
      <c r="AD7639" s="25" t="n"/>
      <c r="AE7639" s="25" t="n"/>
      <c r="AG7639" s="25" t="n"/>
      <c r="AH7639" s="25" t="n"/>
      <c r="AI7639" s="394" t="n"/>
      <c r="AM7639" s="48" t="n"/>
      <c r="AN7639" s="48" t="n"/>
      <c r="AO7639" s="48" t="n"/>
    </row>
    <row r="7640">
      <c r="M7640" s="25" t="n"/>
      <c r="Q7640" s="25" t="n"/>
      <c r="U7640" s="194" t="n"/>
      <c r="AA7640" s="25" t="n"/>
      <c r="AB7640" s="25" t="n"/>
      <c r="AC7640" s="195" t="n"/>
      <c r="AD7640" s="25" t="n"/>
      <c r="AE7640" s="25" t="n"/>
      <c r="AG7640" s="25" t="n"/>
      <c r="AH7640" s="25" t="n"/>
      <c r="AI7640" s="394" t="n"/>
      <c r="AM7640" s="48" t="n"/>
      <c r="AN7640" s="48" t="n"/>
      <c r="AO7640" s="48" t="n"/>
    </row>
    <row r="7641">
      <c r="M7641" s="25" t="n"/>
      <c r="Q7641" s="25" t="n"/>
      <c r="U7641" s="194" t="n"/>
      <c r="AA7641" s="25" t="n"/>
      <c r="AB7641" s="25" t="n"/>
      <c r="AC7641" s="195" t="n"/>
      <c r="AD7641" s="25" t="n"/>
      <c r="AE7641" s="25" t="n"/>
      <c r="AG7641" s="25" t="n"/>
      <c r="AH7641" s="25" t="n"/>
      <c r="AI7641" s="394" t="n"/>
      <c r="AM7641" s="48" t="n"/>
      <c r="AN7641" s="48" t="n"/>
      <c r="AO7641" s="48" t="n"/>
    </row>
    <row r="7642">
      <c r="M7642" s="25" t="n"/>
      <c r="Q7642" s="25" t="n"/>
      <c r="U7642" s="194" t="n"/>
      <c r="AA7642" s="25" t="n"/>
      <c r="AB7642" s="25" t="n"/>
      <c r="AC7642" s="195" t="n"/>
      <c r="AD7642" s="25" t="n"/>
      <c r="AE7642" s="25" t="n"/>
      <c r="AG7642" s="25" t="n"/>
      <c r="AH7642" s="25" t="n"/>
      <c r="AI7642" s="394" t="n"/>
      <c r="AM7642" s="48" t="n"/>
      <c r="AN7642" s="48" t="n"/>
      <c r="AO7642" s="48" t="n"/>
    </row>
    <row r="7643">
      <c r="M7643" s="25" t="n"/>
      <c r="Q7643" s="25" t="n"/>
      <c r="U7643" s="194" t="n"/>
      <c r="AA7643" s="25" t="n"/>
      <c r="AB7643" s="25" t="n"/>
      <c r="AC7643" s="195" t="n"/>
      <c r="AD7643" s="25" t="n"/>
      <c r="AE7643" s="25" t="n"/>
      <c r="AG7643" s="25" t="n"/>
      <c r="AH7643" s="25" t="n"/>
      <c r="AI7643" s="394" t="n"/>
      <c r="AM7643" s="48" t="n"/>
      <c r="AN7643" s="48" t="n"/>
      <c r="AO7643" s="48" t="n"/>
    </row>
    <row r="7644">
      <c r="M7644" s="25" t="n"/>
      <c r="Q7644" s="25" t="n"/>
      <c r="U7644" s="194" t="n"/>
      <c r="AA7644" s="25" t="n"/>
      <c r="AB7644" s="25" t="n"/>
      <c r="AC7644" s="195" t="n"/>
      <c r="AD7644" s="25" t="n"/>
      <c r="AE7644" s="25" t="n"/>
      <c r="AG7644" s="25" t="n"/>
      <c r="AH7644" s="25" t="n"/>
      <c r="AI7644" s="394" t="n"/>
      <c r="AM7644" s="48" t="n"/>
      <c r="AN7644" s="48" t="n"/>
      <c r="AO7644" s="48" t="n"/>
    </row>
    <row r="7645">
      <c r="M7645" s="25" t="n"/>
      <c r="Q7645" s="25" t="n"/>
      <c r="U7645" s="194" t="n"/>
      <c r="AA7645" s="25" t="n"/>
      <c r="AB7645" s="25" t="n"/>
      <c r="AC7645" s="195" t="n"/>
      <c r="AD7645" s="25" t="n"/>
      <c r="AE7645" s="25" t="n"/>
      <c r="AG7645" s="25" t="n"/>
      <c r="AH7645" s="25" t="n"/>
      <c r="AI7645" s="394" t="n"/>
      <c r="AM7645" s="48" t="n"/>
      <c r="AN7645" s="48" t="n"/>
      <c r="AO7645" s="48" t="n"/>
    </row>
    <row r="7646">
      <c r="M7646" s="25" t="n"/>
      <c r="Q7646" s="25" t="n"/>
      <c r="U7646" s="194" t="n"/>
      <c r="AA7646" s="25" t="n"/>
      <c r="AB7646" s="25" t="n"/>
      <c r="AC7646" s="195" t="n"/>
      <c r="AD7646" s="25" t="n"/>
      <c r="AE7646" s="25" t="n"/>
      <c r="AG7646" s="25" t="n"/>
      <c r="AH7646" s="25" t="n"/>
      <c r="AI7646" s="394" t="n"/>
      <c r="AM7646" s="48" t="n"/>
      <c r="AN7646" s="48" t="n"/>
      <c r="AO7646" s="48" t="n"/>
    </row>
    <row r="7647">
      <c r="M7647" s="25" t="n"/>
      <c r="Q7647" s="25" t="n"/>
      <c r="U7647" s="194" t="n"/>
      <c r="AA7647" s="25" t="n"/>
      <c r="AB7647" s="25" t="n"/>
      <c r="AC7647" s="195" t="n"/>
      <c r="AD7647" s="25" t="n"/>
      <c r="AE7647" s="25" t="n"/>
      <c r="AG7647" s="25" t="n"/>
      <c r="AH7647" s="25" t="n"/>
      <c r="AI7647" s="394" t="n"/>
      <c r="AM7647" s="48" t="n"/>
      <c r="AN7647" s="48" t="n"/>
      <c r="AO7647" s="48" t="n"/>
    </row>
    <row r="7648">
      <c r="M7648" s="25" t="n"/>
      <c r="Q7648" s="25" t="n"/>
      <c r="U7648" s="194" t="n"/>
      <c r="AA7648" s="25" t="n"/>
      <c r="AB7648" s="25" t="n"/>
      <c r="AC7648" s="195" t="n"/>
      <c r="AD7648" s="25" t="n"/>
      <c r="AE7648" s="25" t="n"/>
      <c r="AG7648" s="25" t="n"/>
      <c r="AH7648" s="25" t="n"/>
      <c r="AI7648" s="394" t="n"/>
      <c r="AM7648" s="48" t="n"/>
      <c r="AN7648" s="48" t="n"/>
      <c r="AO7648" s="48" t="n"/>
    </row>
    <row r="7649">
      <c r="M7649" s="25" t="n"/>
      <c r="Q7649" s="25" t="n"/>
      <c r="U7649" s="194" t="n"/>
      <c r="AA7649" s="25" t="n"/>
      <c r="AB7649" s="25" t="n"/>
      <c r="AC7649" s="195" t="n"/>
      <c r="AD7649" s="25" t="n"/>
      <c r="AE7649" s="25" t="n"/>
      <c r="AG7649" s="25" t="n"/>
      <c r="AH7649" s="25" t="n"/>
      <c r="AI7649" s="394" t="n"/>
      <c r="AM7649" s="48" t="n"/>
      <c r="AN7649" s="48" t="n"/>
      <c r="AO7649" s="48" t="n"/>
    </row>
    <row r="7650">
      <c r="M7650" s="25" t="n"/>
      <c r="Q7650" s="25" t="n"/>
      <c r="U7650" s="194" t="n"/>
      <c r="AA7650" s="25" t="n"/>
      <c r="AB7650" s="25" t="n"/>
      <c r="AC7650" s="195" t="n"/>
      <c r="AD7650" s="25" t="n"/>
      <c r="AE7650" s="25" t="n"/>
      <c r="AG7650" s="25" t="n"/>
      <c r="AH7650" s="25" t="n"/>
      <c r="AI7650" s="394" t="n"/>
      <c r="AM7650" s="48" t="n"/>
      <c r="AN7650" s="48" t="n"/>
      <c r="AO7650" s="48" t="n"/>
    </row>
    <row r="7651">
      <c r="M7651" s="25" t="n"/>
      <c r="Q7651" s="25" t="n"/>
      <c r="U7651" s="194" t="n"/>
      <c r="AA7651" s="25" t="n"/>
      <c r="AB7651" s="25" t="n"/>
      <c r="AC7651" s="195" t="n"/>
      <c r="AD7651" s="25" t="n"/>
      <c r="AE7651" s="25" t="n"/>
      <c r="AG7651" s="25" t="n"/>
      <c r="AH7651" s="25" t="n"/>
      <c r="AI7651" s="394" t="n"/>
      <c r="AM7651" s="48" t="n"/>
      <c r="AN7651" s="48" t="n"/>
      <c r="AO7651" s="48" t="n"/>
    </row>
    <row r="7652">
      <c r="M7652" s="25" t="n"/>
      <c r="Q7652" s="25" t="n"/>
      <c r="U7652" s="194" t="n"/>
      <c r="AA7652" s="25" t="n"/>
      <c r="AB7652" s="25" t="n"/>
      <c r="AC7652" s="195" t="n"/>
      <c r="AD7652" s="25" t="n"/>
      <c r="AE7652" s="25" t="n"/>
      <c r="AG7652" s="25" t="n"/>
      <c r="AH7652" s="25" t="n"/>
      <c r="AI7652" s="394" t="n"/>
      <c r="AM7652" s="48" t="n"/>
      <c r="AN7652" s="48" t="n"/>
      <c r="AO7652" s="48" t="n"/>
    </row>
    <row r="7653">
      <c r="M7653" s="25" t="n"/>
      <c r="Q7653" s="25" t="n"/>
      <c r="U7653" s="194" t="n"/>
      <c r="AA7653" s="25" t="n"/>
      <c r="AB7653" s="25" t="n"/>
      <c r="AC7653" s="195" t="n"/>
      <c r="AD7653" s="25" t="n"/>
      <c r="AE7653" s="25" t="n"/>
      <c r="AG7653" s="25" t="n"/>
      <c r="AH7653" s="25" t="n"/>
      <c r="AI7653" s="394" t="n"/>
      <c r="AM7653" s="48" t="n"/>
      <c r="AN7653" s="48" t="n"/>
      <c r="AO7653" s="48" t="n"/>
    </row>
    <row r="7654">
      <c r="M7654" s="25" t="n"/>
      <c r="Q7654" s="25" t="n"/>
      <c r="U7654" s="194" t="n"/>
      <c r="AA7654" s="25" t="n"/>
      <c r="AB7654" s="25" t="n"/>
      <c r="AC7654" s="195" t="n"/>
      <c r="AD7654" s="25" t="n"/>
      <c r="AE7654" s="25" t="n"/>
      <c r="AG7654" s="25" t="n"/>
      <c r="AH7654" s="25" t="n"/>
      <c r="AI7654" s="394" t="n"/>
      <c r="AM7654" s="48" t="n"/>
      <c r="AN7654" s="48" t="n"/>
      <c r="AO7654" s="48" t="n"/>
    </row>
    <row r="7655">
      <c r="M7655" s="25" t="n"/>
      <c r="Q7655" s="25" t="n"/>
      <c r="U7655" s="194" t="n"/>
      <c r="AA7655" s="25" t="n"/>
      <c r="AB7655" s="25" t="n"/>
      <c r="AC7655" s="195" t="n"/>
      <c r="AD7655" s="25" t="n"/>
      <c r="AE7655" s="25" t="n"/>
      <c r="AG7655" s="25" t="n"/>
      <c r="AH7655" s="25" t="n"/>
      <c r="AI7655" s="394" t="n"/>
      <c r="AM7655" s="48" t="n"/>
      <c r="AN7655" s="48" t="n"/>
      <c r="AO7655" s="48" t="n"/>
    </row>
    <row r="7656">
      <c r="M7656" s="25" t="n"/>
      <c r="Q7656" s="25" t="n"/>
      <c r="U7656" s="194" t="n"/>
      <c r="AA7656" s="25" t="n"/>
      <c r="AB7656" s="25" t="n"/>
      <c r="AC7656" s="195" t="n"/>
      <c r="AD7656" s="25" t="n"/>
      <c r="AE7656" s="25" t="n"/>
      <c r="AG7656" s="25" t="n"/>
      <c r="AH7656" s="25" t="n"/>
      <c r="AI7656" s="394" t="n"/>
      <c r="AM7656" s="48" t="n"/>
      <c r="AN7656" s="48" t="n"/>
      <c r="AO7656" s="48" t="n"/>
    </row>
    <row r="7657">
      <c r="M7657" s="25" t="n"/>
      <c r="Q7657" s="25" t="n"/>
      <c r="U7657" s="194" t="n"/>
      <c r="AA7657" s="25" t="n"/>
      <c r="AB7657" s="25" t="n"/>
      <c r="AC7657" s="195" t="n"/>
      <c r="AD7657" s="25" t="n"/>
      <c r="AE7657" s="25" t="n"/>
      <c r="AG7657" s="25" t="n"/>
      <c r="AH7657" s="25" t="n"/>
      <c r="AI7657" s="394" t="n"/>
      <c r="AM7657" s="48" t="n"/>
      <c r="AN7657" s="48" t="n"/>
      <c r="AO7657" s="48" t="n"/>
    </row>
    <row r="7658">
      <c r="M7658" s="25" t="n"/>
      <c r="Q7658" s="25" t="n"/>
      <c r="U7658" s="194" t="n"/>
      <c r="AA7658" s="25" t="n"/>
      <c r="AB7658" s="25" t="n"/>
      <c r="AC7658" s="195" t="n"/>
      <c r="AD7658" s="25" t="n"/>
      <c r="AE7658" s="25" t="n"/>
      <c r="AG7658" s="25" t="n"/>
      <c r="AH7658" s="25" t="n"/>
      <c r="AI7658" s="394" t="n"/>
      <c r="AM7658" s="48" t="n"/>
      <c r="AN7658" s="48" t="n"/>
      <c r="AO7658" s="48" t="n"/>
    </row>
    <row r="7659">
      <c r="M7659" s="25" t="n"/>
      <c r="Q7659" s="25" t="n"/>
      <c r="U7659" s="194" t="n"/>
      <c r="AA7659" s="25" t="n"/>
      <c r="AB7659" s="25" t="n"/>
      <c r="AC7659" s="195" t="n"/>
      <c r="AD7659" s="25" t="n"/>
      <c r="AE7659" s="25" t="n"/>
      <c r="AG7659" s="25" t="n"/>
      <c r="AH7659" s="25" t="n"/>
      <c r="AI7659" s="394" t="n"/>
      <c r="AM7659" s="48" t="n"/>
      <c r="AN7659" s="48" t="n"/>
      <c r="AO7659" s="48" t="n"/>
    </row>
    <row r="7660">
      <c r="M7660" s="25" t="n"/>
      <c r="Q7660" s="25" t="n"/>
      <c r="U7660" s="194" t="n"/>
      <c r="AA7660" s="25" t="n"/>
      <c r="AB7660" s="25" t="n"/>
      <c r="AC7660" s="195" t="n"/>
      <c r="AD7660" s="25" t="n"/>
      <c r="AE7660" s="25" t="n"/>
      <c r="AG7660" s="25" t="n"/>
      <c r="AH7660" s="25" t="n"/>
      <c r="AI7660" s="394" t="n"/>
      <c r="AM7660" s="48" t="n"/>
      <c r="AN7660" s="48" t="n"/>
      <c r="AO7660" s="48" t="n"/>
    </row>
    <row r="7661">
      <c r="M7661" s="25" t="n"/>
      <c r="Q7661" s="25" t="n"/>
      <c r="U7661" s="194" t="n"/>
      <c r="AA7661" s="25" t="n"/>
      <c r="AB7661" s="25" t="n"/>
      <c r="AC7661" s="195" t="n"/>
      <c r="AD7661" s="25" t="n"/>
      <c r="AE7661" s="25" t="n"/>
      <c r="AG7661" s="25" t="n"/>
      <c r="AH7661" s="25" t="n"/>
      <c r="AI7661" s="394" t="n"/>
      <c r="AM7661" s="48" t="n"/>
      <c r="AN7661" s="48" t="n"/>
      <c r="AO7661" s="48" t="n"/>
    </row>
    <row r="7662">
      <c r="M7662" s="25" t="n"/>
      <c r="Q7662" s="25" t="n"/>
      <c r="U7662" s="194" t="n"/>
      <c r="AA7662" s="25" t="n"/>
      <c r="AB7662" s="25" t="n"/>
      <c r="AC7662" s="195" t="n"/>
      <c r="AD7662" s="25" t="n"/>
      <c r="AE7662" s="25" t="n"/>
      <c r="AG7662" s="25" t="n"/>
      <c r="AH7662" s="25" t="n"/>
      <c r="AI7662" s="394" t="n"/>
      <c r="AM7662" s="48" t="n"/>
      <c r="AN7662" s="48" t="n"/>
      <c r="AO7662" s="48" t="n"/>
    </row>
    <row r="7663">
      <c r="M7663" s="25" t="n"/>
      <c r="Q7663" s="25" t="n"/>
      <c r="U7663" s="194" t="n"/>
      <c r="AA7663" s="25" t="n"/>
      <c r="AB7663" s="25" t="n"/>
      <c r="AC7663" s="195" t="n"/>
      <c r="AD7663" s="25" t="n"/>
      <c r="AE7663" s="25" t="n"/>
      <c r="AG7663" s="25" t="n"/>
      <c r="AH7663" s="25" t="n"/>
      <c r="AI7663" s="394" t="n"/>
      <c r="AM7663" s="48" t="n"/>
      <c r="AN7663" s="48" t="n"/>
      <c r="AO7663" s="48" t="n"/>
    </row>
    <row r="7664">
      <c r="M7664" s="25" t="n"/>
      <c r="Q7664" s="25" t="n"/>
      <c r="U7664" s="194" t="n"/>
      <c r="AA7664" s="25" t="n"/>
      <c r="AB7664" s="25" t="n"/>
      <c r="AC7664" s="195" t="n"/>
      <c r="AD7664" s="25" t="n"/>
      <c r="AE7664" s="25" t="n"/>
      <c r="AG7664" s="25" t="n"/>
      <c r="AH7664" s="25" t="n"/>
      <c r="AI7664" s="394" t="n"/>
      <c r="AM7664" s="48" t="n"/>
      <c r="AN7664" s="48" t="n"/>
      <c r="AO7664" s="48" t="n"/>
    </row>
    <row r="7665">
      <c r="M7665" s="25" t="n"/>
      <c r="Q7665" s="25" t="n"/>
      <c r="U7665" s="194" t="n"/>
      <c r="AA7665" s="25" t="n"/>
      <c r="AB7665" s="25" t="n"/>
      <c r="AC7665" s="195" t="n"/>
      <c r="AD7665" s="25" t="n"/>
      <c r="AE7665" s="25" t="n"/>
      <c r="AG7665" s="25" t="n"/>
      <c r="AH7665" s="25" t="n"/>
      <c r="AI7665" s="394" t="n"/>
      <c r="AM7665" s="48" t="n"/>
      <c r="AN7665" s="48" t="n"/>
      <c r="AO7665" s="48" t="n"/>
    </row>
    <row r="7666">
      <c r="M7666" s="25" t="n"/>
      <c r="Q7666" s="25" t="n"/>
      <c r="U7666" s="194" t="n"/>
      <c r="AA7666" s="25" t="n"/>
      <c r="AB7666" s="25" t="n"/>
      <c r="AC7666" s="195" t="n"/>
      <c r="AD7666" s="25" t="n"/>
      <c r="AE7666" s="25" t="n"/>
      <c r="AG7666" s="25" t="n"/>
      <c r="AH7666" s="25" t="n"/>
      <c r="AI7666" s="394" t="n"/>
      <c r="AM7666" s="48" t="n"/>
      <c r="AN7666" s="48" t="n"/>
      <c r="AO7666" s="48" t="n"/>
    </row>
    <row r="7667">
      <c r="M7667" s="25" t="n"/>
      <c r="Q7667" s="25" t="n"/>
      <c r="U7667" s="194" t="n"/>
      <c r="AA7667" s="25" t="n"/>
      <c r="AB7667" s="25" t="n"/>
      <c r="AC7667" s="195" t="n"/>
      <c r="AD7667" s="25" t="n"/>
      <c r="AE7667" s="25" t="n"/>
      <c r="AG7667" s="25" t="n"/>
      <c r="AH7667" s="25" t="n"/>
      <c r="AI7667" s="394" t="n"/>
      <c r="AM7667" s="48" t="n"/>
      <c r="AN7667" s="48" t="n"/>
      <c r="AO7667" s="48" t="n"/>
    </row>
    <row r="7668">
      <c r="M7668" s="25" t="n"/>
      <c r="Q7668" s="25" t="n"/>
      <c r="U7668" s="194" t="n"/>
      <c r="AA7668" s="25" t="n"/>
      <c r="AB7668" s="25" t="n"/>
      <c r="AC7668" s="195" t="n"/>
      <c r="AD7668" s="25" t="n"/>
      <c r="AE7668" s="25" t="n"/>
      <c r="AG7668" s="25" t="n"/>
      <c r="AH7668" s="25" t="n"/>
      <c r="AI7668" s="394" t="n"/>
      <c r="AM7668" s="48" t="n"/>
      <c r="AN7668" s="48" t="n"/>
      <c r="AO7668" s="48" t="n"/>
    </row>
    <row r="7669">
      <c r="M7669" s="25" t="n"/>
      <c r="Q7669" s="25" t="n"/>
      <c r="U7669" s="194" t="n"/>
      <c r="AA7669" s="25" t="n"/>
      <c r="AB7669" s="25" t="n"/>
      <c r="AC7669" s="195" t="n"/>
      <c r="AD7669" s="25" t="n"/>
      <c r="AE7669" s="25" t="n"/>
      <c r="AG7669" s="25" t="n"/>
      <c r="AH7669" s="25" t="n"/>
      <c r="AI7669" s="394" t="n"/>
      <c r="AM7669" s="48" t="n"/>
      <c r="AN7669" s="48" t="n"/>
      <c r="AO7669" s="48" t="n"/>
    </row>
    <row r="7670">
      <c r="M7670" s="25" t="n"/>
      <c r="Q7670" s="25" t="n"/>
      <c r="U7670" s="194" t="n"/>
      <c r="AA7670" s="25" t="n"/>
      <c r="AB7670" s="25" t="n"/>
      <c r="AC7670" s="195" t="n"/>
      <c r="AD7670" s="25" t="n"/>
      <c r="AE7670" s="25" t="n"/>
      <c r="AG7670" s="25" t="n"/>
      <c r="AH7670" s="25" t="n"/>
      <c r="AI7670" s="394" t="n"/>
      <c r="AM7670" s="48" t="n"/>
      <c r="AN7670" s="48" t="n"/>
      <c r="AO7670" s="48" t="n"/>
    </row>
    <row r="7671">
      <c r="M7671" s="25" t="n"/>
      <c r="Q7671" s="25" t="n"/>
      <c r="U7671" s="194" t="n"/>
      <c r="AA7671" s="25" t="n"/>
      <c r="AB7671" s="25" t="n"/>
      <c r="AC7671" s="195" t="n"/>
      <c r="AD7671" s="25" t="n"/>
      <c r="AE7671" s="25" t="n"/>
      <c r="AG7671" s="25" t="n"/>
      <c r="AH7671" s="25" t="n"/>
      <c r="AI7671" s="394" t="n"/>
      <c r="AM7671" s="48" t="n"/>
      <c r="AN7671" s="48" t="n"/>
      <c r="AO7671" s="48" t="n"/>
    </row>
    <row r="7672">
      <c r="M7672" s="25" t="n"/>
      <c r="Q7672" s="25" t="n"/>
      <c r="U7672" s="194" t="n"/>
      <c r="AA7672" s="25" t="n"/>
      <c r="AB7672" s="25" t="n"/>
      <c r="AC7672" s="195" t="n"/>
      <c r="AD7672" s="25" t="n"/>
      <c r="AE7672" s="25" t="n"/>
      <c r="AG7672" s="25" t="n"/>
      <c r="AH7672" s="25" t="n"/>
      <c r="AI7672" s="394" t="n"/>
      <c r="AM7672" s="48" t="n"/>
      <c r="AN7672" s="48" t="n"/>
      <c r="AO7672" s="48" t="n"/>
    </row>
    <row r="7673">
      <c r="M7673" s="25" t="n"/>
      <c r="Q7673" s="25" t="n"/>
      <c r="U7673" s="194" t="n"/>
      <c r="AA7673" s="25" t="n"/>
      <c r="AB7673" s="25" t="n"/>
      <c r="AC7673" s="195" t="n"/>
      <c r="AD7673" s="25" t="n"/>
      <c r="AE7673" s="25" t="n"/>
      <c r="AG7673" s="25" t="n"/>
      <c r="AH7673" s="25" t="n"/>
      <c r="AI7673" s="394" t="n"/>
      <c r="AM7673" s="48" t="n"/>
      <c r="AN7673" s="48" t="n"/>
      <c r="AO7673" s="48" t="n"/>
    </row>
    <row r="7674">
      <c r="M7674" s="25" t="n"/>
      <c r="Q7674" s="25" t="n"/>
      <c r="U7674" s="194" t="n"/>
      <c r="AA7674" s="25" t="n"/>
      <c r="AB7674" s="25" t="n"/>
      <c r="AC7674" s="195" t="n"/>
      <c r="AD7674" s="25" t="n"/>
      <c r="AE7674" s="25" t="n"/>
      <c r="AG7674" s="25" t="n"/>
      <c r="AH7674" s="25" t="n"/>
      <c r="AI7674" s="394" t="n"/>
      <c r="AM7674" s="48" t="n"/>
      <c r="AN7674" s="48" t="n"/>
      <c r="AO7674" s="48" t="n"/>
    </row>
    <row r="7675">
      <c r="M7675" s="25" t="n"/>
      <c r="Q7675" s="25" t="n"/>
      <c r="U7675" s="194" t="n"/>
      <c r="AA7675" s="25" t="n"/>
      <c r="AB7675" s="25" t="n"/>
      <c r="AC7675" s="195" t="n"/>
      <c r="AD7675" s="25" t="n"/>
      <c r="AE7675" s="25" t="n"/>
      <c r="AG7675" s="25" t="n"/>
      <c r="AH7675" s="25" t="n"/>
      <c r="AI7675" s="394" t="n"/>
      <c r="AM7675" s="48" t="n"/>
      <c r="AN7675" s="48" t="n"/>
      <c r="AO7675" s="48" t="n"/>
    </row>
    <row r="7676">
      <c r="M7676" s="25" t="n"/>
      <c r="Q7676" s="25" t="n"/>
      <c r="U7676" s="194" t="n"/>
      <c r="AA7676" s="25" t="n"/>
      <c r="AB7676" s="25" t="n"/>
      <c r="AC7676" s="195" t="n"/>
      <c r="AD7676" s="25" t="n"/>
      <c r="AE7676" s="25" t="n"/>
      <c r="AG7676" s="25" t="n"/>
      <c r="AH7676" s="25" t="n"/>
      <c r="AI7676" s="394" t="n"/>
      <c r="AM7676" s="48" t="n"/>
      <c r="AN7676" s="48" t="n"/>
      <c r="AO7676" s="48" t="n"/>
    </row>
    <row r="7677">
      <c r="M7677" s="25" t="n"/>
      <c r="Q7677" s="25" t="n"/>
      <c r="U7677" s="194" t="n"/>
      <c r="AA7677" s="25" t="n"/>
      <c r="AB7677" s="25" t="n"/>
      <c r="AC7677" s="195" t="n"/>
      <c r="AD7677" s="25" t="n"/>
      <c r="AE7677" s="25" t="n"/>
      <c r="AG7677" s="25" t="n"/>
      <c r="AH7677" s="25" t="n"/>
      <c r="AI7677" s="394" t="n"/>
      <c r="AM7677" s="48" t="n"/>
      <c r="AN7677" s="48" t="n"/>
      <c r="AO7677" s="48" t="n"/>
    </row>
    <row r="7678">
      <c r="M7678" s="25" t="n"/>
      <c r="Q7678" s="25" t="n"/>
      <c r="U7678" s="194" t="n"/>
      <c r="AA7678" s="25" t="n"/>
      <c r="AB7678" s="25" t="n"/>
      <c r="AC7678" s="195" t="n"/>
      <c r="AD7678" s="25" t="n"/>
      <c r="AE7678" s="25" t="n"/>
      <c r="AG7678" s="25" t="n"/>
      <c r="AH7678" s="25" t="n"/>
      <c r="AI7678" s="394" t="n"/>
      <c r="AM7678" s="48" t="n"/>
      <c r="AN7678" s="48" t="n"/>
      <c r="AO7678" s="48" t="n"/>
    </row>
    <row r="7679">
      <c r="M7679" s="25" t="n"/>
      <c r="Q7679" s="25" t="n"/>
      <c r="U7679" s="194" t="n"/>
      <c r="AA7679" s="25" t="n"/>
      <c r="AB7679" s="25" t="n"/>
      <c r="AC7679" s="195" t="n"/>
      <c r="AD7679" s="25" t="n"/>
      <c r="AE7679" s="25" t="n"/>
      <c r="AG7679" s="25" t="n"/>
      <c r="AH7679" s="25" t="n"/>
      <c r="AI7679" s="394" t="n"/>
      <c r="AM7679" s="48" t="n"/>
      <c r="AN7679" s="48" t="n"/>
      <c r="AO7679" s="48" t="n"/>
    </row>
    <row r="7680">
      <c r="M7680" s="25" t="n"/>
      <c r="Q7680" s="25" t="n"/>
      <c r="U7680" s="194" t="n"/>
      <c r="AA7680" s="25" t="n"/>
      <c r="AB7680" s="25" t="n"/>
      <c r="AC7680" s="195" t="n"/>
      <c r="AD7680" s="25" t="n"/>
      <c r="AE7680" s="25" t="n"/>
      <c r="AG7680" s="25" t="n"/>
      <c r="AH7680" s="25" t="n"/>
      <c r="AI7680" s="394" t="n"/>
      <c r="AM7680" s="48" t="n"/>
      <c r="AN7680" s="48" t="n"/>
      <c r="AO7680" s="48" t="n"/>
    </row>
    <row r="7681">
      <c r="M7681" s="25" t="n"/>
      <c r="Q7681" s="25" t="n"/>
      <c r="U7681" s="194" t="n"/>
      <c r="AA7681" s="25" t="n"/>
      <c r="AB7681" s="25" t="n"/>
      <c r="AC7681" s="195" t="n"/>
      <c r="AD7681" s="25" t="n"/>
      <c r="AE7681" s="25" t="n"/>
      <c r="AG7681" s="25" t="n"/>
      <c r="AH7681" s="25" t="n"/>
      <c r="AI7681" s="394" t="n"/>
      <c r="AM7681" s="48" t="n"/>
      <c r="AN7681" s="48" t="n"/>
      <c r="AO7681" s="48" t="n"/>
    </row>
    <row r="7682">
      <c r="M7682" s="25" t="n"/>
      <c r="Q7682" s="25" t="n"/>
      <c r="U7682" s="194" t="n"/>
      <c r="AA7682" s="25" t="n"/>
      <c r="AB7682" s="25" t="n"/>
      <c r="AC7682" s="195" t="n"/>
      <c r="AD7682" s="25" t="n"/>
      <c r="AE7682" s="25" t="n"/>
      <c r="AG7682" s="25" t="n"/>
      <c r="AH7682" s="25" t="n"/>
      <c r="AI7682" s="394" t="n"/>
      <c r="AM7682" s="48" t="n"/>
      <c r="AN7682" s="48" t="n"/>
      <c r="AO7682" s="48" t="n"/>
    </row>
    <row r="7683">
      <c r="M7683" s="25" t="n"/>
      <c r="Q7683" s="25" t="n"/>
      <c r="U7683" s="194" t="n"/>
      <c r="AA7683" s="25" t="n"/>
      <c r="AB7683" s="25" t="n"/>
      <c r="AC7683" s="195" t="n"/>
      <c r="AD7683" s="25" t="n"/>
      <c r="AE7683" s="25" t="n"/>
      <c r="AG7683" s="25" t="n"/>
      <c r="AH7683" s="25" t="n"/>
      <c r="AI7683" s="394" t="n"/>
      <c r="AM7683" s="48" t="n"/>
      <c r="AN7683" s="48" t="n"/>
      <c r="AO7683" s="48" t="n"/>
    </row>
    <row r="7684">
      <c r="M7684" s="25" t="n"/>
      <c r="Q7684" s="25" t="n"/>
      <c r="U7684" s="194" t="n"/>
      <c r="AA7684" s="25" t="n"/>
      <c r="AB7684" s="25" t="n"/>
      <c r="AC7684" s="195" t="n"/>
      <c r="AD7684" s="25" t="n"/>
      <c r="AE7684" s="25" t="n"/>
      <c r="AG7684" s="25" t="n"/>
      <c r="AH7684" s="25" t="n"/>
      <c r="AI7684" s="394" t="n"/>
      <c r="AM7684" s="48" t="n"/>
      <c r="AN7684" s="48" t="n"/>
      <c r="AO7684" s="48" t="n"/>
    </row>
    <row r="7685">
      <c r="M7685" s="25" t="n"/>
      <c r="Q7685" s="25" t="n"/>
      <c r="U7685" s="194" t="n"/>
      <c r="AA7685" s="25" t="n"/>
      <c r="AB7685" s="25" t="n"/>
      <c r="AC7685" s="195" t="n"/>
      <c r="AD7685" s="25" t="n"/>
      <c r="AE7685" s="25" t="n"/>
      <c r="AG7685" s="25" t="n"/>
      <c r="AH7685" s="25" t="n"/>
      <c r="AI7685" s="394" t="n"/>
      <c r="AM7685" s="48" t="n"/>
      <c r="AN7685" s="48" t="n"/>
      <c r="AO7685" s="48" t="n"/>
    </row>
    <row r="7686">
      <c r="M7686" s="25" t="n"/>
      <c r="Q7686" s="25" t="n"/>
      <c r="U7686" s="194" t="n"/>
      <c r="AA7686" s="25" t="n"/>
      <c r="AB7686" s="25" t="n"/>
      <c r="AC7686" s="195" t="n"/>
      <c r="AD7686" s="25" t="n"/>
      <c r="AE7686" s="25" t="n"/>
      <c r="AG7686" s="25" t="n"/>
      <c r="AH7686" s="25" t="n"/>
      <c r="AI7686" s="394" t="n"/>
      <c r="AM7686" s="48" t="n"/>
      <c r="AN7686" s="48" t="n"/>
      <c r="AO7686" s="48" t="n"/>
    </row>
    <row r="7687">
      <c r="M7687" s="25" t="n"/>
      <c r="Q7687" s="25" t="n"/>
      <c r="U7687" s="194" t="n"/>
      <c r="AA7687" s="25" t="n"/>
      <c r="AB7687" s="25" t="n"/>
      <c r="AC7687" s="195" t="n"/>
      <c r="AD7687" s="25" t="n"/>
      <c r="AE7687" s="25" t="n"/>
      <c r="AG7687" s="25" t="n"/>
      <c r="AH7687" s="25" t="n"/>
      <c r="AI7687" s="394" t="n"/>
      <c r="AM7687" s="48" t="n"/>
      <c r="AN7687" s="48" t="n"/>
      <c r="AO7687" s="48" t="n"/>
    </row>
    <row r="7688">
      <c r="M7688" s="25" t="n"/>
      <c r="Q7688" s="25" t="n"/>
      <c r="U7688" s="194" t="n"/>
      <c r="AA7688" s="25" t="n"/>
      <c r="AB7688" s="25" t="n"/>
      <c r="AC7688" s="195" t="n"/>
      <c r="AD7688" s="25" t="n"/>
      <c r="AE7688" s="25" t="n"/>
      <c r="AG7688" s="25" t="n"/>
      <c r="AH7688" s="25" t="n"/>
      <c r="AI7688" s="394" t="n"/>
      <c r="AM7688" s="48" t="n"/>
      <c r="AN7688" s="48" t="n"/>
      <c r="AO7688" s="48" t="n"/>
    </row>
    <row r="7689">
      <c r="M7689" s="25" t="n"/>
      <c r="Q7689" s="25" t="n"/>
      <c r="U7689" s="194" t="n"/>
      <c r="AA7689" s="25" t="n"/>
      <c r="AB7689" s="25" t="n"/>
      <c r="AC7689" s="195" t="n"/>
      <c r="AD7689" s="25" t="n"/>
      <c r="AE7689" s="25" t="n"/>
      <c r="AG7689" s="25" t="n"/>
      <c r="AH7689" s="25" t="n"/>
      <c r="AI7689" s="394" t="n"/>
      <c r="AM7689" s="48" t="n"/>
      <c r="AN7689" s="48" t="n"/>
      <c r="AO7689" s="48" t="n"/>
    </row>
    <row r="7690">
      <c r="M7690" s="25" t="n"/>
      <c r="Q7690" s="25" t="n"/>
      <c r="U7690" s="194" t="n"/>
      <c r="AA7690" s="25" t="n"/>
      <c r="AB7690" s="25" t="n"/>
      <c r="AC7690" s="195" t="n"/>
      <c r="AD7690" s="25" t="n"/>
      <c r="AE7690" s="25" t="n"/>
      <c r="AG7690" s="25" t="n"/>
      <c r="AH7690" s="25" t="n"/>
      <c r="AI7690" s="394" t="n"/>
      <c r="AM7690" s="48" t="n"/>
      <c r="AN7690" s="48" t="n"/>
      <c r="AO7690" s="48" t="n"/>
    </row>
    <row r="7691">
      <c r="M7691" s="25" t="n"/>
      <c r="Q7691" s="25" t="n"/>
      <c r="U7691" s="194" t="n"/>
      <c r="AA7691" s="25" t="n"/>
      <c r="AB7691" s="25" t="n"/>
      <c r="AC7691" s="195" t="n"/>
      <c r="AD7691" s="25" t="n"/>
      <c r="AE7691" s="25" t="n"/>
      <c r="AG7691" s="25" t="n"/>
      <c r="AH7691" s="25" t="n"/>
      <c r="AI7691" s="394" t="n"/>
      <c r="AM7691" s="48" t="n"/>
      <c r="AN7691" s="48" t="n"/>
      <c r="AO7691" s="48" t="n"/>
    </row>
    <row r="7692">
      <c r="M7692" s="25" t="n"/>
      <c r="Q7692" s="25" t="n"/>
      <c r="U7692" s="194" t="n"/>
      <c r="AA7692" s="25" t="n"/>
      <c r="AB7692" s="25" t="n"/>
      <c r="AC7692" s="195" t="n"/>
      <c r="AD7692" s="25" t="n"/>
      <c r="AE7692" s="25" t="n"/>
      <c r="AG7692" s="25" t="n"/>
      <c r="AH7692" s="25" t="n"/>
      <c r="AI7692" s="394" t="n"/>
      <c r="AM7692" s="48" t="n"/>
      <c r="AN7692" s="48" t="n"/>
      <c r="AO7692" s="48" t="n"/>
    </row>
    <row r="7693">
      <c r="M7693" s="25" t="n"/>
      <c r="Q7693" s="25" t="n"/>
      <c r="U7693" s="194" t="n"/>
      <c r="AA7693" s="25" t="n"/>
      <c r="AB7693" s="25" t="n"/>
      <c r="AC7693" s="195" t="n"/>
      <c r="AD7693" s="25" t="n"/>
      <c r="AE7693" s="25" t="n"/>
      <c r="AG7693" s="25" t="n"/>
      <c r="AH7693" s="25" t="n"/>
      <c r="AI7693" s="394" t="n"/>
      <c r="AM7693" s="48" t="n"/>
      <c r="AN7693" s="48" t="n"/>
      <c r="AO7693" s="48" t="n"/>
    </row>
    <row r="7694">
      <c r="M7694" s="25" t="n"/>
      <c r="Q7694" s="25" t="n"/>
      <c r="U7694" s="194" t="n"/>
      <c r="AA7694" s="25" t="n"/>
      <c r="AB7694" s="25" t="n"/>
      <c r="AC7694" s="195" t="n"/>
      <c r="AD7694" s="25" t="n"/>
      <c r="AE7694" s="25" t="n"/>
      <c r="AG7694" s="25" t="n"/>
      <c r="AH7694" s="25" t="n"/>
      <c r="AI7694" s="394" t="n"/>
      <c r="AM7694" s="48" t="n"/>
      <c r="AN7694" s="48" t="n"/>
      <c r="AO7694" s="48" t="n"/>
    </row>
    <row r="7695">
      <c r="M7695" s="25" t="n"/>
      <c r="Q7695" s="25" t="n"/>
      <c r="U7695" s="194" t="n"/>
      <c r="AA7695" s="25" t="n"/>
      <c r="AB7695" s="25" t="n"/>
      <c r="AC7695" s="195" t="n"/>
      <c r="AD7695" s="25" t="n"/>
      <c r="AE7695" s="25" t="n"/>
      <c r="AG7695" s="25" t="n"/>
      <c r="AH7695" s="25" t="n"/>
      <c r="AI7695" s="394" t="n"/>
      <c r="AM7695" s="48" t="n"/>
      <c r="AN7695" s="48" t="n"/>
      <c r="AO7695" s="48" t="n"/>
    </row>
    <row r="7696">
      <c r="M7696" s="25" t="n"/>
      <c r="Q7696" s="25" t="n"/>
      <c r="U7696" s="194" t="n"/>
      <c r="AA7696" s="25" t="n"/>
      <c r="AB7696" s="25" t="n"/>
      <c r="AC7696" s="195" t="n"/>
      <c r="AD7696" s="25" t="n"/>
      <c r="AE7696" s="25" t="n"/>
      <c r="AG7696" s="25" t="n"/>
      <c r="AH7696" s="25" t="n"/>
      <c r="AI7696" s="394" t="n"/>
      <c r="AM7696" s="48" t="n"/>
      <c r="AN7696" s="48" t="n"/>
      <c r="AO7696" s="48" t="n"/>
    </row>
    <row r="7697">
      <c r="M7697" s="25" t="n"/>
      <c r="Q7697" s="25" t="n"/>
      <c r="U7697" s="194" t="n"/>
      <c r="AA7697" s="25" t="n"/>
      <c r="AB7697" s="25" t="n"/>
      <c r="AC7697" s="195" t="n"/>
      <c r="AD7697" s="25" t="n"/>
      <c r="AE7697" s="25" t="n"/>
      <c r="AG7697" s="25" t="n"/>
      <c r="AH7697" s="25" t="n"/>
      <c r="AI7697" s="394" t="n"/>
      <c r="AM7697" s="48" t="n"/>
      <c r="AN7697" s="48" t="n"/>
      <c r="AO7697" s="48" t="n"/>
    </row>
    <row r="7698">
      <c r="M7698" s="25" t="n"/>
      <c r="Q7698" s="25" t="n"/>
      <c r="U7698" s="194" t="n"/>
      <c r="AA7698" s="25" t="n"/>
      <c r="AB7698" s="25" t="n"/>
      <c r="AC7698" s="195" t="n"/>
      <c r="AD7698" s="25" t="n"/>
      <c r="AE7698" s="25" t="n"/>
      <c r="AG7698" s="25" t="n"/>
      <c r="AH7698" s="25" t="n"/>
      <c r="AI7698" s="394" t="n"/>
      <c r="AM7698" s="48" t="n"/>
      <c r="AN7698" s="48" t="n"/>
      <c r="AO7698" s="48" t="n"/>
    </row>
    <row r="7699">
      <c r="M7699" s="25" t="n"/>
      <c r="Q7699" s="25" t="n"/>
      <c r="U7699" s="194" t="n"/>
      <c r="AA7699" s="25" t="n"/>
      <c r="AB7699" s="25" t="n"/>
      <c r="AC7699" s="195" t="n"/>
      <c r="AD7699" s="25" t="n"/>
      <c r="AE7699" s="25" t="n"/>
      <c r="AG7699" s="25" t="n"/>
      <c r="AH7699" s="25" t="n"/>
      <c r="AI7699" s="394" t="n"/>
      <c r="AM7699" s="48" t="n"/>
      <c r="AN7699" s="48" t="n"/>
      <c r="AO7699" s="48" t="n"/>
    </row>
    <row r="7700">
      <c r="M7700" s="25" t="n"/>
      <c r="Q7700" s="25" t="n"/>
      <c r="U7700" s="194" t="n"/>
      <c r="AA7700" s="25" t="n"/>
      <c r="AB7700" s="25" t="n"/>
      <c r="AC7700" s="195" t="n"/>
      <c r="AD7700" s="25" t="n"/>
      <c r="AE7700" s="25" t="n"/>
      <c r="AG7700" s="25" t="n"/>
      <c r="AH7700" s="25" t="n"/>
      <c r="AI7700" s="394" t="n"/>
      <c r="AM7700" s="48" t="n"/>
      <c r="AN7700" s="48" t="n"/>
      <c r="AO7700" s="48" t="n"/>
    </row>
    <row r="7701">
      <c r="M7701" s="25" t="n"/>
      <c r="Q7701" s="25" t="n"/>
      <c r="U7701" s="194" t="n"/>
      <c r="AA7701" s="25" t="n"/>
      <c r="AB7701" s="25" t="n"/>
      <c r="AC7701" s="195" t="n"/>
      <c r="AD7701" s="25" t="n"/>
      <c r="AE7701" s="25" t="n"/>
      <c r="AG7701" s="25" t="n"/>
      <c r="AH7701" s="25" t="n"/>
      <c r="AI7701" s="394" t="n"/>
      <c r="AM7701" s="48" t="n"/>
      <c r="AN7701" s="48" t="n"/>
      <c r="AO7701" s="48" t="n"/>
    </row>
    <row r="7702">
      <c r="M7702" s="25" t="n"/>
      <c r="Q7702" s="25" t="n"/>
      <c r="U7702" s="194" t="n"/>
      <c r="AA7702" s="25" t="n"/>
      <c r="AB7702" s="25" t="n"/>
      <c r="AC7702" s="195" t="n"/>
      <c r="AD7702" s="25" t="n"/>
      <c r="AE7702" s="25" t="n"/>
      <c r="AG7702" s="25" t="n"/>
      <c r="AH7702" s="25" t="n"/>
      <c r="AI7702" s="394" t="n"/>
      <c r="AM7702" s="48" t="n"/>
      <c r="AN7702" s="48" t="n"/>
      <c r="AO7702" s="48" t="n"/>
    </row>
    <row r="7703">
      <c r="M7703" s="25" t="n"/>
      <c r="Q7703" s="25" t="n"/>
      <c r="U7703" s="194" t="n"/>
      <c r="AA7703" s="25" t="n"/>
      <c r="AB7703" s="25" t="n"/>
      <c r="AC7703" s="195" t="n"/>
      <c r="AD7703" s="25" t="n"/>
      <c r="AE7703" s="25" t="n"/>
      <c r="AG7703" s="25" t="n"/>
      <c r="AH7703" s="25" t="n"/>
      <c r="AI7703" s="394" t="n"/>
      <c r="AM7703" s="48" t="n"/>
      <c r="AN7703" s="48" t="n"/>
      <c r="AO7703" s="48" t="n"/>
    </row>
    <row r="7704">
      <c r="M7704" s="25" t="n"/>
      <c r="Q7704" s="25" t="n"/>
      <c r="U7704" s="194" t="n"/>
      <c r="AA7704" s="25" t="n"/>
      <c r="AB7704" s="25" t="n"/>
      <c r="AC7704" s="195" t="n"/>
      <c r="AD7704" s="25" t="n"/>
      <c r="AE7704" s="25" t="n"/>
      <c r="AG7704" s="25" t="n"/>
      <c r="AH7704" s="25" t="n"/>
      <c r="AI7704" s="394" t="n"/>
      <c r="AM7704" s="48" t="n"/>
      <c r="AN7704" s="48" t="n"/>
      <c r="AO7704" s="48" t="n"/>
    </row>
    <row r="7705">
      <c r="M7705" s="25" t="n"/>
      <c r="Q7705" s="25" t="n"/>
      <c r="U7705" s="194" t="n"/>
      <c r="AA7705" s="25" t="n"/>
      <c r="AB7705" s="25" t="n"/>
      <c r="AC7705" s="195" t="n"/>
      <c r="AD7705" s="25" t="n"/>
      <c r="AE7705" s="25" t="n"/>
      <c r="AG7705" s="25" t="n"/>
      <c r="AH7705" s="25" t="n"/>
      <c r="AI7705" s="394" t="n"/>
      <c r="AM7705" s="48" t="n"/>
      <c r="AN7705" s="48" t="n"/>
      <c r="AO7705" s="48" t="n"/>
    </row>
    <row r="7706">
      <c r="M7706" s="25" t="n"/>
      <c r="Q7706" s="25" t="n"/>
      <c r="U7706" s="194" t="n"/>
      <c r="AA7706" s="25" t="n"/>
      <c r="AB7706" s="25" t="n"/>
      <c r="AC7706" s="195" t="n"/>
      <c r="AD7706" s="25" t="n"/>
      <c r="AE7706" s="25" t="n"/>
      <c r="AG7706" s="25" t="n"/>
      <c r="AH7706" s="25" t="n"/>
      <c r="AI7706" s="394" t="n"/>
      <c r="AM7706" s="48" t="n"/>
      <c r="AN7706" s="48" t="n"/>
      <c r="AO7706" s="48" t="n"/>
    </row>
    <row r="7707">
      <c r="M7707" s="25" t="n"/>
      <c r="Q7707" s="25" t="n"/>
      <c r="U7707" s="194" t="n"/>
      <c r="AA7707" s="25" t="n"/>
      <c r="AB7707" s="25" t="n"/>
      <c r="AC7707" s="195" t="n"/>
      <c r="AD7707" s="25" t="n"/>
      <c r="AE7707" s="25" t="n"/>
      <c r="AG7707" s="25" t="n"/>
      <c r="AH7707" s="25" t="n"/>
      <c r="AI7707" s="394" t="n"/>
      <c r="AM7707" s="48" t="n"/>
      <c r="AN7707" s="48" t="n"/>
      <c r="AO7707" s="48" t="n"/>
    </row>
    <row r="7708">
      <c r="M7708" s="25" t="n"/>
      <c r="Q7708" s="25" t="n"/>
      <c r="U7708" s="194" t="n"/>
      <c r="AA7708" s="25" t="n"/>
      <c r="AB7708" s="25" t="n"/>
      <c r="AC7708" s="195" t="n"/>
      <c r="AD7708" s="25" t="n"/>
      <c r="AE7708" s="25" t="n"/>
      <c r="AG7708" s="25" t="n"/>
      <c r="AH7708" s="25" t="n"/>
      <c r="AI7708" s="394" t="n"/>
      <c r="AM7708" s="48" t="n"/>
      <c r="AN7708" s="48" t="n"/>
      <c r="AO7708" s="48" t="n"/>
    </row>
    <row r="7709">
      <c r="M7709" s="25" t="n"/>
      <c r="Q7709" s="25" t="n"/>
      <c r="U7709" s="194" t="n"/>
      <c r="AA7709" s="25" t="n"/>
      <c r="AB7709" s="25" t="n"/>
      <c r="AC7709" s="195" t="n"/>
      <c r="AD7709" s="25" t="n"/>
      <c r="AE7709" s="25" t="n"/>
      <c r="AG7709" s="25" t="n"/>
      <c r="AH7709" s="25" t="n"/>
      <c r="AI7709" s="394" t="n"/>
      <c r="AM7709" s="48" t="n"/>
      <c r="AN7709" s="48" t="n"/>
      <c r="AO7709" s="48" t="n"/>
    </row>
    <row r="7710">
      <c r="M7710" s="25" t="n"/>
      <c r="Q7710" s="25" t="n"/>
      <c r="U7710" s="194" t="n"/>
      <c r="AA7710" s="25" t="n"/>
      <c r="AB7710" s="25" t="n"/>
      <c r="AC7710" s="195" t="n"/>
      <c r="AD7710" s="25" t="n"/>
      <c r="AE7710" s="25" t="n"/>
      <c r="AG7710" s="25" t="n"/>
      <c r="AH7710" s="25" t="n"/>
      <c r="AI7710" s="394" t="n"/>
      <c r="AM7710" s="48" t="n"/>
      <c r="AN7710" s="48" t="n"/>
      <c r="AO7710" s="48" t="n"/>
    </row>
    <row r="7711">
      <c r="M7711" s="25" t="n"/>
      <c r="Q7711" s="25" t="n"/>
      <c r="U7711" s="194" t="n"/>
      <c r="AA7711" s="25" t="n"/>
      <c r="AB7711" s="25" t="n"/>
      <c r="AC7711" s="195" t="n"/>
      <c r="AD7711" s="25" t="n"/>
      <c r="AE7711" s="25" t="n"/>
      <c r="AG7711" s="25" t="n"/>
      <c r="AH7711" s="25" t="n"/>
      <c r="AI7711" s="394" t="n"/>
      <c r="AM7711" s="48" t="n"/>
      <c r="AN7711" s="48" t="n"/>
      <c r="AO7711" s="48" t="n"/>
    </row>
    <row r="7712">
      <c r="M7712" s="25" t="n"/>
      <c r="Q7712" s="25" t="n"/>
      <c r="U7712" s="194" t="n"/>
      <c r="AA7712" s="25" t="n"/>
      <c r="AB7712" s="25" t="n"/>
      <c r="AC7712" s="195" t="n"/>
      <c r="AD7712" s="25" t="n"/>
      <c r="AE7712" s="25" t="n"/>
      <c r="AG7712" s="25" t="n"/>
      <c r="AH7712" s="25" t="n"/>
      <c r="AI7712" s="394" t="n"/>
      <c r="AM7712" s="48" t="n"/>
      <c r="AN7712" s="48" t="n"/>
      <c r="AO7712" s="48" t="n"/>
    </row>
    <row r="7713">
      <c r="M7713" s="25" t="n"/>
      <c r="Q7713" s="25" t="n"/>
      <c r="U7713" s="194" t="n"/>
      <c r="AA7713" s="25" t="n"/>
      <c r="AB7713" s="25" t="n"/>
      <c r="AC7713" s="195" t="n"/>
      <c r="AD7713" s="25" t="n"/>
      <c r="AE7713" s="25" t="n"/>
      <c r="AG7713" s="25" t="n"/>
      <c r="AH7713" s="25" t="n"/>
      <c r="AI7713" s="394" t="n"/>
      <c r="AM7713" s="48" t="n"/>
      <c r="AN7713" s="48" t="n"/>
      <c r="AO7713" s="48" t="n"/>
    </row>
    <row r="7714">
      <c r="M7714" s="25" t="n"/>
      <c r="Q7714" s="25" t="n"/>
      <c r="U7714" s="194" t="n"/>
      <c r="AA7714" s="25" t="n"/>
      <c r="AB7714" s="25" t="n"/>
      <c r="AC7714" s="195" t="n"/>
      <c r="AD7714" s="25" t="n"/>
      <c r="AE7714" s="25" t="n"/>
      <c r="AG7714" s="25" t="n"/>
      <c r="AH7714" s="25" t="n"/>
      <c r="AI7714" s="394" t="n"/>
      <c r="AM7714" s="48" t="n"/>
      <c r="AN7714" s="48" t="n"/>
      <c r="AO7714" s="48" t="n"/>
    </row>
    <row r="7715">
      <c r="M7715" s="25" t="n"/>
      <c r="Q7715" s="25" t="n"/>
      <c r="U7715" s="194" t="n"/>
      <c r="AA7715" s="25" t="n"/>
      <c r="AB7715" s="25" t="n"/>
      <c r="AC7715" s="195" t="n"/>
      <c r="AD7715" s="25" t="n"/>
      <c r="AE7715" s="25" t="n"/>
      <c r="AG7715" s="25" t="n"/>
      <c r="AH7715" s="25" t="n"/>
      <c r="AI7715" s="394" t="n"/>
      <c r="AM7715" s="48" t="n"/>
      <c r="AN7715" s="48" t="n"/>
      <c r="AO7715" s="48" t="n"/>
    </row>
    <row r="7716">
      <c r="M7716" s="25" t="n"/>
      <c r="Q7716" s="25" t="n"/>
      <c r="U7716" s="194" t="n"/>
      <c r="AA7716" s="25" t="n"/>
      <c r="AB7716" s="25" t="n"/>
      <c r="AC7716" s="195" t="n"/>
      <c r="AD7716" s="25" t="n"/>
      <c r="AE7716" s="25" t="n"/>
      <c r="AG7716" s="25" t="n"/>
      <c r="AH7716" s="25" t="n"/>
      <c r="AI7716" s="394" t="n"/>
      <c r="AM7716" s="48" t="n"/>
      <c r="AN7716" s="48" t="n"/>
      <c r="AO7716" s="48" t="n"/>
    </row>
    <row r="7717">
      <c r="M7717" s="25" t="n"/>
      <c r="Q7717" s="25" t="n"/>
      <c r="U7717" s="194" t="n"/>
      <c r="AA7717" s="25" t="n"/>
      <c r="AB7717" s="25" t="n"/>
      <c r="AC7717" s="195" t="n"/>
      <c r="AD7717" s="25" t="n"/>
      <c r="AE7717" s="25" t="n"/>
      <c r="AG7717" s="25" t="n"/>
      <c r="AH7717" s="25" t="n"/>
      <c r="AI7717" s="394" t="n"/>
      <c r="AM7717" s="48" t="n"/>
      <c r="AN7717" s="48" t="n"/>
      <c r="AO7717" s="48" t="n"/>
    </row>
    <row r="7718">
      <c r="M7718" s="25" t="n"/>
      <c r="Q7718" s="25" t="n"/>
      <c r="U7718" s="194" t="n"/>
      <c r="AA7718" s="25" t="n"/>
      <c r="AB7718" s="25" t="n"/>
      <c r="AC7718" s="195" t="n"/>
      <c r="AD7718" s="25" t="n"/>
      <c r="AE7718" s="25" t="n"/>
      <c r="AG7718" s="25" t="n"/>
      <c r="AH7718" s="25" t="n"/>
      <c r="AI7718" s="394" t="n"/>
      <c r="AM7718" s="48" t="n"/>
      <c r="AN7718" s="48" t="n"/>
      <c r="AO7718" s="48" t="n"/>
    </row>
    <row r="7719">
      <c r="M7719" s="25" t="n"/>
      <c r="Q7719" s="25" t="n"/>
      <c r="U7719" s="194" t="n"/>
      <c r="AA7719" s="25" t="n"/>
      <c r="AB7719" s="25" t="n"/>
      <c r="AC7719" s="195" t="n"/>
      <c r="AD7719" s="25" t="n"/>
      <c r="AE7719" s="25" t="n"/>
      <c r="AG7719" s="25" t="n"/>
      <c r="AH7719" s="25" t="n"/>
      <c r="AI7719" s="394" t="n"/>
      <c r="AM7719" s="48" t="n"/>
      <c r="AN7719" s="48" t="n"/>
      <c r="AO7719" s="48" t="n"/>
    </row>
    <row r="7720">
      <c r="M7720" s="25" t="n"/>
      <c r="Q7720" s="25" t="n"/>
      <c r="U7720" s="194" t="n"/>
      <c r="AA7720" s="25" t="n"/>
      <c r="AB7720" s="25" t="n"/>
      <c r="AC7720" s="195" t="n"/>
      <c r="AD7720" s="25" t="n"/>
      <c r="AE7720" s="25" t="n"/>
      <c r="AG7720" s="25" t="n"/>
      <c r="AH7720" s="25" t="n"/>
      <c r="AI7720" s="394" t="n"/>
      <c r="AM7720" s="48" t="n"/>
      <c r="AN7720" s="48" t="n"/>
      <c r="AO7720" s="48" t="n"/>
    </row>
    <row r="7721">
      <c r="M7721" s="25" t="n"/>
      <c r="Q7721" s="25" t="n"/>
      <c r="U7721" s="194" t="n"/>
      <c r="AA7721" s="25" t="n"/>
      <c r="AB7721" s="25" t="n"/>
      <c r="AC7721" s="195" t="n"/>
      <c r="AD7721" s="25" t="n"/>
      <c r="AE7721" s="25" t="n"/>
      <c r="AG7721" s="25" t="n"/>
      <c r="AH7721" s="25" t="n"/>
      <c r="AI7721" s="394" t="n"/>
      <c r="AM7721" s="48" t="n"/>
      <c r="AN7721" s="48" t="n"/>
      <c r="AO7721" s="48" t="n"/>
    </row>
    <row r="7722">
      <c r="M7722" s="25" t="n"/>
      <c r="Q7722" s="25" t="n"/>
      <c r="U7722" s="194" t="n"/>
      <c r="AA7722" s="25" t="n"/>
      <c r="AB7722" s="25" t="n"/>
      <c r="AC7722" s="195" t="n"/>
      <c r="AD7722" s="25" t="n"/>
      <c r="AE7722" s="25" t="n"/>
      <c r="AG7722" s="25" t="n"/>
      <c r="AH7722" s="25" t="n"/>
      <c r="AI7722" s="394" t="n"/>
      <c r="AM7722" s="48" t="n"/>
      <c r="AN7722" s="48" t="n"/>
      <c r="AO7722" s="48" t="n"/>
    </row>
    <row r="7723">
      <c r="M7723" s="25" t="n"/>
      <c r="Q7723" s="25" t="n"/>
      <c r="U7723" s="194" t="n"/>
      <c r="AA7723" s="25" t="n"/>
      <c r="AB7723" s="25" t="n"/>
      <c r="AC7723" s="195" t="n"/>
      <c r="AD7723" s="25" t="n"/>
      <c r="AE7723" s="25" t="n"/>
      <c r="AG7723" s="25" t="n"/>
      <c r="AH7723" s="25" t="n"/>
      <c r="AI7723" s="394" t="n"/>
      <c r="AM7723" s="48" t="n"/>
      <c r="AN7723" s="48" t="n"/>
      <c r="AO7723" s="48" t="n"/>
    </row>
    <row r="7724">
      <c r="M7724" s="25" t="n"/>
      <c r="Q7724" s="25" t="n"/>
      <c r="U7724" s="194" t="n"/>
      <c r="AA7724" s="25" t="n"/>
      <c r="AB7724" s="25" t="n"/>
      <c r="AC7724" s="195" t="n"/>
      <c r="AD7724" s="25" t="n"/>
      <c r="AE7724" s="25" t="n"/>
      <c r="AG7724" s="25" t="n"/>
      <c r="AH7724" s="25" t="n"/>
      <c r="AI7724" s="394" t="n"/>
      <c r="AM7724" s="48" t="n"/>
      <c r="AN7724" s="48" t="n"/>
      <c r="AO7724" s="48" t="n"/>
    </row>
    <row r="7725">
      <c r="M7725" s="25" t="n"/>
      <c r="Q7725" s="25" t="n"/>
      <c r="U7725" s="194" t="n"/>
      <c r="AA7725" s="25" t="n"/>
      <c r="AB7725" s="25" t="n"/>
      <c r="AC7725" s="195" t="n"/>
      <c r="AD7725" s="25" t="n"/>
      <c r="AE7725" s="25" t="n"/>
      <c r="AG7725" s="25" t="n"/>
      <c r="AH7725" s="25" t="n"/>
      <c r="AI7725" s="394" t="n"/>
      <c r="AM7725" s="48" t="n"/>
      <c r="AN7725" s="48" t="n"/>
      <c r="AO7725" s="48" t="n"/>
    </row>
    <row r="7726">
      <c r="M7726" s="25" t="n"/>
      <c r="Q7726" s="25" t="n"/>
      <c r="U7726" s="194" t="n"/>
      <c r="AA7726" s="25" t="n"/>
      <c r="AB7726" s="25" t="n"/>
      <c r="AC7726" s="195" t="n"/>
      <c r="AD7726" s="25" t="n"/>
      <c r="AE7726" s="25" t="n"/>
      <c r="AG7726" s="25" t="n"/>
      <c r="AH7726" s="25" t="n"/>
      <c r="AI7726" s="394" t="n"/>
      <c r="AM7726" s="48" t="n"/>
      <c r="AN7726" s="48" t="n"/>
      <c r="AO7726" s="48" t="n"/>
    </row>
    <row r="7727">
      <c r="M7727" s="25" t="n"/>
      <c r="Q7727" s="25" t="n"/>
      <c r="U7727" s="194" t="n"/>
      <c r="AA7727" s="25" t="n"/>
      <c r="AB7727" s="25" t="n"/>
      <c r="AC7727" s="195" t="n"/>
      <c r="AD7727" s="25" t="n"/>
      <c r="AE7727" s="25" t="n"/>
      <c r="AG7727" s="25" t="n"/>
      <c r="AH7727" s="25" t="n"/>
      <c r="AI7727" s="394" t="n"/>
      <c r="AM7727" s="48" t="n"/>
      <c r="AN7727" s="48" t="n"/>
      <c r="AO7727" s="48" t="n"/>
    </row>
    <row r="7728">
      <c r="M7728" s="25" t="n"/>
      <c r="Q7728" s="25" t="n"/>
      <c r="U7728" s="194" t="n"/>
      <c r="AA7728" s="25" t="n"/>
      <c r="AB7728" s="25" t="n"/>
      <c r="AC7728" s="195" t="n"/>
      <c r="AD7728" s="25" t="n"/>
      <c r="AE7728" s="25" t="n"/>
      <c r="AG7728" s="25" t="n"/>
      <c r="AH7728" s="25" t="n"/>
      <c r="AI7728" s="394" t="n"/>
      <c r="AM7728" s="48" t="n"/>
      <c r="AN7728" s="48" t="n"/>
      <c r="AO7728" s="48" t="n"/>
    </row>
    <row r="7729">
      <c r="M7729" s="25" t="n"/>
      <c r="Q7729" s="25" t="n"/>
      <c r="U7729" s="194" t="n"/>
      <c r="AA7729" s="25" t="n"/>
      <c r="AB7729" s="25" t="n"/>
      <c r="AC7729" s="195" t="n"/>
      <c r="AD7729" s="25" t="n"/>
      <c r="AE7729" s="25" t="n"/>
      <c r="AG7729" s="25" t="n"/>
      <c r="AH7729" s="25" t="n"/>
      <c r="AI7729" s="394" t="n"/>
      <c r="AM7729" s="48" t="n"/>
      <c r="AN7729" s="48" t="n"/>
      <c r="AO7729" s="48" t="n"/>
    </row>
    <row r="7730">
      <c r="M7730" s="25" t="n"/>
      <c r="Q7730" s="25" t="n"/>
      <c r="U7730" s="194" t="n"/>
      <c r="AA7730" s="25" t="n"/>
      <c r="AB7730" s="25" t="n"/>
      <c r="AC7730" s="195" t="n"/>
      <c r="AD7730" s="25" t="n"/>
      <c r="AE7730" s="25" t="n"/>
      <c r="AG7730" s="25" t="n"/>
      <c r="AH7730" s="25" t="n"/>
      <c r="AI7730" s="394" t="n"/>
      <c r="AM7730" s="48" t="n"/>
      <c r="AN7730" s="48" t="n"/>
      <c r="AO7730" s="48" t="n"/>
    </row>
    <row r="7731">
      <c r="M7731" s="25" t="n"/>
      <c r="Q7731" s="25" t="n"/>
      <c r="U7731" s="194" t="n"/>
      <c r="AA7731" s="25" t="n"/>
      <c r="AB7731" s="25" t="n"/>
      <c r="AC7731" s="195" t="n"/>
      <c r="AD7731" s="25" t="n"/>
      <c r="AE7731" s="25" t="n"/>
      <c r="AG7731" s="25" t="n"/>
      <c r="AH7731" s="25" t="n"/>
      <c r="AI7731" s="394" t="n"/>
      <c r="AM7731" s="48" t="n"/>
      <c r="AN7731" s="48" t="n"/>
      <c r="AO7731" s="48" t="n"/>
    </row>
    <row r="7732">
      <c r="M7732" s="25" t="n"/>
      <c r="Q7732" s="25" t="n"/>
      <c r="U7732" s="194" t="n"/>
      <c r="AA7732" s="25" t="n"/>
      <c r="AB7732" s="25" t="n"/>
      <c r="AC7732" s="195" t="n"/>
      <c r="AD7732" s="25" t="n"/>
      <c r="AE7732" s="25" t="n"/>
      <c r="AG7732" s="25" t="n"/>
      <c r="AH7732" s="25" t="n"/>
      <c r="AI7732" s="394" t="n"/>
      <c r="AM7732" s="48" t="n"/>
      <c r="AN7732" s="48" t="n"/>
      <c r="AO7732" s="48" t="n"/>
    </row>
    <row r="7733">
      <c r="M7733" s="25" t="n"/>
      <c r="Q7733" s="25" t="n"/>
      <c r="U7733" s="194" t="n"/>
      <c r="AA7733" s="25" t="n"/>
      <c r="AB7733" s="25" t="n"/>
      <c r="AC7733" s="195" t="n"/>
      <c r="AD7733" s="25" t="n"/>
      <c r="AE7733" s="25" t="n"/>
      <c r="AG7733" s="25" t="n"/>
      <c r="AH7733" s="25" t="n"/>
      <c r="AI7733" s="394" t="n"/>
      <c r="AM7733" s="48" t="n"/>
      <c r="AN7733" s="48" t="n"/>
      <c r="AO7733" s="48" t="n"/>
    </row>
    <row r="7734">
      <c r="M7734" s="25" t="n"/>
      <c r="Q7734" s="25" t="n"/>
      <c r="U7734" s="194" t="n"/>
      <c r="AA7734" s="25" t="n"/>
      <c r="AB7734" s="25" t="n"/>
      <c r="AC7734" s="195" t="n"/>
      <c r="AD7734" s="25" t="n"/>
      <c r="AE7734" s="25" t="n"/>
      <c r="AG7734" s="25" t="n"/>
      <c r="AH7734" s="25" t="n"/>
      <c r="AI7734" s="394" t="n"/>
      <c r="AM7734" s="48" t="n"/>
      <c r="AN7734" s="48" t="n"/>
      <c r="AO7734" s="48" t="n"/>
    </row>
    <row r="7735">
      <c r="M7735" s="25" t="n"/>
      <c r="Q7735" s="25" t="n"/>
      <c r="U7735" s="194" t="n"/>
      <c r="AA7735" s="25" t="n"/>
      <c r="AB7735" s="25" t="n"/>
      <c r="AC7735" s="195" t="n"/>
      <c r="AD7735" s="25" t="n"/>
      <c r="AE7735" s="25" t="n"/>
      <c r="AG7735" s="25" t="n"/>
      <c r="AH7735" s="25" t="n"/>
      <c r="AI7735" s="394" t="n"/>
      <c r="AM7735" s="48" t="n"/>
      <c r="AN7735" s="48" t="n"/>
      <c r="AO7735" s="48" t="n"/>
    </row>
    <row r="7736">
      <c r="M7736" s="25" t="n"/>
      <c r="Q7736" s="25" t="n"/>
      <c r="U7736" s="194" t="n"/>
      <c r="AA7736" s="25" t="n"/>
      <c r="AB7736" s="25" t="n"/>
      <c r="AC7736" s="195" t="n"/>
      <c r="AD7736" s="25" t="n"/>
      <c r="AE7736" s="25" t="n"/>
      <c r="AG7736" s="25" t="n"/>
      <c r="AH7736" s="25" t="n"/>
      <c r="AI7736" s="394" t="n"/>
      <c r="AM7736" s="48" t="n"/>
      <c r="AN7736" s="48" t="n"/>
      <c r="AO7736" s="48" t="n"/>
    </row>
    <row r="7737">
      <c r="M7737" s="25" t="n"/>
      <c r="Q7737" s="25" t="n"/>
      <c r="U7737" s="194" t="n"/>
      <c r="AA7737" s="25" t="n"/>
      <c r="AB7737" s="25" t="n"/>
      <c r="AC7737" s="195" t="n"/>
      <c r="AD7737" s="25" t="n"/>
      <c r="AE7737" s="25" t="n"/>
      <c r="AG7737" s="25" t="n"/>
      <c r="AH7737" s="25" t="n"/>
      <c r="AI7737" s="394" t="n"/>
      <c r="AM7737" s="48" t="n"/>
      <c r="AN7737" s="48" t="n"/>
      <c r="AO7737" s="48" t="n"/>
    </row>
    <row r="7738">
      <c r="M7738" s="25" t="n"/>
      <c r="Q7738" s="25" t="n"/>
      <c r="U7738" s="194" t="n"/>
      <c r="AA7738" s="25" t="n"/>
      <c r="AB7738" s="25" t="n"/>
      <c r="AC7738" s="195" t="n"/>
      <c r="AD7738" s="25" t="n"/>
      <c r="AE7738" s="25" t="n"/>
      <c r="AG7738" s="25" t="n"/>
      <c r="AH7738" s="25" t="n"/>
      <c r="AI7738" s="394" t="n"/>
      <c r="AM7738" s="48" t="n"/>
      <c r="AN7738" s="48" t="n"/>
      <c r="AO7738" s="48" t="n"/>
    </row>
    <row r="7739">
      <c r="M7739" s="25" t="n"/>
      <c r="Q7739" s="25" t="n"/>
      <c r="U7739" s="194" t="n"/>
      <c r="AA7739" s="25" t="n"/>
      <c r="AB7739" s="25" t="n"/>
      <c r="AC7739" s="195" t="n"/>
      <c r="AD7739" s="25" t="n"/>
      <c r="AE7739" s="25" t="n"/>
      <c r="AG7739" s="25" t="n"/>
      <c r="AH7739" s="25" t="n"/>
      <c r="AI7739" s="394" t="n"/>
      <c r="AM7739" s="48" t="n"/>
      <c r="AN7739" s="48" t="n"/>
      <c r="AO7739" s="48" t="n"/>
    </row>
    <row r="7740">
      <c r="M7740" s="25" t="n"/>
      <c r="Q7740" s="25" t="n"/>
      <c r="U7740" s="194" t="n"/>
      <c r="AA7740" s="25" t="n"/>
      <c r="AB7740" s="25" t="n"/>
      <c r="AC7740" s="195" t="n"/>
      <c r="AD7740" s="25" t="n"/>
      <c r="AE7740" s="25" t="n"/>
      <c r="AG7740" s="25" t="n"/>
      <c r="AH7740" s="25" t="n"/>
      <c r="AI7740" s="394" t="n"/>
      <c r="AM7740" s="48" t="n"/>
      <c r="AN7740" s="48" t="n"/>
      <c r="AO7740" s="48" t="n"/>
    </row>
    <row r="7741">
      <c r="M7741" s="25" t="n"/>
      <c r="Q7741" s="25" t="n"/>
      <c r="U7741" s="194" t="n"/>
      <c r="AA7741" s="25" t="n"/>
      <c r="AB7741" s="25" t="n"/>
      <c r="AC7741" s="195" t="n"/>
      <c r="AD7741" s="25" t="n"/>
      <c r="AE7741" s="25" t="n"/>
      <c r="AG7741" s="25" t="n"/>
      <c r="AH7741" s="25" t="n"/>
      <c r="AI7741" s="394" t="n"/>
      <c r="AM7741" s="48" t="n"/>
      <c r="AN7741" s="48" t="n"/>
      <c r="AO7741" s="48" t="n"/>
    </row>
    <row r="7742">
      <c r="M7742" s="25" t="n"/>
      <c r="Q7742" s="25" t="n"/>
      <c r="U7742" s="194" t="n"/>
      <c r="AA7742" s="25" t="n"/>
      <c r="AB7742" s="25" t="n"/>
      <c r="AC7742" s="195" t="n"/>
      <c r="AD7742" s="25" t="n"/>
      <c r="AE7742" s="25" t="n"/>
      <c r="AG7742" s="25" t="n"/>
      <c r="AH7742" s="25" t="n"/>
      <c r="AI7742" s="394" t="n"/>
      <c r="AM7742" s="48" t="n"/>
      <c r="AN7742" s="48" t="n"/>
      <c r="AO7742" s="48" t="n"/>
    </row>
    <row r="7743">
      <c r="M7743" s="25" t="n"/>
      <c r="Q7743" s="25" t="n"/>
      <c r="U7743" s="194" t="n"/>
      <c r="AA7743" s="25" t="n"/>
      <c r="AB7743" s="25" t="n"/>
      <c r="AC7743" s="195" t="n"/>
      <c r="AD7743" s="25" t="n"/>
      <c r="AE7743" s="25" t="n"/>
      <c r="AG7743" s="25" t="n"/>
      <c r="AH7743" s="25" t="n"/>
      <c r="AI7743" s="394" t="n"/>
      <c r="AM7743" s="48" t="n"/>
      <c r="AN7743" s="48" t="n"/>
      <c r="AO7743" s="48" t="n"/>
    </row>
    <row r="7744">
      <c r="M7744" s="25" t="n"/>
      <c r="Q7744" s="25" t="n"/>
      <c r="U7744" s="194" t="n"/>
      <c r="AA7744" s="25" t="n"/>
      <c r="AB7744" s="25" t="n"/>
      <c r="AC7744" s="195" t="n"/>
      <c r="AD7744" s="25" t="n"/>
      <c r="AE7744" s="25" t="n"/>
      <c r="AG7744" s="25" t="n"/>
      <c r="AH7744" s="25" t="n"/>
      <c r="AI7744" s="394" t="n"/>
      <c r="AM7744" s="48" t="n"/>
      <c r="AN7744" s="48" t="n"/>
      <c r="AO7744" s="48" t="n"/>
    </row>
    <row r="7745">
      <c r="M7745" s="25" t="n"/>
      <c r="Q7745" s="25" t="n"/>
      <c r="U7745" s="194" t="n"/>
      <c r="AA7745" s="25" t="n"/>
      <c r="AB7745" s="25" t="n"/>
      <c r="AC7745" s="195" t="n"/>
      <c r="AD7745" s="25" t="n"/>
      <c r="AE7745" s="25" t="n"/>
      <c r="AG7745" s="25" t="n"/>
      <c r="AH7745" s="25" t="n"/>
      <c r="AI7745" s="394" t="n"/>
      <c r="AM7745" s="48" t="n"/>
      <c r="AN7745" s="48" t="n"/>
      <c r="AO7745" s="48" t="n"/>
    </row>
    <row r="7746">
      <c r="M7746" s="25" t="n"/>
      <c r="Q7746" s="25" t="n"/>
      <c r="U7746" s="194" t="n"/>
      <c r="AA7746" s="25" t="n"/>
      <c r="AB7746" s="25" t="n"/>
      <c r="AC7746" s="195" t="n"/>
      <c r="AD7746" s="25" t="n"/>
      <c r="AE7746" s="25" t="n"/>
      <c r="AG7746" s="25" t="n"/>
      <c r="AH7746" s="25" t="n"/>
      <c r="AI7746" s="394" t="n"/>
      <c r="AM7746" s="48" t="n"/>
      <c r="AN7746" s="48" t="n"/>
      <c r="AO7746" s="48" t="n"/>
    </row>
    <row r="7747">
      <c r="M7747" s="25" t="n"/>
      <c r="Q7747" s="25" t="n"/>
      <c r="U7747" s="194" t="n"/>
      <c r="AA7747" s="25" t="n"/>
      <c r="AB7747" s="25" t="n"/>
      <c r="AC7747" s="195" t="n"/>
      <c r="AD7747" s="25" t="n"/>
      <c r="AE7747" s="25" t="n"/>
      <c r="AG7747" s="25" t="n"/>
      <c r="AH7747" s="25" t="n"/>
      <c r="AI7747" s="394" t="n"/>
      <c r="AM7747" s="48" t="n"/>
      <c r="AN7747" s="48" t="n"/>
      <c r="AO7747" s="48" t="n"/>
    </row>
    <row r="7748">
      <c r="M7748" s="25" t="n"/>
      <c r="Q7748" s="25" t="n"/>
      <c r="U7748" s="194" t="n"/>
      <c r="AA7748" s="25" t="n"/>
      <c r="AB7748" s="25" t="n"/>
      <c r="AC7748" s="195" t="n"/>
      <c r="AD7748" s="25" t="n"/>
      <c r="AE7748" s="25" t="n"/>
      <c r="AG7748" s="25" t="n"/>
      <c r="AH7748" s="25" t="n"/>
      <c r="AI7748" s="394" t="n"/>
      <c r="AM7748" s="48" t="n"/>
      <c r="AN7748" s="48" t="n"/>
      <c r="AO7748" s="48" t="n"/>
    </row>
    <row r="7749">
      <c r="M7749" s="25" t="n"/>
      <c r="Q7749" s="25" t="n"/>
      <c r="U7749" s="194" t="n"/>
      <c r="AA7749" s="25" t="n"/>
      <c r="AB7749" s="25" t="n"/>
      <c r="AC7749" s="195" t="n"/>
      <c r="AD7749" s="25" t="n"/>
      <c r="AE7749" s="25" t="n"/>
      <c r="AG7749" s="25" t="n"/>
      <c r="AH7749" s="25" t="n"/>
      <c r="AI7749" s="394" t="n"/>
      <c r="AM7749" s="48" t="n"/>
      <c r="AN7749" s="48" t="n"/>
      <c r="AO7749" s="48" t="n"/>
    </row>
    <row r="7750">
      <c r="M7750" s="25" t="n"/>
      <c r="Q7750" s="25" t="n"/>
      <c r="U7750" s="194" t="n"/>
      <c r="AA7750" s="25" t="n"/>
      <c r="AB7750" s="25" t="n"/>
      <c r="AC7750" s="195" t="n"/>
      <c r="AD7750" s="25" t="n"/>
      <c r="AE7750" s="25" t="n"/>
      <c r="AG7750" s="25" t="n"/>
      <c r="AH7750" s="25" t="n"/>
      <c r="AI7750" s="394" t="n"/>
      <c r="AM7750" s="48" t="n"/>
      <c r="AN7750" s="48" t="n"/>
      <c r="AO7750" s="48" t="n"/>
    </row>
    <row r="7751">
      <c r="M7751" s="25" t="n"/>
      <c r="Q7751" s="25" t="n"/>
      <c r="U7751" s="194" t="n"/>
      <c r="AA7751" s="25" t="n"/>
      <c r="AB7751" s="25" t="n"/>
      <c r="AC7751" s="195" t="n"/>
      <c r="AD7751" s="25" t="n"/>
      <c r="AE7751" s="25" t="n"/>
      <c r="AG7751" s="25" t="n"/>
      <c r="AH7751" s="25" t="n"/>
      <c r="AI7751" s="394" t="n"/>
      <c r="AM7751" s="48" t="n"/>
      <c r="AN7751" s="48" t="n"/>
      <c r="AO7751" s="48" t="n"/>
    </row>
    <row r="7752">
      <c r="M7752" s="25" t="n"/>
      <c r="Q7752" s="25" t="n"/>
      <c r="U7752" s="194" t="n"/>
      <c r="AA7752" s="25" t="n"/>
      <c r="AB7752" s="25" t="n"/>
      <c r="AC7752" s="195" t="n"/>
      <c r="AD7752" s="25" t="n"/>
      <c r="AE7752" s="25" t="n"/>
      <c r="AG7752" s="25" t="n"/>
      <c r="AH7752" s="25" t="n"/>
      <c r="AI7752" s="394" t="n"/>
      <c r="AM7752" s="48" t="n"/>
      <c r="AN7752" s="48" t="n"/>
      <c r="AO7752" s="48" t="n"/>
    </row>
    <row r="7753">
      <c r="M7753" s="25" t="n"/>
      <c r="Q7753" s="25" t="n"/>
      <c r="U7753" s="194" t="n"/>
      <c r="AA7753" s="25" t="n"/>
      <c r="AB7753" s="25" t="n"/>
      <c r="AC7753" s="195" t="n"/>
      <c r="AD7753" s="25" t="n"/>
      <c r="AE7753" s="25" t="n"/>
      <c r="AG7753" s="25" t="n"/>
      <c r="AH7753" s="25" t="n"/>
      <c r="AI7753" s="394" t="n"/>
      <c r="AM7753" s="48" t="n"/>
      <c r="AN7753" s="48" t="n"/>
      <c r="AO7753" s="48" t="n"/>
    </row>
    <row r="7754">
      <c r="M7754" s="25" t="n"/>
      <c r="Q7754" s="25" t="n"/>
      <c r="U7754" s="194" t="n"/>
      <c r="AA7754" s="25" t="n"/>
      <c r="AB7754" s="25" t="n"/>
      <c r="AC7754" s="195" t="n"/>
      <c r="AD7754" s="25" t="n"/>
      <c r="AE7754" s="25" t="n"/>
      <c r="AG7754" s="25" t="n"/>
      <c r="AH7754" s="25" t="n"/>
      <c r="AI7754" s="394" t="n"/>
      <c r="AM7754" s="48" t="n"/>
      <c r="AN7754" s="48" t="n"/>
      <c r="AO7754" s="48" t="n"/>
    </row>
    <row r="7755">
      <c r="M7755" s="25" t="n"/>
      <c r="Q7755" s="25" t="n"/>
      <c r="U7755" s="194" t="n"/>
      <c r="AA7755" s="25" t="n"/>
      <c r="AB7755" s="25" t="n"/>
      <c r="AC7755" s="195" t="n"/>
      <c r="AD7755" s="25" t="n"/>
      <c r="AE7755" s="25" t="n"/>
      <c r="AG7755" s="25" t="n"/>
      <c r="AH7755" s="25" t="n"/>
      <c r="AI7755" s="394" t="n"/>
      <c r="AM7755" s="48" t="n"/>
      <c r="AN7755" s="48" t="n"/>
      <c r="AO7755" s="48" t="n"/>
    </row>
    <row r="7756">
      <c r="M7756" s="25" t="n"/>
      <c r="Q7756" s="25" t="n"/>
      <c r="U7756" s="194" t="n"/>
      <c r="AA7756" s="25" t="n"/>
      <c r="AB7756" s="25" t="n"/>
      <c r="AC7756" s="195" t="n"/>
      <c r="AD7756" s="25" t="n"/>
      <c r="AE7756" s="25" t="n"/>
      <c r="AG7756" s="25" t="n"/>
      <c r="AH7756" s="25" t="n"/>
      <c r="AI7756" s="394" t="n"/>
      <c r="AM7756" s="48" t="n"/>
      <c r="AN7756" s="48" t="n"/>
      <c r="AO7756" s="48" t="n"/>
    </row>
    <row r="7757">
      <c r="M7757" s="25" t="n"/>
      <c r="Q7757" s="25" t="n"/>
      <c r="U7757" s="194" t="n"/>
      <c r="AA7757" s="25" t="n"/>
      <c r="AB7757" s="25" t="n"/>
      <c r="AC7757" s="195" t="n"/>
      <c r="AD7757" s="25" t="n"/>
      <c r="AE7757" s="25" t="n"/>
      <c r="AG7757" s="25" t="n"/>
      <c r="AH7757" s="25" t="n"/>
      <c r="AI7757" s="394" t="n"/>
      <c r="AM7757" s="48" t="n"/>
      <c r="AN7757" s="48" t="n"/>
      <c r="AO7757" s="48" t="n"/>
    </row>
    <row r="7758">
      <c r="M7758" s="25" t="n"/>
      <c r="Q7758" s="25" t="n"/>
      <c r="U7758" s="194" t="n"/>
      <c r="AA7758" s="25" t="n"/>
      <c r="AB7758" s="25" t="n"/>
      <c r="AC7758" s="195" t="n"/>
      <c r="AD7758" s="25" t="n"/>
      <c r="AE7758" s="25" t="n"/>
      <c r="AG7758" s="25" t="n"/>
      <c r="AH7758" s="25" t="n"/>
      <c r="AI7758" s="394" t="n"/>
      <c r="AM7758" s="48" t="n"/>
      <c r="AN7758" s="48" t="n"/>
      <c r="AO7758" s="48" t="n"/>
    </row>
    <row r="7759">
      <c r="M7759" s="25" t="n"/>
      <c r="Q7759" s="25" t="n"/>
      <c r="U7759" s="194" t="n"/>
      <c r="AA7759" s="25" t="n"/>
      <c r="AB7759" s="25" t="n"/>
      <c r="AC7759" s="195" t="n"/>
      <c r="AD7759" s="25" t="n"/>
      <c r="AE7759" s="25" t="n"/>
      <c r="AG7759" s="25" t="n"/>
      <c r="AH7759" s="25" t="n"/>
      <c r="AI7759" s="394" t="n"/>
      <c r="AM7759" s="48" t="n"/>
      <c r="AN7759" s="48" t="n"/>
      <c r="AO7759" s="48" t="n"/>
    </row>
    <row r="7760">
      <c r="M7760" s="25" t="n"/>
      <c r="Q7760" s="25" t="n"/>
      <c r="U7760" s="194" t="n"/>
      <c r="AA7760" s="25" t="n"/>
      <c r="AB7760" s="25" t="n"/>
      <c r="AC7760" s="195" t="n"/>
      <c r="AD7760" s="25" t="n"/>
      <c r="AE7760" s="25" t="n"/>
      <c r="AG7760" s="25" t="n"/>
      <c r="AH7760" s="25" t="n"/>
      <c r="AI7760" s="394" t="n"/>
      <c r="AM7760" s="48" t="n"/>
      <c r="AN7760" s="48" t="n"/>
      <c r="AO7760" s="48" t="n"/>
    </row>
    <row r="7761">
      <c r="M7761" s="25" t="n"/>
      <c r="Q7761" s="25" t="n"/>
      <c r="U7761" s="194" t="n"/>
      <c r="AA7761" s="25" t="n"/>
      <c r="AB7761" s="25" t="n"/>
      <c r="AC7761" s="195" t="n"/>
      <c r="AD7761" s="25" t="n"/>
      <c r="AE7761" s="25" t="n"/>
      <c r="AG7761" s="25" t="n"/>
      <c r="AH7761" s="25" t="n"/>
      <c r="AI7761" s="394" t="n"/>
      <c r="AM7761" s="48" t="n"/>
      <c r="AN7761" s="48" t="n"/>
      <c r="AO7761" s="48" t="n"/>
    </row>
    <row r="7762">
      <c r="M7762" s="25" t="n"/>
      <c r="Q7762" s="25" t="n"/>
      <c r="U7762" s="194" t="n"/>
      <c r="AA7762" s="25" t="n"/>
      <c r="AB7762" s="25" t="n"/>
      <c r="AC7762" s="195" t="n"/>
      <c r="AD7762" s="25" t="n"/>
      <c r="AE7762" s="25" t="n"/>
      <c r="AG7762" s="25" t="n"/>
      <c r="AH7762" s="25" t="n"/>
      <c r="AI7762" s="394" t="n"/>
      <c r="AM7762" s="48" t="n"/>
      <c r="AN7762" s="48" t="n"/>
      <c r="AO7762" s="48" t="n"/>
    </row>
    <row r="7763">
      <c r="M7763" s="25" t="n"/>
      <c r="Q7763" s="25" t="n"/>
      <c r="U7763" s="194" t="n"/>
      <c r="AA7763" s="25" t="n"/>
      <c r="AB7763" s="25" t="n"/>
      <c r="AC7763" s="195" t="n"/>
      <c r="AD7763" s="25" t="n"/>
      <c r="AE7763" s="25" t="n"/>
      <c r="AG7763" s="25" t="n"/>
      <c r="AH7763" s="25" t="n"/>
      <c r="AI7763" s="394" t="n"/>
      <c r="AM7763" s="48" t="n"/>
      <c r="AN7763" s="48" t="n"/>
      <c r="AO7763" s="48" t="n"/>
    </row>
    <row r="7764">
      <c r="M7764" s="25" t="n"/>
      <c r="Q7764" s="25" t="n"/>
      <c r="U7764" s="194" t="n"/>
      <c r="AA7764" s="25" t="n"/>
      <c r="AB7764" s="25" t="n"/>
      <c r="AC7764" s="195" t="n"/>
      <c r="AD7764" s="25" t="n"/>
      <c r="AE7764" s="25" t="n"/>
      <c r="AG7764" s="25" t="n"/>
      <c r="AH7764" s="25" t="n"/>
      <c r="AI7764" s="394" t="n"/>
      <c r="AM7764" s="48" t="n"/>
      <c r="AN7764" s="48" t="n"/>
      <c r="AO7764" s="48" t="n"/>
    </row>
    <row r="7765">
      <c r="M7765" s="25" t="n"/>
      <c r="Q7765" s="25" t="n"/>
      <c r="U7765" s="194" t="n"/>
      <c r="AA7765" s="25" t="n"/>
      <c r="AB7765" s="25" t="n"/>
      <c r="AC7765" s="195" t="n"/>
      <c r="AD7765" s="25" t="n"/>
      <c r="AE7765" s="25" t="n"/>
      <c r="AG7765" s="25" t="n"/>
      <c r="AH7765" s="25" t="n"/>
      <c r="AI7765" s="394" t="n"/>
      <c r="AM7765" s="48" t="n"/>
      <c r="AN7765" s="48" t="n"/>
      <c r="AO7765" s="48" t="n"/>
    </row>
    <row r="7766">
      <c r="M7766" s="25" t="n"/>
      <c r="Q7766" s="25" t="n"/>
      <c r="U7766" s="194" t="n"/>
      <c r="AA7766" s="25" t="n"/>
      <c r="AB7766" s="25" t="n"/>
      <c r="AC7766" s="195" t="n"/>
      <c r="AD7766" s="25" t="n"/>
      <c r="AE7766" s="25" t="n"/>
      <c r="AG7766" s="25" t="n"/>
      <c r="AH7766" s="25" t="n"/>
      <c r="AI7766" s="394" t="n"/>
      <c r="AM7766" s="48" t="n"/>
      <c r="AN7766" s="48" t="n"/>
      <c r="AO7766" s="48" t="n"/>
    </row>
    <row r="7767">
      <c r="M7767" s="25" t="n"/>
      <c r="Q7767" s="25" t="n"/>
      <c r="U7767" s="194" t="n"/>
      <c r="AA7767" s="25" t="n"/>
      <c r="AB7767" s="25" t="n"/>
      <c r="AC7767" s="195" t="n"/>
      <c r="AD7767" s="25" t="n"/>
      <c r="AE7767" s="25" t="n"/>
      <c r="AG7767" s="25" t="n"/>
      <c r="AH7767" s="25" t="n"/>
      <c r="AI7767" s="394" t="n"/>
      <c r="AM7767" s="48" t="n"/>
      <c r="AN7767" s="48" t="n"/>
      <c r="AO7767" s="48" t="n"/>
    </row>
    <row r="7768">
      <c r="M7768" s="25" t="n"/>
      <c r="Q7768" s="25" t="n"/>
      <c r="U7768" s="194" t="n"/>
      <c r="AA7768" s="25" t="n"/>
      <c r="AB7768" s="25" t="n"/>
      <c r="AC7768" s="195" t="n"/>
      <c r="AD7768" s="25" t="n"/>
      <c r="AE7768" s="25" t="n"/>
      <c r="AG7768" s="25" t="n"/>
      <c r="AH7768" s="25" t="n"/>
      <c r="AI7768" s="394" t="n"/>
      <c r="AM7768" s="48" t="n"/>
      <c r="AN7768" s="48" t="n"/>
      <c r="AO7768" s="48" t="n"/>
    </row>
    <row r="7769">
      <c r="M7769" s="25" t="n"/>
      <c r="Q7769" s="25" t="n"/>
      <c r="U7769" s="194" t="n"/>
      <c r="AA7769" s="25" t="n"/>
      <c r="AB7769" s="25" t="n"/>
      <c r="AC7769" s="195" t="n"/>
      <c r="AD7769" s="25" t="n"/>
      <c r="AE7769" s="25" t="n"/>
      <c r="AG7769" s="25" t="n"/>
      <c r="AH7769" s="25" t="n"/>
      <c r="AI7769" s="394" t="n"/>
      <c r="AM7769" s="48" t="n"/>
      <c r="AN7769" s="48" t="n"/>
      <c r="AO7769" s="48" t="n"/>
    </row>
    <row r="7770">
      <c r="M7770" s="25" t="n"/>
      <c r="Q7770" s="25" t="n"/>
      <c r="U7770" s="194" t="n"/>
      <c r="AA7770" s="25" t="n"/>
      <c r="AB7770" s="25" t="n"/>
      <c r="AC7770" s="195" t="n"/>
      <c r="AD7770" s="25" t="n"/>
      <c r="AE7770" s="25" t="n"/>
      <c r="AG7770" s="25" t="n"/>
      <c r="AH7770" s="25" t="n"/>
      <c r="AI7770" s="394" t="n"/>
      <c r="AM7770" s="48" t="n"/>
      <c r="AN7770" s="48" t="n"/>
      <c r="AO7770" s="48" t="n"/>
    </row>
    <row r="7771">
      <c r="M7771" s="25" t="n"/>
      <c r="Q7771" s="25" t="n"/>
      <c r="U7771" s="194" t="n"/>
      <c r="AA7771" s="25" t="n"/>
      <c r="AB7771" s="25" t="n"/>
      <c r="AC7771" s="195" t="n"/>
      <c r="AD7771" s="25" t="n"/>
      <c r="AE7771" s="25" t="n"/>
      <c r="AG7771" s="25" t="n"/>
      <c r="AH7771" s="25" t="n"/>
      <c r="AI7771" s="394" t="n"/>
      <c r="AM7771" s="48" t="n"/>
      <c r="AN7771" s="48" t="n"/>
      <c r="AO7771" s="48" t="n"/>
    </row>
    <row r="7772">
      <c r="M7772" s="25" t="n"/>
      <c r="Q7772" s="25" t="n"/>
      <c r="U7772" s="194" t="n"/>
      <c r="AA7772" s="25" t="n"/>
      <c r="AB7772" s="25" t="n"/>
      <c r="AC7772" s="195" t="n"/>
      <c r="AD7772" s="25" t="n"/>
      <c r="AE7772" s="25" t="n"/>
      <c r="AG7772" s="25" t="n"/>
      <c r="AH7772" s="25" t="n"/>
      <c r="AI7772" s="394" t="n"/>
      <c r="AM7772" s="48" t="n"/>
      <c r="AN7772" s="48" t="n"/>
      <c r="AO7772" s="48" t="n"/>
    </row>
    <row r="7773">
      <c r="M7773" s="25" t="n"/>
      <c r="Q7773" s="25" t="n"/>
      <c r="U7773" s="194" t="n"/>
      <c r="AA7773" s="25" t="n"/>
      <c r="AB7773" s="25" t="n"/>
      <c r="AC7773" s="195" t="n"/>
      <c r="AD7773" s="25" t="n"/>
      <c r="AE7773" s="25" t="n"/>
      <c r="AG7773" s="25" t="n"/>
      <c r="AH7773" s="25" t="n"/>
      <c r="AI7773" s="394" t="n"/>
      <c r="AM7773" s="48" t="n"/>
      <c r="AN7773" s="48" t="n"/>
      <c r="AO7773" s="48" t="n"/>
    </row>
    <row r="7774">
      <c r="M7774" s="25" t="n"/>
      <c r="Q7774" s="25" t="n"/>
      <c r="U7774" s="194" t="n"/>
      <c r="AA7774" s="25" t="n"/>
      <c r="AB7774" s="25" t="n"/>
      <c r="AC7774" s="195" t="n"/>
      <c r="AD7774" s="25" t="n"/>
      <c r="AE7774" s="25" t="n"/>
      <c r="AG7774" s="25" t="n"/>
      <c r="AH7774" s="25" t="n"/>
      <c r="AI7774" s="394" t="n"/>
      <c r="AM7774" s="48" t="n"/>
      <c r="AN7774" s="48" t="n"/>
      <c r="AO7774" s="48" t="n"/>
    </row>
    <row r="7775">
      <c r="M7775" s="25" t="n"/>
      <c r="Q7775" s="25" t="n"/>
      <c r="U7775" s="194" t="n"/>
      <c r="AA7775" s="25" t="n"/>
      <c r="AB7775" s="25" t="n"/>
      <c r="AC7775" s="195" t="n"/>
      <c r="AD7775" s="25" t="n"/>
      <c r="AE7775" s="25" t="n"/>
      <c r="AG7775" s="25" t="n"/>
      <c r="AH7775" s="25" t="n"/>
      <c r="AI7775" s="394" t="n"/>
      <c r="AM7775" s="48" t="n"/>
      <c r="AN7775" s="48" t="n"/>
      <c r="AO7775" s="48" t="n"/>
    </row>
    <row r="7776">
      <c r="M7776" s="25" t="n"/>
      <c r="Q7776" s="25" t="n"/>
      <c r="U7776" s="194" t="n"/>
      <c r="AA7776" s="25" t="n"/>
      <c r="AB7776" s="25" t="n"/>
      <c r="AC7776" s="195" t="n"/>
      <c r="AD7776" s="25" t="n"/>
      <c r="AE7776" s="25" t="n"/>
      <c r="AG7776" s="25" t="n"/>
      <c r="AH7776" s="25" t="n"/>
      <c r="AI7776" s="394" t="n"/>
      <c r="AM7776" s="48" t="n"/>
      <c r="AN7776" s="48" t="n"/>
      <c r="AO7776" s="48" t="n"/>
    </row>
    <row r="7777">
      <c r="M7777" s="25" t="n"/>
      <c r="Q7777" s="25" t="n"/>
      <c r="U7777" s="194" t="n"/>
      <c r="AA7777" s="25" t="n"/>
      <c r="AB7777" s="25" t="n"/>
      <c r="AC7777" s="195" t="n"/>
      <c r="AD7777" s="25" t="n"/>
      <c r="AE7777" s="25" t="n"/>
      <c r="AG7777" s="25" t="n"/>
      <c r="AH7777" s="25" t="n"/>
      <c r="AI7777" s="394" t="n"/>
      <c r="AM7777" s="48" t="n"/>
      <c r="AN7777" s="48" t="n"/>
      <c r="AO7777" s="48" t="n"/>
    </row>
    <row r="7778">
      <c r="M7778" s="25" t="n"/>
      <c r="Q7778" s="25" t="n"/>
      <c r="U7778" s="194" t="n"/>
      <c r="AA7778" s="25" t="n"/>
      <c r="AB7778" s="25" t="n"/>
      <c r="AC7778" s="195" t="n"/>
      <c r="AD7778" s="25" t="n"/>
      <c r="AE7778" s="25" t="n"/>
      <c r="AG7778" s="25" t="n"/>
      <c r="AH7778" s="25" t="n"/>
      <c r="AI7778" s="394" t="n"/>
      <c r="AM7778" s="48" t="n"/>
      <c r="AN7778" s="48" t="n"/>
      <c r="AO7778" s="48" t="n"/>
    </row>
    <row r="7779">
      <c r="M7779" s="25" t="n"/>
      <c r="Q7779" s="25" t="n"/>
      <c r="U7779" s="194" t="n"/>
      <c r="AA7779" s="25" t="n"/>
      <c r="AB7779" s="25" t="n"/>
      <c r="AC7779" s="195" t="n"/>
      <c r="AD7779" s="25" t="n"/>
      <c r="AE7779" s="25" t="n"/>
      <c r="AG7779" s="25" t="n"/>
      <c r="AH7779" s="25" t="n"/>
      <c r="AI7779" s="394" t="n"/>
      <c r="AM7779" s="48" t="n"/>
      <c r="AN7779" s="48" t="n"/>
      <c r="AO7779" s="48" t="n"/>
    </row>
    <row r="7780">
      <c r="M7780" s="25" t="n"/>
      <c r="Q7780" s="25" t="n"/>
      <c r="U7780" s="194" t="n"/>
      <c r="AA7780" s="25" t="n"/>
      <c r="AB7780" s="25" t="n"/>
      <c r="AC7780" s="195" t="n"/>
      <c r="AD7780" s="25" t="n"/>
      <c r="AE7780" s="25" t="n"/>
      <c r="AG7780" s="25" t="n"/>
      <c r="AH7780" s="25" t="n"/>
      <c r="AI7780" s="394" t="n"/>
      <c r="AM7780" s="48" t="n"/>
      <c r="AN7780" s="48" t="n"/>
      <c r="AO7780" s="48" t="n"/>
    </row>
    <row r="7781">
      <c r="M7781" s="25" t="n"/>
      <c r="Q7781" s="25" t="n"/>
      <c r="U7781" s="194" t="n"/>
      <c r="AA7781" s="25" t="n"/>
      <c r="AB7781" s="25" t="n"/>
      <c r="AC7781" s="195" t="n"/>
      <c r="AD7781" s="25" t="n"/>
      <c r="AE7781" s="25" t="n"/>
      <c r="AG7781" s="25" t="n"/>
      <c r="AH7781" s="25" t="n"/>
      <c r="AI7781" s="394" t="n"/>
      <c r="AM7781" s="48" t="n"/>
      <c r="AN7781" s="48" t="n"/>
      <c r="AO7781" s="48" t="n"/>
    </row>
    <row r="7782">
      <c r="M7782" s="25" t="n"/>
      <c r="Q7782" s="25" t="n"/>
      <c r="U7782" s="194" t="n"/>
      <c r="AA7782" s="25" t="n"/>
      <c r="AB7782" s="25" t="n"/>
      <c r="AC7782" s="195" t="n"/>
      <c r="AD7782" s="25" t="n"/>
      <c r="AE7782" s="25" t="n"/>
      <c r="AG7782" s="25" t="n"/>
      <c r="AH7782" s="25" t="n"/>
      <c r="AI7782" s="394" t="n"/>
      <c r="AM7782" s="48" t="n"/>
      <c r="AN7782" s="48" t="n"/>
      <c r="AO7782" s="48" t="n"/>
    </row>
    <row r="7783">
      <c r="M7783" s="25" t="n"/>
      <c r="Q7783" s="25" t="n"/>
      <c r="U7783" s="194" t="n"/>
      <c r="AA7783" s="25" t="n"/>
      <c r="AB7783" s="25" t="n"/>
      <c r="AC7783" s="195" t="n"/>
      <c r="AD7783" s="25" t="n"/>
      <c r="AE7783" s="25" t="n"/>
      <c r="AG7783" s="25" t="n"/>
      <c r="AH7783" s="25" t="n"/>
      <c r="AI7783" s="394" t="n"/>
      <c r="AM7783" s="48" t="n"/>
      <c r="AN7783" s="48" t="n"/>
      <c r="AO7783" s="48" t="n"/>
    </row>
    <row r="7784">
      <c r="M7784" s="25" t="n"/>
      <c r="Q7784" s="25" t="n"/>
      <c r="U7784" s="194" t="n"/>
      <c r="AA7784" s="25" t="n"/>
      <c r="AB7784" s="25" t="n"/>
      <c r="AC7784" s="195" t="n"/>
      <c r="AD7784" s="25" t="n"/>
      <c r="AE7784" s="25" t="n"/>
      <c r="AG7784" s="25" t="n"/>
      <c r="AH7784" s="25" t="n"/>
      <c r="AI7784" s="394" t="n"/>
      <c r="AM7784" s="48" t="n"/>
      <c r="AN7784" s="48" t="n"/>
      <c r="AO7784" s="48" t="n"/>
    </row>
    <row r="7785">
      <c r="M7785" s="25" t="n"/>
      <c r="Q7785" s="25" t="n"/>
      <c r="U7785" s="194" t="n"/>
      <c r="AA7785" s="25" t="n"/>
      <c r="AB7785" s="25" t="n"/>
      <c r="AC7785" s="195" t="n"/>
      <c r="AD7785" s="25" t="n"/>
      <c r="AE7785" s="25" t="n"/>
      <c r="AG7785" s="25" t="n"/>
      <c r="AH7785" s="25" t="n"/>
      <c r="AI7785" s="394" t="n"/>
      <c r="AM7785" s="48" t="n"/>
      <c r="AN7785" s="48" t="n"/>
      <c r="AO7785" s="48" t="n"/>
    </row>
    <row r="7786">
      <c r="M7786" s="25" t="n"/>
      <c r="Q7786" s="25" t="n"/>
      <c r="U7786" s="194" t="n"/>
      <c r="AA7786" s="25" t="n"/>
      <c r="AB7786" s="25" t="n"/>
      <c r="AC7786" s="195" t="n"/>
      <c r="AD7786" s="25" t="n"/>
      <c r="AE7786" s="25" t="n"/>
      <c r="AG7786" s="25" t="n"/>
      <c r="AH7786" s="25" t="n"/>
      <c r="AI7786" s="394" t="n"/>
      <c r="AM7786" s="48" t="n"/>
      <c r="AN7786" s="48" t="n"/>
      <c r="AO7786" s="48" t="n"/>
    </row>
    <row r="7787">
      <c r="M7787" s="25" t="n"/>
      <c r="Q7787" s="25" t="n"/>
      <c r="U7787" s="194" t="n"/>
      <c r="AA7787" s="25" t="n"/>
      <c r="AB7787" s="25" t="n"/>
      <c r="AC7787" s="195" t="n"/>
      <c r="AD7787" s="25" t="n"/>
      <c r="AE7787" s="25" t="n"/>
      <c r="AG7787" s="25" t="n"/>
      <c r="AH7787" s="25" t="n"/>
      <c r="AI7787" s="394" t="n"/>
      <c r="AM7787" s="48" t="n"/>
      <c r="AN7787" s="48" t="n"/>
      <c r="AO7787" s="48" t="n"/>
    </row>
    <row r="7788">
      <c r="M7788" s="25" t="n"/>
      <c r="Q7788" s="25" t="n"/>
      <c r="U7788" s="194" t="n"/>
      <c r="AA7788" s="25" t="n"/>
      <c r="AB7788" s="25" t="n"/>
      <c r="AC7788" s="195" t="n"/>
      <c r="AD7788" s="25" t="n"/>
      <c r="AE7788" s="25" t="n"/>
      <c r="AG7788" s="25" t="n"/>
      <c r="AH7788" s="25" t="n"/>
      <c r="AI7788" s="394" t="n"/>
      <c r="AM7788" s="48" t="n"/>
      <c r="AN7788" s="48" t="n"/>
      <c r="AO7788" s="48" t="n"/>
    </row>
    <row r="7789">
      <c r="M7789" s="25" t="n"/>
      <c r="Q7789" s="25" t="n"/>
      <c r="U7789" s="194" t="n"/>
      <c r="AA7789" s="25" t="n"/>
      <c r="AB7789" s="25" t="n"/>
      <c r="AC7789" s="195" t="n"/>
      <c r="AD7789" s="25" t="n"/>
      <c r="AE7789" s="25" t="n"/>
      <c r="AG7789" s="25" t="n"/>
      <c r="AH7789" s="25" t="n"/>
      <c r="AI7789" s="394" t="n"/>
      <c r="AM7789" s="48" t="n"/>
      <c r="AN7789" s="48" t="n"/>
      <c r="AO7789" s="48" t="n"/>
    </row>
    <row r="7790">
      <c r="M7790" s="25" t="n"/>
      <c r="Q7790" s="25" t="n"/>
      <c r="U7790" s="194" t="n"/>
      <c r="AA7790" s="25" t="n"/>
      <c r="AB7790" s="25" t="n"/>
      <c r="AC7790" s="195" t="n"/>
      <c r="AD7790" s="25" t="n"/>
      <c r="AE7790" s="25" t="n"/>
      <c r="AG7790" s="25" t="n"/>
      <c r="AH7790" s="25" t="n"/>
      <c r="AI7790" s="394" t="n"/>
      <c r="AM7790" s="48" t="n"/>
      <c r="AN7790" s="48" t="n"/>
      <c r="AO7790" s="48" t="n"/>
    </row>
    <row r="7791">
      <c r="M7791" s="25" t="n"/>
      <c r="Q7791" s="25" t="n"/>
      <c r="U7791" s="194" t="n"/>
      <c r="AA7791" s="25" t="n"/>
      <c r="AB7791" s="25" t="n"/>
      <c r="AC7791" s="195" t="n"/>
      <c r="AD7791" s="25" t="n"/>
      <c r="AE7791" s="25" t="n"/>
      <c r="AG7791" s="25" t="n"/>
      <c r="AH7791" s="25" t="n"/>
      <c r="AI7791" s="394" t="n"/>
      <c r="AM7791" s="48" t="n"/>
      <c r="AN7791" s="48" t="n"/>
      <c r="AO7791" s="48" t="n"/>
    </row>
    <row r="7792">
      <c r="M7792" s="25" t="n"/>
      <c r="Q7792" s="25" t="n"/>
      <c r="U7792" s="194" t="n"/>
      <c r="AA7792" s="25" t="n"/>
      <c r="AB7792" s="25" t="n"/>
      <c r="AC7792" s="195" t="n"/>
      <c r="AD7792" s="25" t="n"/>
      <c r="AE7792" s="25" t="n"/>
      <c r="AG7792" s="25" t="n"/>
      <c r="AH7792" s="25" t="n"/>
      <c r="AI7792" s="394" t="n"/>
      <c r="AM7792" s="48" t="n"/>
      <c r="AN7792" s="48" t="n"/>
      <c r="AO7792" s="48" t="n"/>
    </row>
    <row r="7793">
      <c r="M7793" s="25" t="n"/>
      <c r="Q7793" s="25" t="n"/>
      <c r="U7793" s="194" t="n"/>
      <c r="AA7793" s="25" t="n"/>
      <c r="AB7793" s="25" t="n"/>
      <c r="AC7793" s="195" t="n"/>
      <c r="AD7793" s="25" t="n"/>
      <c r="AE7793" s="25" t="n"/>
      <c r="AG7793" s="25" t="n"/>
      <c r="AH7793" s="25" t="n"/>
      <c r="AI7793" s="394" t="n"/>
      <c r="AM7793" s="48" t="n"/>
      <c r="AN7793" s="48" t="n"/>
      <c r="AO7793" s="48" t="n"/>
    </row>
    <row r="7794">
      <c r="M7794" s="25" t="n"/>
      <c r="Q7794" s="25" t="n"/>
      <c r="U7794" s="194" t="n"/>
      <c r="AA7794" s="25" t="n"/>
      <c r="AB7794" s="25" t="n"/>
      <c r="AC7794" s="195" t="n"/>
      <c r="AD7794" s="25" t="n"/>
      <c r="AE7794" s="25" t="n"/>
      <c r="AG7794" s="25" t="n"/>
      <c r="AH7794" s="25" t="n"/>
      <c r="AI7794" s="394" t="n"/>
      <c r="AM7794" s="48" t="n"/>
      <c r="AN7794" s="48" t="n"/>
      <c r="AO7794" s="48" t="n"/>
    </row>
    <row r="7795">
      <c r="M7795" s="25" t="n"/>
      <c r="Q7795" s="25" t="n"/>
      <c r="U7795" s="194" t="n"/>
      <c r="AA7795" s="25" t="n"/>
      <c r="AB7795" s="25" t="n"/>
      <c r="AC7795" s="195" t="n"/>
      <c r="AD7795" s="25" t="n"/>
      <c r="AE7795" s="25" t="n"/>
      <c r="AG7795" s="25" t="n"/>
      <c r="AH7795" s="25" t="n"/>
      <c r="AI7795" s="394" t="n"/>
      <c r="AM7795" s="48" t="n"/>
      <c r="AN7795" s="48" t="n"/>
      <c r="AO7795" s="48" t="n"/>
    </row>
    <row r="7796">
      <c r="M7796" s="25" t="n"/>
      <c r="Q7796" s="25" t="n"/>
      <c r="U7796" s="194" t="n"/>
      <c r="AA7796" s="25" t="n"/>
      <c r="AB7796" s="25" t="n"/>
      <c r="AC7796" s="195" t="n"/>
      <c r="AD7796" s="25" t="n"/>
      <c r="AE7796" s="25" t="n"/>
      <c r="AG7796" s="25" t="n"/>
      <c r="AH7796" s="25" t="n"/>
      <c r="AI7796" s="394" t="n"/>
      <c r="AM7796" s="48" t="n"/>
      <c r="AN7796" s="48" t="n"/>
      <c r="AO7796" s="48" t="n"/>
    </row>
    <row r="7797">
      <c r="M7797" s="25" t="n"/>
      <c r="Q7797" s="25" t="n"/>
      <c r="U7797" s="194" t="n"/>
      <c r="AA7797" s="25" t="n"/>
      <c r="AB7797" s="25" t="n"/>
      <c r="AC7797" s="195" t="n"/>
      <c r="AD7797" s="25" t="n"/>
      <c r="AE7797" s="25" t="n"/>
      <c r="AG7797" s="25" t="n"/>
      <c r="AH7797" s="25" t="n"/>
      <c r="AI7797" s="394" t="n"/>
      <c r="AM7797" s="48" t="n"/>
      <c r="AN7797" s="48" t="n"/>
      <c r="AO7797" s="48" t="n"/>
    </row>
    <row r="7798">
      <c r="M7798" s="25" t="n"/>
      <c r="Q7798" s="25" t="n"/>
      <c r="U7798" s="194" t="n"/>
      <c r="AA7798" s="25" t="n"/>
      <c r="AB7798" s="25" t="n"/>
      <c r="AC7798" s="195" t="n"/>
      <c r="AD7798" s="25" t="n"/>
      <c r="AE7798" s="25" t="n"/>
      <c r="AG7798" s="25" t="n"/>
      <c r="AH7798" s="25" t="n"/>
      <c r="AI7798" s="394" t="n"/>
      <c r="AM7798" s="48" t="n"/>
      <c r="AN7798" s="48" t="n"/>
      <c r="AO7798" s="48" t="n"/>
    </row>
    <row r="7799">
      <c r="M7799" s="25" t="n"/>
      <c r="Q7799" s="25" t="n"/>
      <c r="U7799" s="194" t="n"/>
      <c r="AA7799" s="25" t="n"/>
      <c r="AB7799" s="25" t="n"/>
      <c r="AC7799" s="195" t="n"/>
      <c r="AD7799" s="25" t="n"/>
      <c r="AE7799" s="25" t="n"/>
      <c r="AG7799" s="25" t="n"/>
      <c r="AH7799" s="25" t="n"/>
      <c r="AI7799" s="394" t="n"/>
      <c r="AM7799" s="48" t="n"/>
      <c r="AN7799" s="48" t="n"/>
      <c r="AO7799" s="48" t="n"/>
    </row>
    <row r="7800">
      <c r="M7800" s="25" t="n"/>
      <c r="Q7800" s="25" t="n"/>
      <c r="U7800" s="194" t="n"/>
      <c r="AA7800" s="25" t="n"/>
      <c r="AB7800" s="25" t="n"/>
      <c r="AC7800" s="195" t="n"/>
      <c r="AD7800" s="25" t="n"/>
      <c r="AE7800" s="25" t="n"/>
      <c r="AG7800" s="25" t="n"/>
      <c r="AH7800" s="25" t="n"/>
      <c r="AI7800" s="394" t="n"/>
      <c r="AM7800" s="48" t="n"/>
      <c r="AN7800" s="48" t="n"/>
      <c r="AO7800" s="48" t="n"/>
    </row>
    <row r="7801">
      <c r="M7801" s="25" t="n"/>
      <c r="Q7801" s="25" t="n"/>
      <c r="U7801" s="194" t="n"/>
      <c r="AA7801" s="25" t="n"/>
      <c r="AB7801" s="25" t="n"/>
      <c r="AC7801" s="195" t="n"/>
      <c r="AD7801" s="25" t="n"/>
      <c r="AE7801" s="25" t="n"/>
      <c r="AG7801" s="25" t="n"/>
      <c r="AH7801" s="25" t="n"/>
      <c r="AI7801" s="394" t="n"/>
      <c r="AM7801" s="48" t="n"/>
      <c r="AN7801" s="48" t="n"/>
      <c r="AO7801" s="48" t="n"/>
    </row>
    <row r="7802">
      <c r="M7802" s="25" t="n"/>
      <c r="Q7802" s="25" t="n"/>
      <c r="U7802" s="194" t="n"/>
      <c r="AA7802" s="25" t="n"/>
      <c r="AB7802" s="25" t="n"/>
      <c r="AC7802" s="195" t="n"/>
      <c r="AD7802" s="25" t="n"/>
      <c r="AE7802" s="25" t="n"/>
      <c r="AG7802" s="25" t="n"/>
      <c r="AH7802" s="25" t="n"/>
      <c r="AI7802" s="394" t="n"/>
      <c r="AM7802" s="48" t="n"/>
      <c r="AN7802" s="48" t="n"/>
      <c r="AO7802" s="48" t="n"/>
    </row>
    <row r="7803">
      <c r="M7803" s="25" t="n"/>
      <c r="Q7803" s="25" t="n"/>
      <c r="U7803" s="194" t="n"/>
      <c r="AA7803" s="25" t="n"/>
      <c r="AB7803" s="25" t="n"/>
      <c r="AC7803" s="195" t="n"/>
      <c r="AD7803" s="25" t="n"/>
      <c r="AE7803" s="25" t="n"/>
      <c r="AG7803" s="25" t="n"/>
      <c r="AH7803" s="25" t="n"/>
      <c r="AI7803" s="394" t="n"/>
      <c r="AM7803" s="48" t="n"/>
      <c r="AN7803" s="48" t="n"/>
      <c r="AO7803" s="48" t="n"/>
    </row>
    <row r="7804">
      <c r="M7804" s="25" t="n"/>
      <c r="Q7804" s="25" t="n"/>
      <c r="U7804" s="194" t="n"/>
      <c r="AA7804" s="25" t="n"/>
      <c r="AB7804" s="25" t="n"/>
      <c r="AC7804" s="195" t="n"/>
      <c r="AD7804" s="25" t="n"/>
      <c r="AE7804" s="25" t="n"/>
      <c r="AG7804" s="25" t="n"/>
      <c r="AH7804" s="25" t="n"/>
      <c r="AI7804" s="394" t="n"/>
      <c r="AM7804" s="48" t="n"/>
      <c r="AN7804" s="48" t="n"/>
      <c r="AO7804" s="48" t="n"/>
    </row>
    <row r="7805">
      <c r="M7805" s="25" t="n"/>
      <c r="Q7805" s="25" t="n"/>
      <c r="U7805" s="194" t="n"/>
      <c r="AA7805" s="25" t="n"/>
      <c r="AB7805" s="25" t="n"/>
      <c r="AC7805" s="195" t="n"/>
      <c r="AD7805" s="25" t="n"/>
      <c r="AE7805" s="25" t="n"/>
      <c r="AG7805" s="25" t="n"/>
      <c r="AH7805" s="25" t="n"/>
      <c r="AI7805" s="394" t="n"/>
      <c r="AM7805" s="48" t="n"/>
      <c r="AN7805" s="48" t="n"/>
      <c r="AO7805" s="48" t="n"/>
    </row>
    <row r="7806">
      <c r="M7806" s="25" t="n"/>
      <c r="Q7806" s="25" t="n"/>
      <c r="U7806" s="194" t="n"/>
      <c r="AA7806" s="25" t="n"/>
      <c r="AB7806" s="25" t="n"/>
      <c r="AC7806" s="195" t="n"/>
      <c r="AD7806" s="25" t="n"/>
      <c r="AE7806" s="25" t="n"/>
      <c r="AG7806" s="25" t="n"/>
      <c r="AH7806" s="25" t="n"/>
      <c r="AI7806" s="394" t="n"/>
      <c r="AM7806" s="48" t="n"/>
      <c r="AN7806" s="48" t="n"/>
      <c r="AO7806" s="48" t="n"/>
    </row>
    <row r="7807">
      <c r="M7807" s="25" t="n"/>
      <c r="Q7807" s="25" t="n"/>
      <c r="U7807" s="194" t="n"/>
      <c r="AA7807" s="25" t="n"/>
      <c r="AB7807" s="25" t="n"/>
      <c r="AC7807" s="195" t="n"/>
      <c r="AD7807" s="25" t="n"/>
      <c r="AE7807" s="25" t="n"/>
      <c r="AG7807" s="25" t="n"/>
      <c r="AH7807" s="25" t="n"/>
      <c r="AI7807" s="394" t="n"/>
      <c r="AM7807" s="48" t="n"/>
      <c r="AN7807" s="48" t="n"/>
      <c r="AO7807" s="48" t="n"/>
    </row>
    <row r="7808">
      <c r="M7808" s="25" t="n"/>
      <c r="Q7808" s="25" t="n"/>
      <c r="U7808" s="194" t="n"/>
      <c r="AA7808" s="25" t="n"/>
      <c r="AB7808" s="25" t="n"/>
      <c r="AC7808" s="195" t="n"/>
      <c r="AD7808" s="25" t="n"/>
      <c r="AE7808" s="25" t="n"/>
      <c r="AG7808" s="25" t="n"/>
      <c r="AH7808" s="25" t="n"/>
      <c r="AI7808" s="394" t="n"/>
      <c r="AM7808" s="48" t="n"/>
      <c r="AN7808" s="48" t="n"/>
      <c r="AO7808" s="48" t="n"/>
    </row>
    <row r="7809">
      <c r="M7809" s="25" t="n"/>
      <c r="Q7809" s="25" t="n"/>
      <c r="U7809" s="194" t="n"/>
      <c r="AA7809" s="25" t="n"/>
      <c r="AB7809" s="25" t="n"/>
      <c r="AC7809" s="195" t="n"/>
      <c r="AD7809" s="25" t="n"/>
      <c r="AE7809" s="25" t="n"/>
      <c r="AG7809" s="25" t="n"/>
      <c r="AH7809" s="25" t="n"/>
      <c r="AI7809" s="394" t="n"/>
      <c r="AM7809" s="48" t="n"/>
      <c r="AN7809" s="48" t="n"/>
      <c r="AO7809" s="48" t="n"/>
    </row>
    <row r="7810">
      <c r="M7810" s="25" t="n"/>
      <c r="Q7810" s="25" t="n"/>
      <c r="U7810" s="194" t="n"/>
      <c r="AA7810" s="25" t="n"/>
      <c r="AB7810" s="25" t="n"/>
      <c r="AC7810" s="195" t="n"/>
      <c r="AD7810" s="25" t="n"/>
      <c r="AE7810" s="25" t="n"/>
      <c r="AG7810" s="25" t="n"/>
      <c r="AH7810" s="25" t="n"/>
      <c r="AI7810" s="394" t="n"/>
      <c r="AM7810" s="48" t="n"/>
      <c r="AN7810" s="48" t="n"/>
      <c r="AO7810" s="48" t="n"/>
    </row>
    <row r="7811">
      <c r="M7811" s="25" t="n"/>
      <c r="Q7811" s="25" t="n"/>
      <c r="U7811" s="194" t="n"/>
      <c r="AA7811" s="25" t="n"/>
      <c r="AB7811" s="25" t="n"/>
      <c r="AC7811" s="195" t="n"/>
      <c r="AD7811" s="25" t="n"/>
      <c r="AE7811" s="25" t="n"/>
      <c r="AG7811" s="25" t="n"/>
      <c r="AH7811" s="25" t="n"/>
      <c r="AI7811" s="394" t="n"/>
      <c r="AM7811" s="48" t="n"/>
      <c r="AN7811" s="48" t="n"/>
      <c r="AO7811" s="48" t="n"/>
    </row>
    <row r="7812">
      <c r="M7812" s="25" t="n"/>
      <c r="Q7812" s="25" t="n"/>
      <c r="U7812" s="194" t="n"/>
      <c r="AA7812" s="25" t="n"/>
      <c r="AB7812" s="25" t="n"/>
      <c r="AC7812" s="195" t="n"/>
      <c r="AD7812" s="25" t="n"/>
      <c r="AE7812" s="25" t="n"/>
      <c r="AG7812" s="25" t="n"/>
      <c r="AH7812" s="25" t="n"/>
      <c r="AI7812" s="394" t="n"/>
      <c r="AM7812" s="48" t="n"/>
      <c r="AN7812" s="48" t="n"/>
      <c r="AO7812" s="48" t="n"/>
    </row>
    <row r="7813">
      <c r="M7813" s="25" t="n"/>
      <c r="Q7813" s="25" t="n"/>
      <c r="U7813" s="194" t="n"/>
      <c r="AA7813" s="25" t="n"/>
      <c r="AB7813" s="25" t="n"/>
      <c r="AC7813" s="195" t="n"/>
      <c r="AD7813" s="25" t="n"/>
      <c r="AE7813" s="25" t="n"/>
      <c r="AG7813" s="25" t="n"/>
      <c r="AH7813" s="25" t="n"/>
      <c r="AI7813" s="394" t="n"/>
      <c r="AM7813" s="48" t="n"/>
      <c r="AN7813" s="48" t="n"/>
      <c r="AO7813" s="48" t="n"/>
    </row>
    <row r="7814">
      <c r="M7814" s="25" t="n"/>
      <c r="Q7814" s="25" t="n"/>
      <c r="U7814" s="194" t="n"/>
      <c r="AA7814" s="25" t="n"/>
      <c r="AB7814" s="25" t="n"/>
      <c r="AC7814" s="195" t="n"/>
      <c r="AD7814" s="25" t="n"/>
      <c r="AE7814" s="25" t="n"/>
      <c r="AG7814" s="25" t="n"/>
      <c r="AH7814" s="25" t="n"/>
      <c r="AI7814" s="394" t="n"/>
      <c r="AM7814" s="48" t="n"/>
      <c r="AN7814" s="48" t="n"/>
      <c r="AO7814" s="48" t="n"/>
    </row>
    <row r="7815">
      <c r="M7815" s="25" t="n"/>
      <c r="Q7815" s="25" t="n"/>
      <c r="U7815" s="194" t="n"/>
      <c r="AA7815" s="25" t="n"/>
      <c r="AB7815" s="25" t="n"/>
      <c r="AC7815" s="195" t="n"/>
      <c r="AD7815" s="25" t="n"/>
      <c r="AE7815" s="25" t="n"/>
      <c r="AG7815" s="25" t="n"/>
      <c r="AH7815" s="25" t="n"/>
      <c r="AI7815" s="394" t="n"/>
      <c r="AM7815" s="48" t="n"/>
      <c r="AN7815" s="48" t="n"/>
      <c r="AO7815" s="48" t="n"/>
    </row>
    <row r="7816">
      <c r="M7816" s="25" t="n"/>
      <c r="Q7816" s="25" t="n"/>
      <c r="U7816" s="194" t="n"/>
      <c r="AA7816" s="25" t="n"/>
      <c r="AB7816" s="25" t="n"/>
      <c r="AC7816" s="195" t="n"/>
      <c r="AD7816" s="25" t="n"/>
      <c r="AE7816" s="25" t="n"/>
      <c r="AG7816" s="25" t="n"/>
      <c r="AH7816" s="25" t="n"/>
      <c r="AI7816" s="394" t="n"/>
      <c r="AM7816" s="48" t="n"/>
      <c r="AN7816" s="48" t="n"/>
      <c r="AO7816" s="48" t="n"/>
    </row>
    <row r="7817">
      <c r="M7817" s="25" t="n"/>
      <c r="Q7817" s="25" t="n"/>
      <c r="U7817" s="194" t="n"/>
      <c r="AA7817" s="25" t="n"/>
      <c r="AB7817" s="25" t="n"/>
      <c r="AC7817" s="195" t="n"/>
      <c r="AD7817" s="25" t="n"/>
      <c r="AE7817" s="25" t="n"/>
      <c r="AG7817" s="25" t="n"/>
      <c r="AH7817" s="25" t="n"/>
      <c r="AI7817" s="394" t="n"/>
      <c r="AM7817" s="48" t="n"/>
      <c r="AN7817" s="48" t="n"/>
      <c r="AO7817" s="48" t="n"/>
    </row>
    <row r="7818">
      <c r="M7818" s="25" t="n"/>
      <c r="Q7818" s="25" t="n"/>
      <c r="U7818" s="194" t="n"/>
      <c r="AA7818" s="25" t="n"/>
      <c r="AB7818" s="25" t="n"/>
      <c r="AC7818" s="195" t="n"/>
      <c r="AD7818" s="25" t="n"/>
      <c r="AE7818" s="25" t="n"/>
      <c r="AG7818" s="25" t="n"/>
      <c r="AH7818" s="25" t="n"/>
      <c r="AI7818" s="394" t="n"/>
      <c r="AM7818" s="48" t="n"/>
      <c r="AN7818" s="48" t="n"/>
      <c r="AO7818" s="48" t="n"/>
    </row>
    <row r="7819">
      <c r="M7819" s="25" t="n"/>
      <c r="Q7819" s="25" t="n"/>
      <c r="U7819" s="194" t="n"/>
      <c r="AA7819" s="25" t="n"/>
      <c r="AB7819" s="25" t="n"/>
      <c r="AC7819" s="195" t="n"/>
      <c r="AD7819" s="25" t="n"/>
      <c r="AE7819" s="25" t="n"/>
      <c r="AG7819" s="25" t="n"/>
      <c r="AH7819" s="25" t="n"/>
      <c r="AI7819" s="394" t="n"/>
      <c r="AM7819" s="48" t="n"/>
      <c r="AN7819" s="48" t="n"/>
      <c r="AO7819" s="48" t="n"/>
    </row>
    <row r="7820">
      <c r="M7820" s="25" t="n"/>
      <c r="Q7820" s="25" t="n"/>
      <c r="U7820" s="194" t="n"/>
      <c r="AA7820" s="25" t="n"/>
      <c r="AB7820" s="25" t="n"/>
      <c r="AC7820" s="195" t="n"/>
      <c r="AD7820" s="25" t="n"/>
      <c r="AE7820" s="25" t="n"/>
      <c r="AG7820" s="25" t="n"/>
      <c r="AH7820" s="25" t="n"/>
      <c r="AI7820" s="394" t="n"/>
      <c r="AM7820" s="48" t="n"/>
      <c r="AN7820" s="48" t="n"/>
      <c r="AO7820" s="48" t="n"/>
    </row>
    <row r="7821">
      <c r="M7821" s="25" t="n"/>
      <c r="Q7821" s="25" t="n"/>
      <c r="U7821" s="194" t="n"/>
      <c r="AA7821" s="25" t="n"/>
      <c r="AB7821" s="25" t="n"/>
      <c r="AC7821" s="195" t="n"/>
      <c r="AD7821" s="25" t="n"/>
      <c r="AE7821" s="25" t="n"/>
      <c r="AG7821" s="25" t="n"/>
      <c r="AH7821" s="25" t="n"/>
      <c r="AI7821" s="394" t="n"/>
      <c r="AM7821" s="48" t="n"/>
      <c r="AN7821" s="48" t="n"/>
      <c r="AO7821" s="48" t="n"/>
    </row>
    <row r="7822">
      <c r="M7822" s="25" t="n"/>
      <c r="Q7822" s="25" t="n"/>
      <c r="U7822" s="194" t="n"/>
      <c r="AA7822" s="25" t="n"/>
      <c r="AB7822" s="25" t="n"/>
      <c r="AC7822" s="195" t="n"/>
      <c r="AD7822" s="25" t="n"/>
      <c r="AE7822" s="25" t="n"/>
      <c r="AG7822" s="25" t="n"/>
      <c r="AH7822" s="25" t="n"/>
      <c r="AI7822" s="394" t="n"/>
      <c r="AM7822" s="48" t="n"/>
      <c r="AN7822" s="48" t="n"/>
      <c r="AO7822" s="48" t="n"/>
    </row>
    <row r="7823">
      <c r="M7823" s="25" t="n"/>
      <c r="Q7823" s="25" t="n"/>
      <c r="U7823" s="194" t="n"/>
      <c r="AA7823" s="25" t="n"/>
      <c r="AB7823" s="25" t="n"/>
      <c r="AC7823" s="195" t="n"/>
      <c r="AD7823" s="25" t="n"/>
      <c r="AE7823" s="25" t="n"/>
      <c r="AG7823" s="25" t="n"/>
      <c r="AH7823" s="25" t="n"/>
      <c r="AI7823" s="394" t="n"/>
      <c r="AM7823" s="48" t="n"/>
      <c r="AN7823" s="48" t="n"/>
      <c r="AO7823" s="48" t="n"/>
    </row>
    <row r="7824">
      <c r="M7824" s="25" t="n"/>
      <c r="Q7824" s="25" t="n"/>
      <c r="U7824" s="194" t="n"/>
      <c r="AA7824" s="25" t="n"/>
      <c r="AB7824" s="25" t="n"/>
      <c r="AC7824" s="195" t="n"/>
      <c r="AD7824" s="25" t="n"/>
      <c r="AE7824" s="25" t="n"/>
      <c r="AG7824" s="25" t="n"/>
      <c r="AH7824" s="25" t="n"/>
      <c r="AI7824" s="394" t="n"/>
      <c r="AM7824" s="48" t="n"/>
      <c r="AN7824" s="48" t="n"/>
      <c r="AO7824" s="48" t="n"/>
    </row>
    <row r="7825">
      <c r="M7825" s="25" t="n"/>
      <c r="Q7825" s="25" t="n"/>
      <c r="U7825" s="194" t="n"/>
      <c r="AA7825" s="25" t="n"/>
      <c r="AB7825" s="25" t="n"/>
      <c r="AC7825" s="195" t="n"/>
      <c r="AD7825" s="25" t="n"/>
      <c r="AE7825" s="25" t="n"/>
      <c r="AG7825" s="25" t="n"/>
      <c r="AH7825" s="25" t="n"/>
      <c r="AI7825" s="394" t="n"/>
      <c r="AM7825" s="48" t="n"/>
      <c r="AN7825" s="48" t="n"/>
      <c r="AO7825" s="48" t="n"/>
    </row>
    <row r="7826">
      <c r="M7826" s="25" t="n"/>
      <c r="Q7826" s="25" t="n"/>
      <c r="U7826" s="194" t="n"/>
      <c r="AA7826" s="25" t="n"/>
      <c r="AB7826" s="25" t="n"/>
      <c r="AC7826" s="195" t="n"/>
      <c r="AD7826" s="25" t="n"/>
      <c r="AE7826" s="25" t="n"/>
      <c r="AG7826" s="25" t="n"/>
      <c r="AH7826" s="25" t="n"/>
      <c r="AI7826" s="394" t="n"/>
      <c r="AM7826" s="48" t="n"/>
      <c r="AN7826" s="48" t="n"/>
      <c r="AO7826" s="48" t="n"/>
    </row>
    <row r="7827">
      <c r="M7827" s="25" t="n"/>
      <c r="Q7827" s="25" t="n"/>
      <c r="U7827" s="194" t="n"/>
      <c r="AA7827" s="25" t="n"/>
      <c r="AB7827" s="25" t="n"/>
      <c r="AC7827" s="195" t="n"/>
      <c r="AD7827" s="25" t="n"/>
      <c r="AE7827" s="25" t="n"/>
      <c r="AG7827" s="25" t="n"/>
      <c r="AH7827" s="25" t="n"/>
      <c r="AI7827" s="394" t="n"/>
      <c r="AM7827" s="48" t="n"/>
      <c r="AN7827" s="48" t="n"/>
      <c r="AO7827" s="48" t="n"/>
    </row>
    <row r="7828">
      <c r="M7828" s="25" t="n"/>
      <c r="Q7828" s="25" t="n"/>
      <c r="U7828" s="194" t="n"/>
      <c r="AA7828" s="25" t="n"/>
      <c r="AB7828" s="25" t="n"/>
      <c r="AC7828" s="195" t="n"/>
      <c r="AD7828" s="25" t="n"/>
      <c r="AE7828" s="25" t="n"/>
      <c r="AG7828" s="25" t="n"/>
      <c r="AH7828" s="25" t="n"/>
      <c r="AI7828" s="394" t="n"/>
      <c r="AM7828" s="48" t="n"/>
      <c r="AN7828" s="48" t="n"/>
      <c r="AO7828" s="48" t="n"/>
    </row>
    <row r="7829">
      <c r="M7829" s="25" t="n"/>
      <c r="Q7829" s="25" t="n"/>
      <c r="U7829" s="194" t="n"/>
      <c r="AA7829" s="25" t="n"/>
      <c r="AB7829" s="25" t="n"/>
      <c r="AC7829" s="195" t="n"/>
      <c r="AD7829" s="25" t="n"/>
      <c r="AE7829" s="25" t="n"/>
      <c r="AG7829" s="25" t="n"/>
      <c r="AH7829" s="25" t="n"/>
      <c r="AI7829" s="394" t="n"/>
      <c r="AM7829" s="48" t="n"/>
      <c r="AN7829" s="48" t="n"/>
      <c r="AO7829" s="48" t="n"/>
    </row>
    <row r="7830">
      <c r="M7830" s="25" t="n"/>
      <c r="Q7830" s="25" t="n"/>
      <c r="U7830" s="194" t="n"/>
      <c r="AA7830" s="25" t="n"/>
      <c r="AB7830" s="25" t="n"/>
      <c r="AC7830" s="195" t="n"/>
      <c r="AD7830" s="25" t="n"/>
      <c r="AE7830" s="25" t="n"/>
      <c r="AG7830" s="25" t="n"/>
      <c r="AH7830" s="25" t="n"/>
      <c r="AI7830" s="394" t="n"/>
      <c r="AM7830" s="48" t="n"/>
      <c r="AN7830" s="48" t="n"/>
      <c r="AO7830" s="48" t="n"/>
    </row>
    <row r="7831">
      <c r="M7831" s="25" t="n"/>
      <c r="Q7831" s="25" t="n"/>
      <c r="U7831" s="194" t="n"/>
      <c r="AA7831" s="25" t="n"/>
      <c r="AB7831" s="25" t="n"/>
      <c r="AC7831" s="195" t="n"/>
      <c r="AD7831" s="25" t="n"/>
      <c r="AE7831" s="25" t="n"/>
      <c r="AG7831" s="25" t="n"/>
      <c r="AH7831" s="25" t="n"/>
      <c r="AI7831" s="394" t="n"/>
      <c r="AM7831" s="48" t="n"/>
      <c r="AN7831" s="48" t="n"/>
      <c r="AO7831" s="48" t="n"/>
    </row>
    <row r="7832">
      <c r="M7832" s="25" t="n"/>
      <c r="Q7832" s="25" t="n"/>
      <c r="U7832" s="194" t="n"/>
      <c r="AA7832" s="25" t="n"/>
      <c r="AB7832" s="25" t="n"/>
      <c r="AC7832" s="195" t="n"/>
      <c r="AD7832" s="25" t="n"/>
      <c r="AE7832" s="25" t="n"/>
      <c r="AG7832" s="25" t="n"/>
      <c r="AH7832" s="25" t="n"/>
      <c r="AI7832" s="394" t="n"/>
      <c r="AM7832" s="48" t="n"/>
      <c r="AN7832" s="48" t="n"/>
      <c r="AO7832" s="48" t="n"/>
    </row>
    <row r="7833">
      <c r="M7833" s="25" t="n"/>
      <c r="Q7833" s="25" t="n"/>
      <c r="U7833" s="194" t="n"/>
      <c r="AA7833" s="25" t="n"/>
      <c r="AB7833" s="25" t="n"/>
      <c r="AC7833" s="195" t="n"/>
      <c r="AD7833" s="25" t="n"/>
      <c r="AE7833" s="25" t="n"/>
      <c r="AG7833" s="25" t="n"/>
      <c r="AH7833" s="25" t="n"/>
      <c r="AI7833" s="394" t="n"/>
      <c r="AM7833" s="48" t="n"/>
      <c r="AN7833" s="48" t="n"/>
      <c r="AO7833" s="48" t="n"/>
    </row>
    <row r="7834">
      <c r="M7834" s="25" t="n"/>
      <c r="Q7834" s="25" t="n"/>
      <c r="U7834" s="194" t="n"/>
      <c r="AA7834" s="25" t="n"/>
      <c r="AB7834" s="25" t="n"/>
      <c r="AC7834" s="195" t="n"/>
      <c r="AD7834" s="25" t="n"/>
      <c r="AE7834" s="25" t="n"/>
      <c r="AG7834" s="25" t="n"/>
      <c r="AH7834" s="25" t="n"/>
      <c r="AI7834" s="394" t="n"/>
      <c r="AM7834" s="48" t="n"/>
      <c r="AN7834" s="48" t="n"/>
      <c r="AO7834" s="48" t="n"/>
    </row>
    <row r="7835">
      <c r="M7835" s="25" t="n"/>
      <c r="Q7835" s="25" t="n"/>
      <c r="U7835" s="194" t="n"/>
      <c r="AA7835" s="25" t="n"/>
      <c r="AB7835" s="25" t="n"/>
      <c r="AC7835" s="195" t="n"/>
      <c r="AD7835" s="25" t="n"/>
      <c r="AE7835" s="25" t="n"/>
      <c r="AG7835" s="25" t="n"/>
      <c r="AH7835" s="25" t="n"/>
      <c r="AI7835" s="394" t="n"/>
      <c r="AM7835" s="48" t="n"/>
      <c r="AN7835" s="48" t="n"/>
      <c r="AO7835" s="48" t="n"/>
    </row>
    <row r="7836">
      <c r="M7836" s="25" t="n"/>
      <c r="Q7836" s="25" t="n"/>
      <c r="U7836" s="194" t="n"/>
      <c r="AA7836" s="25" t="n"/>
      <c r="AB7836" s="25" t="n"/>
      <c r="AC7836" s="195" t="n"/>
      <c r="AD7836" s="25" t="n"/>
      <c r="AE7836" s="25" t="n"/>
      <c r="AG7836" s="25" t="n"/>
      <c r="AH7836" s="25" t="n"/>
      <c r="AI7836" s="394" t="n"/>
      <c r="AM7836" s="48" t="n"/>
      <c r="AN7836" s="48" t="n"/>
      <c r="AO7836" s="48" t="n"/>
    </row>
    <row r="7837">
      <c r="M7837" s="25" t="n"/>
      <c r="Q7837" s="25" t="n"/>
      <c r="U7837" s="194" t="n"/>
      <c r="AA7837" s="25" t="n"/>
      <c r="AB7837" s="25" t="n"/>
      <c r="AC7837" s="195" t="n"/>
      <c r="AD7837" s="25" t="n"/>
      <c r="AE7837" s="25" t="n"/>
      <c r="AG7837" s="25" t="n"/>
      <c r="AH7837" s="25" t="n"/>
      <c r="AI7837" s="394" t="n"/>
      <c r="AM7837" s="48" t="n"/>
      <c r="AN7837" s="48" t="n"/>
      <c r="AO7837" s="48" t="n"/>
    </row>
    <row r="7838">
      <c r="M7838" s="25" t="n"/>
      <c r="Q7838" s="25" t="n"/>
      <c r="U7838" s="194" t="n"/>
      <c r="AA7838" s="25" t="n"/>
      <c r="AB7838" s="25" t="n"/>
      <c r="AC7838" s="195" t="n"/>
      <c r="AD7838" s="25" t="n"/>
      <c r="AE7838" s="25" t="n"/>
      <c r="AG7838" s="25" t="n"/>
      <c r="AH7838" s="25" t="n"/>
      <c r="AI7838" s="394" t="n"/>
      <c r="AM7838" s="48" t="n"/>
      <c r="AN7838" s="48" t="n"/>
      <c r="AO7838" s="48" t="n"/>
    </row>
    <row r="7839">
      <c r="M7839" s="25" t="n"/>
      <c r="Q7839" s="25" t="n"/>
      <c r="U7839" s="194" t="n"/>
      <c r="AA7839" s="25" t="n"/>
      <c r="AB7839" s="25" t="n"/>
      <c r="AC7839" s="195" t="n"/>
      <c r="AD7839" s="25" t="n"/>
      <c r="AE7839" s="25" t="n"/>
      <c r="AG7839" s="25" t="n"/>
      <c r="AH7839" s="25" t="n"/>
      <c r="AI7839" s="394" t="n"/>
      <c r="AM7839" s="48" t="n"/>
      <c r="AN7839" s="48" t="n"/>
      <c r="AO7839" s="48" t="n"/>
    </row>
    <row r="7840">
      <c r="M7840" s="25" t="n"/>
      <c r="Q7840" s="25" t="n"/>
      <c r="U7840" s="194" t="n"/>
      <c r="AA7840" s="25" t="n"/>
      <c r="AB7840" s="25" t="n"/>
      <c r="AC7840" s="195" t="n"/>
      <c r="AD7840" s="25" t="n"/>
      <c r="AE7840" s="25" t="n"/>
      <c r="AG7840" s="25" t="n"/>
      <c r="AH7840" s="25" t="n"/>
      <c r="AI7840" s="394" t="n"/>
      <c r="AM7840" s="48" t="n"/>
      <c r="AN7840" s="48" t="n"/>
      <c r="AO7840" s="48" t="n"/>
    </row>
    <row r="7841">
      <c r="M7841" s="25" t="n"/>
      <c r="Q7841" s="25" t="n"/>
      <c r="U7841" s="194" t="n"/>
      <c r="AA7841" s="25" t="n"/>
      <c r="AB7841" s="25" t="n"/>
      <c r="AC7841" s="195" t="n"/>
      <c r="AD7841" s="25" t="n"/>
      <c r="AE7841" s="25" t="n"/>
      <c r="AG7841" s="25" t="n"/>
      <c r="AH7841" s="25" t="n"/>
      <c r="AI7841" s="394" t="n"/>
      <c r="AM7841" s="48" t="n"/>
      <c r="AN7841" s="48" t="n"/>
      <c r="AO7841" s="48" t="n"/>
    </row>
    <row r="7842">
      <c r="M7842" s="25" t="n"/>
      <c r="Q7842" s="25" t="n"/>
      <c r="U7842" s="194" t="n"/>
      <c r="AA7842" s="25" t="n"/>
      <c r="AB7842" s="25" t="n"/>
      <c r="AC7842" s="195" t="n"/>
      <c r="AD7842" s="25" t="n"/>
      <c r="AE7842" s="25" t="n"/>
      <c r="AG7842" s="25" t="n"/>
      <c r="AH7842" s="25" t="n"/>
      <c r="AI7842" s="394" t="n"/>
      <c r="AM7842" s="48" t="n"/>
      <c r="AN7842" s="48" t="n"/>
      <c r="AO7842" s="48" t="n"/>
    </row>
    <row r="7843">
      <c r="M7843" s="25" t="n"/>
      <c r="Q7843" s="25" t="n"/>
      <c r="U7843" s="194" t="n"/>
      <c r="AA7843" s="25" t="n"/>
      <c r="AB7843" s="25" t="n"/>
      <c r="AC7843" s="195" t="n"/>
      <c r="AD7843" s="25" t="n"/>
      <c r="AE7843" s="25" t="n"/>
      <c r="AG7843" s="25" t="n"/>
      <c r="AH7843" s="25" t="n"/>
      <c r="AI7843" s="394" t="n"/>
      <c r="AM7843" s="48" t="n"/>
      <c r="AN7843" s="48" t="n"/>
      <c r="AO7843" s="48" t="n"/>
    </row>
    <row r="7844">
      <c r="M7844" s="25" t="n"/>
      <c r="Q7844" s="25" t="n"/>
      <c r="U7844" s="194" t="n"/>
      <c r="AA7844" s="25" t="n"/>
      <c r="AB7844" s="25" t="n"/>
      <c r="AC7844" s="195" t="n"/>
      <c r="AD7844" s="25" t="n"/>
      <c r="AE7844" s="25" t="n"/>
      <c r="AG7844" s="25" t="n"/>
      <c r="AH7844" s="25" t="n"/>
      <c r="AI7844" s="394" t="n"/>
      <c r="AM7844" s="48" t="n"/>
      <c r="AN7844" s="48" t="n"/>
      <c r="AO7844" s="48" t="n"/>
    </row>
    <row r="7845">
      <c r="M7845" s="25" t="n"/>
      <c r="Q7845" s="25" t="n"/>
      <c r="U7845" s="194" t="n"/>
      <c r="AA7845" s="25" t="n"/>
      <c r="AB7845" s="25" t="n"/>
      <c r="AC7845" s="195" t="n"/>
      <c r="AD7845" s="25" t="n"/>
      <c r="AE7845" s="25" t="n"/>
      <c r="AG7845" s="25" t="n"/>
      <c r="AH7845" s="25" t="n"/>
      <c r="AI7845" s="394" t="n"/>
      <c r="AM7845" s="48" t="n"/>
      <c r="AN7845" s="48" t="n"/>
      <c r="AO7845" s="48" t="n"/>
    </row>
    <row r="7846">
      <c r="M7846" s="25" t="n"/>
      <c r="Q7846" s="25" t="n"/>
      <c r="U7846" s="194" t="n"/>
      <c r="AA7846" s="25" t="n"/>
      <c r="AB7846" s="25" t="n"/>
      <c r="AC7846" s="195" t="n"/>
      <c r="AD7846" s="25" t="n"/>
      <c r="AE7846" s="25" t="n"/>
      <c r="AG7846" s="25" t="n"/>
      <c r="AH7846" s="25" t="n"/>
      <c r="AI7846" s="394" t="n"/>
      <c r="AM7846" s="48" t="n"/>
      <c r="AN7846" s="48" t="n"/>
      <c r="AO7846" s="48" t="n"/>
    </row>
    <row r="7847">
      <c r="M7847" s="25" t="n"/>
      <c r="Q7847" s="25" t="n"/>
      <c r="U7847" s="194" t="n"/>
      <c r="AA7847" s="25" t="n"/>
      <c r="AB7847" s="25" t="n"/>
      <c r="AC7847" s="195" t="n"/>
      <c r="AD7847" s="25" t="n"/>
      <c r="AE7847" s="25" t="n"/>
      <c r="AG7847" s="25" t="n"/>
      <c r="AH7847" s="25" t="n"/>
      <c r="AI7847" s="394" t="n"/>
      <c r="AM7847" s="48" t="n"/>
      <c r="AN7847" s="48" t="n"/>
      <c r="AO7847" s="48" t="n"/>
    </row>
    <row r="7848">
      <c r="M7848" s="25" t="n"/>
      <c r="Q7848" s="25" t="n"/>
      <c r="U7848" s="194" t="n"/>
      <c r="AA7848" s="25" t="n"/>
      <c r="AB7848" s="25" t="n"/>
      <c r="AC7848" s="195" t="n"/>
      <c r="AD7848" s="25" t="n"/>
      <c r="AE7848" s="25" t="n"/>
      <c r="AG7848" s="25" t="n"/>
      <c r="AH7848" s="25" t="n"/>
      <c r="AI7848" s="394" t="n"/>
      <c r="AM7848" s="48" t="n"/>
      <c r="AN7848" s="48" t="n"/>
      <c r="AO7848" s="48" t="n"/>
    </row>
    <row r="7849">
      <c r="M7849" s="25" t="n"/>
      <c r="Q7849" s="25" t="n"/>
      <c r="U7849" s="194" t="n"/>
      <c r="AA7849" s="25" t="n"/>
      <c r="AB7849" s="25" t="n"/>
      <c r="AC7849" s="195" t="n"/>
      <c r="AD7849" s="25" t="n"/>
      <c r="AE7849" s="25" t="n"/>
      <c r="AG7849" s="25" t="n"/>
      <c r="AH7849" s="25" t="n"/>
      <c r="AI7849" s="394" t="n"/>
      <c r="AM7849" s="48" t="n"/>
      <c r="AN7849" s="48" t="n"/>
      <c r="AO7849" s="48" t="n"/>
    </row>
    <row r="7850">
      <c r="M7850" s="25" t="n"/>
      <c r="Q7850" s="25" t="n"/>
      <c r="U7850" s="194" t="n"/>
      <c r="AA7850" s="25" t="n"/>
      <c r="AB7850" s="25" t="n"/>
      <c r="AC7850" s="195" t="n"/>
      <c r="AD7850" s="25" t="n"/>
      <c r="AE7850" s="25" t="n"/>
      <c r="AG7850" s="25" t="n"/>
      <c r="AH7850" s="25" t="n"/>
      <c r="AI7850" s="394" t="n"/>
      <c r="AM7850" s="48" t="n"/>
      <c r="AN7850" s="48" t="n"/>
      <c r="AO7850" s="48" t="n"/>
    </row>
    <row r="7851">
      <c r="M7851" s="25" t="n"/>
      <c r="Q7851" s="25" t="n"/>
      <c r="U7851" s="194" t="n"/>
      <c r="AA7851" s="25" t="n"/>
      <c r="AB7851" s="25" t="n"/>
      <c r="AC7851" s="195" t="n"/>
      <c r="AD7851" s="25" t="n"/>
      <c r="AE7851" s="25" t="n"/>
      <c r="AG7851" s="25" t="n"/>
      <c r="AH7851" s="25" t="n"/>
      <c r="AI7851" s="394" t="n"/>
      <c r="AM7851" s="48" t="n"/>
      <c r="AN7851" s="48" t="n"/>
      <c r="AO7851" s="48" t="n"/>
    </row>
    <row r="7852">
      <c r="M7852" s="25" t="n"/>
      <c r="Q7852" s="25" t="n"/>
      <c r="U7852" s="194" t="n"/>
      <c r="AA7852" s="25" t="n"/>
      <c r="AB7852" s="25" t="n"/>
      <c r="AC7852" s="195" t="n"/>
      <c r="AD7852" s="25" t="n"/>
      <c r="AE7852" s="25" t="n"/>
      <c r="AG7852" s="25" t="n"/>
      <c r="AH7852" s="25" t="n"/>
      <c r="AI7852" s="394" t="n"/>
      <c r="AM7852" s="48" t="n"/>
      <c r="AN7852" s="48" t="n"/>
      <c r="AO7852" s="48" t="n"/>
    </row>
    <row r="7853">
      <c r="M7853" s="25" t="n"/>
      <c r="Q7853" s="25" t="n"/>
      <c r="U7853" s="194" t="n"/>
      <c r="AA7853" s="25" t="n"/>
      <c r="AB7853" s="25" t="n"/>
      <c r="AC7853" s="195" t="n"/>
      <c r="AD7853" s="25" t="n"/>
      <c r="AE7853" s="25" t="n"/>
      <c r="AG7853" s="25" t="n"/>
      <c r="AH7853" s="25" t="n"/>
      <c r="AI7853" s="394" t="n"/>
      <c r="AM7853" s="48" t="n"/>
      <c r="AN7853" s="48" t="n"/>
      <c r="AO7853" s="48" t="n"/>
    </row>
    <row r="7854">
      <c r="M7854" s="25" t="n"/>
      <c r="Q7854" s="25" t="n"/>
      <c r="U7854" s="194" t="n"/>
      <c r="AA7854" s="25" t="n"/>
      <c r="AB7854" s="25" t="n"/>
      <c r="AC7854" s="195" t="n"/>
      <c r="AD7854" s="25" t="n"/>
      <c r="AE7854" s="25" t="n"/>
      <c r="AG7854" s="25" t="n"/>
      <c r="AH7854" s="25" t="n"/>
      <c r="AI7854" s="394" t="n"/>
      <c r="AM7854" s="48" t="n"/>
      <c r="AN7854" s="48" t="n"/>
      <c r="AO7854" s="48" t="n"/>
    </row>
    <row r="7855">
      <c r="M7855" s="25" t="n"/>
      <c r="Q7855" s="25" t="n"/>
      <c r="U7855" s="194" t="n"/>
      <c r="AA7855" s="25" t="n"/>
      <c r="AB7855" s="25" t="n"/>
      <c r="AC7855" s="195" t="n"/>
      <c r="AD7855" s="25" t="n"/>
      <c r="AE7855" s="25" t="n"/>
      <c r="AG7855" s="25" t="n"/>
      <c r="AH7855" s="25" t="n"/>
      <c r="AI7855" s="394" t="n"/>
      <c r="AM7855" s="48" t="n"/>
      <c r="AN7855" s="48" t="n"/>
      <c r="AO7855" s="48" t="n"/>
    </row>
    <row r="7856">
      <c r="M7856" s="25" t="n"/>
      <c r="Q7856" s="25" t="n"/>
      <c r="U7856" s="194" t="n"/>
      <c r="AA7856" s="25" t="n"/>
      <c r="AB7856" s="25" t="n"/>
      <c r="AC7856" s="195" t="n"/>
      <c r="AD7856" s="25" t="n"/>
      <c r="AE7856" s="25" t="n"/>
      <c r="AG7856" s="25" t="n"/>
      <c r="AH7856" s="25" t="n"/>
      <c r="AI7856" s="394" t="n"/>
      <c r="AM7856" s="48" t="n"/>
      <c r="AN7856" s="48" t="n"/>
      <c r="AO7856" s="48" t="n"/>
    </row>
    <row r="7857">
      <c r="M7857" s="25" t="n"/>
      <c r="Q7857" s="25" t="n"/>
      <c r="U7857" s="194" t="n"/>
      <c r="AA7857" s="25" t="n"/>
      <c r="AB7857" s="25" t="n"/>
      <c r="AC7857" s="195" t="n"/>
      <c r="AD7857" s="25" t="n"/>
      <c r="AE7857" s="25" t="n"/>
      <c r="AG7857" s="25" t="n"/>
      <c r="AH7857" s="25" t="n"/>
      <c r="AI7857" s="394" t="n"/>
      <c r="AM7857" s="48" t="n"/>
      <c r="AN7857" s="48" t="n"/>
      <c r="AO7857" s="48" t="n"/>
    </row>
    <row r="7858">
      <c r="M7858" s="25" t="n"/>
      <c r="Q7858" s="25" t="n"/>
      <c r="U7858" s="194" t="n"/>
      <c r="AA7858" s="25" t="n"/>
      <c r="AB7858" s="25" t="n"/>
      <c r="AC7858" s="195" t="n"/>
      <c r="AD7858" s="25" t="n"/>
      <c r="AE7858" s="25" t="n"/>
      <c r="AG7858" s="25" t="n"/>
      <c r="AH7858" s="25" t="n"/>
      <c r="AI7858" s="394" t="n"/>
      <c r="AM7858" s="48" t="n"/>
      <c r="AN7858" s="48" t="n"/>
      <c r="AO7858" s="48" t="n"/>
    </row>
    <row r="7859">
      <c r="M7859" s="25" t="n"/>
      <c r="Q7859" s="25" t="n"/>
      <c r="U7859" s="194" t="n"/>
      <c r="AA7859" s="25" t="n"/>
      <c r="AB7859" s="25" t="n"/>
      <c r="AC7859" s="195" t="n"/>
      <c r="AD7859" s="25" t="n"/>
      <c r="AE7859" s="25" t="n"/>
      <c r="AG7859" s="25" t="n"/>
      <c r="AH7859" s="25" t="n"/>
      <c r="AI7859" s="394" t="n"/>
      <c r="AM7859" s="48" t="n"/>
      <c r="AN7859" s="48" t="n"/>
      <c r="AO7859" s="48" t="n"/>
    </row>
    <row r="7860">
      <c r="M7860" s="25" t="n"/>
      <c r="Q7860" s="25" t="n"/>
      <c r="U7860" s="194" t="n"/>
      <c r="AA7860" s="25" t="n"/>
      <c r="AB7860" s="25" t="n"/>
      <c r="AC7860" s="195" t="n"/>
      <c r="AD7860" s="25" t="n"/>
      <c r="AE7860" s="25" t="n"/>
      <c r="AG7860" s="25" t="n"/>
      <c r="AH7860" s="25" t="n"/>
      <c r="AI7860" s="394" t="n"/>
      <c r="AM7860" s="48" t="n"/>
      <c r="AN7860" s="48" t="n"/>
      <c r="AO7860" s="48" t="n"/>
    </row>
    <row r="7861">
      <c r="M7861" s="25" t="n"/>
      <c r="Q7861" s="25" t="n"/>
      <c r="U7861" s="194" t="n"/>
      <c r="AA7861" s="25" t="n"/>
      <c r="AB7861" s="25" t="n"/>
      <c r="AC7861" s="195" t="n"/>
      <c r="AD7861" s="25" t="n"/>
      <c r="AE7861" s="25" t="n"/>
      <c r="AG7861" s="25" t="n"/>
      <c r="AH7861" s="25" t="n"/>
      <c r="AI7861" s="394" t="n"/>
      <c r="AM7861" s="48" t="n"/>
      <c r="AN7861" s="48" t="n"/>
      <c r="AO7861" s="48" t="n"/>
    </row>
    <row r="7862">
      <c r="M7862" s="25" t="n"/>
      <c r="Q7862" s="25" t="n"/>
      <c r="U7862" s="194" t="n"/>
      <c r="AA7862" s="25" t="n"/>
      <c r="AB7862" s="25" t="n"/>
      <c r="AC7862" s="195" t="n"/>
      <c r="AD7862" s="25" t="n"/>
      <c r="AE7862" s="25" t="n"/>
      <c r="AG7862" s="25" t="n"/>
      <c r="AH7862" s="25" t="n"/>
      <c r="AI7862" s="394" t="n"/>
      <c r="AM7862" s="48" t="n"/>
      <c r="AN7862" s="48" t="n"/>
      <c r="AO7862" s="48" t="n"/>
    </row>
    <row r="7863">
      <c r="M7863" s="25" t="n"/>
      <c r="Q7863" s="25" t="n"/>
      <c r="U7863" s="194" t="n"/>
      <c r="AA7863" s="25" t="n"/>
      <c r="AB7863" s="25" t="n"/>
      <c r="AC7863" s="195" t="n"/>
      <c r="AD7863" s="25" t="n"/>
      <c r="AE7863" s="25" t="n"/>
      <c r="AG7863" s="25" t="n"/>
      <c r="AH7863" s="25" t="n"/>
      <c r="AI7863" s="394" t="n"/>
      <c r="AM7863" s="48" t="n"/>
      <c r="AN7863" s="48" t="n"/>
      <c r="AO7863" s="48" t="n"/>
    </row>
    <row r="7864">
      <c r="M7864" s="25" t="n"/>
      <c r="Q7864" s="25" t="n"/>
      <c r="U7864" s="194" t="n"/>
      <c r="AA7864" s="25" t="n"/>
      <c r="AB7864" s="25" t="n"/>
      <c r="AC7864" s="195" t="n"/>
      <c r="AD7864" s="25" t="n"/>
      <c r="AE7864" s="25" t="n"/>
      <c r="AG7864" s="25" t="n"/>
      <c r="AH7864" s="25" t="n"/>
      <c r="AI7864" s="394" t="n"/>
      <c r="AM7864" s="48" t="n"/>
      <c r="AN7864" s="48" t="n"/>
      <c r="AO7864" s="48" t="n"/>
    </row>
    <row r="7865">
      <c r="M7865" s="25" t="n"/>
      <c r="Q7865" s="25" t="n"/>
      <c r="U7865" s="194" t="n"/>
      <c r="AA7865" s="25" t="n"/>
      <c r="AB7865" s="25" t="n"/>
      <c r="AC7865" s="195" t="n"/>
      <c r="AD7865" s="25" t="n"/>
      <c r="AE7865" s="25" t="n"/>
      <c r="AG7865" s="25" t="n"/>
      <c r="AH7865" s="25" t="n"/>
      <c r="AI7865" s="394" t="n"/>
      <c r="AM7865" s="48" t="n"/>
      <c r="AN7865" s="48" t="n"/>
      <c r="AO7865" s="48" t="n"/>
    </row>
    <row r="7866">
      <c r="M7866" s="25" t="n"/>
      <c r="Q7866" s="25" t="n"/>
      <c r="U7866" s="194" t="n"/>
      <c r="AA7866" s="25" t="n"/>
      <c r="AB7866" s="25" t="n"/>
      <c r="AC7866" s="195" t="n"/>
      <c r="AD7866" s="25" t="n"/>
      <c r="AE7866" s="25" t="n"/>
      <c r="AG7866" s="25" t="n"/>
      <c r="AH7866" s="25" t="n"/>
      <c r="AI7866" s="394" t="n"/>
      <c r="AM7866" s="48" t="n"/>
      <c r="AN7866" s="48" t="n"/>
      <c r="AO7866" s="48" t="n"/>
    </row>
    <row r="7867">
      <c r="M7867" s="25" t="n"/>
      <c r="Q7867" s="25" t="n"/>
      <c r="U7867" s="194" t="n"/>
      <c r="AA7867" s="25" t="n"/>
      <c r="AB7867" s="25" t="n"/>
      <c r="AC7867" s="195" t="n"/>
      <c r="AD7867" s="25" t="n"/>
      <c r="AE7867" s="25" t="n"/>
      <c r="AG7867" s="25" t="n"/>
      <c r="AH7867" s="25" t="n"/>
      <c r="AI7867" s="394" t="n"/>
      <c r="AM7867" s="48" t="n"/>
      <c r="AN7867" s="48" t="n"/>
      <c r="AO7867" s="48" t="n"/>
    </row>
    <row r="7868">
      <c r="M7868" s="25" t="n"/>
      <c r="Q7868" s="25" t="n"/>
      <c r="U7868" s="194" t="n"/>
      <c r="AA7868" s="25" t="n"/>
      <c r="AB7868" s="25" t="n"/>
      <c r="AC7868" s="195" t="n"/>
      <c r="AD7868" s="25" t="n"/>
      <c r="AE7868" s="25" t="n"/>
      <c r="AG7868" s="25" t="n"/>
      <c r="AH7868" s="25" t="n"/>
      <c r="AI7868" s="394" t="n"/>
      <c r="AM7868" s="48" t="n"/>
      <c r="AN7868" s="48" t="n"/>
      <c r="AO7868" s="48" t="n"/>
    </row>
    <row r="7869">
      <c r="M7869" s="25" t="n"/>
      <c r="Q7869" s="25" t="n"/>
      <c r="U7869" s="194" t="n"/>
      <c r="AA7869" s="25" t="n"/>
      <c r="AB7869" s="25" t="n"/>
      <c r="AC7869" s="195" t="n"/>
      <c r="AD7869" s="25" t="n"/>
      <c r="AE7869" s="25" t="n"/>
      <c r="AG7869" s="25" t="n"/>
      <c r="AH7869" s="25" t="n"/>
      <c r="AI7869" s="394" t="n"/>
      <c r="AM7869" s="48" t="n"/>
      <c r="AN7869" s="48" t="n"/>
      <c r="AO7869" s="48" t="n"/>
    </row>
    <row r="7870">
      <c r="M7870" s="25" t="n"/>
      <c r="Q7870" s="25" t="n"/>
      <c r="U7870" s="194" t="n"/>
      <c r="AA7870" s="25" t="n"/>
      <c r="AB7870" s="25" t="n"/>
      <c r="AC7870" s="195" t="n"/>
      <c r="AD7870" s="25" t="n"/>
      <c r="AE7870" s="25" t="n"/>
      <c r="AG7870" s="25" t="n"/>
      <c r="AH7870" s="25" t="n"/>
      <c r="AI7870" s="394" t="n"/>
      <c r="AM7870" s="48" t="n"/>
      <c r="AN7870" s="48" t="n"/>
      <c r="AO7870" s="48" t="n"/>
    </row>
    <row r="7871">
      <c r="M7871" s="25" t="n"/>
      <c r="Q7871" s="25" t="n"/>
      <c r="U7871" s="194" t="n"/>
      <c r="AA7871" s="25" t="n"/>
      <c r="AB7871" s="25" t="n"/>
      <c r="AC7871" s="195" t="n"/>
      <c r="AD7871" s="25" t="n"/>
      <c r="AE7871" s="25" t="n"/>
      <c r="AG7871" s="25" t="n"/>
      <c r="AH7871" s="25" t="n"/>
      <c r="AI7871" s="394" t="n"/>
      <c r="AM7871" s="48" t="n"/>
      <c r="AN7871" s="48" t="n"/>
      <c r="AO7871" s="48" t="n"/>
    </row>
    <row r="7872">
      <c r="M7872" s="25" t="n"/>
      <c r="Q7872" s="25" t="n"/>
      <c r="U7872" s="194" t="n"/>
      <c r="AA7872" s="25" t="n"/>
      <c r="AB7872" s="25" t="n"/>
      <c r="AC7872" s="195" t="n"/>
      <c r="AD7872" s="25" t="n"/>
      <c r="AE7872" s="25" t="n"/>
      <c r="AG7872" s="25" t="n"/>
      <c r="AH7872" s="25" t="n"/>
      <c r="AI7872" s="394" t="n"/>
      <c r="AM7872" s="48" t="n"/>
      <c r="AN7872" s="48" t="n"/>
      <c r="AO7872" s="48" t="n"/>
    </row>
    <row r="7873">
      <c r="M7873" s="25" t="n"/>
      <c r="Q7873" s="25" t="n"/>
      <c r="U7873" s="194" t="n"/>
      <c r="AA7873" s="25" t="n"/>
      <c r="AB7873" s="25" t="n"/>
      <c r="AC7873" s="195" t="n"/>
      <c r="AD7873" s="25" t="n"/>
      <c r="AE7873" s="25" t="n"/>
      <c r="AG7873" s="25" t="n"/>
      <c r="AH7873" s="25" t="n"/>
      <c r="AI7873" s="394" t="n"/>
      <c r="AM7873" s="48" t="n"/>
      <c r="AN7873" s="48" t="n"/>
      <c r="AO7873" s="48" t="n"/>
    </row>
    <row r="7874">
      <c r="M7874" s="25" t="n"/>
      <c r="Q7874" s="25" t="n"/>
      <c r="U7874" s="194" t="n"/>
      <c r="AA7874" s="25" t="n"/>
      <c r="AB7874" s="25" t="n"/>
      <c r="AC7874" s="195" t="n"/>
      <c r="AD7874" s="25" t="n"/>
      <c r="AE7874" s="25" t="n"/>
      <c r="AG7874" s="25" t="n"/>
      <c r="AH7874" s="25" t="n"/>
      <c r="AI7874" s="394" t="n"/>
      <c r="AM7874" s="48" t="n"/>
      <c r="AN7874" s="48" t="n"/>
      <c r="AO7874" s="48" t="n"/>
    </row>
    <row r="7875">
      <c r="M7875" s="25" t="n"/>
      <c r="Q7875" s="25" t="n"/>
      <c r="U7875" s="194" t="n"/>
      <c r="AA7875" s="25" t="n"/>
      <c r="AB7875" s="25" t="n"/>
      <c r="AC7875" s="195" t="n"/>
      <c r="AD7875" s="25" t="n"/>
      <c r="AE7875" s="25" t="n"/>
      <c r="AG7875" s="25" t="n"/>
      <c r="AH7875" s="25" t="n"/>
      <c r="AI7875" s="394" t="n"/>
      <c r="AM7875" s="48" t="n"/>
      <c r="AN7875" s="48" t="n"/>
      <c r="AO7875" s="48" t="n"/>
    </row>
    <row r="7876">
      <c r="M7876" s="25" t="n"/>
      <c r="Q7876" s="25" t="n"/>
      <c r="U7876" s="194" t="n"/>
      <c r="AA7876" s="25" t="n"/>
      <c r="AB7876" s="25" t="n"/>
      <c r="AC7876" s="195" t="n"/>
      <c r="AD7876" s="25" t="n"/>
      <c r="AE7876" s="25" t="n"/>
      <c r="AG7876" s="25" t="n"/>
      <c r="AH7876" s="25" t="n"/>
      <c r="AI7876" s="394" t="n"/>
      <c r="AM7876" s="48" t="n"/>
      <c r="AN7876" s="48" t="n"/>
      <c r="AO7876" s="48" t="n"/>
    </row>
    <row r="7877">
      <c r="M7877" s="25" t="n"/>
      <c r="Q7877" s="25" t="n"/>
      <c r="U7877" s="194" t="n"/>
      <c r="AA7877" s="25" t="n"/>
      <c r="AB7877" s="25" t="n"/>
      <c r="AC7877" s="195" t="n"/>
      <c r="AD7877" s="25" t="n"/>
      <c r="AE7877" s="25" t="n"/>
      <c r="AG7877" s="25" t="n"/>
      <c r="AH7877" s="25" t="n"/>
      <c r="AI7877" s="394" t="n"/>
      <c r="AM7877" s="48" t="n"/>
      <c r="AN7877" s="48" t="n"/>
      <c r="AO7877" s="48" t="n"/>
    </row>
    <row r="7878">
      <c r="M7878" s="25" t="n"/>
      <c r="Q7878" s="25" t="n"/>
      <c r="U7878" s="194" t="n"/>
      <c r="AA7878" s="25" t="n"/>
      <c r="AB7878" s="25" t="n"/>
      <c r="AC7878" s="195" t="n"/>
      <c r="AD7878" s="25" t="n"/>
      <c r="AE7878" s="25" t="n"/>
      <c r="AG7878" s="25" t="n"/>
      <c r="AH7878" s="25" t="n"/>
      <c r="AI7878" s="394" t="n"/>
      <c r="AM7878" s="48" t="n"/>
      <c r="AN7878" s="48" t="n"/>
      <c r="AO7878" s="48" t="n"/>
    </row>
    <row r="7879">
      <c r="M7879" s="25" t="n"/>
      <c r="Q7879" s="25" t="n"/>
      <c r="U7879" s="194" t="n"/>
      <c r="AA7879" s="25" t="n"/>
      <c r="AB7879" s="25" t="n"/>
      <c r="AC7879" s="195" t="n"/>
      <c r="AD7879" s="25" t="n"/>
      <c r="AE7879" s="25" t="n"/>
      <c r="AG7879" s="25" t="n"/>
      <c r="AH7879" s="25" t="n"/>
      <c r="AI7879" s="394" t="n"/>
      <c r="AM7879" s="48" t="n"/>
      <c r="AN7879" s="48" t="n"/>
      <c r="AO7879" s="48" t="n"/>
    </row>
    <row r="7880">
      <c r="M7880" s="25" t="n"/>
      <c r="Q7880" s="25" t="n"/>
      <c r="U7880" s="194" t="n"/>
      <c r="AA7880" s="25" t="n"/>
      <c r="AB7880" s="25" t="n"/>
      <c r="AC7880" s="195" t="n"/>
      <c r="AD7880" s="25" t="n"/>
      <c r="AE7880" s="25" t="n"/>
      <c r="AG7880" s="25" t="n"/>
      <c r="AH7880" s="25" t="n"/>
      <c r="AI7880" s="394" t="n"/>
      <c r="AM7880" s="48" t="n"/>
      <c r="AN7880" s="48" t="n"/>
      <c r="AO7880" s="48" t="n"/>
    </row>
    <row r="7881">
      <c r="M7881" s="25" t="n"/>
      <c r="Q7881" s="25" t="n"/>
      <c r="U7881" s="194" t="n"/>
      <c r="AA7881" s="25" t="n"/>
      <c r="AB7881" s="25" t="n"/>
      <c r="AC7881" s="195" t="n"/>
      <c r="AD7881" s="25" t="n"/>
      <c r="AE7881" s="25" t="n"/>
      <c r="AG7881" s="25" t="n"/>
      <c r="AH7881" s="25" t="n"/>
      <c r="AI7881" s="394" t="n"/>
      <c r="AM7881" s="48" t="n"/>
      <c r="AN7881" s="48" t="n"/>
      <c r="AO7881" s="48" t="n"/>
    </row>
    <row r="7882">
      <c r="M7882" s="25" t="n"/>
      <c r="Q7882" s="25" t="n"/>
      <c r="U7882" s="194" t="n"/>
      <c r="AA7882" s="25" t="n"/>
      <c r="AB7882" s="25" t="n"/>
      <c r="AC7882" s="195" t="n"/>
      <c r="AD7882" s="25" t="n"/>
      <c r="AE7882" s="25" t="n"/>
      <c r="AG7882" s="25" t="n"/>
      <c r="AH7882" s="25" t="n"/>
      <c r="AI7882" s="394" t="n"/>
      <c r="AM7882" s="48" t="n"/>
      <c r="AN7882" s="48" t="n"/>
      <c r="AO7882" s="48" t="n"/>
    </row>
    <row r="7883">
      <c r="M7883" s="25" t="n"/>
      <c r="Q7883" s="25" t="n"/>
      <c r="U7883" s="194" t="n"/>
      <c r="AA7883" s="25" t="n"/>
      <c r="AB7883" s="25" t="n"/>
      <c r="AC7883" s="195" t="n"/>
      <c r="AD7883" s="25" t="n"/>
      <c r="AE7883" s="25" t="n"/>
      <c r="AG7883" s="25" t="n"/>
      <c r="AH7883" s="25" t="n"/>
      <c r="AI7883" s="394" t="n"/>
      <c r="AM7883" s="48" t="n"/>
      <c r="AN7883" s="48" t="n"/>
      <c r="AO7883" s="48" t="n"/>
    </row>
    <row r="7884">
      <c r="M7884" s="25" t="n"/>
      <c r="Q7884" s="25" t="n"/>
      <c r="U7884" s="194" t="n"/>
      <c r="AA7884" s="25" t="n"/>
      <c r="AB7884" s="25" t="n"/>
      <c r="AC7884" s="195" t="n"/>
      <c r="AD7884" s="25" t="n"/>
      <c r="AE7884" s="25" t="n"/>
      <c r="AG7884" s="25" t="n"/>
      <c r="AH7884" s="25" t="n"/>
      <c r="AI7884" s="394" t="n"/>
      <c r="AM7884" s="48" t="n"/>
      <c r="AN7884" s="48" t="n"/>
      <c r="AO7884" s="48" t="n"/>
    </row>
    <row r="7885">
      <c r="M7885" s="25" t="n"/>
      <c r="Q7885" s="25" t="n"/>
      <c r="U7885" s="194" t="n"/>
      <c r="AA7885" s="25" t="n"/>
      <c r="AB7885" s="25" t="n"/>
      <c r="AC7885" s="195" t="n"/>
      <c r="AD7885" s="25" t="n"/>
      <c r="AE7885" s="25" t="n"/>
      <c r="AG7885" s="25" t="n"/>
      <c r="AH7885" s="25" t="n"/>
      <c r="AI7885" s="394" t="n"/>
      <c r="AM7885" s="48" t="n"/>
      <c r="AN7885" s="48" t="n"/>
      <c r="AO7885" s="48" t="n"/>
    </row>
    <row r="7886">
      <c r="M7886" s="25" t="n"/>
      <c r="Q7886" s="25" t="n"/>
      <c r="U7886" s="194" t="n"/>
      <c r="AA7886" s="25" t="n"/>
      <c r="AB7886" s="25" t="n"/>
      <c r="AC7886" s="195" t="n"/>
      <c r="AD7886" s="25" t="n"/>
      <c r="AE7886" s="25" t="n"/>
      <c r="AG7886" s="25" t="n"/>
      <c r="AH7886" s="25" t="n"/>
      <c r="AI7886" s="394" t="n"/>
      <c r="AM7886" s="48" t="n"/>
      <c r="AN7886" s="48" t="n"/>
      <c r="AO7886" s="48" t="n"/>
    </row>
    <row r="7887">
      <c r="M7887" s="25" t="n"/>
      <c r="Q7887" s="25" t="n"/>
      <c r="U7887" s="194" t="n"/>
      <c r="AA7887" s="25" t="n"/>
      <c r="AB7887" s="25" t="n"/>
      <c r="AC7887" s="195" t="n"/>
      <c r="AD7887" s="25" t="n"/>
      <c r="AE7887" s="25" t="n"/>
      <c r="AG7887" s="25" t="n"/>
      <c r="AH7887" s="25" t="n"/>
      <c r="AI7887" s="394" t="n"/>
      <c r="AM7887" s="48" t="n"/>
      <c r="AN7887" s="48" t="n"/>
      <c r="AO7887" s="48" t="n"/>
    </row>
    <row r="7888">
      <c r="M7888" s="25" t="n"/>
      <c r="Q7888" s="25" t="n"/>
      <c r="U7888" s="194" t="n"/>
      <c r="AA7888" s="25" t="n"/>
      <c r="AB7888" s="25" t="n"/>
      <c r="AC7888" s="195" t="n"/>
      <c r="AD7888" s="25" t="n"/>
      <c r="AE7888" s="25" t="n"/>
      <c r="AG7888" s="25" t="n"/>
      <c r="AH7888" s="25" t="n"/>
      <c r="AI7888" s="394" t="n"/>
      <c r="AM7888" s="48" t="n"/>
      <c r="AN7888" s="48" t="n"/>
      <c r="AO7888" s="48" t="n"/>
    </row>
    <row r="7889">
      <c r="M7889" s="25" t="n"/>
      <c r="Q7889" s="25" t="n"/>
      <c r="U7889" s="194" t="n"/>
      <c r="AA7889" s="25" t="n"/>
      <c r="AB7889" s="25" t="n"/>
      <c r="AC7889" s="195" t="n"/>
      <c r="AD7889" s="25" t="n"/>
      <c r="AE7889" s="25" t="n"/>
      <c r="AG7889" s="25" t="n"/>
      <c r="AH7889" s="25" t="n"/>
      <c r="AI7889" s="394" t="n"/>
      <c r="AM7889" s="48" t="n"/>
      <c r="AN7889" s="48" t="n"/>
      <c r="AO7889" s="48" t="n"/>
    </row>
    <row r="7890">
      <c r="M7890" s="25" t="n"/>
      <c r="Q7890" s="25" t="n"/>
      <c r="U7890" s="194" t="n"/>
      <c r="AA7890" s="25" t="n"/>
      <c r="AB7890" s="25" t="n"/>
      <c r="AC7890" s="195" t="n"/>
      <c r="AD7890" s="25" t="n"/>
      <c r="AE7890" s="25" t="n"/>
      <c r="AG7890" s="25" t="n"/>
      <c r="AH7890" s="25" t="n"/>
      <c r="AI7890" s="394" t="n"/>
      <c r="AM7890" s="48" t="n"/>
      <c r="AN7890" s="48" t="n"/>
      <c r="AO7890" s="48" t="n"/>
    </row>
    <row r="7891">
      <c r="M7891" s="25" t="n"/>
      <c r="Q7891" s="25" t="n"/>
      <c r="U7891" s="194" t="n"/>
      <c r="AA7891" s="25" t="n"/>
      <c r="AB7891" s="25" t="n"/>
      <c r="AC7891" s="195" t="n"/>
      <c r="AD7891" s="25" t="n"/>
      <c r="AE7891" s="25" t="n"/>
      <c r="AG7891" s="25" t="n"/>
      <c r="AH7891" s="25" t="n"/>
      <c r="AI7891" s="394" t="n"/>
      <c r="AM7891" s="48" t="n"/>
      <c r="AN7891" s="48" t="n"/>
      <c r="AO7891" s="48" t="n"/>
    </row>
    <row r="7892">
      <c r="M7892" s="25" t="n"/>
      <c r="Q7892" s="25" t="n"/>
      <c r="U7892" s="194" t="n"/>
      <c r="AA7892" s="25" t="n"/>
      <c r="AB7892" s="25" t="n"/>
      <c r="AC7892" s="195" t="n"/>
      <c r="AD7892" s="25" t="n"/>
      <c r="AE7892" s="25" t="n"/>
      <c r="AG7892" s="25" t="n"/>
      <c r="AH7892" s="25" t="n"/>
      <c r="AI7892" s="394" t="n"/>
      <c r="AM7892" s="48" t="n"/>
      <c r="AN7892" s="48" t="n"/>
      <c r="AO7892" s="48" t="n"/>
    </row>
    <row r="7893">
      <c r="M7893" s="25" t="n"/>
      <c r="Q7893" s="25" t="n"/>
      <c r="U7893" s="194" t="n"/>
      <c r="AA7893" s="25" t="n"/>
      <c r="AB7893" s="25" t="n"/>
      <c r="AC7893" s="195" t="n"/>
      <c r="AD7893" s="25" t="n"/>
      <c r="AE7893" s="25" t="n"/>
      <c r="AG7893" s="25" t="n"/>
      <c r="AH7893" s="25" t="n"/>
      <c r="AI7893" s="394" t="n"/>
      <c r="AM7893" s="48" t="n"/>
      <c r="AN7893" s="48" t="n"/>
      <c r="AO7893" s="48" t="n"/>
    </row>
    <row r="7894">
      <c r="M7894" s="25" t="n"/>
      <c r="Q7894" s="25" t="n"/>
      <c r="U7894" s="194" t="n"/>
      <c r="AA7894" s="25" t="n"/>
      <c r="AB7894" s="25" t="n"/>
      <c r="AC7894" s="195" t="n"/>
      <c r="AD7894" s="25" t="n"/>
      <c r="AE7894" s="25" t="n"/>
      <c r="AG7894" s="25" t="n"/>
      <c r="AH7894" s="25" t="n"/>
      <c r="AI7894" s="394" t="n"/>
      <c r="AM7894" s="48" t="n"/>
      <c r="AN7894" s="48" t="n"/>
      <c r="AO7894" s="48" t="n"/>
    </row>
    <row r="7895">
      <c r="M7895" s="25" t="n"/>
      <c r="Q7895" s="25" t="n"/>
      <c r="U7895" s="194" t="n"/>
      <c r="AA7895" s="25" t="n"/>
      <c r="AB7895" s="25" t="n"/>
      <c r="AC7895" s="195" t="n"/>
      <c r="AD7895" s="25" t="n"/>
      <c r="AE7895" s="25" t="n"/>
      <c r="AG7895" s="25" t="n"/>
      <c r="AH7895" s="25" t="n"/>
      <c r="AI7895" s="394" t="n"/>
      <c r="AM7895" s="48" t="n"/>
      <c r="AN7895" s="48" t="n"/>
      <c r="AO7895" s="48" t="n"/>
    </row>
    <row r="7896">
      <c r="M7896" s="25" t="n"/>
      <c r="Q7896" s="25" t="n"/>
      <c r="U7896" s="194" t="n"/>
      <c r="AA7896" s="25" t="n"/>
      <c r="AB7896" s="25" t="n"/>
      <c r="AC7896" s="195" t="n"/>
      <c r="AD7896" s="25" t="n"/>
      <c r="AE7896" s="25" t="n"/>
      <c r="AG7896" s="25" t="n"/>
      <c r="AH7896" s="25" t="n"/>
      <c r="AI7896" s="394" t="n"/>
      <c r="AM7896" s="48" t="n"/>
      <c r="AN7896" s="48" t="n"/>
      <c r="AO7896" s="48" t="n"/>
    </row>
    <row r="7897">
      <c r="M7897" s="25" t="n"/>
      <c r="Q7897" s="25" t="n"/>
      <c r="U7897" s="194" t="n"/>
      <c r="AA7897" s="25" t="n"/>
      <c r="AB7897" s="25" t="n"/>
      <c r="AC7897" s="195" t="n"/>
      <c r="AD7897" s="25" t="n"/>
      <c r="AE7897" s="25" t="n"/>
      <c r="AG7897" s="25" t="n"/>
      <c r="AH7897" s="25" t="n"/>
      <c r="AI7897" s="394" t="n"/>
      <c r="AM7897" s="48" t="n"/>
      <c r="AN7897" s="48" t="n"/>
      <c r="AO7897" s="48" t="n"/>
    </row>
    <row r="7898">
      <c r="M7898" s="25" t="n"/>
      <c r="Q7898" s="25" t="n"/>
      <c r="U7898" s="194" t="n"/>
      <c r="AA7898" s="25" t="n"/>
      <c r="AB7898" s="25" t="n"/>
      <c r="AC7898" s="195" t="n"/>
      <c r="AD7898" s="25" t="n"/>
      <c r="AE7898" s="25" t="n"/>
      <c r="AG7898" s="25" t="n"/>
      <c r="AH7898" s="25" t="n"/>
      <c r="AI7898" s="394" t="n"/>
      <c r="AM7898" s="48" t="n"/>
      <c r="AN7898" s="48" t="n"/>
      <c r="AO7898" s="48" t="n"/>
    </row>
    <row r="7899">
      <c r="M7899" s="25" t="n"/>
      <c r="Q7899" s="25" t="n"/>
      <c r="U7899" s="194" t="n"/>
      <c r="AA7899" s="25" t="n"/>
      <c r="AB7899" s="25" t="n"/>
      <c r="AC7899" s="195" t="n"/>
      <c r="AD7899" s="25" t="n"/>
      <c r="AE7899" s="25" t="n"/>
      <c r="AG7899" s="25" t="n"/>
      <c r="AH7899" s="25" t="n"/>
      <c r="AI7899" s="394" t="n"/>
      <c r="AM7899" s="48" t="n"/>
      <c r="AN7899" s="48" t="n"/>
      <c r="AO7899" s="48" t="n"/>
    </row>
    <row r="7900">
      <c r="M7900" s="25" t="n"/>
      <c r="Q7900" s="25" t="n"/>
      <c r="U7900" s="194" t="n"/>
      <c r="AA7900" s="25" t="n"/>
      <c r="AB7900" s="25" t="n"/>
      <c r="AC7900" s="195" t="n"/>
      <c r="AD7900" s="25" t="n"/>
      <c r="AE7900" s="25" t="n"/>
      <c r="AG7900" s="25" t="n"/>
      <c r="AH7900" s="25" t="n"/>
      <c r="AI7900" s="394" t="n"/>
      <c r="AM7900" s="48" t="n"/>
      <c r="AN7900" s="48" t="n"/>
      <c r="AO7900" s="48" t="n"/>
    </row>
    <row r="7901">
      <c r="M7901" s="25" t="n"/>
      <c r="Q7901" s="25" t="n"/>
      <c r="U7901" s="194" t="n"/>
      <c r="AA7901" s="25" t="n"/>
      <c r="AB7901" s="25" t="n"/>
      <c r="AC7901" s="195" t="n"/>
      <c r="AD7901" s="25" t="n"/>
      <c r="AE7901" s="25" t="n"/>
      <c r="AG7901" s="25" t="n"/>
      <c r="AH7901" s="25" t="n"/>
      <c r="AI7901" s="394" t="n"/>
      <c r="AM7901" s="48" t="n"/>
      <c r="AN7901" s="48" t="n"/>
      <c r="AO7901" s="48" t="n"/>
    </row>
    <row r="7902">
      <c r="M7902" s="25" t="n"/>
      <c r="Q7902" s="25" t="n"/>
      <c r="U7902" s="194" t="n"/>
      <c r="AA7902" s="25" t="n"/>
      <c r="AB7902" s="25" t="n"/>
      <c r="AC7902" s="195" t="n"/>
      <c r="AD7902" s="25" t="n"/>
      <c r="AE7902" s="25" t="n"/>
      <c r="AG7902" s="25" t="n"/>
      <c r="AH7902" s="25" t="n"/>
      <c r="AI7902" s="394" t="n"/>
      <c r="AM7902" s="48" t="n"/>
      <c r="AN7902" s="48" t="n"/>
      <c r="AO7902" s="48" t="n"/>
    </row>
    <row r="7903">
      <c r="M7903" s="25" t="n"/>
      <c r="Q7903" s="25" t="n"/>
      <c r="U7903" s="194" t="n"/>
      <c r="AA7903" s="25" t="n"/>
      <c r="AB7903" s="25" t="n"/>
      <c r="AC7903" s="195" t="n"/>
      <c r="AD7903" s="25" t="n"/>
      <c r="AE7903" s="25" t="n"/>
      <c r="AG7903" s="25" t="n"/>
      <c r="AH7903" s="25" t="n"/>
      <c r="AI7903" s="394" t="n"/>
      <c r="AM7903" s="48" t="n"/>
      <c r="AN7903" s="48" t="n"/>
      <c r="AO7903" s="48" t="n"/>
    </row>
    <row r="7904">
      <c r="M7904" s="25" t="n"/>
      <c r="Q7904" s="25" t="n"/>
      <c r="U7904" s="194" t="n"/>
      <c r="AA7904" s="25" t="n"/>
      <c r="AB7904" s="25" t="n"/>
      <c r="AC7904" s="195" t="n"/>
      <c r="AD7904" s="25" t="n"/>
      <c r="AE7904" s="25" t="n"/>
      <c r="AG7904" s="25" t="n"/>
      <c r="AH7904" s="25" t="n"/>
      <c r="AI7904" s="394" t="n"/>
      <c r="AM7904" s="48" t="n"/>
      <c r="AN7904" s="48" t="n"/>
      <c r="AO7904" s="48" t="n"/>
    </row>
    <row r="7905">
      <c r="M7905" s="25" t="n"/>
      <c r="Q7905" s="25" t="n"/>
      <c r="U7905" s="194" t="n"/>
      <c r="AA7905" s="25" t="n"/>
      <c r="AB7905" s="25" t="n"/>
      <c r="AC7905" s="195" t="n"/>
      <c r="AD7905" s="25" t="n"/>
      <c r="AE7905" s="25" t="n"/>
      <c r="AG7905" s="25" t="n"/>
      <c r="AH7905" s="25" t="n"/>
      <c r="AI7905" s="394" t="n"/>
      <c r="AM7905" s="48" t="n"/>
      <c r="AN7905" s="48" t="n"/>
      <c r="AO7905" s="48" t="n"/>
    </row>
    <row r="7906">
      <c r="M7906" s="25" t="n"/>
      <c r="Q7906" s="25" t="n"/>
      <c r="U7906" s="194" t="n"/>
      <c r="AA7906" s="25" t="n"/>
      <c r="AB7906" s="25" t="n"/>
      <c r="AC7906" s="195" t="n"/>
      <c r="AD7906" s="25" t="n"/>
      <c r="AE7906" s="25" t="n"/>
      <c r="AG7906" s="25" t="n"/>
      <c r="AH7906" s="25" t="n"/>
      <c r="AI7906" s="394" t="n"/>
      <c r="AM7906" s="48" t="n"/>
      <c r="AN7906" s="48" t="n"/>
      <c r="AO7906" s="48" t="n"/>
    </row>
    <row r="7907">
      <c r="M7907" s="25" t="n"/>
      <c r="Q7907" s="25" t="n"/>
      <c r="U7907" s="194" t="n"/>
      <c r="AA7907" s="25" t="n"/>
      <c r="AB7907" s="25" t="n"/>
      <c r="AC7907" s="195" t="n"/>
      <c r="AD7907" s="25" t="n"/>
      <c r="AE7907" s="25" t="n"/>
      <c r="AG7907" s="25" t="n"/>
      <c r="AH7907" s="25" t="n"/>
      <c r="AI7907" s="394" t="n"/>
      <c r="AM7907" s="48" t="n"/>
      <c r="AN7907" s="48" t="n"/>
      <c r="AO7907" s="48" t="n"/>
    </row>
    <row r="7908">
      <c r="M7908" s="25" t="n"/>
      <c r="Q7908" s="25" t="n"/>
      <c r="U7908" s="194" t="n"/>
      <c r="AA7908" s="25" t="n"/>
      <c r="AB7908" s="25" t="n"/>
      <c r="AC7908" s="195" t="n"/>
      <c r="AD7908" s="25" t="n"/>
      <c r="AE7908" s="25" t="n"/>
      <c r="AG7908" s="25" t="n"/>
      <c r="AH7908" s="25" t="n"/>
      <c r="AI7908" s="394" t="n"/>
      <c r="AM7908" s="48" t="n"/>
      <c r="AN7908" s="48" t="n"/>
      <c r="AO7908" s="48" t="n"/>
    </row>
    <row r="7909">
      <c r="M7909" s="25" t="n"/>
      <c r="Q7909" s="25" t="n"/>
      <c r="U7909" s="194" t="n"/>
      <c r="AA7909" s="25" t="n"/>
      <c r="AB7909" s="25" t="n"/>
      <c r="AC7909" s="195" t="n"/>
      <c r="AD7909" s="25" t="n"/>
      <c r="AE7909" s="25" t="n"/>
      <c r="AG7909" s="25" t="n"/>
      <c r="AH7909" s="25" t="n"/>
      <c r="AI7909" s="394" t="n"/>
      <c r="AM7909" s="48" t="n"/>
      <c r="AN7909" s="48" t="n"/>
      <c r="AO7909" s="48" t="n"/>
    </row>
    <row r="7910">
      <c r="M7910" s="25" t="n"/>
      <c r="Q7910" s="25" t="n"/>
      <c r="U7910" s="194" t="n"/>
      <c r="AA7910" s="25" t="n"/>
      <c r="AB7910" s="25" t="n"/>
      <c r="AC7910" s="195" t="n"/>
      <c r="AD7910" s="25" t="n"/>
      <c r="AE7910" s="25" t="n"/>
      <c r="AG7910" s="25" t="n"/>
      <c r="AH7910" s="25" t="n"/>
      <c r="AI7910" s="394" t="n"/>
      <c r="AM7910" s="48" t="n"/>
      <c r="AN7910" s="48" t="n"/>
      <c r="AO7910" s="48" t="n"/>
    </row>
    <row r="7911">
      <c r="M7911" s="25" t="n"/>
      <c r="Q7911" s="25" t="n"/>
      <c r="U7911" s="194" t="n"/>
      <c r="AA7911" s="25" t="n"/>
      <c r="AB7911" s="25" t="n"/>
      <c r="AC7911" s="195" t="n"/>
      <c r="AD7911" s="25" t="n"/>
      <c r="AE7911" s="25" t="n"/>
      <c r="AG7911" s="25" t="n"/>
      <c r="AH7911" s="25" t="n"/>
      <c r="AI7911" s="394" t="n"/>
      <c r="AM7911" s="48" t="n"/>
      <c r="AN7911" s="48" t="n"/>
      <c r="AO7911" s="48" t="n"/>
    </row>
    <row r="7912">
      <c r="M7912" s="25" t="n"/>
      <c r="Q7912" s="25" t="n"/>
      <c r="U7912" s="194" t="n"/>
      <c r="AA7912" s="25" t="n"/>
      <c r="AB7912" s="25" t="n"/>
      <c r="AC7912" s="195" t="n"/>
      <c r="AD7912" s="25" t="n"/>
      <c r="AE7912" s="25" t="n"/>
      <c r="AG7912" s="25" t="n"/>
      <c r="AH7912" s="25" t="n"/>
      <c r="AI7912" s="394" t="n"/>
      <c r="AM7912" s="48" t="n"/>
      <c r="AN7912" s="48" t="n"/>
      <c r="AO7912" s="48" t="n"/>
    </row>
    <row r="7913">
      <c r="M7913" s="25" t="n"/>
      <c r="Q7913" s="25" t="n"/>
      <c r="U7913" s="194" t="n"/>
      <c r="AA7913" s="25" t="n"/>
      <c r="AB7913" s="25" t="n"/>
      <c r="AC7913" s="195" t="n"/>
      <c r="AD7913" s="25" t="n"/>
      <c r="AE7913" s="25" t="n"/>
      <c r="AG7913" s="25" t="n"/>
      <c r="AH7913" s="25" t="n"/>
      <c r="AI7913" s="394" t="n"/>
      <c r="AM7913" s="48" t="n"/>
      <c r="AN7913" s="48" t="n"/>
      <c r="AO7913" s="48" t="n"/>
    </row>
    <row r="7914">
      <c r="M7914" s="25" t="n"/>
      <c r="Q7914" s="25" t="n"/>
      <c r="U7914" s="194" t="n"/>
      <c r="AA7914" s="25" t="n"/>
      <c r="AB7914" s="25" t="n"/>
      <c r="AC7914" s="195" t="n"/>
      <c r="AD7914" s="25" t="n"/>
      <c r="AE7914" s="25" t="n"/>
      <c r="AG7914" s="25" t="n"/>
      <c r="AH7914" s="25" t="n"/>
      <c r="AI7914" s="394" t="n"/>
      <c r="AM7914" s="48" t="n"/>
      <c r="AN7914" s="48" t="n"/>
      <c r="AO7914" s="48" t="n"/>
    </row>
    <row r="7915">
      <c r="M7915" s="25" t="n"/>
      <c r="Q7915" s="25" t="n"/>
      <c r="U7915" s="194" t="n"/>
      <c r="AA7915" s="25" t="n"/>
      <c r="AB7915" s="25" t="n"/>
      <c r="AC7915" s="195" t="n"/>
      <c r="AD7915" s="25" t="n"/>
      <c r="AE7915" s="25" t="n"/>
      <c r="AG7915" s="25" t="n"/>
      <c r="AH7915" s="25" t="n"/>
      <c r="AI7915" s="394" t="n"/>
      <c r="AM7915" s="48" t="n"/>
      <c r="AN7915" s="48" t="n"/>
      <c r="AO7915" s="48" t="n"/>
    </row>
    <row r="7916">
      <c r="M7916" s="25" t="n"/>
      <c r="Q7916" s="25" t="n"/>
      <c r="U7916" s="194" t="n"/>
      <c r="AA7916" s="25" t="n"/>
      <c r="AB7916" s="25" t="n"/>
      <c r="AC7916" s="195" t="n"/>
      <c r="AD7916" s="25" t="n"/>
      <c r="AE7916" s="25" t="n"/>
      <c r="AG7916" s="25" t="n"/>
      <c r="AH7916" s="25" t="n"/>
      <c r="AI7916" s="394" t="n"/>
      <c r="AM7916" s="48" t="n"/>
      <c r="AN7916" s="48" t="n"/>
      <c r="AO7916" s="48" t="n"/>
    </row>
    <row r="7917">
      <c r="M7917" s="25" t="n"/>
      <c r="Q7917" s="25" t="n"/>
      <c r="U7917" s="194" t="n"/>
      <c r="AA7917" s="25" t="n"/>
      <c r="AB7917" s="25" t="n"/>
      <c r="AC7917" s="195" t="n"/>
      <c r="AD7917" s="25" t="n"/>
      <c r="AE7917" s="25" t="n"/>
      <c r="AG7917" s="25" t="n"/>
      <c r="AH7917" s="25" t="n"/>
      <c r="AI7917" s="394" t="n"/>
      <c r="AM7917" s="48" t="n"/>
      <c r="AN7917" s="48" t="n"/>
      <c r="AO7917" s="48" t="n"/>
    </row>
    <row r="7918">
      <c r="M7918" s="25" t="n"/>
      <c r="Q7918" s="25" t="n"/>
      <c r="U7918" s="194" t="n"/>
      <c r="AA7918" s="25" t="n"/>
      <c r="AB7918" s="25" t="n"/>
      <c r="AC7918" s="195" t="n"/>
      <c r="AD7918" s="25" t="n"/>
      <c r="AE7918" s="25" t="n"/>
      <c r="AG7918" s="25" t="n"/>
      <c r="AH7918" s="25" t="n"/>
      <c r="AI7918" s="394" t="n"/>
      <c r="AM7918" s="48" t="n"/>
      <c r="AN7918" s="48" t="n"/>
      <c r="AO7918" s="48" t="n"/>
    </row>
    <row r="7919">
      <c r="M7919" s="25" t="n"/>
      <c r="Q7919" s="25" t="n"/>
      <c r="U7919" s="194" t="n"/>
      <c r="AA7919" s="25" t="n"/>
      <c r="AB7919" s="25" t="n"/>
      <c r="AC7919" s="195" t="n"/>
      <c r="AD7919" s="25" t="n"/>
      <c r="AE7919" s="25" t="n"/>
      <c r="AG7919" s="25" t="n"/>
      <c r="AH7919" s="25" t="n"/>
      <c r="AI7919" s="394" t="n"/>
      <c r="AM7919" s="48" t="n"/>
      <c r="AN7919" s="48" t="n"/>
      <c r="AO7919" s="48" t="n"/>
    </row>
    <row r="7920">
      <c r="M7920" s="25" t="n"/>
      <c r="Q7920" s="25" t="n"/>
      <c r="U7920" s="194" t="n"/>
      <c r="AA7920" s="25" t="n"/>
      <c r="AB7920" s="25" t="n"/>
      <c r="AC7920" s="195" t="n"/>
      <c r="AD7920" s="25" t="n"/>
      <c r="AE7920" s="25" t="n"/>
      <c r="AG7920" s="25" t="n"/>
      <c r="AH7920" s="25" t="n"/>
      <c r="AI7920" s="394" t="n"/>
      <c r="AM7920" s="48" t="n"/>
      <c r="AN7920" s="48" t="n"/>
      <c r="AO7920" s="48" t="n"/>
    </row>
    <row r="7921">
      <c r="M7921" s="25" t="n"/>
      <c r="Q7921" s="25" t="n"/>
      <c r="U7921" s="194" t="n"/>
      <c r="AA7921" s="25" t="n"/>
      <c r="AB7921" s="25" t="n"/>
      <c r="AC7921" s="195" t="n"/>
      <c r="AD7921" s="25" t="n"/>
      <c r="AE7921" s="25" t="n"/>
      <c r="AG7921" s="25" t="n"/>
      <c r="AH7921" s="25" t="n"/>
      <c r="AI7921" s="394" t="n"/>
      <c r="AM7921" s="48" t="n"/>
      <c r="AN7921" s="48" t="n"/>
      <c r="AO7921" s="48" t="n"/>
    </row>
    <row r="7922">
      <c r="M7922" s="25" t="n"/>
      <c r="Q7922" s="25" t="n"/>
      <c r="U7922" s="194" t="n"/>
      <c r="AA7922" s="25" t="n"/>
      <c r="AB7922" s="25" t="n"/>
      <c r="AC7922" s="195" t="n"/>
      <c r="AD7922" s="25" t="n"/>
      <c r="AE7922" s="25" t="n"/>
      <c r="AG7922" s="25" t="n"/>
      <c r="AH7922" s="25" t="n"/>
      <c r="AI7922" s="394" t="n"/>
      <c r="AM7922" s="48" t="n"/>
      <c r="AN7922" s="48" t="n"/>
      <c r="AO7922" s="48" t="n"/>
    </row>
    <row r="7923">
      <c r="M7923" s="25" t="n"/>
      <c r="Q7923" s="25" t="n"/>
      <c r="U7923" s="194" t="n"/>
      <c r="AA7923" s="25" t="n"/>
      <c r="AB7923" s="25" t="n"/>
      <c r="AC7923" s="195" t="n"/>
      <c r="AD7923" s="25" t="n"/>
      <c r="AE7923" s="25" t="n"/>
      <c r="AG7923" s="25" t="n"/>
      <c r="AH7923" s="25" t="n"/>
      <c r="AI7923" s="394" t="n"/>
      <c r="AM7923" s="48" t="n"/>
      <c r="AN7923" s="48" t="n"/>
      <c r="AO7923" s="48" t="n"/>
    </row>
    <row r="7924">
      <c r="M7924" s="25" t="n"/>
      <c r="Q7924" s="25" t="n"/>
      <c r="U7924" s="194" t="n"/>
      <c r="AA7924" s="25" t="n"/>
      <c r="AB7924" s="25" t="n"/>
      <c r="AC7924" s="195" t="n"/>
      <c r="AD7924" s="25" t="n"/>
      <c r="AE7924" s="25" t="n"/>
      <c r="AG7924" s="25" t="n"/>
      <c r="AH7924" s="25" t="n"/>
      <c r="AI7924" s="394" t="n"/>
      <c r="AM7924" s="48" t="n"/>
      <c r="AN7924" s="48" t="n"/>
      <c r="AO7924" s="48" t="n"/>
    </row>
    <row r="7925">
      <c r="M7925" s="25" t="n"/>
      <c r="Q7925" s="25" t="n"/>
      <c r="U7925" s="194" t="n"/>
      <c r="AA7925" s="25" t="n"/>
      <c r="AB7925" s="25" t="n"/>
      <c r="AC7925" s="195" t="n"/>
      <c r="AD7925" s="25" t="n"/>
      <c r="AE7925" s="25" t="n"/>
      <c r="AG7925" s="25" t="n"/>
      <c r="AH7925" s="25" t="n"/>
      <c r="AI7925" s="394" t="n"/>
      <c r="AM7925" s="48" t="n"/>
      <c r="AN7925" s="48" t="n"/>
      <c r="AO7925" s="48" t="n"/>
    </row>
    <row r="7926">
      <c r="M7926" s="25" t="n"/>
      <c r="Q7926" s="25" t="n"/>
      <c r="U7926" s="194" t="n"/>
      <c r="AA7926" s="25" t="n"/>
      <c r="AB7926" s="25" t="n"/>
      <c r="AC7926" s="195" t="n"/>
      <c r="AD7926" s="25" t="n"/>
      <c r="AE7926" s="25" t="n"/>
      <c r="AG7926" s="25" t="n"/>
      <c r="AH7926" s="25" t="n"/>
      <c r="AI7926" s="394" t="n"/>
      <c r="AM7926" s="48" t="n"/>
      <c r="AN7926" s="48" t="n"/>
      <c r="AO7926" s="48" t="n"/>
    </row>
    <row r="7927">
      <c r="M7927" s="25" t="n"/>
      <c r="Q7927" s="25" t="n"/>
      <c r="U7927" s="194" t="n"/>
      <c r="AA7927" s="25" t="n"/>
      <c r="AB7927" s="25" t="n"/>
      <c r="AC7927" s="195" t="n"/>
      <c r="AD7927" s="25" t="n"/>
      <c r="AE7927" s="25" t="n"/>
      <c r="AG7927" s="25" t="n"/>
      <c r="AH7927" s="25" t="n"/>
      <c r="AI7927" s="394" t="n"/>
      <c r="AM7927" s="48" t="n"/>
      <c r="AN7927" s="48" t="n"/>
      <c r="AO7927" s="48" t="n"/>
    </row>
    <row r="7928">
      <c r="M7928" s="25" t="n"/>
      <c r="Q7928" s="25" t="n"/>
      <c r="U7928" s="194" t="n"/>
      <c r="AA7928" s="25" t="n"/>
      <c r="AB7928" s="25" t="n"/>
      <c r="AC7928" s="195" t="n"/>
      <c r="AD7928" s="25" t="n"/>
      <c r="AE7928" s="25" t="n"/>
      <c r="AG7928" s="25" t="n"/>
      <c r="AH7928" s="25" t="n"/>
      <c r="AI7928" s="394" t="n"/>
      <c r="AM7928" s="48" t="n"/>
      <c r="AN7928" s="48" t="n"/>
      <c r="AO7928" s="48" t="n"/>
    </row>
    <row r="7929">
      <c r="M7929" s="25" t="n"/>
      <c r="Q7929" s="25" t="n"/>
      <c r="U7929" s="194" t="n"/>
      <c r="AA7929" s="25" t="n"/>
      <c r="AB7929" s="25" t="n"/>
      <c r="AC7929" s="195" t="n"/>
      <c r="AD7929" s="25" t="n"/>
      <c r="AE7929" s="25" t="n"/>
      <c r="AG7929" s="25" t="n"/>
      <c r="AH7929" s="25" t="n"/>
      <c r="AI7929" s="394" t="n"/>
      <c r="AM7929" s="48" t="n"/>
      <c r="AN7929" s="48" t="n"/>
      <c r="AO7929" s="48" t="n"/>
    </row>
    <row r="7930">
      <c r="M7930" s="25" t="n"/>
      <c r="Q7930" s="25" t="n"/>
      <c r="U7930" s="194" t="n"/>
      <c r="AA7930" s="25" t="n"/>
      <c r="AB7930" s="25" t="n"/>
      <c r="AC7930" s="195" t="n"/>
      <c r="AD7930" s="25" t="n"/>
      <c r="AE7930" s="25" t="n"/>
      <c r="AG7930" s="25" t="n"/>
      <c r="AH7930" s="25" t="n"/>
      <c r="AI7930" s="394" t="n"/>
      <c r="AM7930" s="48" t="n"/>
      <c r="AN7930" s="48" t="n"/>
      <c r="AO7930" s="48" t="n"/>
    </row>
    <row r="7931">
      <c r="M7931" s="25" t="n"/>
      <c r="Q7931" s="25" t="n"/>
      <c r="U7931" s="194" t="n"/>
      <c r="AA7931" s="25" t="n"/>
      <c r="AB7931" s="25" t="n"/>
      <c r="AC7931" s="195" t="n"/>
      <c r="AD7931" s="25" t="n"/>
      <c r="AE7931" s="25" t="n"/>
      <c r="AG7931" s="25" t="n"/>
      <c r="AH7931" s="25" t="n"/>
      <c r="AI7931" s="394" t="n"/>
      <c r="AM7931" s="48" t="n"/>
      <c r="AN7931" s="48" t="n"/>
      <c r="AO7931" s="48" t="n"/>
    </row>
    <row r="7932">
      <c r="M7932" s="25" t="n"/>
      <c r="Q7932" s="25" t="n"/>
      <c r="U7932" s="194" t="n"/>
      <c r="AA7932" s="25" t="n"/>
      <c r="AB7932" s="25" t="n"/>
      <c r="AC7932" s="195" t="n"/>
      <c r="AD7932" s="25" t="n"/>
      <c r="AE7932" s="25" t="n"/>
      <c r="AG7932" s="25" t="n"/>
      <c r="AH7932" s="25" t="n"/>
      <c r="AI7932" s="394" t="n"/>
      <c r="AM7932" s="48" t="n"/>
      <c r="AN7932" s="48" t="n"/>
      <c r="AO7932" s="48" t="n"/>
    </row>
    <row r="7933">
      <c r="M7933" s="25" t="n"/>
      <c r="Q7933" s="25" t="n"/>
      <c r="U7933" s="194" t="n"/>
      <c r="AA7933" s="25" t="n"/>
      <c r="AB7933" s="25" t="n"/>
      <c r="AC7933" s="195" t="n"/>
      <c r="AD7933" s="25" t="n"/>
      <c r="AE7933" s="25" t="n"/>
      <c r="AG7933" s="25" t="n"/>
      <c r="AH7933" s="25" t="n"/>
      <c r="AI7933" s="394" t="n"/>
      <c r="AM7933" s="48" t="n"/>
      <c r="AN7933" s="48" t="n"/>
      <c r="AO7933" s="48" t="n"/>
    </row>
    <row r="7934">
      <c r="M7934" s="25" t="n"/>
      <c r="Q7934" s="25" t="n"/>
      <c r="U7934" s="194" t="n"/>
      <c r="AA7934" s="25" t="n"/>
      <c r="AB7934" s="25" t="n"/>
      <c r="AC7934" s="195" t="n"/>
      <c r="AD7934" s="25" t="n"/>
      <c r="AE7934" s="25" t="n"/>
      <c r="AG7934" s="25" t="n"/>
      <c r="AH7934" s="25" t="n"/>
      <c r="AI7934" s="394" t="n"/>
      <c r="AM7934" s="48" t="n"/>
      <c r="AN7934" s="48" t="n"/>
      <c r="AO7934" s="48" t="n"/>
    </row>
    <row r="7935">
      <c r="M7935" s="25" t="n"/>
      <c r="Q7935" s="25" t="n"/>
      <c r="U7935" s="194" t="n"/>
      <c r="AA7935" s="25" t="n"/>
      <c r="AB7935" s="25" t="n"/>
      <c r="AC7935" s="195" t="n"/>
      <c r="AD7935" s="25" t="n"/>
      <c r="AE7935" s="25" t="n"/>
      <c r="AG7935" s="25" t="n"/>
      <c r="AH7935" s="25" t="n"/>
      <c r="AI7935" s="394" t="n"/>
      <c r="AM7935" s="48" t="n"/>
      <c r="AN7935" s="48" t="n"/>
      <c r="AO7935" s="48" t="n"/>
    </row>
    <row r="7936">
      <c r="M7936" s="25" t="n"/>
      <c r="Q7936" s="25" t="n"/>
      <c r="U7936" s="194" t="n"/>
      <c r="AA7936" s="25" t="n"/>
      <c r="AB7936" s="25" t="n"/>
      <c r="AC7936" s="195" t="n"/>
      <c r="AD7936" s="25" t="n"/>
      <c r="AE7936" s="25" t="n"/>
      <c r="AG7936" s="25" t="n"/>
      <c r="AH7936" s="25" t="n"/>
      <c r="AI7936" s="394" t="n"/>
      <c r="AM7936" s="48" t="n"/>
      <c r="AN7936" s="48" t="n"/>
      <c r="AO7936" s="48" t="n"/>
    </row>
    <row r="7937">
      <c r="M7937" s="25" t="n"/>
      <c r="Q7937" s="25" t="n"/>
      <c r="U7937" s="194" t="n"/>
      <c r="AA7937" s="25" t="n"/>
      <c r="AB7937" s="25" t="n"/>
      <c r="AC7937" s="195" t="n"/>
      <c r="AD7937" s="25" t="n"/>
      <c r="AE7937" s="25" t="n"/>
      <c r="AG7937" s="25" t="n"/>
      <c r="AH7937" s="25" t="n"/>
      <c r="AI7937" s="394" t="n"/>
      <c r="AM7937" s="48" t="n"/>
      <c r="AN7937" s="48" t="n"/>
      <c r="AO7937" s="48" t="n"/>
    </row>
    <row r="7938">
      <c r="M7938" s="25" t="n"/>
      <c r="Q7938" s="25" t="n"/>
      <c r="U7938" s="194" t="n"/>
      <c r="AA7938" s="25" t="n"/>
      <c r="AB7938" s="25" t="n"/>
      <c r="AC7938" s="195" t="n"/>
      <c r="AD7938" s="25" t="n"/>
      <c r="AE7938" s="25" t="n"/>
      <c r="AG7938" s="25" t="n"/>
      <c r="AH7938" s="25" t="n"/>
      <c r="AI7938" s="394" t="n"/>
      <c r="AM7938" s="48" t="n"/>
      <c r="AN7938" s="48" t="n"/>
      <c r="AO7938" s="48" t="n"/>
    </row>
    <row r="7939">
      <c r="M7939" s="25" t="n"/>
      <c r="Q7939" s="25" t="n"/>
      <c r="U7939" s="194" t="n"/>
      <c r="AA7939" s="25" t="n"/>
      <c r="AB7939" s="25" t="n"/>
      <c r="AC7939" s="195" t="n"/>
      <c r="AD7939" s="25" t="n"/>
      <c r="AE7939" s="25" t="n"/>
      <c r="AG7939" s="25" t="n"/>
      <c r="AH7939" s="25" t="n"/>
      <c r="AI7939" s="394" t="n"/>
      <c r="AM7939" s="48" t="n"/>
      <c r="AN7939" s="48" t="n"/>
      <c r="AO7939" s="48" t="n"/>
    </row>
    <row r="7940">
      <c r="M7940" s="25" t="n"/>
      <c r="Q7940" s="25" t="n"/>
      <c r="U7940" s="194" t="n"/>
      <c r="AA7940" s="25" t="n"/>
      <c r="AB7940" s="25" t="n"/>
      <c r="AC7940" s="195" t="n"/>
      <c r="AD7940" s="25" t="n"/>
      <c r="AE7940" s="25" t="n"/>
      <c r="AG7940" s="25" t="n"/>
      <c r="AH7940" s="25" t="n"/>
      <c r="AI7940" s="394" t="n"/>
      <c r="AM7940" s="48" t="n"/>
      <c r="AN7940" s="48" t="n"/>
      <c r="AO7940" s="48" t="n"/>
    </row>
    <row r="7941">
      <c r="M7941" s="25" t="n"/>
      <c r="Q7941" s="25" t="n"/>
      <c r="U7941" s="194" t="n"/>
      <c r="AA7941" s="25" t="n"/>
      <c r="AB7941" s="25" t="n"/>
      <c r="AC7941" s="195" t="n"/>
      <c r="AD7941" s="25" t="n"/>
      <c r="AE7941" s="25" t="n"/>
      <c r="AG7941" s="25" t="n"/>
      <c r="AH7941" s="25" t="n"/>
      <c r="AI7941" s="394" t="n"/>
      <c r="AM7941" s="48" t="n"/>
      <c r="AN7941" s="48" t="n"/>
      <c r="AO7941" s="48" t="n"/>
    </row>
    <row r="7942">
      <c r="M7942" s="25" t="n"/>
      <c r="Q7942" s="25" t="n"/>
      <c r="U7942" s="194" t="n"/>
      <c r="AA7942" s="25" t="n"/>
      <c r="AB7942" s="25" t="n"/>
      <c r="AC7942" s="195" t="n"/>
      <c r="AD7942" s="25" t="n"/>
      <c r="AE7942" s="25" t="n"/>
      <c r="AG7942" s="25" t="n"/>
      <c r="AH7942" s="25" t="n"/>
      <c r="AI7942" s="394" t="n"/>
      <c r="AM7942" s="48" t="n"/>
      <c r="AN7942" s="48" t="n"/>
      <c r="AO7942" s="48" t="n"/>
    </row>
    <row r="7943">
      <c r="M7943" s="25" t="n"/>
      <c r="Q7943" s="25" t="n"/>
      <c r="U7943" s="194" t="n"/>
      <c r="AA7943" s="25" t="n"/>
      <c r="AB7943" s="25" t="n"/>
      <c r="AC7943" s="195" t="n"/>
      <c r="AD7943" s="25" t="n"/>
      <c r="AE7943" s="25" t="n"/>
      <c r="AG7943" s="25" t="n"/>
      <c r="AH7943" s="25" t="n"/>
      <c r="AI7943" s="394" t="n"/>
      <c r="AM7943" s="48" t="n"/>
      <c r="AN7943" s="48" t="n"/>
      <c r="AO7943" s="48" t="n"/>
    </row>
    <row r="7944">
      <c r="M7944" s="25" t="n"/>
      <c r="Q7944" s="25" t="n"/>
      <c r="U7944" s="194" t="n"/>
      <c r="AA7944" s="25" t="n"/>
      <c r="AB7944" s="25" t="n"/>
      <c r="AC7944" s="195" t="n"/>
      <c r="AD7944" s="25" t="n"/>
      <c r="AE7944" s="25" t="n"/>
      <c r="AG7944" s="25" t="n"/>
      <c r="AH7944" s="25" t="n"/>
      <c r="AI7944" s="394" t="n"/>
      <c r="AM7944" s="48" t="n"/>
      <c r="AN7944" s="48" t="n"/>
      <c r="AO7944" s="48" t="n"/>
    </row>
    <row r="7945">
      <c r="M7945" s="25" t="n"/>
      <c r="Q7945" s="25" t="n"/>
      <c r="U7945" s="194" t="n"/>
      <c r="AA7945" s="25" t="n"/>
      <c r="AB7945" s="25" t="n"/>
      <c r="AC7945" s="195" t="n"/>
      <c r="AD7945" s="25" t="n"/>
      <c r="AE7945" s="25" t="n"/>
      <c r="AG7945" s="25" t="n"/>
      <c r="AH7945" s="25" t="n"/>
      <c r="AI7945" s="394" t="n"/>
      <c r="AM7945" s="48" t="n"/>
      <c r="AN7945" s="48" t="n"/>
      <c r="AO7945" s="48" t="n"/>
    </row>
    <row r="7946">
      <c r="M7946" s="25" t="n"/>
      <c r="Q7946" s="25" t="n"/>
      <c r="U7946" s="194" t="n"/>
      <c r="AA7946" s="25" t="n"/>
      <c r="AB7946" s="25" t="n"/>
      <c r="AC7946" s="195" t="n"/>
      <c r="AD7946" s="25" t="n"/>
      <c r="AE7946" s="25" t="n"/>
      <c r="AG7946" s="25" t="n"/>
      <c r="AH7946" s="25" t="n"/>
      <c r="AI7946" s="394" t="n"/>
      <c r="AM7946" s="48" t="n"/>
      <c r="AN7946" s="48" t="n"/>
      <c r="AO7946" s="48" t="n"/>
    </row>
    <row r="7947">
      <c r="M7947" s="25" t="n"/>
      <c r="Q7947" s="25" t="n"/>
      <c r="U7947" s="194" t="n"/>
      <c r="AA7947" s="25" t="n"/>
      <c r="AB7947" s="25" t="n"/>
      <c r="AC7947" s="195" t="n"/>
      <c r="AD7947" s="25" t="n"/>
      <c r="AE7947" s="25" t="n"/>
      <c r="AG7947" s="25" t="n"/>
      <c r="AH7947" s="25" t="n"/>
      <c r="AI7947" s="394" t="n"/>
      <c r="AM7947" s="48" t="n"/>
      <c r="AN7947" s="48" t="n"/>
      <c r="AO7947" s="48" t="n"/>
    </row>
    <row r="7948">
      <c r="M7948" s="25" t="n"/>
      <c r="Q7948" s="25" t="n"/>
      <c r="U7948" s="194" t="n"/>
      <c r="AA7948" s="25" t="n"/>
      <c r="AB7948" s="25" t="n"/>
      <c r="AC7948" s="195" t="n"/>
      <c r="AD7948" s="25" t="n"/>
      <c r="AE7948" s="25" t="n"/>
      <c r="AG7948" s="25" t="n"/>
      <c r="AH7948" s="25" t="n"/>
      <c r="AI7948" s="394" t="n"/>
      <c r="AM7948" s="48" t="n"/>
      <c r="AN7948" s="48" t="n"/>
      <c r="AO7948" s="48" t="n"/>
    </row>
    <row r="7949">
      <c r="M7949" s="25" t="n"/>
      <c r="Q7949" s="25" t="n"/>
      <c r="U7949" s="194" t="n"/>
      <c r="AA7949" s="25" t="n"/>
      <c r="AB7949" s="25" t="n"/>
      <c r="AC7949" s="195" t="n"/>
      <c r="AD7949" s="25" t="n"/>
      <c r="AE7949" s="25" t="n"/>
      <c r="AG7949" s="25" t="n"/>
      <c r="AH7949" s="25" t="n"/>
      <c r="AI7949" s="394" t="n"/>
      <c r="AM7949" s="48" t="n"/>
      <c r="AN7949" s="48" t="n"/>
      <c r="AO7949" s="48" t="n"/>
    </row>
    <row r="7950">
      <c r="M7950" s="25" t="n"/>
      <c r="Q7950" s="25" t="n"/>
      <c r="U7950" s="194" t="n"/>
      <c r="AA7950" s="25" t="n"/>
      <c r="AB7950" s="25" t="n"/>
      <c r="AC7950" s="195" t="n"/>
      <c r="AD7950" s="25" t="n"/>
      <c r="AE7950" s="25" t="n"/>
      <c r="AG7950" s="25" t="n"/>
      <c r="AH7950" s="25" t="n"/>
      <c r="AI7950" s="394" t="n"/>
      <c r="AM7950" s="48" t="n"/>
      <c r="AN7950" s="48" t="n"/>
      <c r="AO7950" s="48" t="n"/>
    </row>
    <row r="7951">
      <c r="M7951" s="25" t="n"/>
      <c r="Q7951" s="25" t="n"/>
      <c r="U7951" s="194" t="n"/>
      <c r="AA7951" s="25" t="n"/>
      <c r="AB7951" s="25" t="n"/>
      <c r="AC7951" s="195" t="n"/>
      <c r="AD7951" s="25" t="n"/>
      <c r="AE7951" s="25" t="n"/>
      <c r="AG7951" s="25" t="n"/>
      <c r="AH7951" s="25" t="n"/>
      <c r="AI7951" s="394" t="n"/>
      <c r="AM7951" s="48" t="n"/>
      <c r="AN7951" s="48" t="n"/>
      <c r="AO7951" s="48" t="n"/>
    </row>
    <row r="7952">
      <c r="M7952" s="25" t="n"/>
      <c r="Q7952" s="25" t="n"/>
      <c r="U7952" s="194" t="n"/>
      <c r="AA7952" s="25" t="n"/>
      <c r="AB7952" s="25" t="n"/>
      <c r="AC7952" s="195" t="n"/>
      <c r="AD7952" s="25" t="n"/>
      <c r="AE7952" s="25" t="n"/>
      <c r="AG7952" s="25" t="n"/>
      <c r="AH7952" s="25" t="n"/>
      <c r="AI7952" s="394" t="n"/>
      <c r="AM7952" s="48" t="n"/>
      <c r="AN7952" s="48" t="n"/>
      <c r="AO7952" s="48" t="n"/>
    </row>
    <row r="7953">
      <c r="M7953" s="25" t="n"/>
      <c r="Q7953" s="25" t="n"/>
      <c r="U7953" s="194" t="n"/>
      <c r="AA7953" s="25" t="n"/>
      <c r="AB7953" s="25" t="n"/>
      <c r="AC7953" s="195" t="n"/>
      <c r="AD7953" s="25" t="n"/>
      <c r="AE7953" s="25" t="n"/>
      <c r="AG7953" s="25" t="n"/>
      <c r="AH7953" s="25" t="n"/>
      <c r="AI7953" s="394" t="n"/>
      <c r="AM7953" s="48" t="n"/>
      <c r="AN7953" s="48" t="n"/>
      <c r="AO7953" s="48" t="n"/>
    </row>
    <row r="7954">
      <c r="M7954" s="25" t="n"/>
      <c r="Q7954" s="25" t="n"/>
      <c r="U7954" s="194" t="n"/>
      <c r="AA7954" s="25" t="n"/>
      <c r="AB7954" s="25" t="n"/>
      <c r="AC7954" s="195" t="n"/>
      <c r="AD7954" s="25" t="n"/>
      <c r="AE7954" s="25" t="n"/>
      <c r="AG7954" s="25" t="n"/>
      <c r="AH7954" s="25" t="n"/>
      <c r="AI7954" s="394" t="n"/>
      <c r="AM7954" s="48" t="n"/>
      <c r="AN7954" s="48" t="n"/>
      <c r="AO7954" s="48" t="n"/>
    </row>
    <row r="7955">
      <c r="M7955" s="25" t="n"/>
      <c r="Q7955" s="25" t="n"/>
      <c r="U7955" s="194" t="n"/>
      <c r="AA7955" s="25" t="n"/>
      <c r="AB7955" s="25" t="n"/>
      <c r="AC7955" s="195" t="n"/>
      <c r="AD7955" s="25" t="n"/>
      <c r="AE7955" s="25" t="n"/>
      <c r="AG7955" s="25" t="n"/>
      <c r="AH7955" s="25" t="n"/>
      <c r="AI7955" s="394" t="n"/>
      <c r="AM7955" s="48" t="n"/>
      <c r="AN7955" s="48" t="n"/>
      <c r="AO7955" s="48" t="n"/>
    </row>
    <row r="7956">
      <c r="M7956" s="25" t="n"/>
      <c r="Q7956" s="25" t="n"/>
      <c r="U7956" s="194" t="n"/>
      <c r="AA7956" s="25" t="n"/>
      <c r="AB7956" s="25" t="n"/>
      <c r="AC7956" s="195" t="n"/>
      <c r="AD7956" s="25" t="n"/>
      <c r="AE7956" s="25" t="n"/>
      <c r="AG7956" s="25" t="n"/>
      <c r="AH7956" s="25" t="n"/>
      <c r="AI7956" s="394" t="n"/>
      <c r="AM7956" s="48" t="n"/>
      <c r="AN7956" s="48" t="n"/>
      <c r="AO7956" s="48" t="n"/>
    </row>
    <row r="7957">
      <c r="M7957" s="25" t="n"/>
      <c r="Q7957" s="25" t="n"/>
      <c r="U7957" s="194" t="n"/>
      <c r="AA7957" s="25" t="n"/>
      <c r="AB7957" s="25" t="n"/>
      <c r="AC7957" s="195" t="n"/>
      <c r="AD7957" s="25" t="n"/>
      <c r="AE7957" s="25" t="n"/>
      <c r="AG7957" s="25" t="n"/>
      <c r="AH7957" s="25" t="n"/>
      <c r="AI7957" s="394" t="n"/>
      <c r="AM7957" s="48" t="n"/>
      <c r="AN7957" s="48" t="n"/>
      <c r="AO7957" s="48" t="n"/>
    </row>
    <row r="7958">
      <c r="M7958" s="25" t="n"/>
      <c r="Q7958" s="25" t="n"/>
      <c r="U7958" s="194" t="n"/>
      <c r="AA7958" s="25" t="n"/>
      <c r="AB7958" s="25" t="n"/>
      <c r="AC7958" s="195" t="n"/>
      <c r="AD7958" s="25" t="n"/>
      <c r="AE7958" s="25" t="n"/>
      <c r="AG7958" s="25" t="n"/>
      <c r="AH7958" s="25" t="n"/>
      <c r="AI7958" s="394" t="n"/>
      <c r="AM7958" s="48" t="n"/>
      <c r="AN7958" s="48" t="n"/>
      <c r="AO7958" s="48" t="n"/>
    </row>
    <row r="7959">
      <c r="M7959" s="25" t="n"/>
      <c r="Q7959" s="25" t="n"/>
      <c r="U7959" s="194" t="n"/>
      <c r="AA7959" s="25" t="n"/>
      <c r="AB7959" s="25" t="n"/>
      <c r="AC7959" s="195" t="n"/>
      <c r="AD7959" s="25" t="n"/>
      <c r="AE7959" s="25" t="n"/>
      <c r="AG7959" s="25" t="n"/>
      <c r="AH7959" s="25" t="n"/>
      <c r="AI7959" s="394" t="n"/>
      <c r="AM7959" s="48" t="n"/>
      <c r="AN7959" s="48" t="n"/>
      <c r="AO7959" s="48" t="n"/>
    </row>
    <row r="7960">
      <c r="M7960" s="25" t="n"/>
      <c r="Q7960" s="25" t="n"/>
      <c r="U7960" s="194" t="n"/>
      <c r="AA7960" s="25" t="n"/>
      <c r="AB7960" s="25" t="n"/>
      <c r="AC7960" s="195" t="n"/>
      <c r="AD7960" s="25" t="n"/>
      <c r="AE7960" s="25" t="n"/>
      <c r="AG7960" s="25" t="n"/>
      <c r="AH7960" s="25" t="n"/>
      <c r="AI7960" s="394" t="n"/>
      <c r="AM7960" s="48" t="n"/>
      <c r="AN7960" s="48" t="n"/>
      <c r="AO7960" s="48" t="n"/>
    </row>
    <row r="7961">
      <c r="M7961" s="25" t="n"/>
      <c r="Q7961" s="25" t="n"/>
      <c r="U7961" s="194" t="n"/>
      <c r="AA7961" s="25" t="n"/>
      <c r="AB7961" s="25" t="n"/>
      <c r="AC7961" s="195" t="n"/>
      <c r="AD7961" s="25" t="n"/>
      <c r="AE7961" s="25" t="n"/>
      <c r="AG7961" s="25" t="n"/>
      <c r="AH7961" s="25" t="n"/>
      <c r="AI7961" s="394" t="n"/>
      <c r="AM7961" s="48" t="n"/>
      <c r="AN7961" s="48" t="n"/>
      <c r="AO7961" s="48" t="n"/>
    </row>
    <row r="7962">
      <c r="M7962" s="25" t="n"/>
      <c r="Q7962" s="25" t="n"/>
      <c r="U7962" s="194" t="n"/>
      <c r="AA7962" s="25" t="n"/>
      <c r="AB7962" s="25" t="n"/>
      <c r="AC7962" s="195" t="n"/>
      <c r="AD7962" s="25" t="n"/>
      <c r="AE7962" s="25" t="n"/>
      <c r="AG7962" s="25" t="n"/>
      <c r="AH7962" s="25" t="n"/>
      <c r="AI7962" s="394" t="n"/>
      <c r="AM7962" s="48" t="n"/>
      <c r="AN7962" s="48" t="n"/>
      <c r="AO7962" s="48" t="n"/>
    </row>
    <row r="7963">
      <c r="M7963" s="25" t="n"/>
      <c r="Q7963" s="25" t="n"/>
      <c r="U7963" s="194" t="n"/>
      <c r="AA7963" s="25" t="n"/>
      <c r="AB7963" s="25" t="n"/>
      <c r="AC7963" s="195" t="n"/>
      <c r="AD7963" s="25" t="n"/>
      <c r="AE7963" s="25" t="n"/>
      <c r="AG7963" s="25" t="n"/>
      <c r="AH7963" s="25" t="n"/>
      <c r="AI7963" s="394" t="n"/>
      <c r="AM7963" s="48" t="n"/>
      <c r="AN7963" s="48" t="n"/>
      <c r="AO7963" s="48" t="n"/>
    </row>
    <row r="7964">
      <c r="M7964" s="25" t="n"/>
      <c r="Q7964" s="25" t="n"/>
      <c r="U7964" s="194" t="n"/>
      <c r="AA7964" s="25" t="n"/>
      <c r="AB7964" s="25" t="n"/>
      <c r="AC7964" s="195" t="n"/>
      <c r="AD7964" s="25" t="n"/>
      <c r="AE7964" s="25" t="n"/>
      <c r="AG7964" s="25" t="n"/>
      <c r="AH7964" s="25" t="n"/>
      <c r="AI7964" s="394" t="n"/>
      <c r="AM7964" s="48" t="n"/>
      <c r="AN7964" s="48" t="n"/>
      <c r="AO7964" s="48" t="n"/>
    </row>
    <row r="7965">
      <c r="M7965" s="25" t="n"/>
      <c r="Q7965" s="25" t="n"/>
      <c r="U7965" s="194" t="n"/>
      <c r="AA7965" s="25" t="n"/>
      <c r="AB7965" s="25" t="n"/>
      <c r="AC7965" s="195" t="n"/>
      <c r="AD7965" s="25" t="n"/>
      <c r="AE7965" s="25" t="n"/>
      <c r="AG7965" s="25" t="n"/>
      <c r="AH7965" s="25" t="n"/>
      <c r="AI7965" s="394" t="n"/>
      <c r="AM7965" s="48" t="n"/>
      <c r="AN7965" s="48" t="n"/>
      <c r="AO7965" s="48" t="n"/>
    </row>
    <row r="7966">
      <c r="M7966" s="25" t="n"/>
      <c r="Q7966" s="25" t="n"/>
      <c r="U7966" s="194" t="n"/>
      <c r="AA7966" s="25" t="n"/>
      <c r="AB7966" s="25" t="n"/>
      <c r="AC7966" s="195" t="n"/>
      <c r="AD7966" s="25" t="n"/>
      <c r="AE7966" s="25" t="n"/>
      <c r="AG7966" s="25" t="n"/>
      <c r="AH7966" s="25" t="n"/>
      <c r="AI7966" s="394" t="n"/>
      <c r="AM7966" s="48" t="n"/>
      <c r="AN7966" s="48" t="n"/>
      <c r="AO7966" s="48" t="n"/>
    </row>
    <row r="7967">
      <c r="M7967" s="25" t="n"/>
      <c r="Q7967" s="25" t="n"/>
      <c r="U7967" s="194" t="n"/>
      <c r="AA7967" s="25" t="n"/>
      <c r="AB7967" s="25" t="n"/>
      <c r="AC7967" s="195" t="n"/>
      <c r="AD7967" s="25" t="n"/>
      <c r="AE7967" s="25" t="n"/>
      <c r="AG7967" s="25" t="n"/>
      <c r="AH7967" s="25" t="n"/>
      <c r="AI7967" s="394" t="n"/>
      <c r="AM7967" s="48" t="n"/>
      <c r="AN7967" s="48" t="n"/>
      <c r="AO7967" s="48" t="n"/>
    </row>
    <row r="7968">
      <c r="M7968" s="25" t="n"/>
      <c r="Q7968" s="25" t="n"/>
      <c r="U7968" s="194" t="n"/>
      <c r="AA7968" s="25" t="n"/>
      <c r="AB7968" s="25" t="n"/>
      <c r="AC7968" s="195" t="n"/>
      <c r="AD7968" s="25" t="n"/>
      <c r="AE7968" s="25" t="n"/>
      <c r="AG7968" s="25" t="n"/>
      <c r="AH7968" s="25" t="n"/>
      <c r="AI7968" s="394" t="n"/>
      <c r="AM7968" s="48" t="n"/>
      <c r="AN7968" s="48" t="n"/>
      <c r="AO7968" s="48" t="n"/>
    </row>
    <row r="7969">
      <c r="M7969" s="25" t="n"/>
      <c r="Q7969" s="25" t="n"/>
      <c r="U7969" s="194" t="n"/>
      <c r="AA7969" s="25" t="n"/>
      <c r="AB7969" s="25" t="n"/>
      <c r="AC7969" s="195" t="n"/>
      <c r="AD7969" s="25" t="n"/>
      <c r="AE7969" s="25" t="n"/>
      <c r="AG7969" s="25" t="n"/>
      <c r="AH7969" s="25" t="n"/>
      <c r="AI7969" s="394" t="n"/>
      <c r="AM7969" s="48" t="n"/>
      <c r="AN7969" s="48" t="n"/>
      <c r="AO7969" s="48" t="n"/>
    </row>
    <row r="7970">
      <c r="M7970" s="25" t="n"/>
      <c r="Q7970" s="25" t="n"/>
      <c r="U7970" s="194" t="n"/>
      <c r="AA7970" s="25" t="n"/>
      <c r="AB7970" s="25" t="n"/>
      <c r="AC7970" s="195" t="n"/>
      <c r="AD7970" s="25" t="n"/>
      <c r="AE7970" s="25" t="n"/>
      <c r="AG7970" s="25" t="n"/>
      <c r="AH7970" s="25" t="n"/>
      <c r="AI7970" s="394" t="n"/>
      <c r="AM7970" s="48" t="n"/>
      <c r="AN7970" s="48" t="n"/>
      <c r="AO7970" s="48" t="n"/>
    </row>
    <row r="7971">
      <c r="M7971" s="25" t="n"/>
      <c r="Q7971" s="25" t="n"/>
      <c r="U7971" s="194" t="n"/>
      <c r="AA7971" s="25" t="n"/>
      <c r="AB7971" s="25" t="n"/>
      <c r="AC7971" s="195" t="n"/>
      <c r="AD7971" s="25" t="n"/>
      <c r="AE7971" s="25" t="n"/>
      <c r="AG7971" s="25" t="n"/>
      <c r="AH7971" s="25" t="n"/>
      <c r="AI7971" s="394" t="n"/>
      <c r="AM7971" s="48" t="n"/>
      <c r="AN7971" s="48" t="n"/>
      <c r="AO7971" s="48" t="n"/>
    </row>
    <row r="7972">
      <c r="M7972" s="25" t="n"/>
      <c r="Q7972" s="25" t="n"/>
      <c r="U7972" s="194" t="n"/>
      <c r="AA7972" s="25" t="n"/>
      <c r="AB7972" s="25" t="n"/>
      <c r="AC7972" s="195" t="n"/>
      <c r="AD7972" s="25" t="n"/>
      <c r="AE7972" s="25" t="n"/>
      <c r="AG7972" s="25" t="n"/>
      <c r="AH7972" s="25" t="n"/>
      <c r="AI7972" s="394" t="n"/>
      <c r="AM7972" s="48" t="n"/>
      <c r="AN7972" s="48" t="n"/>
      <c r="AO7972" s="48" t="n"/>
    </row>
    <row r="7973">
      <c r="M7973" s="25" t="n"/>
      <c r="Q7973" s="25" t="n"/>
      <c r="U7973" s="194" t="n"/>
      <c r="AA7973" s="25" t="n"/>
      <c r="AB7973" s="25" t="n"/>
      <c r="AC7973" s="195" t="n"/>
      <c r="AD7973" s="25" t="n"/>
      <c r="AE7973" s="25" t="n"/>
      <c r="AG7973" s="25" t="n"/>
      <c r="AH7973" s="25" t="n"/>
      <c r="AI7973" s="394" t="n"/>
      <c r="AM7973" s="48" t="n"/>
      <c r="AN7973" s="48" t="n"/>
      <c r="AO7973" s="48" t="n"/>
    </row>
    <row r="7974">
      <c r="M7974" s="25" t="n"/>
      <c r="Q7974" s="25" t="n"/>
      <c r="U7974" s="194" t="n"/>
      <c r="AA7974" s="25" t="n"/>
      <c r="AB7974" s="25" t="n"/>
      <c r="AC7974" s="195" t="n"/>
      <c r="AD7974" s="25" t="n"/>
      <c r="AE7974" s="25" t="n"/>
      <c r="AG7974" s="25" t="n"/>
      <c r="AH7974" s="25" t="n"/>
      <c r="AI7974" s="394" t="n"/>
      <c r="AM7974" s="48" t="n"/>
      <c r="AN7974" s="48" t="n"/>
      <c r="AO7974" s="48" t="n"/>
    </row>
    <row r="7975">
      <c r="M7975" s="25" t="n"/>
      <c r="Q7975" s="25" t="n"/>
      <c r="U7975" s="194" t="n"/>
      <c r="AA7975" s="25" t="n"/>
      <c r="AB7975" s="25" t="n"/>
      <c r="AC7975" s="195" t="n"/>
      <c r="AD7975" s="25" t="n"/>
      <c r="AE7975" s="25" t="n"/>
      <c r="AG7975" s="25" t="n"/>
      <c r="AH7975" s="25" t="n"/>
      <c r="AI7975" s="394" t="n"/>
      <c r="AM7975" s="48" t="n"/>
      <c r="AN7975" s="48" t="n"/>
      <c r="AO7975" s="48" t="n"/>
    </row>
    <row r="7976">
      <c r="M7976" s="25" t="n"/>
      <c r="Q7976" s="25" t="n"/>
      <c r="U7976" s="194" t="n"/>
      <c r="AA7976" s="25" t="n"/>
      <c r="AB7976" s="25" t="n"/>
      <c r="AC7976" s="195" t="n"/>
      <c r="AD7976" s="25" t="n"/>
      <c r="AE7976" s="25" t="n"/>
      <c r="AG7976" s="25" t="n"/>
      <c r="AH7976" s="25" t="n"/>
      <c r="AI7976" s="394" t="n"/>
      <c r="AM7976" s="48" t="n"/>
      <c r="AN7976" s="48" t="n"/>
      <c r="AO7976" s="48" t="n"/>
    </row>
    <row r="7977">
      <c r="M7977" s="25" t="n"/>
      <c r="Q7977" s="25" t="n"/>
      <c r="U7977" s="194" t="n"/>
      <c r="AA7977" s="25" t="n"/>
      <c r="AB7977" s="25" t="n"/>
      <c r="AC7977" s="195" t="n"/>
      <c r="AD7977" s="25" t="n"/>
      <c r="AE7977" s="25" t="n"/>
      <c r="AG7977" s="25" t="n"/>
      <c r="AH7977" s="25" t="n"/>
      <c r="AI7977" s="394" t="n"/>
      <c r="AM7977" s="48" t="n"/>
      <c r="AN7977" s="48" t="n"/>
      <c r="AO7977" s="48" t="n"/>
    </row>
    <row r="7978">
      <c r="M7978" s="25" t="n"/>
      <c r="Q7978" s="25" t="n"/>
      <c r="U7978" s="194" t="n"/>
      <c r="AA7978" s="25" t="n"/>
      <c r="AB7978" s="25" t="n"/>
      <c r="AC7978" s="195" t="n"/>
      <c r="AD7978" s="25" t="n"/>
      <c r="AE7978" s="25" t="n"/>
      <c r="AG7978" s="25" t="n"/>
      <c r="AH7978" s="25" t="n"/>
      <c r="AI7978" s="394" t="n"/>
      <c r="AM7978" s="48" t="n"/>
      <c r="AN7978" s="48" t="n"/>
      <c r="AO7978" s="48" t="n"/>
    </row>
    <row r="7979">
      <c r="M7979" s="25" t="n"/>
      <c r="Q7979" s="25" t="n"/>
      <c r="U7979" s="194" t="n"/>
      <c r="AA7979" s="25" t="n"/>
      <c r="AB7979" s="25" t="n"/>
      <c r="AC7979" s="195" t="n"/>
      <c r="AD7979" s="25" t="n"/>
      <c r="AE7979" s="25" t="n"/>
      <c r="AG7979" s="25" t="n"/>
      <c r="AH7979" s="25" t="n"/>
      <c r="AI7979" s="394" t="n"/>
      <c r="AM7979" s="48" t="n"/>
      <c r="AN7979" s="48" t="n"/>
      <c r="AO7979" s="48" t="n"/>
    </row>
    <row r="7980">
      <c r="M7980" s="25" t="n"/>
      <c r="Q7980" s="25" t="n"/>
      <c r="U7980" s="194" t="n"/>
      <c r="AA7980" s="25" t="n"/>
      <c r="AB7980" s="25" t="n"/>
      <c r="AC7980" s="195" t="n"/>
      <c r="AD7980" s="25" t="n"/>
      <c r="AE7980" s="25" t="n"/>
      <c r="AG7980" s="25" t="n"/>
      <c r="AH7980" s="25" t="n"/>
      <c r="AI7980" s="394" t="n"/>
      <c r="AM7980" s="48" t="n"/>
      <c r="AN7980" s="48" t="n"/>
      <c r="AO7980" s="48" t="n"/>
    </row>
    <row r="7981">
      <c r="M7981" s="25" t="n"/>
      <c r="Q7981" s="25" t="n"/>
      <c r="U7981" s="194" t="n"/>
      <c r="AA7981" s="25" t="n"/>
      <c r="AB7981" s="25" t="n"/>
      <c r="AC7981" s="195" t="n"/>
      <c r="AD7981" s="25" t="n"/>
      <c r="AE7981" s="25" t="n"/>
      <c r="AG7981" s="25" t="n"/>
      <c r="AH7981" s="25" t="n"/>
      <c r="AI7981" s="394" t="n"/>
      <c r="AM7981" s="48" t="n"/>
      <c r="AN7981" s="48" t="n"/>
      <c r="AO7981" s="48" t="n"/>
    </row>
    <row r="7982">
      <c r="M7982" s="25" t="n"/>
      <c r="Q7982" s="25" t="n"/>
      <c r="U7982" s="194" t="n"/>
      <c r="AA7982" s="25" t="n"/>
      <c r="AB7982" s="25" t="n"/>
      <c r="AC7982" s="195" t="n"/>
      <c r="AD7982" s="25" t="n"/>
      <c r="AE7982" s="25" t="n"/>
      <c r="AG7982" s="25" t="n"/>
      <c r="AH7982" s="25" t="n"/>
      <c r="AI7982" s="394" t="n"/>
      <c r="AM7982" s="48" t="n"/>
      <c r="AN7982" s="48" t="n"/>
      <c r="AO7982" s="48" t="n"/>
    </row>
    <row r="7983">
      <c r="M7983" s="25" t="n"/>
      <c r="Q7983" s="25" t="n"/>
      <c r="U7983" s="194" t="n"/>
      <c r="AA7983" s="25" t="n"/>
      <c r="AB7983" s="25" t="n"/>
      <c r="AC7983" s="195" t="n"/>
      <c r="AD7983" s="25" t="n"/>
      <c r="AE7983" s="25" t="n"/>
      <c r="AG7983" s="25" t="n"/>
      <c r="AH7983" s="25" t="n"/>
      <c r="AI7983" s="394" t="n"/>
      <c r="AM7983" s="48" t="n"/>
      <c r="AN7983" s="48" t="n"/>
      <c r="AO7983" s="48" t="n"/>
    </row>
    <row r="7984">
      <c r="M7984" s="25" t="n"/>
      <c r="Q7984" s="25" t="n"/>
      <c r="U7984" s="194" t="n"/>
      <c r="AA7984" s="25" t="n"/>
      <c r="AB7984" s="25" t="n"/>
      <c r="AC7984" s="195" t="n"/>
      <c r="AD7984" s="25" t="n"/>
      <c r="AE7984" s="25" t="n"/>
      <c r="AG7984" s="25" t="n"/>
      <c r="AH7984" s="25" t="n"/>
      <c r="AI7984" s="394" t="n"/>
      <c r="AM7984" s="48" t="n"/>
      <c r="AN7984" s="48" t="n"/>
      <c r="AO7984" s="48" t="n"/>
    </row>
    <row r="7985">
      <c r="M7985" s="25" t="n"/>
      <c r="Q7985" s="25" t="n"/>
      <c r="U7985" s="194" t="n"/>
      <c r="AA7985" s="25" t="n"/>
      <c r="AB7985" s="25" t="n"/>
      <c r="AC7985" s="195" t="n"/>
      <c r="AD7985" s="25" t="n"/>
      <c r="AE7985" s="25" t="n"/>
      <c r="AG7985" s="25" t="n"/>
      <c r="AH7985" s="25" t="n"/>
      <c r="AI7985" s="394" t="n"/>
      <c r="AM7985" s="48" t="n"/>
      <c r="AN7985" s="48" t="n"/>
      <c r="AO7985" s="48" t="n"/>
    </row>
    <row r="7986">
      <c r="M7986" s="25" t="n"/>
      <c r="Q7986" s="25" t="n"/>
      <c r="U7986" s="194" t="n"/>
      <c r="AA7986" s="25" t="n"/>
      <c r="AB7986" s="25" t="n"/>
      <c r="AC7986" s="195" t="n"/>
      <c r="AD7986" s="25" t="n"/>
      <c r="AE7986" s="25" t="n"/>
      <c r="AG7986" s="25" t="n"/>
      <c r="AH7986" s="25" t="n"/>
      <c r="AI7986" s="394" t="n"/>
      <c r="AM7986" s="48" t="n"/>
      <c r="AN7986" s="48" t="n"/>
      <c r="AO7986" s="48" t="n"/>
    </row>
    <row r="7987">
      <c r="M7987" s="25" t="n"/>
      <c r="Q7987" s="25" t="n"/>
      <c r="U7987" s="194" t="n"/>
      <c r="AA7987" s="25" t="n"/>
      <c r="AB7987" s="25" t="n"/>
      <c r="AC7987" s="195" t="n"/>
      <c r="AD7987" s="25" t="n"/>
      <c r="AE7987" s="25" t="n"/>
      <c r="AG7987" s="25" t="n"/>
      <c r="AH7987" s="25" t="n"/>
      <c r="AI7987" s="394" t="n"/>
      <c r="AM7987" s="48" t="n"/>
      <c r="AN7987" s="48" t="n"/>
      <c r="AO7987" s="48" t="n"/>
    </row>
    <row r="7988">
      <c r="M7988" s="25" t="n"/>
      <c r="Q7988" s="25" t="n"/>
      <c r="U7988" s="194" t="n"/>
      <c r="AA7988" s="25" t="n"/>
      <c r="AB7988" s="25" t="n"/>
      <c r="AC7988" s="195" t="n"/>
      <c r="AD7988" s="25" t="n"/>
      <c r="AE7988" s="25" t="n"/>
      <c r="AG7988" s="25" t="n"/>
      <c r="AH7988" s="25" t="n"/>
      <c r="AI7988" s="394" t="n"/>
      <c r="AM7988" s="48" t="n"/>
      <c r="AN7988" s="48" t="n"/>
      <c r="AO7988" s="48" t="n"/>
    </row>
    <row r="7989">
      <c r="M7989" s="25" t="n"/>
      <c r="Q7989" s="25" t="n"/>
      <c r="U7989" s="194" t="n"/>
      <c r="AA7989" s="25" t="n"/>
      <c r="AB7989" s="25" t="n"/>
      <c r="AC7989" s="195" t="n"/>
      <c r="AD7989" s="25" t="n"/>
      <c r="AE7989" s="25" t="n"/>
      <c r="AG7989" s="25" t="n"/>
      <c r="AH7989" s="25" t="n"/>
      <c r="AI7989" s="394" t="n"/>
      <c r="AM7989" s="48" t="n"/>
      <c r="AN7989" s="48" t="n"/>
      <c r="AO7989" s="48" t="n"/>
    </row>
    <row r="7990">
      <c r="M7990" s="25" t="n"/>
      <c r="Q7990" s="25" t="n"/>
      <c r="U7990" s="194" t="n"/>
      <c r="AA7990" s="25" t="n"/>
      <c r="AB7990" s="25" t="n"/>
      <c r="AC7990" s="195" t="n"/>
      <c r="AD7990" s="25" t="n"/>
      <c r="AE7990" s="25" t="n"/>
      <c r="AG7990" s="25" t="n"/>
      <c r="AH7990" s="25" t="n"/>
      <c r="AI7990" s="394" t="n"/>
      <c r="AM7990" s="48" t="n"/>
      <c r="AN7990" s="48" t="n"/>
      <c r="AO7990" s="48" t="n"/>
    </row>
    <row r="7991">
      <c r="M7991" s="25" t="n"/>
      <c r="Q7991" s="25" t="n"/>
      <c r="U7991" s="194" t="n"/>
      <c r="AA7991" s="25" t="n"/>
      <c r="AB7991" s="25" t="n"/>
      <c r="AC7991" s="195" t="n"/>
      <c r="AD7991" s="25" t="n"/>
      <c r="AE7991" s="25" t="n"/>
      <c r="AG7991" s="25" t="n"/>
      <c r="AH7991" s="25" t="n"/>
      <c r="AI7991" s="394" t="n"/>
      <c r="AM7991" s="48" t="n"/>
      <c r="AN7991" s="48" t="n"/>
      <c r="AO7991" s="48" t="n"/>
    </row>
    <row r="7992">
      <c r="M7992" s="25" t="n"/>
      <c r="Q7992" s="25" t="n"/>
      <c r="U7992" s="194" t="n"/>
      <c r="AA7992" s="25" t="n"/>
      <c r="AB7992" s="25" t="n"/>
      <c r="AC7992" s="195" t="n"/>
      <c r="AD7992" s="25" t="n"/>
      <c r="AE7992" s="25" t="n"/>
      <c r="AG7992" s="25" t="n"/>
      <c r="AH7992" s="25" t="n"/>
      <c r="AI7992" s="394" t="n"/>
      <c r="AM7992" s="48" t="n"/>
      <c r="AN7992" s="48" t="n"/>
      <c r="AO7992" s="48" t="n"/>
    </row>
    <row r="7993">
      <c r="M7993" s="25" t="n"/>
      <c r="Q7993" s="25" t="n"/>
      <c r="U7993" s="194" t="n"/>
      <c r="AA7993" s="25" t="n"/>
      <c r="AB7993" s="25" t="n"/>
      <c r="AC7993" s="195" t="n"/>
      <c r="AD7993" s="25" t="n"/>
      <c r="AE7993" s="25" t="n"/>
      <c r="AG7993" s="25" t="n"/>
      <c r="AH7993" s="25" t="n"/>
      <c r="AI7993" s="394" t="n"/>
      <c r="AM7993" s="48" t="n"/>
      <c r="AN7993" s="48" t="n"/>
      <c r="AO7993" s="48" t="n"/>
    </row>
    <row r="7994">
      <c r="M7994" s="25" t="n"/>
      <c r="Q7994" s="25" t="n"/>
      <c r="U7994" s="194" t="n"/>
      <c r="AA7994" s="25" t="n"/>
      <c r="AB7994" s="25" t="n"/>
      <c r="AC7994" s="195" t="n"/>
      <c r="AD7994" s="25" t="n"/>
      <c r="AE7994" s="25" t="n"/>
      <c r="AG7994" s="25" t="n"/>
      <c r="AH7994" s="25" t="n"/>
      <c r="AI7994" s="394" t="n"/>
      <c r="AM7994" s="48" t="n"/>
      <c r="AN7994" s="48" t="n"/>
      <c r="AO7994" s="48" t="n"/>
    </row>
    <row r="7995">
      <c r="M7995" s="25" t="n"/>
      <c r="Q7995" s="25" t="n"/>
      <c r="U7995" s="194" t="n"/>
      <c r="AA7995" s="25" t="n"/>
      <c r="AB7995" s="25" t="n"/>
      <c r="AC7995" s="195" t="n"/>
      <c r="AD7995" s="25" t="n"/>
      <c r="AE7995" s="25" t="n"/>
      <c r="AG7995" s="25" t="n"/>
      <c r="AH7995" s="25" t="n"/>
      <c r="AI7995" s="394" t="n"/>
      <c r="AM7995" s="48" t="n"/>
      <c r="AN7995" s="48" t="n"/>
      <c r="AO7995" s="48" t="n"/>
    </row>
    <row r="7996">
      <c r="M7996" s="25" t="n"/>
      <c r="Q7996" s="25" t="n"/>
      <c r="U7996" s="194" t="n"/>
      <c r="AA7996" s="25" t="n"/>
      <c r="AB7996" s="25" t="n"/>
      <c r="AC7996" s="195" t="n"/>
      <c r="AD7996" s="25" t="n"/>
      <c r="AE7996" s="25" t="n"/>
      <c r="AG7996" s="25" t="n"/>
      <c r="AH7996" s="25" t="n"/>
      <c r="AI7996" s="394" t="n"/>
      <c r="AM7996" s="48" t="n"/>
      <c r="AN7996" s="48" t="n"/>
      <c r="AO7996" s="48" t="n"/>
    </row>
    <row r="7997">
      <c r="M7997" s="25" t="n"/>
      <c r="Q7997" s="25" t="n"/>
      <c r="U7997" s="194" t="n"/>
      <c r="AA7997" s="25" t="n"/>
      <c r="AB7997" s="25" t="n"/>
      <c r="AC7997" s="195" t="n"/>
      <c r="AD7997" s="25" t="n"/>
      <c r="AE7997" s="25" t="n"/>
      <c r="AG7997" s="25" t="n"/>
      <c r="AH7997" s="25" t="n"/>
      <c r="AI7997" s="394" t="n"/>
      <c r="AM7997" s="48" t="n"/>
      <c r="AN7997" s="48" t="n"/>
      <c r="AO7997" s="48" t="n"/>
    </row>
    <row r="7998">
      <c r="M7998" s="25" t="n"/>
      <c r="Q7998" s="25" t="n"/>
      <c r="U7998" s="194" t="n"/>
      <c r="AA7998" s="25" t="n"/>
      <c r="AB7998" s="25" t="n"/>
      <c r="AC7998" s="195" t="n"/>
      <c r="AD7998" s="25" t="n"/>
      <c r="AE7998" s="25" t="n"/>
      <c r="AG7998" s="25" t="n"/>
      <c r="AH7998" s="25" t="n"/>
      <c r="AI7998" s="394" t="n"/>
      <c r="AM7998" s="48" t="n"/>
      <c r="AN7998" s="48" t="n"/>
      <c r="AO7998" s="48" t="n"/>
    </row>
    <row r="7999">
      <c r="M7999" s="25" t="n"/>
      <c r="Q7999" s="25" t="n"/>
      <c r="U7999" s="194" t="n"/>
      <c r="AA7999" s="25" t="n"/>
      <c r="AB7999" s="25" t="n"/>
      <c r="AC7999" s="195" t="n"/>
      <c r="AD7999" s="25" t="n"/>
      <c r="AE7999" s="25" t="n"/>
      <c r="AG7999" s="25" t="n"/>
      <c r="AH7999" s="25" t="n"/>
      <c r="AI7999" s="394" t="n"/>
      <c r="AM7999" s="48" t="n"/>
      <c r="AN7999" s="48" t="n"/>
      <c r="AO7999" s="48" t="n"/>
    </row>
    <row r="8000">
      <c r="M8000" s="25" t="n"/>
      <c r="Q8000" s="25" t="n"/>
      <c r="U8000" s="194" t="n"/>
      <c r="AA8000" s="25" t="n"/>
      <c r="AB8000" s="25" t="n"/>
      <c r="AC8000" s="195" t="n"/>
      <c r="AD8000" s="25" t="n"/>
      <c r="AE8000" s="25" t="n"/>
      <c r="AG8000" s="25" t="n"/>
      <c r="AH8000" s="25" t="n"/>
      <c r="AI8000" s="394" t="n"/>
      <c r="AM8000" s="48" t="n"/>
      <c r="AN8000" s="48" t="n"/>
      <c r="AO8000" s="48" t="n"/>
    </row>
    <row r="8001">
      <c r="M8001" s="25" t="n"/>
      <c r="Q8001" s="25" t="n"/>
      <c r="U8001" s="194" t="n"/>
      <c r="AA8001" s="25" t="n"/>
      <c r="AB8001" s="25" t="n"/>
      <c r="AC8001" s="195" t="n"/>
      <c r="AD8001" s="25" t="n"/>
      <c r="AE8001" s="25" t="n"/>
      <c r="AG8001" s="25" t="n"/>
      <c r="AH8001" s="25" t="n"/>
      <c r="AI8001" s="394" t="n"/>
      <c r="AM8001" s="48" t="n"/>
      <c r="AN8001" s="48" t="n"/>
      <c r="AO8001" s="48" t="n"/>
    </row>
    <row r="8002">
      <c r="M8002" s="25" t="n"/>
      <c r="Q8002" s="25" t="n"/>
      <c r="U8002" s="194" t="n"/>
      <c r="AA8002" s="25" t="n"/>
      <c r="AB8002" s="25" t="n"/>
      <c r="AC8002" s="195" t="n"/>
      <c r="AD8002" s="25" t="n"/>
      <c r="AE8002" s="25" t="n"/>
      <c r="AG8002" s="25" t="n"/>
      <c r="AH8002" s="25" t="n"/>
      <c r="AI8002" s="394" t="n"/>
      <c r="AM8002" s="48" t="n"/>
      <c r="AN8002" s="48" t="n"/>
      <c r="AO8002" s="48" t="n"/>
    </row>
    <row r="8003">
      <c r="M8003" s="25" t="n"/>
      <c r="Q8003" s="25" t="n"/>
      <c r="U8003" s="194" t="n"/>
      <c r="AA8003" s="25" t="n"/>
      <c r="AB8003" s="25" t="n"/>
      <c r="AC8003" s="195" t="n"/>
      <c r="AD8003" s="25" t="n"/>
      <c r="AE8003" s="25" t="n"/>
      <c r="AG8003" s="25" t="n"/>
      <c r="AH8003" s="25" t="n"/>
      <c r="AI8003" s="394" t="n"/>
      <c r="AM8003" s="48" t="n"/>
      <c r="AN8003" s="48" t="n"/>
      <c r="AO8003" s="48" t="n"/>
    </row>
    <row r="8004">
      <c r="M8004" s="25" t="n"/>
      <c r="Q8004" s="25" t="n"/>
      <c r="U8004" s="194" t="n"/>
      <c r="AA8004" s="25" t="n"/>
      <c r="AB8004" s="25" t="n"/>
      <c r="AC8004" s="195" t="n"/>
      <c r="AD8004" s="25" t="n"/>
      <c r="AE8004" s="25" t="n"/>
      <c r="AG8004" s="25" t="n"/>
      <c r="AH8004" s="25" t="n"/>
      <c r="AI8004" s="394" t="n"/>
      <c r="AM8004" s="48" t="n"/>
      <c r="AN8004" s="48" t="n"/>
      <c r="AO8004" s="48" t="n"/>
    </row>
    <row r="8005">
      <c r="M8005" s="25" t="n"/>
      <c r="Q8005" s="25" t="n"/>
      <c r="U8005" s="194" t="n"/>
      <c r="AA8005" s="25" t="n"/>
      <c r="AB8005" s="25" t="n"/>
      <c r="AC8005" s="195" t="n"/>
      <c r="AD8005" s="25" t="n"/>
      <c r="AE8005" s="25" t="n"/>
      <c r="AG8005" s="25" t="n"/>
      <c r="AH8005" s="25" t="n"/>
      <c r="AI8005" s="394" t="n"/>
      <c r="AM8005" s="48" t="n"/>
      <c r="AN8005" s="48" t="n"/>
      <c r="AO8005" s="48" t="n"/>
    </row>
    <row r="8006">
      <c r="M8006" s="25" t="n"/>
      <c r="Q8006" s="25" t="n"/>
      <c r="U8006" s="194" t="n"/>
      <c r="AA8006" s="25" t="n"/>
      <c r="AB8006" s="25" t="n"/>
      <c r="AC8006" s="195" t="n"/>
      <c r="AD8006" s="25" t="n"/>
      <c r="AE8006" s="25" t="n"/>
      <c r="AG8006" s="25" t="n"/>
      <c r="AH8006" s="25" t="n"/>
      <c r="AI8006" s="394" t="n"/>
      <c r="AM8006" s="48" t="n"/>
      <c r="AN8006" s="48" t="n"/>
      <c r="AO8006" s="48" t="n"/>
    </row>
    <row r="8007">
      <c r="M8007" s="25" t="n"/>
      <c r="Q8007" s="25" t="n"/>
      <c r="U8007" s="194" t="n"/>
      <c r="AA8007" s="25" t="n"/>
      <c r="AB8007" s="25" t="n"/>
      <c r="AC8007" s="195" t="n"/>
      <c r="AD8007" s="25" t="n"/>
      <c r="AE8007" s="25" t="n"/>
      <c r="AG8007" s="25" t="n"/>
      <c r="AH8007" s="25" t="n"/>
      <c r="AI8007" s="394" t="n"/>
      <c r="AM8007" s="48" t="n"/>
      <c r="AN8007" s="48" t="n"/>
      <c r="AO8007" s="48" t="n"/>
    </row>
    <row r="8008">
      <c r="M8008" s="25" t="n"/>
      <c r="Q8008" s="25" t="n"/>
      <c r="U8008" s="194" t="n"/>
      <c r="AA8008" s="25" t="n"/>
      <c r="AB8008" s="25" t="n"/>
      <c r="AC8008" s="195" t="n"/>
      <c r="AD8008" s="25" t="n"/>
      <c r="AE8008" s="25" t="n"/>
      <c r="AG8008" s="25" t="n"/>
      <c r="AH8008" s="25" t="n"/>
      <c r="AI8008" s="394" t="n"/>
      <c r="AM8008" s="48" t="n"/>
      <c r="AN8008" s="48" t="n"/>
      <c r="AO8008" s="48" t="n"/>
    </row>
    <row r="8009">
      <c r="M8009" s="25" t="n"/>
      <c r="Q8009" s="25" t="n"/>
      <c r="U8009" s="194" t="n"/>
      <c r="AA8009" s="25" t="n"/>
      <c r="AB8009" s="25" t="n"/>
      <c r="AC8009" s="195" t="n"/>
      <c r="AD8009" s="25" t="n"/>
      <c r="AE8009" s="25" t="n"/>
      <c r="AG8009" s="25" t="n"/>
      <c r="AH8009" s="25" t="n"/>
      <c r="AI8009" s="394" t="n"/>
      <c r="AM8009" s="48" t="n"/>
      <c r="AN8009" s="48" t="n"/>
      <c r="AO8009" s="48" t="n"/>
    </row>
    <row r="8010">
      <c r="M8010" s="25" t="n"/>
      <c r="Q8010" s="25" t="n"/>
      <c r="U8010" s="194" t="n"/>
      <c r="AA8010" s="25" t="n"/>
      <c r="AB8010" s="25" t="n"/>
      <c r="AC8010" s="195" t="n"/>
      <c r="AD8010" s="25" t="n"/>
      <c r="AE8010" s="25" t="n"/>
      <c r="AG8010" s="25" t="n"/>
      <c r="AH8010" s="25" t="n"/>
      <c r="AI8010" s="394" t="n"/>
      <c r="AM8010" s="48" t="n"/>
      <c r="AN8010" s="48" t="n"/>
      <c r="AO8010" s="48" t="n"/>
    </row>
    <row r="8011">
      <c r="M8011" s="25" t="n"/>
      <c r="Q8011" s="25" t="n"/>
      <c r="U8011" s="194" t="n"/>
      <c r="AA8011" s="25" t="n"/>
      <c r="AB8011" s="25" t="n"/>
      <c r="AC8011" s="195" t="n"/>
      <c r="AD8011" s="25" t="n"/>
      <c r="AE8011" s="25" t="n"/>
      <c r="AG8011" s="25" t="n"/>
      <c r="AH8011" s="25" t="n"/>
      <c r="AI8011" s="394" t="n"/>
      <c r="AM8011" s="48" t="n"/>
      <c r="AN8011" s="48" t="n"/>
      <c r="AO8011" s="48" t="n"/>
    </row>
    <row r="8012">
      <c r="M8012" s="25" t="n"/>
      <c r="Q8012" s="25" t="n"/>
      <c r="U8012" s="194" t="n"/>
      <c r="AA8012" s="25" t="n"/>
      <c r="AB8012" s="25" t="n"/>
      <c r="AC8012" s="195" t="n"/>
      <c r="AD8012" s="25" t="n"/>
      <c r="AE8012" s="25" t="n"/>
      <c r="AG8012" s="25" t="n"/>
      <c r="AH8012" s="25" t="n"/>
      <c r="AI8012" s="394" t="n"/>
      <c r="AM8012" s="48" t="n"/>
      <c r="AN8012" s="48" t="n"/>
      <c r="AO8012" s="48" t="n"/>
    </row>
    <row r="8013">
      <c r="M8013" s="25" t="n"/>
      <c r="Q8013" s="25" t="n"/>
      <c r="U8013" s="194" t="n"/>
      <c r="AA8013" s="25" t="n"/>
      <c r="AB8013" s="25" t="n"/>
      <c r="AC8013" s="195" t="n"/>
      <c r="AD8013" s="25" t="n"/>
      <c r="AE8013" s="25" t="n"/>
      <c r="AG8013" s="25" t="n"/>
      <c r="AH8013" s="25" t="n"/>
      <c r="AI8013" s="394" t="n"/>
      <c r="AM8013" s="48" t="n"/>
      <c r="AN8013" s="48" t="n"/>
      <c r="AO8013" s="48" t="n"/>
    </row>
    <row r="8014">
      <c r="M8014" s="25" t="n"/>
      <c r="Q8014" s="25" t="n"/>
      <c r="U8014" s="194" t="n"/>
      <c r="AA8014" s="25" t="n"/>
      <c r="AB8014" s="25" t="n"/>
      <c r="AC8014" s="195" t="n"/>
      <c r="AD8014" s="25" t="n"/>
      <c r="AE8014" s="25" t="n"/>
      <c r="AG8014" s="25" t="n"/>
      <c r="AH8014" s="25" t="n"/>
      <c r="AI8014" s="394" t="n"/>
      <c r="AM8014" s="48" t="n"/>
      <c r="AN8014" s="48" t="n"/>
      <c r="AO8014" s="48" t="n"/>
    </row>
    <row r="8015">
      <c r="M8015" s="25" t="n"/>
      <c r="Q8015" s="25" t="n"/>
      <c r="U8015" s="194" t="n"/>
      <c r="AA8015" s="25" t="n"/>
      <c r="AB8015" s="25" t="n"/>
      <c r="AC8015" s="195" t="n"/>
      <c r="AD8015" s="25" t="n"/>
      <c r="AE8015" s="25" t="n"/>
      <c r="AG8015" s="25" t="n"/>
      <c r="AH8015" s="25" t="n"/>
      <c r="AI8015" s="394" t="n"/>
      <c r="AM8015" s="48" t="n"/>
      <c r="AN8015" s="48" t="n"/>
      <c r="AO8015" s="48" t="n"/>
    </row>
    <row r="8016">
      <c r="M8016" s="25" t="n"/>
      <c r="Q8016" s="25" t="n"/>
      <c r="U8016" s="194" t="n"/>
      <c r="AA8016" s="25" t="n"/>
      <c r="AB8016" s="25" t="n"/>
      <c r="AC8016" s="195" t="n"/>
      <c r="AD8016" s="25" t="n"/>
      <c r="AE8016" s="25" t="n"/>
      <c r="AG8016" s="25" t="n"/>
      <c r="AH8016" s="25" t="n"/>
      <c r="AI8016" s="394" t="n"/>
      <c r="AM8016" s="48" t="n"/>
      <c r="AN8016" s="48" t="n"/>
      <c r="AO8016" s="48" t="n"/>
    </row>
    <row r="8017">
      <c r="M8017" s="25" t="n"/>
      <c r="Q8017" s="25" t="n"/>
      <c r="U8017" s="194" t="n"/>
      <c r="AA8017" s="25" t="n"/>
      <c r="AB8017" s="25" t="n"/>
      <c r="AC8017" s="195" t="n"/>
      <c r="AD8017" s="25" t="n"/>
      <c r="AE8017" s="25" t="n"/>
      <c r="AG8017" s="25" t="n"/>
      <c r="AH8017" s="25" t="n"/>
      <c r="AI8017" s="394" t="n"/>
      <c r="AM8017" s="48" t="n"/>
      <c r="AN8017" s="48" t="n"/>
      <c r="AO8017" s="48" t="n"/>
    </row>
    <row r="8018">
      <c r="M8018" s="25" t="n"/>
      <c r="Q8018" s="25" t="n"/>
      <c r="U8018" s="194" t="n"/>
      <c r="AA8018" s="25" t="n"/>
      <c r="AB8018" s="25" t="n"/>
      <c r="AC8018" s="195" t="n"/>
      <c r="AD8018" s="25" t="n"/>
      <c r="AE8018" s="25" t="n"/>
      <c r="AG8018" s="25" t="n"/>
      <c r="AH8018" s="25" t="n"/>
      <c r="AI8018" s="394" t="n"/>
      <c r="AM8018" s="48" t="n"/>
      <c r="AN8018" s="48" t="n"/>
      <c r="AO8018" s="48" t="n"/>
    </row>
    <row r="8019">
      <c r="M8019" s="25" t="n"/>
      <c r="Q8019" s="25" t="n"/>
      <c r="U8019" s="194" t="n"/>
      <c r="AA8019" s="25" t="n"/>
      <c r="AB8019" s="25" t="n"/>
      <c r="AC8019" s="195" t="n"/>
      <c r="AD8019" s="25" t="n"/>
      <c r="AE8019" s="25" t="n"/>
      <c r="AG8019" s="25" t="n"/>
      <c r="AH8019" s="25" t="n"/>
      <c r="AI8019" s="394" t="n"/>
      <c r="AM8019" s="48" t="n"/>
      <c r="AN8019" s="48" t="n"/>
      <c r="AO8019" s="48" t="n"/>
    </row>
    <row r="8020">
      <c r="M8020" s="25" t="n"/>
      <c r="Q8020" s="25" t="n"/>
      <c r="U8020" s="194" t="n"/>
      <c r="AA8020" s="25" t="n"/>
      <c r="AB8020" s="25" t="n"/>
      <c r="AC8020" s="195" t="n"/>
      <c r="AD8020" s="25" t="n"/>
      <c r="AE8020" s="25" t="n"/>
      <c r="AG8020" s="25" t="n"/>
      <c r="AH8020" s="25" t="n"/>
      <c r="AI8020" s="394" t="n"/>
      <c r="AM8020" s="48" t="n"/>
      <c r="AN8020" s="48" t="n"/>
      <c r="AO8020" s="48" t="n"/>
    </row>
    <row r="8021">
      <c r="M8021" s="25" t="n"/>
      <c r="Q8021" s="25" t="n"/>
      <c r="U8021" s="194" t="n"/>
      <c r="AA8021" s="25" t="n"/>
      <c r="AB8021" s="25" t="n"/>
      <c r="AC8021" s="195" t="n"/>
      <c r="AD8021" s="25" t="n"/>
      <c r="AE8021" s="25" t="n"/>
      <c r="AG8021" s="25" t="n"/>
      <c r="AH8021" s="25" t="n"/>
      <c r="AI8021" s="394" t="n"/>
      <c r="AM8021" s="48" t="n"/>
      <c r="AN8021" s="48" t="n"/>
      <c r="AO8021" s="48" t="n"/>
    </row>
    <row r="8022">
      <c r="M8022" s="25" t="n"/>
      <c r="Q8022" s="25" t="n"/>
      <c r="U8022" s="194" t="n"/>
      <c r="AA8022" s="25" t="n"/>
      <c r="AB8022" s="25" t="n"/>
      <c r="AC8022" s="195" t="n"/>
      <c r="AD8022" s="25" t="n"/>
      <c r="AE8022" s="25" t="n"/>
      <c r="AG8022" s="25" t="n"/>
      <c r="AH8022" s="25" t="n"/>
      <c r="AI8022" s="394" t="n"/>
      <c r="AM8022" s="48" t="n"/>
      <c r="AN8022" s="48" t="n"/>
      <c r="AO8022" s="48" t="n"/>
    </row>
    <row r="8023">
      <c r="M8023" s="25" t="n"/>
      <c r="Q8023" s="25" t="n"/>
      <c r="U8023" s="194" t="n"/>
      <c r="AA8023" s="25" t="n"/>
      <c r="AB8023" s="25" t="n"/>
      <c r="AC8023" s="195" t="n"/>
      <c r="AD8023" s="25" t="n"/>
      <c r="AE8023" s="25" t="n"/>
      <c r="AG8023" s="25" t="n"/>
      <c r="AH8023" s="25" t="n"/>
      <c r="AI8023" s="394" t="n"/>
      <c r="AM8023" s="48" t="n"/>
      <c r="AN8023" s="48" t="n"/>
      <c r="AO8023" s="48" t="n"/>
    </row>
    <row r="8024">
      <c r="M8024" s="25" t="n"/>
      <c r="Q8024" s="25" t="n"/>
      <c r="U8024" s="194" t="n"/>
      <c r="AA8024" s="25" t="n"/>
      <c r="AB8024" s="25" t="n"/>
      <c r="AC8024" s="195" t="n"/>
      <c r="AD8024" s="25" t="n"/>
      <c r="AE8024" s="25" t="n"/>
      <c r="AG8024" s="25" t="n"/>
      <c r="AH8024" s="25" t="n"/>
      <c r="AI8024" s="394" t="n"/>
      <c r="AM8024" s="48" t="n"/>
      <c r="AN8024" s="48" t="n"/>
      <c r="AO8024" s="48" t="n"/>
    </row>
    <row r="8025">
      <c r="M8025" s="25" t="n"/>
      <c r="Q8025" s="25" t="n"/>
      <c r="U8025" s="194" t="n"/>
      <c r="AA8025" s="25" t="n"/>
      <c r="AB8025" s="25" t="n"/>
      <c r="AC8025" s="195" t="n"/>
      <c r="AD8025" s="25" t="n"/>
      <c r="AE8025" s="25" t="n"/>
      <c r="AG8025" s="25" t="n"/>
      <c r="AH8025" s="25" t="n"/>
      <c r="AI8025" s="394" t="n"/>
      <c r="AM8025" s="48" t="n"/>
      <c r="AN8025" s="48" t="n"/>
      <c r="AO8025" s="48" t="n"/>
    </row>
    <row r="8026">
      <c r="M8026" s="25" t="n"/>
      <c r="Q8026" s="25" t="n"/>
      <c r="U8026" s="194" t="n"/>
      <c r="AA8026" s="25" t="n"/>
      <c r="AB8026" s="25" t="n"/>
      <c r="AC8026" s="195" t="n"/>
      <c r="AD8026" s="25" t="n"/>
      <c r="AE8026" s="25" t="n"/>
      <c r="AG8026" s="25" t="n"/>
      <c r="AH8026" s="25" t="n"/>
      <c r="AI8026" s="394" t="n"/>
      <c r="AM8026" s="48" t="n"/>
      <c r="AN8026" s="48" t="n"/>
      <c r="AO8026" s="48" t="n"/>
    </row>
    <row r="8027">
      <c r="M8027" s="25" t="n"/>
      <c r="Q8027" s="25" t="n"/>
      <c r="U8027" s="194" t="n"/>
      <c r="AA8027" s="25" t="n"/>
      <c r="AB8027" s="25" t="n"/>
      <c r="AC8027" s="195" t="n"/>
      <c r="AD8027" s="25" t="n"/>
      <c r="AE8027" s="25" t="n"/>
      <c r="AG8027" s="25" t="n"/>
      <c r="AH8027" s="25" t="n"/>
      <c r="AI8027" s="394" t="n"/>
      <c r="AM8027" s="48" t="n"/>
      <c r="AN8027" s="48" t="n"/>
      <c r="AO8027" s="48" t="n"/>
    </row>
    <row r="8028">
      <c r="M8028" s="25" t="n"/>
      <c r="Q8028" s="25" t="n"/>
      <c r="U8028" s="194" t="n"/>
      <c r="AA8028" s="25" t="n"/>
      <c r="AB8028" s="25" t="n"/>
      <c r="AC8028" s="195" t="n"/>
      <c r="AD8028" s="25" t="n"/>
      <c r="AE8028" s="25" t="n"/>
      <c r="AG8028" s="25" t="n"/>
      <c r="AH8028" s="25" t="n"/>
      <c r="AI8028" s="394" t="n"/>
      <c r="AM8028" s="48" t="n"/>
      <c r="AN8028" s="48" t="n"/>
      <c r="AO8028" s="48" t="n"/>
    </row>
    <row r="8029">
      <c r="M8029" s="25" t="n"/>
      <c r="Q8029" s="25" t="n"/>
      <c r="U8029" s="194" t="n"/>
      <c r="AA8029" s="25" t="n"/>
      <c r="AB8029" s="25" t="n"/>
      <c r="AC8029" s="195" t="n"/>
      <c r="AD8029" s="25" t="n"/>
      <c r="AE8029" s="25" t="n"/>
      <c r="AG8029" s="25" t="n"/>
      <c r="AH8029" s="25" t="n"/>
      <c r="AI8029" s="394" t="n"/>
      <c r="AM8029" s="48" t="n"/>
      <c r="AN8029" s="48" t="n"/>
      <c r="AO8029" s="48" t="n"/>
    </row>
    <row r="8030">
      <c r="M8030" s="25" t="n"/>
      <c r="Q8030" s="25" t="n"/>
      <c r="U8030" s="194" t="n"/>
      <c r="AA8030" s="25" t="n"/>
      <c r="AB8030" s="25" t="n"/>
      <c r="AC8030" s="195" t="n"/>
      <c r="AD8030" s="25" t="n"/>
      <c r="AE8030" s="25" t="n"/>
      <c r="AG8030" s="25" t="n"/>
      <c r="AH8030" s="25" t="n"/>
      <c r="AI8030" s="394" t="n"/>
      <c r="AM8030" s="48" t="n"/>
      <c r="AN8030" s="48" t="n"/>
      <c r="AO8030" s="48" t="n"/>
    </row>
    <row r="8031">
      <c r="M8031" s="25" t="n"/>
      <c r="Q8031" s="25" t="n"/>
      <c r="U8031" s="194" t="n"/>
      <c r="AA8031" s="25" t="n"/>
      <c r="AB8031" s="25" t="n"/>
      <c r="AC8031" s="195" t="n"/>
      <c r="AD8031" s="25" t="n"/>
      <c r="AE8031" s="25" t="n"/>
      <c r="AG8031" s="25" t="n"/>
      <c r="AH8031" s="25" t="n"/>
      <c r="AI8031" s="394" t="n"/>
      <c r="AM8031" s="48" t="n"/>
      <c r="AN8031" s="48" t="n"/>
      <c r="AO8031" s="48" t="n"/>
    </row>
    <row r="8032">
      <c r="M8032" s="25" t="n"/>
      <c r="Q8032" s="25" t="n"/>
      <c r="U8032" s="194" t="n"/>
      <c r="AA8032" s="25" t="n"/>
      <c r="AB8032" s="25" t="n"/>
      <c r="AC8032" s="195" t="n"/>
      <c r="AD8032" s="25" t="n"/>
      <c r="AE8032" s="25" t="n"/>
      <c r="AG8032" s="25" t="n"/>
      <c r="AH8032" s="25" t="n"/>
      <c r="AI8032" s="394" t="n"/>
      <c r="AM8032" s="48" t="n"/>
      <c r="AN8032" s="48" t="n"/>
      <c r="AO8032" s="48" t="n"/>
    </row>
    <row r="8033">
      <c r="M8033" s="25" t="n"/>
      <c r="Q8033" s="25" t="n"/>
      <c r="U8033" s="194" t="n"/>
      <c r="AA8033" s="25" t="n"/>
      <c r="AB8033" s="25" t="n"/>
      <c r="AC8033" s="195" t="n"/>
      <c r="AD8033" s="25" t="n"/>
      <c r="AE8033" s="25" t="n"/>
      <c r="AG8033" s="25" t="n"/>
      <c r="AH8033" s="25" t="n"/>
      <c r="AI8033" s="394" t="n"/>
      <c r="AM8033" s="48" t="n"/>
      <c r="AN8033" s="48" t="n"/>
      <c r="AO8033" s="48" t="n"/>
    </row>
    <row r="8034">
      <c r="M8034" s="25" t="n"/>
      <c r="Q8034" s="25" t="n"/>
      <c r="U8034" s="194" t="n"/>
      <c r="AA8034" s="25" t="n"/>
      <c r="AB8034" s="25" t="n"/>
      <c r="AC8034" s="195" t="n"/>
      <c r="AD8034" s="25" t="n"/>
      <c r="AE8034" s="25" t="n"/>
      <c r="AG8034" s="25" t="n"/>
      <c r="AH8034" s="25" t="n"/>
      <c r="AI8034" s="394" t="n"/>
      <c r="AM8034" s="48" t="n"/>
      <c r="AN8034" s="48" t="n"/>
      <c r="AO8034" s="48" t="n"/>
    </row>
    <row r="8035">
      <c r="M8035" s="25" t="n"/>
      <c r="Q8035" s="25" t="n"/>
      <c r="U8035" s="194" t="n"/>
      <c r="AA8035" s="25" t="n"/>
      <c r="AB8035" s="25" t="n"/>
      <c r="AC8035" s="195" t="n"/>
      <c r="AD8035" s="25" t="n"/>
      <c r="AE8035" s="25" t="n"/>
      <c r="AG8035" s="25" t="n"/>
      <c r="AH8035" s="25" t="n"/>
      <c r="AI8035" s="394" t="n"/>
      <c r="AM8035" s="48" t="n"/>
      <c r="AN8035" s="48" t="n"/>
      <c r="AO8035" s="48" t="n"/>
    </row>
    <row r="8036">
      <c r="M8036" s="25" t="n"/>
      <c r="Q8036" s="25" t="n"/>
      <c r="U8036" s="194" t="n"/>
      <c r="AA8036" s="25" t="n"/>
      <c r="AB8036" s="25" t="n"/>
      <c r="AC8036" s="195" t="n"/>
      <c r="AD8036" s="25" t="n"/>
      <c r="AE8036" s="25" t="n"/>
      <c r="AG8036" s="25" t="n"/>
      <c r="AH8036" s="25" t="n"/>
      <c r="AI8036" s="394" t="n"/>
      <c r="AM8036" s="48" t="n"/>
      <c r="AN8036" s="48" t="n"/>
      <c r="AO8036" s="48" t="n"/>
    </row>
    <row r="8037">
      <c r="M8037" s="25" t="n"/>
      <c r="Q8037" s="25" t="n"/>
      <c r="U8037" s="194" t="n"/>
      <c r="AA8037" s="25" t="n"/>
      <c r="AB8037" s="25" t="n"/>
      <c r="AC8037" s="195" t="n"/>
      <c r="AD8037" s="25" t="n"/>
      <c r="AE8037" s="25" t="n"/>
      <c r="AG8037" s="25" t="n"/>
      <c r="AH8037" s="25" t="n"/>
      <c r="AI8037" s="394" t="n"/>
      <c r="AM8037" s="48" t="n"/>
      <c r="AN8037" s="48" t="n"/>
      <c r="AO8037" s="48" t="n"/>
    </row>
    <row r="8038">
      <c r="M8038" s="25" t="n"/>
      <c r="Q8038" s="25" t="n"/>
      <c r="U8038" s="194" t="n"/>
      <c r="AA8038" s="25" t="n"/>
      <c r="AB8038" s="25" t="n"/>
      <c r="AC8038" s="195" t="n"/>
      <c r="AD8038" s="25" t="n"/>
      <c r="AE8038" s="25" t="n"/>
      <c r="AG8038" s="25" t="n"/>
      <c r="AH8038" s="25" t="n"/>
      <c r="AI8038" s="394" t="n"/>
      <c r="AM8038" s="48" t="n"/>
      <c r="AN8038" s="48" t="n"/>
      <c r="AO8038" s="48" t="n"/>
    </row>
    <row r="8039">
      <c r="M8039" s="25" t="n"/>
      <c r="Q8039" s="25" t="n"/>
      <c r="U8039" s="194" t="n"/>
      <c r="AA8039" s="25" t="n"/>
      <c r="AB8039" s="25" t="n"/>
      <c r="AC8039" s="195" t="n"/>
      <c r="AD8039" s="25" t="n"/>
      <c r="AE8039" s="25" t="n"/>
      <c r="AG8039" s="25" t="n"/>
      <c r="AH8039" s="25" t="n"/>
      <c r="AI8039" s="394" t="n"/>
      <c r="AM8039" s="48" t="n"/>
      <c r="AN8039" s="48" t="n"/>
      <c r="AO8039" s="48" t="n"/>
    </row>
    <row r="8040">
      <c r="M8040" s="25" t="n"/>
      <c r="Q8040" s="25" t="n"/>
      <c r="U8040" s="194" t="n"/>
      <c r="AA8040" s="25" t="n"/>
      <c r="AB8040" s="25" t="n"/>
      <c r="AC8040" s="195" t="n"/>
      <c r="AD8040" s="25" t="n"/>
      <c r="AE8040" s="25" t="n"/>
      <c r="AG8040" s="25" t="n"/>
      <c r="AH8040" s="25" t="n"/>
      <c r="AI8040" s="394" t="n"/>
      <c r="AM8040" s="48" t="n"/>
      <c r="AN8040" s="48" t="n"/>
      <c r="AO8040" s="48" t="n"/>
    </row>
    <row r="8041">
      <c r="M8041" s="25" t="n"/>
      <c r="Q8041" s="25" t="n"/>
      <c r="U8041" s="194" t="n"/>
      <c r="AA8041" s="25" t="n"/>
      <c r="AB8041" s="25" t="n"/>
      <c r="AC8041" s="195" t="n"/>
      <c r="AD8041" s="25" t="n"/>
      <c r="AE8041" s="25" t="n"/>
      <c r="AG8041" s="25" t="n"/>
      <c r="AH8041" s="25" t="n"/>
      <c r="AI8041" s="394" t="n"/>
      <c r="AM8041" s="48" t="n"/>
      <c r="AN8041" s="48" t="n"/>
      <c r="AO8041" s="48" t="n"/>
    </row>
    <row r="8042">
      <c r="M8042" s="25" t="n"/>
      <c r="Q8042" s="25" t="n"/>
      <c r="U8042" s="194" t="n"/>
      <c r="AA8042" s="25" t="n"/>
      <c r="AB8042" s="25" t="n"/>
      <c r="AC8042" s="195" t="n"/>
      <c r="AD8042" s="25" t="n"/>
      <c r="AE8042" s="25" t="n"/>
      <c r="AG8042" s="25" t="n"/>
      <c r="AH8042" s="25" t="n"/>
      <c r="AI8042" s="394" t="n"/>
      <c r="AM8042" s="48" t="n"/>
      <c r="AN8042" s="48" t="n"/>
      <c r="AO8042" s="48" t="n"/>
    </row>
    <row r="8043">
      <c r="M8043" s="25" t="n"/>
      <c r="Q8043" s="25" t="n"/>
      <c r="U8043" s="194" t="n"/>
      <c r="AA8043" s="25" t="n"/>
      <c r="AB8043" s="25" t="n"/>
      <c r="AC8043" s="195" t="n"/>
      <c r="AD8043" s="25" t="n"/>
      <c r="AE8043" s="25" t="n"/>
      <c r="AG8043" s="25" t="n"/>
      <c r="AH8043" s="25" t="n"/>
      <c r="AI8043" s="394" t="n"/>
      <c r="AM8043" s="48" t="n"/>
      <c r="AN8043" s="48" t="n"/>
      <c r="AO8043" s="48" t="n"/>
    </row>
    <row r="8044">
      <c r="M8044" s="25" t="n"/>
      <c r="Q8044" s="25" t="n"/>
      <c r="U8044" s="194" t="n"/>
      <c r="AA8044" s="25" t="n"/>
      <c r="AB8044" s="25" t="n"/>
      <c r="AC8044" s="195" t="n"/>
      <c r="AD8044" s="25" t="n"/>
      <c r="AE8044" s="25" t="n"/>
      <c r="AG8044" s="25" t="n"/>
      <c r="AH8044" s="25" t="n"/>
      <c r="AI8044" s="394" t="n"/>
      <c r="AM8044" s="48" t="n"/>
      <c r="AN8044" s="48" t="n"/>
      <c r="AO8044" s="48" t="n"/>
    </row>
    <row r="8045">
      <c r="M8045" s="25" t="n"/>
      <c r="Q8045" s="25" t="n"/>
      <c r="U8045" s="194" t="n"/>
      <c r="AA8045" s="25" t="n"/>
      <c r="AB8045" s="25" t="n"/>
      <c r="AC8045" s="195" t="n"/>
      <c r="AD8045" s="25" t="n"/>
      <c r="AE8045" s="25" t="n"/>
      <c r="AG8045" s="25" t="n"/>
      <c r="AH8045" s="25" t="n"/>
      <c r="AI8045" s="394" t="n"/>
      <c r="AM8045" s="48" t="n"/>
      <c r="AN8045" s="48" t="n"/>
      <c r="AO8045" s="48" t="n"/>
    </row>
    <row r="8046">
      <c r="M8046" s="25" t="n"/>
      <c r="Q8046" s="25" t="n"/>
      <c r="U8046" s="194" t="n"/>
      <c r="AA8046" s="25" t="n"/>
      <c r="AB8046" s="25" t="n"/>
      <c r="AC8046" s="195" t="n"/>
      <c r="AD8046" s="25" t="n"/>
      <c r="AE8046" s="25" t="n"/>
      <c r="AG8046" s="25" t="n"/>
      <c r="AH8046" s="25" t="n"/>
      <c r="AI8046" s="394" t="n"/>
      <c r="AM8046" s="48" t="n"/>
      <c r="AN8046" s="48" t="n"/>
      <c r="AO8046" s="48" t="n"/>
    </row>
    <row r="8047">
      <c r="M8047" s="25" t="n"/>
      <c r="Q8047" s="25" t="n"/>
      <c r="U8047" s="194" t="n"/>
      <c r="AA8047" s="25" t="n"/>
      <c r="AB8047" s="25" t="n"/>
      <c r="AC8047" s="195" t="n"/>
      <c r="AD8047" s="25" t="n"/>
      <c r="AE8047" s="25" t="n"/>
      <c r="AG8047" s="25" t="n"/>
      <c r="AH8047" s="25" t="n"/>
      <c r="AI8047" s="394" t="n"/>
      <c r="AM8047" s="48" t="n"/>
      <c r="AN8047" s="48" t="n"/>
      <c r="AO8047" s="48" t="n"/>
    </row>
    <row r="8048">
      <c r="M8048" s="25" t="n"/>
      <c r="Q8048" s="25" t="n"/>
      <c r="U8048" s="194" t="n"/>
      <c r="AA8048" s="25" t="n"/>
      <c r="AB8048" s="25" t="n"/>
      <c r="AC8048" s="195" t="n"/>
      <c r="AD8048" s="25" t="n"/>
      <c r="AE8048" s="25" t="n"/>
      <c r="AG8048" s="25" t="n"/>
      <c r="AH8048" s="25" t="n"/>
      <c r="AI8048" s="394" t="n"/>
      <c r="AM8048" s="48" t="n"/>
      <c r="AN8048" s="48" t="n"/>
      <c r="AO8048" s="48" t="n"/>
    </row>
    <row r="8049">
      <c r="M8049" s="25" t="n"/>
      <c r="Q8049" s="25" t="n"/>
      <c r="U8049" s="194" t="n"/>
      <c r="AA8049" s="25" t="n"/>
      <c r="AB8049" s="25" t="n"/>
      <c r="AC8049" s="195" t="n"/>
      <c r="AD8049" s="25" t="n"/>
      <c r="AE8049" s="25" t="n"/>
      <c r="AG8049" s="25" t="n"/>
      <c r="AH8049" s="25" t="n"/>
      <c r="AI8049" s="394" t="n"/>
      <c r="AM8049" s="48" t="n"/>
      <c r="AN8049" s="48" t="n"/>
      <c r="AO8049" s="48" t="n"/>
    </row>
    <row r="8050">
      <c r="M8050" s="25" t="n"/>
      <c r="Q8050" s="25" t="n"/>
      <c r="U8050" s="194" t="n"/>
      <c r="AA8050" s="25" t="n"/>
      <c r="AB8050" s="25" t="n"/>
      <c r="AC8050" s="195" t="n"/>
      <c r="AD8050" s="25" t="n"/>
      <c r="AE8050" s="25" t="n"/>
      <c r="AG8050" s="25" t="n"/>
      <c r="AH8050" s="25" t="n"/>
      <c r="AI8050" s="394" t="n"/>
      <c r="AM8050" s="48" t="n"/>
      <c r="AN8050" s="48" t="n"/>
      <c r="AO8050" s="48" t="n"/>
    </row>
    <row r="8051">
      <c r="M8051" s="25" t="n"/>
      <c r="Q8051" s="25" t="n"/>
      <c r="U8051" s="194" t="n"/>
      <c r="AA8051" s="25" t="n"/>
      <c r="AB8051" s="25" t="n"/>
      <c r="AC8051" s="195" t="n"/>
      <c r="AD8051" s="25" t="n"/>
      <c r="AE8051" s="25" t="n"/>
      <c r="AG8051" s="25" t="n"/>
      <c r="AH8051" s="25" t="n"/>
      <c r="AI8051" s="394" t="n"/>
      <c r="AM8051" s="48" t="n"/>
      <c r="AN8051" s="48" t="n"/>
      <c r="AO8051" s="48" t="n"/>
    </row>
    <row r="8052">
      <c r="M8052" s="25" t="n"/>
      <c r="Q8052" s="25" t="n"/>
      <c r="U8052" s="194" t="n"/>
      <c r="AA8052" s="25" t="n"/>
      <c r="AB8052" s="25" t="n"/>
      <c r="AC8052" s="195" t="n"/>
      <c r="AD8052" s="25" t="n"/>
      <c r="AE8052" s="25" t="n"/>
      <c r="AG8052" s="25" t="n"/>
      <c r="AH8052" s="25" t="n"/>
      <c r="AI8052" s="394" t="n"/>
      <c r="AM8052" s="48" t="n"/>
      <c r="AN8052" s="48" t="n"/>
      <c r="AO8052" s="48" t="n"/>
    </row>
    <row r="8053">
      <c r="M8053" s="25" t="n"/>
      <c r="Q8053" s="25" t="n"/>
      <c r="U8053" s="194" t="n"/>
      <c r="AA8053" s="25" t="n"/>
      <c r="AB8053" s="25" t="n"/>
      <c r="AC8053" s="195" t="n"/>
      <c r="AD8053" s="25" t="n"/>
      <c r="AE8053" s="25" t="n"/>
      <c r="AG8053" s="25" t="n"/>
      <c r="AH8053" s="25" t="n"/>
      <c r="AI8053" s="394" t="n"/>
      <c r="AM8053" s="48" t="n"/>
      <c r="AN8053" s="48" t="n"/>
      <c r="AO8053" s="48" t="n"/>
    </row>
    <row r="8054">
      <c r="M8054" s="25" t="n"/>
      <c r="Q8054" s="25" t="n"/>
      <c r="U8054" s="194" t="n"/>
      <c r="AA8054" s="25" t="n"/>
      <c r="AB8054" s="25" t="n"/>
      <c r="AC8054" s="195" t="n"/>
      <c r="AD8054" s="25" t="n"/>
      <c r="AE8054" s="25" t="n"/>
      <c r="AG8054" s="25" t="n"/>
      <c r="AH8054" s="25" t="n"/>
      <c r="AI8054" s="394" t="n"/>
      <c r="AM8054" s="48" t="n"/>
      <c r="AN8054" s="48" t="n"/>
      <c r="AO8054" s="48" t="n"/>
    </row>
    <row r="8055">
      <c r="M8055" s="25" t="n"/>
      <c r="Q8055" s="25" t="n"/>
      <c r="U8055" s="194" t="n"/>
      <c r="AA8055" s="25" t="n"/>
      <c r="AB8055" s="25" t="n"/>
      <c r="AC8055" s="195" t="n"/>
      <c r="AD8055" s="25" t="n"/>
      <c r="AE8055" s="25" t="n"/>
      <c r="AG8055" s="25" t="n"/>
      <c r="AH8055" s="25" t="n"/>
      <c r="AI8055" s="394" t="n"/>
      <c r="AM8055" s="48" t="n"/>
      <c r="AN8055" s="48" t="n"/>
      <c r="AO8055" s="48" t="n"/>
    </row>
    <row r="8056">
      <c r="M8056" s="25" t="n"/>
      <c r="Q8056" s="25" t="n"/>
      <c r="U8056" s="194" t="n"/>
      <c r="AA8056" s="25" t="n"/>
      <c r="AB8056" s="25" t="n"/>
      <c r="AC8056" s="195" t="n"/>
      <c r="AD8056" s="25" t="n"/>
      <c r="AE8056" s="25" t="n"/>
      <c r="AG8056" s="25" t="n"/>
      <c r="AH8056" s="25" t="n"/>
      <c r="AI8056" s="394" t="n"/>
      <c r="AM8056" s="48" t="n"/>
      <c r="AN8056" s="48" t="n"/>
      <c r="AO8056" s="48" t="n"/>
    </row>
    <row r="8057">
      <c r="M8057" s="25" t="n"/>
      <c r="Q8057" s="25" t="n"/>
      <c r="U8057" s="194" t="n"/>
      <c r="AA8057" s="25" t="n"/>
      <c r="AB8057" s="25" t="n"/>
      <c r="AC8057" s="195" t="n"/>
      <c r="AD8057" s="25" t="n"/>
      <c r="AE8057" s="25" t="n"/>
      <c r="AG8057" s="25" t="n"/>
      <c r="AH8057" s="25" t="n"/>
      <c r="AI8057" s="394" t="n"/>
      <c r="AM8057" s="48" t="n"/>
      <c r="AN8057" s="48" t="n"/>
      <c r="AO8057" s="48" t="n"/>
    </row>
    <row r="8058">
      <c r="M8058" s="25" t="n"/>
      <c r="Q8058" s="25" t="n"/>
      <c r="U8058" s="194" t="n"/>
      <c r="AA8058" s="25" t="n"/>
      <c r="AB8058" s="25" t="n"/>
      <c r="AC8058" s="195" t="n"/>
      <c r="AD8058" s="25" t="n"/>
      <c r="AE8058" s="25" t="n"/>
      <c r="AG8058" s="25" t="n"/>
      <c r="AH8058" s="25" t="n"/>
      <c r="AI8058" s="394" t="n"/>
      <c r="AM8058" s="48" t="n"/>
      <c r="AN8058" s="48" t="n"/>
      <c r="AO8058" s="48" t="n"/>
    </row>
    <row r="8059">
      <c r="M8059" s="25" t="n"/>
      <c r="Q8059" s="25" t="n"/>
      <c r="U8059" s="194" t="n"/>
      <c r="AA8059" s="25" t="n"/>
      <c r="AB8059" s="25" t="n"/>
      <c r="AC8059" s="195" t="n"/>
      <c r="AD8059" s="25" t="n"/>
      <c r="AE8059" s="25" t="n"/>
      <c r="AG8059" s="25" t="n"/>
      <c r="AH8059" s="25" t="n"/>
      <c r="AI8059" s="394" t="n"/>
      <c r="AM8059" s="48" t="n"/>
      <c r="AN8059" s="48" t="n"/>
      <c r="AO8059" s="48" t="n"/>
    </row>
    <row r="8060">
      <c r="M8060" s="25" t="n"/>
      <c r="Q8060" s="25" t="n"/>
      <c r="U8060" s="194" t="n"/>
      <c r="AA8060" s="25" t="n"/>
      <c r="AB8060" s="25" t="n"/>
      <c r="AC8060" s="195" t="n"/>
      <c r="AD8060" s="25" t="n"/>
      <c r="AE8060" s="25" t="n"/>
      <c r="AG8060" s="25" t="n"/>
      <c r="AH8060" s="25" t="n"/>
      <c r="AI8060" s="394" t="n"/>
      <c r="AM8060" s="48" t="n"/>
      <c r="AN8060" s="48" t="n"/>
      <c r="AO8060" s="48" t="n"/>
    </row>
    <row r="8061">
      <c r="M8061" s="25" t="n"/>
      <c r="Q8061" s="25" t="n"/>
      <c r="U8061" s="194" t="n"/>
      <c r="AA8061" s="25" t="n"/>
      <c r="AB8061" s="25" t="n"/>
      <c r="AC8061" s="195" t="n"/>
      <c r="AD8061" s="25" t="n"/>
      <c r="AE8061" s="25" t="n"/>
      <c r="AG8061" s="25" t="n"/>
      <c r="AH8061" s="25" t="n"/>
      <c r="AI8061" s="394" t="n"/>
      <c r="AM8061" s="48" t="n"/>
      <c r="AN8061" s="48" t="n"/>
      <c r="AO8061" s="48" t="n"/>
    </row>
    <row r="8062">
      <c r="M8062" s="25" t="n"/>
      <c r="Q8062" s="25" t="n"/>
      <c r="U8062" s="194" t="n"/>
      <c r="AA8062" s="25" t="n"/>
      <c r="AB8062" s="25" t="n"/>
      <c r="AC8062" s="195" t="n"/>
      <c r="AD8062" s="25" t="n"/>
      <c r="AE8062" s="25" t="n"/>
      <c r="AG8062" s="25" t="n"/>
      <c r="AH8062" s="25" t="n"/>
      <c r="AI8062" s="394" t="n"/>
      <c r="AM8062" s="48" t="n"/>
      <c r="AN8062" s="48" t="n"/>
      <c r="AO8062" s="48" t="n"/>
    </row>
    <row r="8063">
      <c r="M8063" s="25" t="n"/>
      <c r="Q8063" s="25" t="n"/>
      <c r="U8063" s="194" t="n"/>
      <c r="AA8063" s="25" t="n"/>
      <c r="AB8063" s="25" t="n"/>
      <c r="AC8063" s="195" t="n"/>
      <c r="AD8063" s="25" t="n"/>
      <c r="AE8063" s="25" t="n"/>
      <c r="AG8063" s="25" t="n"/>
      <c r="AH8063" s="25" t="n"/>
      <c r="AI8063" s="394" t="n"/>
      <c r="AM8063" s="48" t="n"/>
      <c r="AN8063" s="48" t="n"/>
      <c r="AO8063" s="48" t="n"/>
    </row>
    <row r="8064">
      <c r="M8064" s="25" t="n"/>
      <c r="Q8064" s="25" t="n"/>
      <c r="U8064" s="194" t="n"/>
      <c r="AA8064" s="25" t="n"/>
      <c r="AB8064" s="25" t="n"/>
      <c r="AC8064" s="195" t="n"/>
      <c r="AD8064" s="25" t="n"/>
      <c r="AE8064" s="25" t="n"/>
      <c r="AG8064" s="25" t="n"/>
      <c r="AH8064" s="25" t="n"/>
      <c r="AI8064" s="394" t="n"/>
      <c r="AM8064" s="48" t="n"/>
      <c r="AN8064" s="48" t="n"/>
      <c r="AO8064" s="48" t="n"/>
    </row>
    <row r="8065">
      <c r="M8065" s="25" t="n"/>
      <c r="Q8065" s="25" t="n"/>
      <c r="U8065" s="194" t="n"/>
      <c r="AA8065" s="25" t="n"/>
      <c r="AB8065" s="25" t="n"/>
      <c r="AC8065" s="195" t="n"/>
      <c r="AD8065" s="25" t="n"/>
      <c r="AE8065" s="25" t="n"/>
      <c r="AG8065" s="25" t="n"/>
      <c r="AH8065" s="25" t="n"/>
      <c r="AI8065" s="394" t="n"/>
      <c r="AM8065" s="48" t="n"/>
      <c r="AN8065" s="48" t="n"/>
      <c r="AO8065" s="48" t="n"/>
    </row>
    <row r="8066">
      <c r="M8066" s="25" t="n"/>
      <c r="Q8066" s="25" t="n"/>
      <c r="U8066" s="194" t="n"/>
      <c r="AA8066" s="25" t="n"/>
      <c r="AB8066" s="25" t="n"/>
      <c r="AC8066" s="195" t="n"/>
      <c r="AD8066" s="25" t="n"/>
      <c r="AE8066" s="25" t="n"/>
      <c r="AG8066" s="25" t="n"/>
      <c r="AH8066" s="25" t="n"/>
      <c r="AI8066" s="394" t="n"/>
      <c r="AM8066" s="48" t="n"/>
      <c r="AN8066" s="48" t="n"/>
      <c r="AO8066" s="48" t="n"/>
    </row>
    <row r="8067">
      <c r="M8067" s="25" t="n"/>
      <c r="Q8067" s="25" t="n"/>
      <c r="U8067" s="194" t="n"/>
      <c r="AA8067" s="25" t="n"/>
      <c r="AB8067" s="25" t="n"/>
      <c r="AC8067" s="195" t="n"/>
      <c r="AD8067" s="25" t="n"/>
      <c r="AE8067" s="25" t="n"/>
      <c r="AG8067" s="25" t="n"/>
      <c r="AH8067" s="25" t="n"/>
      <c r="AI8067" s="394" t="n"/>
      <c r="AM8067" s="48" t="n"/>
      <c r="AN8067" s="48" t="n"/>
      <c r="AO8067" s="48" t="n"/>
    </row>
    <row r="8068">
      <c r="M8068" s="25" t="n"/>
      <c r="Q8068" s="25" t="n"/>
      <c r="U8068" s="194" t="n"/>
      <c r="AA8068" s="25" t="n"/>
      <c r="AB8068" s="25" t="n"/>
      <c r="AC8068" s="195" t="n"/>
      <c r="AD8068" s="25" t="n"/>
      <c r="AE8068" s="25" t="n"/>
      <c r="AG8068" s="25" t="n"/>
      <c r="AH8068" s="25" t="n"/>
      <c r="AI8068" s="394" t="n"/>
      <c r="AM8068" s="48" t="n"/>
      <c r="AN8068" s="48" t="n"/>
      <c r="AO8068" s="48" t="n"/>
    </row>
    <row r="8069">
      <c r="M8069" s="25" t="n"/>
      <c r="Q8069" s="25" t="n"/>
      <c r="U8069" s="194" t="n"/>
      <c r="AA8069" s="25" t="n"/>
      <c r="AB8069" s="25" t="n"/>
      <c r="AC8069" s="195" t="n"/>
      <c r="AD8069" s="25" t="n"/>
      <c r="AE8069" s="25" t="n"/>
      <c r="AG8069" s="25" t="n"/>
      <c r="AH8069" s="25" t="n"/>
      <c r="AI8069" s="394" t="n"/>
      <c r="AM8069" s="48" t="n"/>
      <c r="AN8069" s="48" t="n"/>
      <c r="AO8069" s="48" t="n"/>
    </row>
    <row r="8070">
      <c r="M8070" s="25" t="n"/>
      <c r="Q8070" s="25" t="n"/>
      <c r="U8070" s="194" t="n"/>
      <c r="AA8070" s="25" t="n"/>
      <c r="AB8070" s="25" t="n"/>
      <c r="AC8070" s="195" t="n"/>
      <c r="AD8070" s="25" t="n"/>
      <c r="AE8070" s="25" t="n"/>
      <c r="AG8070" s="25" t="n"/>
      <c r="AH8070" s="25" t="n"/>
      <c r="AI8070" s="394" t="n"/>
      <c r="AM8070" s="48" t="n"/>
      <c r="AN8070" s="48" t="n"/>
      <c r="AO8070" s="48" t="n"/>
    </row>
    <row r="8071">
      <c r="M8071" s="25" t="n"/>
      <c r="Q8071" s="25" t="n"/>
      <c r="U8071" s="194" t="n"/>
      <c r="AA8071" s="25" t="n"/>
      <c r="AB8071" s="25" t="n"/>
      <c r="AC8071" s="195" t="n"/>
      <c r="AD8071" s="25" t="n"/>
      <c r="AE8071" s="25" t="n"/>
      <c r="AG8071" s="25" t="n"/>
      <c r="AH8071" s="25" t="n"/>
      <c r="AI8071" s="394" t="n"/>
      <c r="AM8071" s="48" t="n"/>
      <c r="AN8071" s="48" t="n"/>
      <c r="AO8071" s="48" t="n"/>
    </row>
    <row r="8072">
      <c r="M8072" s="25" t="n"/>
      <c r="Q8072" s="25" t="n"/>
      <c r="U8072" s="194" t="n"/>
      <c r="AA8072" s="25" t="n"/>
      <c r="AB8072" s="25" t="n"/>
      <c r="AC8072" s="195" t="n"/>
      <c r="AD8072" s="25" t="n"/>
      <c r="AE8072" s="25" t="n"/>
      <c r="AG8072" s="25" t="n"/>
      <c r="AH8072" s="25" t="n"/>
      <c r="AI8072" s="394" t="n"/>
      <c r="AM8072" s="48" t="n"/>
      <c r="AN8072" s="48" t="n"/>
      <c r="AO8072" s="48" t="n"/>
    </row>
    <row r="8073">
      <c r="M8073" s="25" t="n"/>
      <c r="Q8073" s="25" t="n"/>
      <c r="U8073" s="194" t="n"/>
      <c r="AA8073" s="25" t="n"/>
      <c r="AB8073" s="25" t="n"/>
      <c r="AC8073" s="195" t="n"/>
      <c r="AD8073" s="25" t="n"/>
      <c r="AE8073" s="25" t="n"/>
      <c r="AG8073" s="25" t="n"/>
      <c r="AH8073" s="25" t="n"/>
      <c r="AI8073" s="394" t="n"/>
      <c r="AM8073" s="48" t="n"/>
      <c r="AN8073" s="48" t="n"/>
      <c r="AO8073" s="48" t="n"/>
    </row>
    <row r="8074">
      <c r="M8074" s="25" t="n"/>
      <c r="Q8074" s="25" t="n"/>
      <c r="U8074" s="194" t="n"/>
      <c r="AA8074" s="25" t="n"/>
      <c r="AB8074" s="25" t="n"/>
      <c r="AC8074" s="195" t="n"/>
      <c r="AD8074" s="25" t="n"/>
      <c r="AE8074" s="25" t="n"/>
      <c r="AG8074" s="25" t="n"/>
      <c r="AH8074" s="25" t="n"/>
      <c r="AI8074" s="394" t="n"/>
      <c r="AM8074" s="48" t="n"/>
      <c r="AN8074" s="48" t="n"/>
      <c r="AO8074" s="48" t="n"/>
    </row>
    <row r="8075">
      <c r="M8075" s="25" t="n"/>
      <c r="Q8075" s="25" t="n"/>
      <c r="U8075" s="194" t="n"/>
      <c r="AA8075" s="25" t="n"/>
      <c r="AB8075" s="25" t="n"/>
      <c r="AC8075" s="195" t="n"/>
      <c r="AD8075" s="25" t="n"/>
      <c r="AE8075" s="25" t="n"/>
      <c r="AG8075" s="25" t="n"/>
      <c r="AH8075" s="25" t="n"/>
      <c r="AI8075" s="394" t="n"/>
      <c r="AM8075" s="48" t="n"/>
      <c r="AN8075" s="48" t="n"/>
      <c r="AO8075" s="48" t="n"/>
    </row>
    <row r="8076">
      <c r="M8076" s="25" t="n"/>
      <c r="Q8076" s="25" t="n"/>
      <c r="U8076" s="194" t="n"/>
      <c r="AA8076" s="25" t="n"/>
      <c r="AB8076" s="25" t="n"/>
      <c r="AC8076" s="195" t="n"/>
      <c r="AD8076" s="25" t="n"/>
      <c r="AE8076" s="25" t="n"/>
      <c r="AG8076" s="25" t="n"/>
      <c r="AH8076" s="25" t="n"/>
      <c r="AI8076" s="394" t="n"/>
      <c r="AM8076" s="48" t="n"/>
      <c r="AN8076" s="48" t="n"/>
      <c r="AO8076" s="48" t="n"/>
    </row>
    <row r="8077">
      <c r="M8077" s="25" t="n"/>
      <c r="Q8077" s="25" t="n"/>
      <c r="U8077" s="194" t="n"/>
      <c r="AA8077" s="25" t="n"/>
      <c r="AB8077" s="25" t="n"/>
      <c r="AC8077" s="195" t="n"/>
      <c r="AD8077" s="25" t="n"/>
      <c r="AE8077" s="25" t="n"/>
      <c r="AG8077" s="25" t="n"/>
      <c r="AH8077" s="25" t="n"/>
      <c r="AI8077" s="394" t="n"/>
      <c r="AM8077" s="48" t="n"/>
      <c r="AN8077" s="48" t="n"/>
      <c r="AO8077" s="48" t="n"/>
    </row>
    <row r="8078">
      <c r="M8078" s="25" t="n"/>
      <c r="Q8078" s="25" t="n"/>
      <c r="U8078" s="194" t="n"/>
      <c r="AA8078" s="25" t="n"/>
      <c r="AB8078" s="25" t="n"/>
      <c r="AC8078" s="195" t="n"/>
      <c r="AD8078" s="25" t="n"/>
      <c r="AE8078" s="25" t="n"/>
      <c r="AG8078" s="25" t="n"/>
      <c r="AH8078" s="25" t="n"/>
      <c r="AI8078" s="394" t="n"/>
      <c r="AM8078" s="48" t="n"/>
      <c r="AN8078" s="48" t="n"/>
      <c r="AO8078" s="48" t="n"/>
    </row>
    <row r="8079">
      <c r="M8079" s="25" t="n"/>
      <c r="Q8079" s="25" t="n"/>
      <c r="U8079" s="194" t="n"/>
      <c r="AA8079" s="25" t="n"/>
      <c r="AB8079" s="25" t="n"/>
      <c r="AC8079" s="195" t="n"/>
      <c r="AD8079" s="25" t="n"/>
      <c r="AE8079" s="25" t="n"/>
      <c r="AG8079" s="25" t="n"/>
      <c r="AH8079" s="25" t="n"/>
      <c r="AI8079" s="394" t="n"/>
      <c r="AM8079" s="48" t="n"/>
      <c r="AN8079" s="48" t="n"/>
      <c r="AO8079" s="48" t="n"/>
    </row>
    <row r="8080">
      <c r="M8080" s="25" t="n"/>
      <c r="Q8080" s="25" t="n"/>
      <c r="U8080" s="194" t="n"/>
      <c r="AA8080" s="25" t="n"/>
      <c r="AB8080" s="25" t="n"/>
      <c r="AC8080" s="195" t="n"/>
      <c r="AD8080" s="25" t="n"/>
      <c r="AE8080" s="25" t="n"/>
      <c r="AG8080" s="25" t="n"/>
      <c r="AH8080" s="25" t="n"/>
      <c r="AI8080" s="394" t="n"/>
      <c r="AM8080" s="48" t="n"/>
      <c r="AN8080" s="48" t="n"/>
      <c r="AO8080" s="48" t="n"/>
    </row>
    <row r="8081">
      <c r="M8081" s="25" t="n"/>
      <c r="Q8081" s="25" t="n"/>
      <c r="U8081" s="194" t="n"/>
      <c r="AA8081" s="25" t="n"/>
      <c r="AB8081" s="25" t="n"/>
      <c r="AC8081" s="195" t="n"/>
      <c r="AD8081" s="25" t="n"/>
      <c r="AE8081" s="25" t="n"/>
      <c r="AG8081" s="25" t="n"/>
      <c r="AH8081" s="25" t="n"/>
      <c r="AI8081" s="394" t="n"/>
      <c r="AM8081" s="48" t="n"/>
      <c r="AN8081" s="48" t="n"/>
      <c r="AO8081" s="48" t="n"/>
    </row>
    <row r="8082">
      <c r="M8082" s="25" t="n"/>
      <c r="Q8082" s="25" t="n"/>
      <c r="U8082" s="194" t="n"/>
      <c r="AA8082" s="25" t="n"/>
      <c r="AB8082" s="25" t="n"/>
      <c r="AC8082" s="195" t="n"/>
      <c r="AD8082" s="25" t="n"/>
      <c r="AE8082" s="25" t="n"/>
      <c r="AG8082" s="25" t="n"/>
      <c r="AH8082" s="25" t="n"/>
      <c r="AI8082" s="394" t="n"/>
      <c r="AM8082" s="48" t="n"/>
      <c r="AN8082" s="48" t="n"/>
      <c r="AO8082" s="48" t="n"/>
    </row>
    <row r="8083">
      <c r="M8083" s="25" t="n"/>
      <c r="Q8083" s="25" t="n"/>
      <c r="U8083" s="194" t="n"/>
      <c r="AA8083" s="25" t="n"/>
      <c r="AB8083" s="25" t="n"/>
      <c r="AC8083" s="195" t="n"/>
      <c r="AD8083" s="25" t="n"/>
      <c r="AE8083" s="25" t="n"/>
      <c r="AG8083" s="25" t="n"/>
      <c r="AH8083" s="25" t="n"/>
      <c r="AI8083" s="394" t="n"/>
      <c r="AM8083" s="48" t="n"/>
      <c r="AN8083" s="48" t="n"/>
      <c r="AO8083" s="48" t="n"/>
    </row>
    <row r="8084">
      <c r="M8084" s="25" t="n"/>
      <c r="Q8084" s="25" t="n"/>
      <c r="U8084" s="194" t="n"/>
      <c r="AA8084" s="25" t="n"/>
      <c r="AB8084" s="25" t="n"/>
      <c r="AC8084" s="195" t="n"/>
      <c r="AD8084" s="25" t="n"/>
      <c r="AE8084" s="25" t="n"/>
      <c r="AG8084" s="25" t="n"/>
      <c r="AH8084" s="25" t="n"/>
      <c r="AI8084" s="394" t="n"/>
      <c r="AM8084" s="48" t="n"/>
      <c r="AN8084" s="48" t="n"/>
      <c r="AO8084" s="48" t="n"/>
    </row>
    <row r="8085">
      <c r="M8085" s="25" t="n"/>
      <c r="Q8085" s="25" t="n"/>
      <c r="U8085" s="194" t="n"/>
      <c r="AA8085" s="25" t="n"/>
      <c r="AB8085" s="25" t="n"/>
      <c r="AC8085" s="195" t="n"/>
      <c r="AD8085" s="25" t="n"/>
      <c r="AE8085" s="25" t="n"/>
      <c r="AG8085" s="25" t="n"/>
      <c r="AH8085" s="25" t="n"/>
      <c r="AI8085" s="394" t="n"/>
      <c r="AM8085" s="48" t="n"/>
      <c r="AN8085" s="48" t="n"/>
      <c r="AO8085" s="48" t="n"/>
    </row>
    <row r="8086">
      <c r="M8086" s="25" t="n"/>
      <c r="Q8086" s="25" t="n"/>
      <c r="U8086" s="194" t="n"/>
      <c r="AA8086" s="25" t="n"/>
      <c r="AB8086" s="25" t="n"/>
      <c r="AC8086" s="195" t="n"/>
      <c r="AD8086" s="25" t="n"/>
      <c r="AE8086" s="25" t="n"/>
      <c r="AG8086" s="25" t="n"/>
      <c r="AH8086" s="25" t="n"/>
      <c r="AI8086" s="394" t="n"/>
      <c r="AM8086" s="48" t="n"/>
      <c r="AN8086" s="48" t="n"/>
      <c r="AO8086" s="48" t="n"/>
    </row>
    <row r="8087">
      <c r="M8087" s="25" t="n"/>
      <c r="Q8087" s="25" t="n"/>
      <c r="U8087" s="194" t="n"/>
      <c r="AA8087" s="25" t="n"/>
      <c r="AB8087" s="25" t="n"/>
      <c r="AC8087" s="195" t="n"/>
      <c r="AD8087" s="25" t="n"/>
      <c r="AE8087" s="25" t="n"/>
      <c r="AG8087" s="25" t="n"/>
      <c r="AH8087" s="25" t="n"/>
      <c r="AI8087" s="394" t="n"/>
      <c r="AM8087" s="48" t="n"/>
      <c r="AN8087" s="48" t="n"/>
      <c r="AO8087" s="48" t="n"/>
    </row>
    <row r="8088">
      <c r="M8088" s="25" t="n"/>
      <c r="Q8088" s="25" t="n"/>
      <c r="U8088" s="194" t="n"/>
      <c r="AA8088" s="25" t="n"/>
      <c r="AB8088" s="25" t="n"/>
      <c r="AC8088" s="195" t="n"/>
      <c r="AD8088" s="25" t="n"/>
      <c r="AE8088" s="25" t="n"/>
      <c r="AG8088" s="25" t="n"/>
      <c r="AH8088" s="25" t="n"/>
      <c r="AI8088" s="394" t="n"/>
      <c r="AM8088" s="48" t="n"/>
      <c r="AN8088" s="48" t="n"/>
      <c r="AO8088" s="48" t="n"/>
    </row>
    <row r="8089">
      <c r="M8089" s="25" t="n"/>
      <c r="Q8089" s="25" t="n"/>
      <c r="U8089" s="194" t="n"/>
      <c r="AA8089" s="25" t="n"/>
      <c r="AB8089" s="25" t="n"/>
      <c r="AC8089" s="195" t="n"/>
      <c r="AD8089" s="25" t="n"/>
      <c r="AE8089" s="25" t="n"/>
      <c r="AG8089" s="25" t="n"/>
      <c r="AH8089" s="25" t="n"/>
      <c r="AI8089" s="394" t="n"/>
      <c r="AM8089" s="48" t="n"/>
      <c r="AN8089" s="48" t="n"/>
      <c r="AO8089" s="48" t="n"/>
    </row>
    <row r="8090">
      <c r="M8090" s="25" t="n"/>
      <c r="Q8090" s="25" t="n"/>
      <c r="U8090" s="194" t="n"/>
      <c r="AA8090" s="25" t="n"/>
      <c r="AB8090" s="25" t="n"/>
      <c r="AC8090" s="195" t="n"/>
      <c r="AD8090" s="25" t="n"/>
      <c r="AE8090" s="25" t="n"/>
      <c r="AG8090" s="25" t="n"/>
      <c r="AH8090" s="25" t="n"/>
      <c r="AI8090" s="394" t="n"/>
      <c r="AM8090" s="48" t="n"/>
      <c r="AN8090" s="48" t="n"/>
      <c r="AO8090" s="48" t="n"/>
    </row>
    <row r="8091">
      <c r="M8091" s="25" t="n"/>
      <c r="Q8091" s="25" t="n"/>
      <c r="U8091" s="194" t="n"/>
      <c r="AA8091" s="25" t="n"/>
      <c r="AB8091" s="25" t="n"/>
      <c r="AC8091" s="195" t="n"/>
      <c r="AD8091" s="25" t="n"/>
      <c r="AE8091" s="25" t="n"/>
      <c r="AG8091" s="25" t="n"/>
      <c r="AH8091" s="25" t="n"/>
      <c r="AI8091" s="394" t="n"/>
      <c r="AM8091" s="48" t="n"/>
      <c r="AN8091" s="48" t="n"/>
      <c r="AO8091" s="48" t="n"/>
    </row>
    <row r="8092">
      <c r="M8092" s="25" t="n"/>
      <c r="Q8092" s="25" t="n"/>
      <c r="U8092" s="194" t="n"/>
      <c r="AA8092" s="25" t="n"/>
      <c r="AB8092" s="25" t="n"/>
      <c r="AC8092" s="195" t="n"/>
      <c r="AD8092" s="25" t="n"/>
      <c r="AE8092" s="25" t="n"/>
      <c r="AG8092" s="25" t="n"/>
      <c r="AH8092" s="25" t="n"/>
      <c r="AI8092" s="394" t="n"/>
      <c r="AM8092" s="48" t="n"/>
      <c r="AN8092" s="48" t="n"/>
      <c r="AO8092" s="48" t="n"/>
    </row>
    <row r="8093">
      <c r="M8093" s="25" t="n"/>
      <c r="Q8093" s="25" t="n"/>
      <c r="U8093" s="194" t="n"/>
      <c r="AA8093" s="25" t="n"/>
      <c r="AB8093" s="25" t="n"/>
      <c r="AC8093" s="195" t="n"/>
      <c r="AD8093" s="25" t="n"/>
      <c r="AE8093" s="25" t="n"/>
      <c r="AG8093" s="25" t="n"/>
      <c r="AH8093" s="25" t="n"/>
      <c r="AI8093" s="394" t="n"/>
      <c r="AM8093" s="48" t="n"/>
      <c r="AN8093" s="48" t="n"/>
      <c r="AO8093" s="48" t="n"/>
    </row>
    <row r="8094">
      <c r="M8094" s="25" t="n"/>
      <c r="Q8094" s="25" t="n"/>
      <c r="U8094" s="194" t="n"/>
      <c r="AA8094" s="25" t="n"/>
      <c r="AB8094" s="25" t="n"/>
      <c r="AC8094" s="195" t="n"/>
      <c r="AD8094" s="25" t="n"/>
      <c r="AE8094" s="25" t="n"/>
      <c r="AG8094" s="25" t="n"/>
      <c r="AH8094" s="25" t="n"/>
      <c r="AI8094" s="394" t="n"/>
      <c r="AM8094" s="48" t="n"/>
      <c r="AN8094" s="48" t="n"/>
      <c r="AO8094" s="48" t="n"/>
    </row>
    <row r="8095">
      <c r="M8095" s="25" t="n"/>
      <c r="Q8095" s="25" t="n"/>
      <c r="U8095" s="194" t="n"/>
      <c r="AA8095" s="25" t="n"/>
      <c r="AB8095" s="25" t="n"/>
      <c r="AC8095" s="195" t="n"/>
      <c r="AD8095" s="25" t="n"/>
      <c r="AE8095" s="25" t="n"/>
      <c r="AG8095" s="25" t="n"/>
      <c r="AH8095" s="25" t="n"/>
      <c r="AI8095" s="394" t="n"/>
      <c r="AM8095" s="48" t="n"/>
      <c r="AN8095" s="48" t="n"/>
      <c r="AO8095" s="48" t="n"/>
    </row>
    <row r="8096">
      <c r="M8096" s="25" t="n"/>
      <c r="Q8096" s="25" t="n"/>
      <c r="U8096" s="194" t="n"/>
      <c r="AA8096" s="25" t="n"/>
      <c r="AB8096" s="25" t="n"/>
      <c r="AC8096" s="195" t="n"/>
      <c r="AD8096" s="25" t="n"/>
      <c r="AE8096" s="25" t="n"/>
      <c r="AG8096" s="25" t="n"/>
      <c r="AH8096" s="25" t="n"/>
      <c r="AI8096" s="394" t="n"/>
      <c r="AM8096" s="48" t="n"/>
      <c r="AN8096" s="48" t="n"/>
      <c r="AO8096" s="48" t="n"/>
    </row>
    <row r="8097">
      <c r="M8097" s="25" t="n"/>
      <c r="Q8097" s="25" t="n"/>
      <c r="U8097" s="194" t="n"/>
      <c r="AA8097" s="25" t="n"/>
      <c r="AB8097" s="25" t="n"/>
      <c r="AC8097" s="195" t="n"/>
      <c r="AD8097" s="25" t="n"/>
      <c r="AE8097" s="25" t="n"/>
      <c r="AG8097" s="25" t="n"/>
      <c r="AH8097" s="25" t="n"/>
      <c r="AI8097" s="394" t="n"/>
      <c r="AM8097" s="48" t="n"/>
      <c r="AN8097" s="48" t="n"/>
      <c r="AO8097" s="48" t="n"/>
    </row>
    <row r="8098">
      <c r="M8098" s="25" t="n"/>
      <c r="Q8098" s="25" t="n"/>
      <c r="U8098" s="194" t="n"/>
      <c r="AA8098" s="25" t="n"/>
      <c r="AB8098" s="25" t="n"/>
      <c r="AC8098" s="195" t="n"/>
      <c r="AD8098" s="25" t="n"/>
      <c r="AE8098" s="25" t="n"/>
      <c r="AG8098" s="25" t="n"/>
      <c r="AH8098" s="25" t="n"/>
      <c r="AI8098" s="394" t="n"/>
      <c r="AM8098" s="48" t="n"/>
      <c r="AN8098" s="48" t="n"/>
      <c r="AO8098" s="48" t="n"/>
    </row>
    <row r="8099">
      <c r="M8099" s="25" t="n"/>
      <c r="Q8099" s="25" t="n"/>
      <c r="U8099" s="194" t="n"/>
      <c r="AA8099" s="25" t="n"/>
      <c r="AB8099" s="25" t="n"/>
      <c r="AC8099" s="195" t="n"/>
      <c r="AD8099" s="25" t="n"/>
      <c r="AE8099" s="25" t="n"/>
      <c r="AG8099" s="25" t="n"/>
      <c r="AH8099" s="25" t="n"/>
      <c r="AI8099" s="394" t="n"/>
      <c r="AM8099" s="48" t="n"/>
      <c r="AN8099" s="48" t="n"/>
      <c r="AO8099" s="48" t="n"/>
    </row>
    <row r="8100">
      <c r="M8100" s="25" t="n"/>
      <c r="Q8100" s="25" t="n"/>
      <c r="U8100" s="194" t="n"/>
      <c r="AA8100" s="25" t="n"/>
      <c r="AB8100" s="25" t="n"/>
      <c r="AC8100" s="195" t="n"/>
      <c r="AD8100" s="25" t="n"/>
      <c r="AE8100" s="25" t="n"/>
      <c r="AG8100" s="25" t="n"/>
      <c r="AH8100" s="25" t="n"/>
      <c r="AI8100" s="394" t="n"/>
      <c r="AM8100" s="48" t="n"/>
      <c r="AN8100" s="48" t="n"/>
      <c r="AO8100" s="48" t="n"/>
    </row>
    <row r="8101">
      <c r="M8101" s="25" t="n"/>
      <c r="Q8101" s="25" t="n"/>
      <c r="U8101" s="194" t="n"/>
      <c r="AA8101" s="25" t="n"/>
      <c r="AB8101" s="25" t="n"/>
      <c r="AC8101" s="195" t="n"/>
      <c r="AD8101" s="25" t="n"/>
      <c r="AE8101" s="25" t="n"/>
      <c r="AG8101" s="25" t="n"/>
      <c r="AH8101" s="25" t="n"/>
      <c r="AI8101" s="394" t="n"/>
      <c r="AM8101" s="48" t="n"/>
      <c r="AN8101" s="48" t="n"/>
      <c r="AO8101" s="48" t="n"/>
    </row>
    <row r="8102">
      <c r="M8102" s="25" t="n"/>
      <c r="Q8102" s="25" t="n"/>
      <c r="U8102" s="194" t="n"/>
      <c r="AA8102" s="25" t="n"/>
      <c r="AB8102" s="25" t="n"/>
      <c r="AC8102" s="195" t="n"/>
      <c r="AD8102" s="25" t="n"/>
      <c r="AE8102" s="25" t="n"/>
      <c r="AG8102" s="25" t="n"/>
      <c r="AH8102" s="25" t="n"/>
      <c r="AI8102" s="394" t="n"/>
      <c r="AM8102" s="48" t="n"/>
      <c r="AN8102" s="48" t="n"/>
      <c r="AO8102" s="48" t="n"/>
    </row>
    <row r="8103">
      <c r="M8103" s="25" t="n"/>
      <c r="Q8103" s="25" t="n"/>
      <c r="U8103" s="194" t="n"/>
      <c r="AA8103" s="25" t="n"/>
      <c r="AB8103" s="25" t="n"/>
      <c r="AC8103" s="195" t="n"/>
      <c r="AD8103" s="25" t="n"/>
      <c r="AE8103" s="25" t="n"/>
      <c r="AG8103" s="25" t="n"/>
      <c r="AH8103" s="25" t="n"/>
      <c r="AI8103" s="394" t="n"/>
      <c r="AM8103" s="48" t="n"/>
      <c r="AN8103" s="48" t="n"/>
      <c r="AO8103" s="48" t="n"/>
    </row>
    <row r="8104">
      <c r="M8104" s="25" t="n"/>
      <c r="Q8104" s="25" t="n"/>
      <c r="U8104" s="194" t="n"/>
      <c r="AA8104" s="25" t="n"/>
      <c r="AB8104" s="25" t="n"/>
      <c r="AC8104" s="195" t="n"/>
      <c r="AD8104" s="25" t="n"/>
      <c r="AE8104" s="25" t="n"/>
      <c r="AG8104" s="25" t="n"/>
      <c r="AH8104" s="25" t="n"/>
      <c r="AI8104" s="394" t="n"/>
      <c r="AM8104" s="48" t="n"/>
      <c r="AN8104" s="48" t="n"/>
      <c r="AO8104" s="48" t="n"/>
    </row>
    <row r="8105">
      <c r="M8105" s="25" t="n"/>
      <c r="Q8105" s="25" t="n"/>
      <c r="U8105" s="194" t="n"/>
      <c r="AA8105" s="25" t="n"/>
      <c r="AB8105" s="25" t="n"/>
      <c r="AC8105" s="195" t="n"/>
      <c r="AD8105" s="25" t="n"/>
      <c r="AE8105" s="25" t="n"/>
      <c r="AG8105" s="25" t="n"/>
      <c r="AH8105" s="25" t="n"/>
      <c r="AI8105" s="394" t="n"/>
      <c r="AM8105" s="48" t="n"/>
      <c r="AN8105" s="48" t="n"/>
      <c r="AO8105" s="48" t="n"/>
    </row>
    <row r="8106">
      <c r="M8106" s="25" t="n"/>
      <c r="Q8106" s="25" t="n"/>
      <c r="U8106" s="194" t="n"/>
      <c r="AA8106" s="25" t="n"/>
      <c r="AB8106" s="25" t="n"/>
      <c r="AC8106" s="195" t="n"/>
      <c r="AD8106" s="25" t="n"/>
      <c r="AE8106" s="25" t="n"/>
      <c r="AG8106" s="25" t="n"/>
      <c r="AH8106" s="25" t="n"/>
      <c r="AI8106" s="394" t="n"/>
      <c r="AM8106" s="48" t="n"/>
      <c r="AN8106" s="48" t="n"/>
      <c r="AO8106" s="48" t="n"/>
    </row>
    <row r="8107">
      <c r="M8107" s="25" t="n"/>
      <c r="Q8107" s="25" t="n"/>
      <c r="U8107" s="194" t="n"/>
      <c r="AA8107" s="25" t="n"/>
      <c r="AB8107" s="25" t="n"/>
      <c r="AC8107" s="195" t="n"/>
      <c r="AD8107" s="25" t="n"/>
      <c r="AE8107" s="25" t="n"/>
      <c r="AG8107" s="25" t="n"/>
      <c r="AH8107" s="25" t="n"/>
      <c r="AI8107" s="394" t="n"/>
      <c r="AM8107" s="48" t="n"/>
      <c r="AN8107" s="48" t="n"/>
      <c r="AO8107" s="48" t="n"/>
    </row>
    <row r="8108">
      <c r="M8108" s="25" t="n"/>
      <c r="Q8108" s="25" t="n"/>
      <c r="U8108" s="194" t="n"/>
      <c r="AA8108" s="25" t="n"/>
      <c r="AB8108" s="25" t="n"/>
      <c r="AC8108" s="195" t="n"/>
      <c r="AD8108" s="25" t="n"/>
      <c r="AE8108" s="25" t="n"/>
      <c r="AG8108" s="25" t="n"/>
      <c r="AH8108" s="25" t="n"/>
      <c r="AI8108" s="394" t="n"/>
      <c r="AM8108" s="48" t="n"/>
      <c r="AN8108" s="48" t="n"/>
      <c r="AO8108" s="48" t="n"/>
    </row>
    <row r="8109">
      <c r="M8109" s="25" t="n"/>
      <c r="Q8109" s="25" t="n"/>
      <c r="U8109" s="194" t="n"/>
      <c r="AA8109" s="25" t="n"/>
      <c r="AB8109" s="25" t="n"/>
      <c r="AC8109" s="195" t="n"/>
      <c r="AD8109" s="25" t="n"/>
      <c r="AE8109" s="25" t="n"/>
      <c r="AG8109" s="25" t="n"/>
      <c r="AH8109" s="25" t="n"/>
      <c r="AI8109" s="394" t="n"/>
      <c r="AM8109" s="48" t="n"/>
      <c r="AN8109" s="48" t="n"/>
      <c r="AO8109" s="48" t="n"/>
    </row>
    <row r="8110">
      <c r="M8110" s="25" t="n"/>
      <c r="Q8110" s="25" t="n"/>
      <c r="U8110" s="194" t="n"/>
      <c r="AA8110" s="25" t="n"/>
      <c r="AB8110" s="25" t="n"/>
      <c r="AC8110" s="195" t="n"/>
      <c r="AD8110" s="25" t="n"/>
      <c r="AE8110" s="25" t="n"/>
      <c r="AG8110" s="25" t="n"/>
      <c r="AH8110" s="25" t="n"/>
      <c r="AI8110" s="394" t="n"/>
      <c r="AM8110" s="48" t="n"/>
      <c r="AN8110" s="48" t="n"/>
      <c r="AO8110" s="48" t="n"/>
    </row>
    <row r="8111">
      <c r="M8111" s="25" t="n"/>
      <c r="Q8111" s="25" t="n"/>
      <c r="U8111" s="194" t="n"/>
      <c r="AA8111" s="25" t="n"/>
      <c r="AB8111" s="25" t="n"/>
      <c r="AC8111" s="195" t="n"/>
      <c r="AD8111" s="25" t="n"/>
      <c r="AE8111" s="25" t="n"/>
      <c r="AG8111" s="25" t="n"/>
      <c r="AH8111" s="25" t="n"/>
      <c r="AI8111" s="394" t="n"/>
      <c r="AM8111" s="48" t="n"/>
      <c r="AN8111" s="48" t="n"/>
      <c r="AO8111" s="48" t="n"/>
    </row>
    <row r="8112">
      <c r="M8112" s="25" t="n"/>
      <c r="Q8112" s="25" t="n"/>
      <c r="U8112" s="194" t="n"/>
      <c r="AA8112" s="25" t="n"/>
      <c r="AB8112" s="25" t="n"/>
      <c r="AC8112" s="195" t="n"/>
      <c r="AD8112" s="25" t="n"/>
      <c r="AE8112" s="25" t="n"/>
      <c r="AG8112" s="25" t="n"/>
      <c r="AH8112" s="25" t="n"/>
      <c r="AI8112" s="394" t="n"/>
      <c r="AM8112" s="48" t="n"/>
      <c r="AN8112" s="48" t="n"/>
      <c r="AO8112" s="48" t="n"/>
    </row>
    <row r="8113">
      <c r="M8113" s="25" t="n"/>
      <c r="Q8113" s="25" t="n"/>
      <c r="U8113" s="194" t="n"/>
      <c r="AA8113" s="25" t="n"/>
      <c r="AB8113" s="25" t="n"/>
      <c r="AC8113" s="195" t="n"/>
      <c r="AD8113" s="25" t="n"/>
      <c r="AE8113" s="25" t="n"/>
      <c r="AG8113" s="25" t="n"/>
      <c r="AH8113" s="25" t="n"/>
      <c r="AI8113" s="394" t="n"/>
      <c r="AM8113" s="48" t="n"/>
      <c r="AN8113" s="48" t="n"/>
      <c r="AO8113" s="48" t="n"/>
    </row>
    <row r="8114">
      <c r="M8114" s="25" t="n"/>
      <c r="Q8114" s="25" t="n"/>
      <c r="U8114" s="194" t="n"/>
      <c r="AA8114" s="25" t="n"/>
      <c r="AB8114" s="25" t="n"/>
      <c r="AC8114" s="195" t="n"/>
      <c r="AD8114" s="25" t="n"/>
      <c r="AE8114" s="25" t="n"/>
      <c r="AG8114" s="25" t="n"/>
      <c r="AH8114" s="25" t="n"/>
      <c r="AI8114" s="394" t="n"/>
      <c r="AM8114" s="48" t="n"/>
      <c r="AN8114" s="48" t="n"/>
      <c r="AO8114" s="48" t="n"/>
    </row>
    <row r="8115">
      <c r="M8115" s="25" t="n"/>
      <c r="Q8115" s="25" t="n"/>
      <c r="U8115" s="194" t="n"/>
      <c r="AA8115" s="25" t="n"/>
      <c r="AB8115" s="25" t="n"/>
      <c r="AC8115" s="195" t="n"/>
      <c r="AD8115" s="25" t="n"/>
      <c r="AE8115" s="25" t="n"/>
      <c r="AG8115" s="25" t="n"/>
      <c r="AH8115" s="25" t="n"/>
      <c r="AI8115" s="394" t="n"/>
      <c r="AM8115" s="48" t="n"/>
      <c r="AN8115" s="48" t="n"/>
      <c r="AO8115" s="48" t="n"/>
    </row>
    <row r="8116">
      <c r="M8116" s="25" t="n"/>
      <c r="Q8116" s="25" t="n"/>
      <c r="U8116" s="194" t="n"/>
      <c r="AA8116" s="25" t="n"/>
      <c r="AB8116" s="25" t="n"/>
      <c r="AC8116" s="195" t="n"/>
      <c r="AD8116" s="25" t="n"/>
      <c r="AE8116" s="25" t="n"/>
      <c r="AG8116" s="25" t="n"/>
      <c r="AH8116" s="25" t="n"/>
      <c r="AI8116" s="394" t="n"/>
      <c r="AM8116" s="48" t="n"/>
      <c r="AN8116" s="48" t="n"/>
      <c r="AO8116" s="48" t="n"/>
    </row>
    <row r="8117">
      <c r="M8117" s="25" t="n"/>
      <c r="Q8117" s="25" t="n"/>
      <c r="U8117" s="194" t="n"/>
      <c r="AA8117" s="25" t="n"/>
      <c r="AB8117" s="25" t="n"/>
      <c r="AC8117" s="195" t="n"/>
      <c r="AD8117" s="25" t="n"/>
      <c r="AE8117" s="25" t="n"/>
      <c r="AG8117" s="25" t="n"/>
      <c r="AH8117" s="25" t="n"/>
      <c r="AI8117" s="394" t="n"/>
      <c r="AM8117" s="48" t="n"/>
      <c r="AN8117" s="48" t="n"/>
      <c r="AO8117" s="48" t="n"/>
    </row>
    <row r="8118">
      <c r="M8118" s="25" t="n"/>
      <c r="Q8118" s="25" t="n"/>
      <c r="U8118" s="194" t="n"/>
      <c r="AA8118" s="25" t="n"/>
      <c r="AB8118" s="25" t="n"/>
      <c r="AC8118" s="195" t="n"/>
      <c r="AD8118" s="25" t="n"/>
      <c r="AE8118" s="25" t="n"/>
      <c r="AG8118" s="25" t="n"/>
      <c r="AH8118" s="25" t="n"/>
      <c r="AI8118" s="394" t="n"/>
      <c r="AM8118" s="48" t="n"/>
      <c r="AN8118" s="48" t="n"/>
      <c r="AO8118" s="48" t="n"/>
    </row>
    <row r="8119">
      <c r="M8119" s="25" t="n"/>
      <c r="Q8119" s="25" t="n"/>
      <c r="U8119" s="194" t="n"/>
      <c r="AA8119" s="25" t="n"/>
      <c r="AB8119" s="25" t="n"/>
      <c r="AC8119" s="195" t="n"/>
      <c r="AD8119" s="25" t="n"/>
      <c r="AE8119" s="25" t="n"/>
      <c r="AG8119" s="25" t="n"/>
      <c r="AH8119" s="25" t="n"/>
      <c r="AI8119" s="394" t="n"/>
      <c r="AM8119" s="48" t="n"/>
      <c r="AN8119" s="48" t="n"/>
      <c r="AO8119" s="48" t="n"/>
    </row>
    <row r="8120">
      <c r="M8120" s="25" t="n"/>
      <c r="Q8120" s="25" t="n"/>
      <c r="U8120" s="194" t="n"/>
      <c r="AA8120" s="25" t="n"/>
      <c r="AB8120" s="25" t="n"/>
      <c r="AC8120" s="195" t="n"/>
      <c r="AD8120" s="25" t="n"/>
      <c r="AE8120" s="25" t="n"/>
      <c r="AG8120" s="25" t="n"/>
      <c r="AH8120" s="25" t="n"/>
      <c r="AI8120" s="394" t="n"/>
      <c r="AM8120" s="48" t="n"/>
      <c r="AN8120" s="48" t="n"/>
      <c r="AO8120" s="48" t="n"/>
    </row>
    <row r="8121">
      <c r="M8121" s="25" t="n"/>
      <c r="Q8121" s="25" t="n"/>
      <c r="U8121" s="194" t="n"/>
      <c r="AA8121" s="25" t="n"/>
      <c r="AB8121" s="25" t="n"/>
      <c r="AC8121" s="195" t="n"/>
      <c r="AD8121" s="25" t="n"/>
      <c r="AE8121" s="25" t="n"/>
      <c r="AG8121" s="25" t="n"/>
      <c r="AH8121" s="25" t="n"/>
      <c r="AI8121" s="394" t="n"/>
      <c r="AM8121" s="48" t="n"/>
      <c r="AN8121" s="48" t="n"/>
      <c r="AO8121" s="48" t="n"/>
    </row>
    <row r="8122">
      <c r="M8122" s="25" t="n"/>
      <c r="Q8122" s="25" t="n"/>
      <c r="U8122" s="194" t="n"/>
      <c r="AA8122" s="25" t="n"/>
      <c r="AB8122" s="25" t="n"/>
      <c r="AC8122" s="195" t="n"/>
      <c r="AD8122" s="25" t="n"/>
      <c r="AE8122" s="25" t="n"/>
      <c r="AG8122" s="25" t="n"/>
      <c r="AH8122" s="25" t="n"/>
      <c r="AI8122" s="394" t="n"/>
      <c r="AM8122" s="48" t="n"/>
      <c r="AN8122" s="48" t="n"/>
      <c r="AO8122" s="48" t="n"/>
    </row>
    <row r="8123">
      <c r="M8123" s="25" t="n"/>
      <c r="Q8123" s="25" t="n"/>
      <c r="U8123" s="194" t="n"/>
      <c r="AA8123" s="25" t="n"/>
      <c r="AB8123" s="25" t="n"/>
      <c r="AC8123" s="195" t="n"/>
      <c r="AD8123" s="25" t="n"/>
      <c r="AE8123" s="25" t="n"/>
      <c r="AG8123" s="25" t="n"/>
      <c r="AH8123" s="25" t="n"/>
      <c r="AI8123" s="394" t="n"/>
      <c r="AM8123" s="48" t="n"/>
      <c r="AN8123" s="48" t="n"/>
      <c r="AO8123" s="48" t="n"/>
    </row>
    <row r="8124">
      <c r="M8124" s="25" t="n"/>
      <c r="Q8124" s="25" t="n"/>
      <c r="U8124" s="194" t="n"/>
      <c r="AA8124" s="25" t="n"/>
      <c r="AB8124" s="25" t="n"/>
      <c r="AC8124" s="195" t="n"/>
      <c r="AD8124" s="25" t="n"/>
      <c r="AE8124" s="25" t="n"/>
      <c r="AG8124" s="25" t="n"/>
      <c r="AH8124" s="25" t="n"/>
      <c r="AI8124" s="394" t="n"/>
      <c r="AM8124" s="48" t="n"/>
      <c r="AN8124" s="48" t="n"/>
      <c r="AO8124" s="48" t="n"/>
    </row>
    <row r="8125">
      <c r="M8125" s="25" t="n"/>
      <c r="Q8125" s="25" t="n"/>
      <c r="U8125" s="194" t="n"/>
      <c r="AA8125" s="25" t="n"/>
      <c r="AB8125" s="25" t="n"/>
      <c r="AC8125" s="195" t="n"/>
      <c r="AD8125" s="25" t="n"/>
      <c r="AE8125" s="25" t="n"/>
      <c r="AG8125" s="25" t="n"/>
      <c r="AH8125" s="25" t="n"/>
      <c r="AI8125" s="394" t="n"/>
      <c r="AM8125" s="48" t="n"/>
      <c r="AN8125" s="48" t="n"/>
      <c r="AO8125" s="48" t="n"/>
    </row>
    <row r="8126">
      <c r="M8126" s="25" t="n"/>
      <c r="Q8126" s="25" t="n"/>
      <c r="U8126" s="194" t="n"/>
      <c r="AA8126" s="25" t="n"/>
      <c r="AB8126" s="25" t="n"/>
      <c r="AC8126" s="195" t="n"/>
      <c r="AD8126" s="25" t="n"/>
      <c r="AE8126" s="25" t="n"/>
      <c r="AG8126" s="25" t="n"/>
      <c r="AH8126" s="25" t="n"/>
      <c r="AI8126" s="394" t="n"/>
      <c r="AM8126" s="48" t="n"/>
      <c r="AN8126" s="48" t="n"/>
      <c r="AO8126" s="48" t="n"/>
    </row>
    <row r="8127">
      <c r="M8127" s="25" t="n"/>
      <c r="Q8127" s="25" t="n"/>
      <c r="U8127" s="194" t="n"/>
      <c r="AA8127" s="25" t="n"/>
      <c r="AB8127" s="25" t="n"/>
      <c r="AC8127" s="195" t="n"/>
      <c r="AD8127" s="25" t="n"/>
      <c r="AE8127" s="25" t="n"/>
      <c r="AG8127" s="25" t="n"/>
      <c r="AH8127" s="25" t="n"/>
      <c r="AI8127" s="394" t="n"/>
      <c r="AM8127" s="48" t="n"/>
      <c r="AN8127" s="48" t="n"/>
      <c r="AO8127" s="48" t="n"/>
    </row>
    <row r="8128">
      <c r="M8128" s="25" t="n"/>
      <c r="Q8128" s="25" t="n"/>
      <c r="U8128" s="194" t="n"/>
      <c r="AA8128" s="25" t="n"/>
      <c r="AB8128" s="25" t="n"/>
      <c r="AC8128" s="195" t="n"/>
      <c r="AD8128" s="25" t="n"/>
      <c r="AE8128" s="25" t="n"/>
      <c r="AG8128" s="25" t="n"/>
      <c r="AH8128" s="25" t="n"/>
      <c r="AI8128" s="394" t="n"/>
      <c r="AM8128" s="48" t="n"/>
      <c r="AN8128" s="48" t="n"/>
      <c r="AO8128" s="48" t="n"/>
    </row>
    <row r="8129">
      <c r="M8129" s="25" t="n"/>
      <c r="Q8129" s="25" t="n"/>
      <c r="U8129" s="194" t="n"/>
      <c r="AA8129" s="25" t="n"/>
      <c r="AB8129" s="25" t="n"/>
      <c r="AC8129" s="195" t="n"/>
      <c r="AD8129" s="25" t="n"/>
      <c r="AE8129" s="25" t="n"/>
      <c r="AG8129" s="25" t="n"/>
      <c r="AH8129" s="25" t="n"/>
      <c r="AI8129" s="394" t="n"/>
      <c r="AM8129" s="48" t="n"/>
      <c r="AN8129" s="48" t="n"/>
      <c r="AO8129" s="48" t="n"/>
    </row>
    <row r="8130">
      <c r="M8130" s="25" t="n"/>
      <c r="Q8130" s="25" t="n"/>
      <c r="U8130" s="194" t="n"/>
      <c r="AA8130" s="25" t="n"/>
      <c r="AB8130" s="25" t="n"/>
      <c r="AC8130" s="195" t="n"/>
      <c r="AD8130" s="25" t="n"/>
      <c r="AE8130" s="25" t="n"/>
      <c r="AG8130" s="25" t="n"/>
      <c r="AH8130" s="25" t="n"/>
      <c r="AI8130" s="394" t="n"/>
      <c r="AM8130" s="48" t="n"/>
      <c r="AN8130" s="48" t="n"/>
      <c r="AO8130" s="48" t="n"/>
    </row>
    <row r="8131">
      <c r="M8131" s="25" t="n"/>
      <c r="Q8131" s="25" t="n"/>
      <c r="U8131" s="194" t="n"/>
      <c r="AA8131" s="25" t="n"/>
      <c r="AB8131" s="25" t="n"/>
      <c r="AC8131" s="195" t="n"/>
      <c r="AD8131" s="25" t="n"/>
      <c r="AE8131" s="25" t="n"/>
      <c r="AG8131" s="25" t="n"/>
      <c r="AH8131" s="25" t="n"/>
      <c r="AI8131" s="394" t="n"/>
      <c r="AM8131" s="48" t="n"/>
      <c r="AN8131" s="48" t="n"/>
      <c r="AO8131" s="48" t="n"/>
    </row>
    <row r="8132">
      <c r="M8132" s="25" t="n"/>
      <c r="Q8132" s="25" t="n"/>
      <c r="U8132" s="194" t="n"/>
      <c r="AA8132" s="25" t="n"/>
      <c r="AB8132" s="25" t="n"/>
      <c r="AC8132" s="195" t="n"/>
      <c r="AD8132" s="25" t="n"/>
      <c r="AE8132" s="25" t="n"/>
      <c r="AG8132" s="25" t="n"/>
      <c r="AH8132" s="25" t="n"/>
      <c r="AI8132" s="394" t="n"/>
      <c r="AM8132" s="48" t="n"/>
      <c r="AN8132" s="48" t="n"/>
      <c r="AO8132" s="48" t="n"/>
    </row>
    <row r="8133">
      <c r="M8133" s="25" t="n"/>
      <c r="Q8133" s="25" t="n"/>
      <c r="U8133" s="194" t="n"/>
      <c r="AA8133" s="25" t="n"/>
      <c r="AB8133" s="25" t="n"/>
      <c r="AC8133" s="195" t="n"/>
      <c r="AD8133" s="25" t="n"/>
      <c r="AE8133" s="25" t="n"/>
      <c r="AG8133" s="25" t="n"/>
      <c r="AH8133" s="25" t="n"/>
      <c r="AI8133" s="394" t="n"/>
      <c r="AM8133" s="48" t="n"/>
      <c r="AN8133" s="48" t="n"/>
      <c r="AO8133" s="48" t="n"/>
    </row>
    <row r="8134">
      <c r="M8134" s="25" t="n"/>
      <c r="Q8134" s="25" t="n"/>
      <c r="U8134" s="194" t="n"/>
      <c r="AA8134" s="25" t="n"/>
      <c r="AB8134" s="25" t="n"/>
      <c r="AC8134" s="195" t="n"/>
      <c r="AD8134" s="25" t="n"/>
      <c r="AE8134" s="25" t="n"/>
      <c r="AG8134" s="25" t="n"/>
      <c r="AH8134" s="25" t="n"/>
      <c r="AI8134" s="394" t="n"/>
      <c r="AM8134" s="48" t="n"/>
      <c r="AN8134" s="48" t="n"/>
      <c r="AO8134" s="48" t="n"/>
    </row>
    <row r="8135">
      <c r="M8135" s="25" t="n"/>
      <c r="Q8135" s="25" t="n"/>
      <c r="U8135" s="194" t="n"/>
      <c r="AA8135" s="25" t="n"/>
      <c r="AB8135" s="25" t="n"/>
      <c r="AC8135" s="195" t="n"/>
      <c r="AD8135" s="25" t="n"/>
      <c r="AE8135" s="25" t="n"/>
      <c r="AG8135" s="25" t="n"/>
      <c r="AH8135" s="25" t="n"/>
      <c r="AI8135" s="394" t="n"/>
      <c r="AM8135" s="48" t="n"/>
      <c r="AN8135" s="48" t="n"/>
      <c r="AO8135" s="48" t="n"/>
    </row>
    <row r="8136">
      <c r="M8136" s="25" t="n"/>
      <c r="Q8136" s="25" t="n"/>
      <c r="U8136" s="194" t="n"/>
      <c r="AA8136" s="25" t="n"/>
      <c r="AB8136" s="25" t="n"/>
      <c r="AC8136" s="195" t="n"/>
      <c r="AD8136" s="25" t="n"/>
      <c r="AE8136" s="25" t="n"/>
      <c r="AG8136" s="25" t="n"/>
      <c r="AH8136" s="25" t="n"/>
      <c r="AI8136" s="394" t="n"/>
      <c r="AM8136" s="48" t="n"/>
      <c r="AN8136" s="48" t="n"/>
      <c r="AO8136" s="48" t="n"/>
    </row>
    <row r="8137">
      <c r="M8137" s="25" t="n"/>
      <c r="Q8137" s="25" t="n"/>
      <c r="U8137" s="194" t="n"/>
      <c r="AA8137" s="25" t="n"/>
      <c r="AB8137" s="25" t="n"/>
      <c r="AC8137" s="195" t="n"/>
      <c r="AD8137" s="25" t="n"/>
      <c r="AE8137" s="25" t="n"/>
      <c r="AG8137" s="25" t="n"/>
      <c r="AH8137" s="25" t="n"/>
      <c r="AI8137" s="394" t="n"/>
      <c r="AM8137" s="48" t="n"/>
      <c r="AN8137" s="48" t="n"/>
      <c r="AO8137" s="48" t="n"/>
    </row>
    <row r="8138">
      <c r="M8138" s="25" t="n"/>
      <c r="Q8138" s="25" t="n"/>
      <c r="U8138" s="194" t="n"/>
      <c r="AA8138" s="25" t="n"/>
      <c r="AB8138" s="25" t="n"/>
      <c r="AC8138" s="195" t="n"/>
      <c r="AD8138" s="25" t="n"/>
      <c r="AE8138" s="25" t="n"/>
      <c r="AG8138" s="25" t="n"/>
      <c r="AH8138" s="25" t="n"/>
      <c r="AI8138" s="394" t="n"/>
      <c r="AM8138" s="48" t="n"/>
      <c r="AN8138" s="48" t="n"/>
      <c r="AO8138" s="48" t="n"/>
    </row>
    <row r="8139">
      <c r="M8139" s="25" t="n"/>
      <c r="Q8139" s="25" t="n"/>
      <c r="U8139" s="194" t="n"/>
      <c r="AA8139" s="25" t="n"/>
      <c r="AB8139" s="25" t="n"/>
      <c r="AC8139" s="195" t="n"/>
      <c r="AD8139" s="25" t="n"/>
      <c r="AE8139" s="25" t="n"/>
      <c r="AG8139" s="25" t="n"/>
      <c r="AH8139" s="25" t="n"/>
      <c r="AI8139" s="394" t="n"/>
      <c r="AM8139" s="48" t="n"/>
      <c r="AN8139" s="48" t="n"/>
      <c r="AO8139" s="48" t="n"/>
    </row>
    <row r="8140">
      <c r="M8140" s="25" t="n"/>
      <c r="Q8140" s="25" t="n"/>
      <c r="U8140" s="194" t="n"/>
      <c r="AA8140" s="25" t="n"/>
      <c r="AB8140" s="25" t="n"/>
      <c r="AC8140" s="195" t="n"/>
      <c r="AD8140" s="25" t="n"/>
      <c r="AE8140" s="25" t="n"/>
      <c r="AG8140" s="25" t="n"/>
      <c r="AH8140" s="25" t="n"/>
      <c r="AI8140" s="394" t="n"/>
      <c r="AM8140" s="48" t="n"/>
      <c r="AN8140" s="48" t="n"/>
      <c r="AO8140" s="48" t="n"/>
    </row>
    <row r="8141">
      <c r="M8141" s="25" t="n"/>
      <c r="Q8141" s="25" t="n"/>
      <c r="U8141" s="194" t="n"/>
      <c r="AA8141" s="25" t="n"/>
      <c r="AB8141" s="25" t="n"/>
      <c r="AC8141" s="195" t="n"/>
      <c r="AD8141" s="25" t="n"/>
      <c r="AE8141" s="25" t="n"/>
      <c r="AG8141" s="25" t="n"/>
      <c r="AH8141" s="25" t="n"/>
      <c r="AI8141" s="394" t="n"/>
      <c r="AM8141" s="48" t="n"/>
      <c r="AN8141" s="48" t="n"/>
      <c r="AO8141" s="48" t="n"/>
    </row>
    <row r="8142">
      <c r="M8142" s="25" t="n"/>
      <c r="Q8142" s="25" t="n"/>
      <c r="U8142" s="194" t="n"/>
      <c r="AA8142" s="25" t="n"/>
      <c r="AB8142" s="25" t="n"/>
      <c r="AC8142" s="195" t="n"/>
      <c r="AD8142" s="25" t="n"/>
      <c r="AE8142" s="25" t="n"/>
      <c r="AG8142" s="25" t="n"/>
      <c r="AH8142" s="25" t="n"/>
      <c r="AI8142" s="394" t="n"/>
      <c r="AM8142" s="48" t="n"/>
      <c r="AN8142" s="48" t="n"/>
      <c r="AO8142" s="48" t="n"/>
    </row>
    <row r="8143">
      <c r="M8143" s="25" t="n"/>
      <c r="Q8143" s="25" t="n"/>
      <c r="U8143" s="194" t="n"/>
      <c r="AA8143" s="25" t="n"/>
      <c r="AB8143" s="25" t="n"/>
      <c r="AC8143" s="195" t="n"/>
      <c r="AD8143" s="25" t="n"/>
      <c r="AE8143" s="25" t="n"/>
      <c r="AG8143" s="25" t="n"/>
      <c r="AH8143" s="25" t="n"/>
      <c r="AI8143" s="394" t="n"/>
      <c r="AM8143" s="48" t="n"/>
      <c r="AN8143" s="48" t="n"/>
      <c r="AO8143" s="48" t="n"/>
    </row>
    <row r="8144">
      <c r="M8144" s="25" t="n"/>
      <c r="Q8144" s="25" t="n"/>
      <c r="U8144" s="194" t="n"/>
      <c r="AA8144" s="25" t="n"/>
      <c r="AB8144" s="25" t="n"/>
      <c r="AC8144" s="195" t="n"/>
      <c r="AD8144" s="25" t="n"/>
      <c r="AE8144" s="25" t="n"/>
      <c r="AG8144" s="25" t="n"/>
      <c r="AH8144" s="25" t="n"/>
      <c r="AI8144" s="394" t="n"/>
      <c r="AM8144" s="48" t="n"/>
      <c r="AN8144" s="48" t="n"/>
      <c r="AO8144" s="48" t="n"/>
    </row>
    <row r="8145">
      <c r="M8145" s="25" t="n"/>
      <c r="Q8145" s="25" t="n"/>
      <c r="U8145" s="194" t="n"/>
      <c r="AA8145" s="25" t="n"/>
      <c r="AB8145" s="25" t="n"/>
      <c r="AC8145" s="195" t="n"/>
      <c r="AD8145" s="25" t="n"/>
      <c r="AE8145" s="25" t="n"/>
      <c r="AG8145" s="25" t="n"/>
      <c r="AH8145" s="25" t="n"/>
      <c r="AI8145" s="394" t="n"/>
      <c r="AM8145" s="48" t="n"/>
      <c r="AN8145" s="48" t="n"/>
      <c r="AO8145" s="48" t="n"/>
    </row>
    <row r="8146">
      <c r="M8146" s="25" t="n"/>
      <c r="Q8146" s="25" t="n"/>
      <c r="U8146" s="194" t="n"/>
      <c r="AA8146" s="25" t="n"/>
      <c r="AB8146" s="25" t="n"/>
      <c r="AC8146" s="195" t="n"/>
      <c r="AD8146" s="25" t="n"/>
      <c r="AE8146" s="25" t="n"/>
      <c r="AG8146" s="25" t="n"/>
      <c r="AH8146" s="25" t="n"/>
      <c r="AI8146" s="394" t="n"/>
      <c r="AM8146" s="48" t="n"/>
      <c r="AN8146" s="48" t="n"/>
      <c r="AO8146" s="48" t="n"/>
    </row>
    <row r="8147">
      <c r="M8147" s="25" t="n"/>
      <c r="Q8147" s="25" t="n"/>
      <c r="U8147" s="194" t="n"/>
      <c r="AA8147" s="25" t="n"/>
      <c r="AB8147" s="25" t="n"/>
      <c r="AC8147" s="195" t="n"/>
      <c r="AD8147" s="25" t="n"/>
      <c r="AE8147" s="25" t="n"/>
      <c r="AG8147" s="25" t="n"/>
      <c r="AH8147" s="25" t="n"/>
      <c r="AI8147" s="394" t="n"/>
      <c r="AM8147" s="48" t="n"/>
      <c r="AN8147" s="48" t="n"/>
      <c r="AO8147" s="48" t="n"/>
    </row>
    <row r="8148">
      <c r="M8148" s="25" t="n"/>
      <c r="Q8148" s="25" t="n"/>
      <c r="U8148" s="194" t="n"/>
      <c r="AA8148" s="25" t="n"/>
      <c r="AB8148" s="25" t="n"/>
      <c r="AC8148" s="195" t="n"/>
      <c r="AD8148" s="25" t="n"/>
      <c r="AE8148" s="25" t="n"/>
      <c r="AG8148" s="25" t="n"/>
      <c r="AH8148" s="25" t="n"/>
      <c r="AI8148" s="394" t="n"/>
      <c r="AM8148" s="48" t="n"/>
      <c r="AN8148" s="48" t="n"/>
      <c r="AO8148" s="48" t="n"/>
    </row>
    <row r="8149">
      <c r="M8149" s="25" t="n"/>
      <c r="Q8149" s="25" t="n"/>
      <c r="U8149" s="194" t="n"/>
      <c r="AA8149" s="25" t="n"/>
      <c r="AB8149" s="25" t="n"/>
      <c r="AC8149" s="195" t="n"/>
      <c r="AD8149" s="25" t="n"/>
      <c r="AE8149" s="25" t="n"/>
      <c r="AG8149" s="25" t="n"/>
      <c r="AH8149" s="25" t="n"/>
      <c r="AI8149" s="394" t="n"/>
      <c r="AM8149" s="48" t="n"/>
      <c r="AN8149" s="48" t="n"/>
      <c r="AO8149" s="48" t="n"/>
    </row>
    <row r="8150">
      <c r="M8150" s="25" t="n"/>
      <c r="Q8150" s="25" t="n"/>
      <c r="U8150" s="194" t="n"/>
      <c r="AA8150" s="25" t="n"/>
      <c r="AB8150" s="25" t="n"/>
      <c r="AC8150" s="195" t="n"/>
      <c r="AD8150" s="25" t="n"/>
      <c r="AE8150" s="25" t="n"/>
      <c r="AG8150" s="25" t="n"/>
      <c r="AH8150" s="25" t="n"/>
      <c r="AI8150" s="394" t="n"/>
      <c r="AM8150" s="48" t="n"/>
      <c r="AN8150" s="48" t="n"/>
      <c r="AO8150" s="48" t="n"/>
    </row>
    <row r="8151">
      <c r="M8151" s="25" t="n"/>
      <c r="Q8151" s="25" t="n"/>
      <c r="U8151" s="194" t="n"/>
      <c r="AA8151" s="25" t="n"/>
      <c r="AB8151" s="25" t="n"/>
      <c r="AC8151" s="195" t="n"/>
      <c r="AD8151" s="25" t="n"/>
      <c r="AE8151" s="25" t="n"/>
      <c r="AG8151" s="25" t="n"/>
      <c r="AH8151" s="25" t="n"/>
      <c r="AI8151" s="394" t="n"/>
      <c r="AM8151" s="48" t="n"/>
      <c r="AN8151" s="48" t="n"/>
      <c r="AO8151" s="48" t="n"/>
    </row>
    <row r="8152">
      <c r="M8152" s="25" t="n"/>
      <c r="Q8152" s="25" t="n"/>
      <c r="U8152" s="194" t="n"/>
      <c r="AA8152" s="25" t="n"/>
      <c r="AB8152" s="25" t="n"/>
      <c r="AC8152" s="195" t="n"/>
      <c r="AD8152" s="25" t="n"/>
      <c r="AE8152" s="25" t="n"/>
      <c r="AG8152" s="25" t="n"/>
      <c r="AH8152" s="25" t="n"/>
      <c r="AI8152" s="394" t="n"/>
      <c r="AM8152" s="48" t="n"/>
      <c r="AN8152" s="48" t="n"/>
      <c r="AO8152" s="48" t="n"/>
    </row>
    <row r="8153">
      <c r="M8153" s="25" t="n"/>
      <c r="Q8153" s="25" t="n"/>
      <c r="U8153" s="194" t="n"/>
      <c r="AA8153" s="25" t="n"/>
      <c r="AB8153" s="25" t="n"/>
      <c r="AC8153" s="195" t="n"/>
      <c r="AD8153" s="25" t="n"/>
      <c r="AE8153" s="25" t="n"/>
      <c r="AG8153" s="25" t="n"/>
      <c r="AH8153" s="25" t="n"/>
      <c r="AI8153" s="394" t="n"/>
      <c r="AM8153" s="48" t="n"/>
      <c r="AN8153" s="48" t="n"/>
      <c r="AO8153" s="48" t="n"/>
    </row>
    <row r="8154">
      <c r="M8154" s="25" t="n"/>
      <c r="Q8154" s="25" t="n"/>
      <c r="U8154" s="194" t="n"/>
      <c r="AA8154" s="25" t="n"/>
      <c r="AB8154" s="25" t="n"/>
      <c r="AC8154" s="195" t="n"/>
      <c r="AD8154" s="25" t="n"/>
      <c r="AE8154" s="25" t="n"/>
      <c r="AG8154" s="25" t="n"/>
      <c r="AH8154" s="25" t="n"/>
      <c r="AI8154" s="394" t="n"/>
      <c r="AM8154" s="48" t="n"/>
      <c r="AN8154" s="48" t="n"/>
      <c r="AO8154" s="48" t="n"/>
    </row>
    <row r="8155">
      <c r="M8155" s="25" t="n"/>
      <c r="Q8155" s="25" t="n"/>
      <c r="U8155" s="194" t="n"/>
      <c r="AA8155" s="25" t="n"/>
      <c r="AB8155" s="25" t="n"/>
      <c r="AC8155" s="195" t="n"/>
      <c r="AD8155" s="25" t="n"/>
      <c r="AE8155" s="25" t="n"/>
      <c r="AG8155" s="25" t="n"/>
      <c r="AH8155" s="25" t="n"/>
      <c r="AI8155" s="394" t="n"/>
      <c r="AM8155" s="48" t="n"/>
      <c r="AN8155" s="48" t="n"/>
      <c r="AO8155" s="48" t="n"/>
    </row>
    <row r="8156">
      <c r="M8156" s="25" t="n"/>
      <c r="Q8156" s="25" t="n"/>
      <c r="U8156" s="194" t="n"/>
      <c r="AA8156" s="25" t="n"/>
      <c r="AB8156" s="25" t="n"/>
      <c r="AC8156" s="195" t="n"/>
      <c r="AD8156" s="25" t="n"/>
      <c r="AE8156" s="25" t="n"/>
      <c r="AG8156" s="25" t="n"/>
      <c r="AH8156" s="25" t="n"/>
      <c r="AI8156" s="394" t="n"/>
      <c r="AM8156" s="48" t="n"/>
      <c r="AN8156" s="48" t="n"/>
      <c r="AO8156" s="48" t="n"/>
    </row>
    <row r="8157">
      <c r="M8157" s="25" t="n"/>
      <c r="Q8157" s="25" t="n"/>
      <c r="U8157" s="194" t="n"/>
      <c r="AA8157" s="25" t="n"/>
      <c r="AB8157" s="25" t="n"/>
      <c r="AC8157" s="195" t="n"/>
      <c r="AD8157" s="25" t="n"/>
      <c r="AE8157" s="25" t="n"/>
      <c r="AG8157" s="25" t="n"/>
      <c r="AH8157" s="25" t="n"/>
      <c r="AI8157" s="394" t="n"/>
      <c r="AM8157" s="48" t="n"/>
      <c r="AN8157" s="48" t="n"/>
      <c r="AO8157" s="48" t="n"/>
    </row>
    <row r="8158">
      <c r="M8158" s="25" t="n"/>
      <c r="Q8158" s="25" t="n"/>
      <c r="U8158" s="194" t="n"/>
      <c r="AA8158" s="25" t="n"/>
      <c r="AB8158" s="25" t="n"/>
      <c r="AC8158" s="195" t="n"/>
      <c r="AD8158" s="25" t="n"/>
      <c r="AE8158" s="25" t="n"/>
      <c r="AG8158" s="25" t="n"/>
      <c r="AH8158" s="25" t="n"/>
      <c r="AI8158" s="394" t="n"/>
      <c r="AM8158" s="48" t="n"/>
      <c r="AN8158" s="48" t="n"/>
      <c r="AO8158" s="48" t="n"/>
    </row>
    <row r="8159">
      <c r="M8159" s="25" t="n"/>
      <c r="Q8159" s="25" t="n"/>
      <c r="U8159" s="194" t="n"/>
      <c r="AA8159" s="25" t="n"/>
      <c r="AB8159" s="25" t="n"/>
      <c r="AC8159" s="195" t="n"/>
      <c r="AD8159" s="25" t="n"/>
      <c r="AE8159" s="25" t="n"/>
      <c r="AG8159" s="25" t="n"/>
      <c r="AH8159" s="25" t="n"/>
      <c r="AI8159" s="394" t="n"/>
      <c r="AM8159" s="48" t="n"/>
      <c r="AN8159" s="48" t="n"/>
      <c r="AO8159" s="48" t="n"/>
    </row>
    <row r="8160">
      <c r="M8160" s="25" t="n"/>
      <c r="Q8160" s="25" t="n"/>
      <c r="U8160" s="194" t="n"/>
      <c r="AA8160" s="25" t="n"/>
      <c r="AB8160" s="25" t="n"/>
      <c r="AC8160" s="195" t="n"/>
      <c r="AD8160" s="25" t="n"/>
      <c r="AE8160" s="25" t="n"/>
      <c r="AG8160" s="25" t="n"/>
      <c r="AH8160" s="25" t="n"/>
      <c r="AI8160" s="394" t="n"/>
      <c r="AM8160" s="48" t="n"/>
      <c r="AN8160" s="48" t="n"/>
      <c r="AO8160" s="48" t="n"/>
    </row>
    <row r="8161">
      <c r="M8161" s="25" t="n"/>
      <c r="Q8161" s="25" t="n"/>
      <c r="U8161" s="194" t="n"/>
      <c r="AA8161" s="25" t="n"/>
      <c r="AB8161" s="25" t="n"/>
      <c r="AC8161" s="195" t="n"/>
      <c r="AD8161" s="25" t="n"/>
      <c r="AE8161" s="25" t="n"/>
      <c r="AG8161" s="25" t="n"/>
      <c r="AH8161" s="25" t="n"/>
      <c r="AI8161" s="394" t="n"/>
      <c r="AM8161" s="48" t="n"/>
      <c r="AN8161" s="48" t="n"/>
      <c r="AO8161" s="48" t="n"/>
    </row>
    <row r="8162">
      <c r="M8162" s="25" t="n"/>
      <c r="Q8162" s="25" t="n"/>
      <c r="U8162" s="194" t="n"/>
      <c r="AA8162" s="25" t="n"/>
      <c r="AB8162" s="25" t="n"/>
      <c r="AC8162" s="195" t="n"/>
      <c r="AD8162" s="25" t="n"/>
      <c r="AE8162" s="25" t="n"/>
      <c r="AG8162" s="25" t="n"/>
      <c r="AH8162" s="25" t="n"/>
      <c r="AI8162" s="394" t="n"/>
      <c r="AM8162" s="48" t="n"/>
      <c r="AN8162" s="48" t="n"/>
      <c r="AO8162" s="48" t="n"/>
    </row>
    <row r="8163">
      <c r="M8163" s="25" t="n"/>
      <c r="Q8163" s="25" t="n"/>
      <c r="U8163" s="194" t="n"/>
      <c r="AA8163" s="25" t="n"/>
      <c r="AB8163" s="25" t="n"/>
      <c r="AC8163" s="195" t="n"/>
      <c r="AD8163" s="25" t="n"/>
      <c r="AE8163" s="25" t="n"/>
      <c r="AG8163" s="25" t="n"/>
      <c r="AH8163" s="25" t="n"/>
      <c r="AI8163" s="394" t="n"/>
      <c r="AM8163" s="48" t="n"/>
      <c r="AN8163" s="48" t="n"/>
      <c r="AO8163" s="48" t="n"/>
    </row>
    <row r="8164">
      <c r="M8164" s="25" t="n"/>
      <c r="Q8164" s="25" t="n"/>
      <c r="U8164" s="194" t="n"/>
      <c r="AA8164" s="25" t="n"/>
      <c r="AB8164" s="25" t="n"/>
      <c r="AC8164" s="195" t="n"/>
      <c r="AD8164" s="25" t="n"/>
      <c r="AE8164" s="25" t="n"/>
      <c r="AG8164" s="25" t="n"/>
      <c r="AH8164" s="25" t="n"/>
      <c r="AI8164" s="394" t="n"/>
      <c r="AM8164" s="48" t="n"/>
      <c r="AN8164" s="48" t="n"/>
      <c r="AO8164" s="48" t="n"/>
    </row>
    <row r="8165">
      <c r="M8165" s="25" t="n"/>
      <c r="Q8165" s="25" t="n"/>
      <c r="U8165" s="194" t="n"/>
      <c r="AA8165" s="25" t="n"/>
      <c r="AB8165" s="25" t="n"/>
      <c r="AC8165" s="195" t="n"/>
      <c r="AD8165" s="25" t="n"/>
      <c r="AE8165" s="25" t="n"/>
      <c r="AG8165" s="25" t="n"/>
      <c r="AH8165" s="25" t="n"/>
      <c r="AI8165" s="394" t="n"/>
      <c r="AM8165" s="48" t="n"/>
      <c r="AN8165" s="48" t="n"/>
      <c r="AO8165" s="48" t="n"/>
    </row>
    <row r="8166">
      <c r="M8166" s="25" t="n"/>
      <c r="Q8166" s="25" t="n"/>
      <c r="U8166" s="194" t="n"/>
      <c r="AA8166" s="25" t="n"/>
      <c r="AB8166" s="25" t="n"/>
      <c r="AC8166" s="195" t="n"/>
      <c r="AD8166" s="25" t="n"/>
      <c r="AE8166" s="25" t="n"/>
      <c r="AG8166" s="25" t="n"/>
      <c r="AH8166" s="25" t="n"/>
      <c r="AI8166" s="394" t="n"/>
      <c r="AM8166" s="48" t="n"/>
      <c r="AN8166" s="48" t="n"/>
      <c r="AO8166" s="48" t="n"/>
    </row>
    <row r="8167">
      <c r="M8167" s="25" t="n"/>
      <c r="Q8167" s="25" t="n"/>
      <c r="U8167" s="194" t="n"/>
      <c r="AA8167" s="25" t="n"/>
      <c r="AB8167" s="25" t="n"/>
      <c r="AC8167" s="195" t="n"/>
      <c r="AD8167" s="25" t="n"/>
      <c r="AE8167" s="25" t="n"/>
      <c r="AG8167" s="25" t="n"/>
      <c r="AH8167" s="25" t="n"/>
      <c r="AI8167" s="394" t="n"/>
      <c r="AM8167" s="48" t="n"/>
      <c r="AN8167" s="48" t="n"/>
      <c r="AO8167" s="48" t="n"/>
    </row>
    <row r="8168">
      <c r="M8168" s="25" t="n"/>
      <c r="Q8168" s="25" t="n"/>
      <c r="U8168" s="194" t="n"/>
      <c r="AA8168" s="25" t="n"/>
      <c r="AB8168" s="25" t="n"/>
      <c r="AC8168" s="195" t="n"/>
      <c r="AD8168" s="25" t="n"/>
      <c r="AE8168" s="25" t="n"/>
      <c r="AG8168" s="25" t="n"/>
      <c r="AH8168" s="25" t="n"/>
      <c r="AI8168" s="394" t="n"/>
      <c r="AM8168" s="48" t="n"/>
      <c r="AN8168" s="48" t="n"/>
      <c r="AO8168" s="48" t="n"/>
    </row>
    <row r="8169">
      <c r="M8169" s="25" t="n"/>
      <c r="Q8169" s="25" t="n"/>
      <c r="U8169" s="194" t="n"/>
      <c r="AA8169" s="25" t="n"/>
      <c r="AB8169" s="25" t="n"/>
      <c r="AC8169" s="195" t="n"/>
      <c r="AD8169" s="25" t="n"/>
      <c r="AE8169" s="25" t="n"/>
      <c r="AG8169" s="25" t="n"/>
      <c r="AH8169" s="25" t="n"/>
      <c r="AI8169" s="394" t="n"/>
      <c r="AM8169" s="48" t="n"/>
      <c r="AN8169" s="48" t="n"/>
      <c r="AO8169" s="48" t="n"/>
    </row>
    <row r="8170">
      <c r="M8170" s="25" t="n"/>
      <c r="Q8170" s="25" t="n"/>
      <c r="U8170" s="194" t="n"/>
      <c r="AA8170" s="25" t="n"/>
      <c r="AB8170" s="25" t="n"/>
      <c r="AC8170" s="195" t="n"/>
      <c r="AD8170" s="25" t="n"/>
      <c r="AE8170" s="25" t="n"/>
      <c r="AG8170" s="25" t="n"/>
      <c r="AH8170" s="25" t="n"/>
      <c r="AI8170" s="394" t="n"/>
      <c r="AM8170" s="48" t="n"/>
      <c r="AN8170" s="48" t="n"/>
      <c r="AO8170" s="48" t="n"/>
    </row>
    <row r="8171">
      <c r="M8171" s="25" t="n"/>
      <c r="Q8171" s="25" t="n"/>
      <c r="U8171" s="194" t="n"/>
      <c r="AA8171" s="25" t="n"/>
      <c r="AB8171" s="25" t="n"/>
      <c r="AC8171" s="195" t="n"/>
      <c r="AD8171" s="25" t="n"/>
      <c r="AE8171" s="25" t="n"/>
      <c r="AG8171" s="25" t="n"/>
      <c r="AH8171" s="25" t="n"/>
      <c r="AI8171" s="394" t="n"/>
      <c r="AM8171" s="48" t="n"/>
      <c r="AN8171" s="48" t="n"/>
      <c r="AO8171" s="48" t="n"/>
    </row>
    <row r="8172">
      <c r="M8172" s="25" t="n"/>
      <c r="Q8172" s="25" t="n"/>
      <c r="U8172" s="194" t="n"/>
      <c r="AA8172" s="25" t="n"/>
      <c r="AB8172" s="25" t="n"/>
      <c r="AC8172" s="195" t="n"/>
      <c r="AD8172" s="25" t="n"/>
      <c r="AE8172" s="25" t="n"/>
      <c r="AG8172" s="25" t="n"/>
      <c r="AH8172" s="25" t="n"/>
      <c r="AI8172" s="394" t="n"/>
      <c r="AM8172" s="48" t="n"/>
      <c r="AN8172" s="48" t="n"/>
      <c r="AO8172" s="48" t="n"/>
    </row>
    <row r="8173">
      <c r="M8173" s="25" t="n"/>
      <c r="Q8173" s="25" t="n"/>
      <c r="U8173" s="194" t="n"/>
      <c r="AA8173" s="25" t="n"/>
      <c r="AB8173" s="25" t="n"/>
      <c r="AC8173" s="195" t="n"/>
      <c r="AD8173" s="25" t="n"/>
      <c r="AE8173" s="25" t="n"/>
      <c r="AG8173" s="25" t="n"/>
      <c r="AH8173" s="25" t="n"/>
      <c r="AI8173" s="394" t="n"/>
      <c r="AM8173" s="48" t="n"/>
      <c r="AN8173" s="48" t="n"/>
      <c r="AO8173" s="48" t="n"/>
    </row>
    <row r="8174">
      <c r="M8174" s="25" t="n"/>
      <c r="Q8174" s="25" t="n"/>
      <c r="U8174" s="194" t="n"/>
      <c r="AA8174" s="25" t="n"/>
      <c r="AB8174" s="25" t="n"/>
      <c r="AC8174" s="195" t="n"/>
      <c r="AD8174" s="25" t="n"/>
      <c r="AE8174" s="25" t="n"/>
      <c r="AG8174" s="25" t="n"/>
      <c r="AH8174" s="25" t="n"/>
      <c r="AI8174" s="394" t="n"/>
      <c r="AM8174" s="48" t="n"/>
      <c r="AN8174" s="48" t="n"/>
      <c r="AO8174" s="48" t="n"/>
    </row>
    <row r="8175">
      <c r="M8175" s="25" t="n"/>
      <c r="Q8175" s="25" t="n"/>
      <c r="U8175" s="194" t="n"/>
      <c r="AA8175" s="25" t="n"/>
      <c r="AB8175" s="25" t="n"/>
      <c r="AC8175" s="195" t="n"/>
      <c r="AD8175" s="25" t="n"/>
      <c r="AE8175" s="25" t="n"/>
      <c r="AG8175" s="25" t="n"/>
      <c r="AH8175" s="25" t="n"/>
      <c r="AI8175" s="394" t="n"/>
      <c r="AM8175" s="48" t="n"/>
      <c r="AN8175" s="48" t="n"/>
      <c r="AO8175" s="48" t="n"/>
    </row>
    <row r="8176">
      <c r="M8176" s="25" t="n"/>
      <c r="Q8176" s="25" t="n"/>
      <c r="U8176" s="194" t="n"/>
      <c r="AA8176" s="25" t="n"/>
      <c r="AB8176" s="25" t="n"/>
      <c r="AC8176" s="195" t="n"/>
      <c r="AD8176" s="25" t="n"/>
      <c r="AE8176" s="25" t="n"/>
      <c r="AG8176" s="25" t="n"/>
      <c r="AH8176" s="25" t="n"/>
      <c r="AI8176" s="394" t="n"/>
      <c r="AM8176" s="48" t="n"/>
      <c r="AN8176" s="48" t="n"/>
      <c r="AO8176" s="48" t="n"/>
    </row>
    <row r="8177">
      <c r="M8177" s="25" t="n"/>
      <c r="Q8177" s="25" t="n"/>
      <c r="U8177" s="194" t="n"/>
      <c r="AA8177" s="25" t="n"/>
      <c r="AB8177" s="25" t="n"/>
      <c r="AC8177" s="195" t="n"/>
      <c r="AD8177" s="25" t="n"/>
      <c r="AE8177" s="25" t="n"/>
      <c r="AG8177" s="25" t="n"/>
      <c r="AH8177" s="25" t="n"/>
      <c r="AI8177" s="394" t="n"/>
      <c r="AM8177" s="48" t="n"/>
      <c r="AN8177" s="48" t="n"/>
      <c r="AO8177" s="48" t="n"/>
    </row>
    <row r="8178">
      <c r="M8178" s="25" t="n"/>
      <c r="Q8178" s="25" t="n"/>
      <c r="U8178" s="194" t="n"/>
      <c r="AA8178" s="25" t="n"/>
      <c r="AB8178" s="25" t="n"/>
      <c r="AC8178" s="195" t="n"/>
      <c r="AD8178" s="25" t="n"/>
      <c r="AE8178" s="25" t="n"/>
      <c r="AG8178" s="25" t="n"/>
      <c r="AH8178" s="25" t="n"/>
      <c r="AI8178" s="394" t="n"/>
      <c r="AM8178" s="48" t="n"/>
      <c r="AN8178" s="48" t="n"/>
      <c r="AO8178" s="48" t="n"/>
    </row>
    <row r="8179">
      <c r="M8179" s="25" t="n"/>
      <c r="Q8179" s="25" t="n"/>
      <c r="U8179" s="194" t="n"/>
      <c r="AA8179" s="25" t="n"/>
      <c r="AB8179" s="25" t="n"/>
      <c r="AC8179" s="195" t="n"/>
      <c r="AD8179" s="25" t="n"/>
      <c r="AE8179" s="25" t="n"/>
      <c r="AG8179" s="25" t="n"/>
      <c r="AH8179" s="25" t="n"/>
      <c r="AI8179" s="394" t="n"/>
      <c r="AM8179" s="48" t="n"/>
      <c r="AN8179" s="48" t="n"/>
      <c r="AO8179" s="48" t="n"/>
    </row>
    <row r="8180">
      <c r="M8180" s="25" t="n"/>
      <c r="Q8180" s="25" t="n"/>
      <c r="U8180" s="194" t="n"/>
      <c r="AA8180" s="25" t="n"/>
      <c r="AB8180" s="25" t="n"/>
      <c r="AC8180" s="195" t="n"/>
      <c r="AD8180" s="25" t="n"/>
      <c r="AE8180" s="25" t="n"/>
      <c r="AG8180" s="25" t="n"/>
      <c r="AH8180" s="25" t="n"/>
      <c r="AI8180" s="394" t="n"/>
      <c r="AM8180" s="48" t="n"/>
      <c r="AN8180" s="48" t="n"/>
      <c r="AO8180" s="48" t="n"/>
    </row>
    <row r="8181">
      <c r="M8181" s="25" t="n"/>
      <c r="Q8181" s="25" t="n"/>
      <c r="U8181" s="194" t="n"/>
      <c r="AA8181" s="25" t="n"/>
      <c r="AB8181" s="25" t="n"/>
      <c r="AC8181" s="195" t="n"/>
      <c r="AD8181" s="25" t="n"/>
      <c r="AE8181" s="25" t="n"/>
      <c r="AG8181" s="25" t="n"/>
      <c r="AH8181" s="25" t="n"/>
      <c r="AI8181" s="394" t="n"/>
      <c r="AM8181" s="48" t="n"/>
      <c r="AN8181" s="48" t="n"/>
      <c r="AO8181" s="48" t="n"/>
    </row>
    <row r="8182">
      <c r="M8182" s="25" t="n"/>
      <c r="Q8182" s="25" t="n"/>
      <c r="U8182" s="194" t="n"/>
      <c r="AA8182" s="25" t="n"/>
      <c r="AB8182" s="25" t="n"/>
      <c r="AC8182" s="195" t="n"/>
      <c r="AD8182" s="25" t="n"/>
      <c r="AE8182" s="25" t="n"/>
      <c r="AG8182" s="25" t="n"/>
      <c r="AH8182" s="25" t="n"/>
      <c r="AI8182" s="394" t="n"/>
      <c r="AM8182" s="48" t="n"/>
      <c r="AN8182" s="48" t="n"/>
      <c r="AO8182" s="48" t="n"/>
    </row>
    <row r="8183">
      <c r="M8183" s="25" t="n"/>
      <c r="Q8183" s="25" t="n"/>
      <c r="U8183" s="194" t="n"/>
      <c r="AA8183" s="25" t="n"/>
      <c r="AB8183" s="25" t="n"/>
      <c r="AC8183" s="195" t="n"/>
      <c r="AD8183" s="25" t="n"/>
      <c r="AE8183" s="25" t="n"/>
      <c r="AG8183" s="25" t="n"/>
      <c r="AH8183" s="25" t="n"/>
      <c r="AI8183" s="394" t="n"/>
      <c r="AM8183" s="48" t="n"/>
      <c r="AN8183" s="48" t="n"/>
      <c r="AO8183" s="48" t="n"/>
    </row>
    <row r="8184">
      <c r="M8184" s="25" t="n"/>
      <c r="Q8184" s="25" t="n"/>
      <c r="U8184" s="194" t="n"/>
      <c r="AA8184" s="25" t="n"/>
      <c r="AB8184" s="25" t="n"/>
      <c r="AC8184" s="195" t="n"/>
      <c r="AD8184" s="25" t="n"/>
      <c r="AE8184" s="25" t="n"/>
      <c r="AG8184" s="25" t="n"/>
      <c r="AH8184" s="25" t="n"/>
      <c r="AI8184" s="394" t="n"/>
      <c r="AM8184" s="48" t="n"/>
      <c r="AN8184" s="48" t="n"/>
      <c r="AO8184" s="48" t="n"/>
    </row>
    <row r="8185">
      <c r="M8185" s="25" t="n"/>
      <c r="Q8185" s="25" t="n"/>
      <c r="U8185" s="194" t="n"/>
      <c r="AA8185" s="25" t="n"/>
      <c r="AB8185" s="25" t="n"/>
      <c r="AC8185" s="195" t="n"/>
      <c r="AD8185" s="25" t="n"/>
      <c r="AE8185" s="25" t="n"/>
      <c r="AG8185" s="25" t="n"/>
      <c r="AH8185" s="25" t="n"/>
      <c r="AI8185" s="394" t="n"/>
      <c r="AM8185" s="48" t="n"/>
      <c r="AN8185" s="48" t="n"/>
      <c r="AO8185" s="48" t="n"/>
    </row>
    <row r="8186">
      <c r="M8186" s="25" t="n"/>
      <c r="Q8186" s="25" t="n"/>
      <c r="U8186" s="194" t="n"/>
      <c r="AA8186" s="25" t="n"/>
      <c r="AB8186" s="25" t="n"/>
      <c r="AC8186" s="195" t="n"/>
      <c r="AD8186" s="25" t="n"/>
      <c r="AE8186" s="25" t="n"/>
      <c r="AG8186" s="25" t="n"/>
      <c r="AH8186" s="25" t="n"/>
      <c r="AI8186" s="394" t="n"/>
      <c r="AM8186" s="48" t="n"/>
      <c r="AN8186" s="48" t="n"/>
      <c r="AO8186" s="48" t="n"/>
    </row>
    <row r="8187">
      <c r="M8187" s="25" t="n"/>
      <c r="Q8187" s="25" t="n"/>
      <c r="U8187" s="194" t="n"/>
      <c r="AA8187" s="25" t="n"/>
      <c r="AB8187" s="25" t="n"/>
      <c r="AC8187" s="195" t="n"/>
      <c r="AD8187" s="25" t="n"/>
      <c r="AE8187" s="25" t="n"/>
      <c r="AG8187" s="25" t="n"/>
      <c r="AH8187" s="25" t="n"/>
      <c r="AI8187" s="394" t="n"/>
      <c r="AM8187" s="48" t="n"/>
      <c r="AN8187" s="48" t="n"/>
      <c r="AO8187" s="48" t="n"/>
    </row>
    <row r="8188">
      <c r="M8188" s="25" t="n"/>
      <c r="Q8188" s="25" t="n"/>
      <c r="U8188" s="194" t="n"/>
      <c r="AA8188" s="25" t="n"/>
      <c r="AB8188" s="25" t="n"/>
      <c r="AC8188" s="195" t="n"/>
      <c r="AD8188" s="25" t="n"/>
      <c r="AE8188" s="25" t="n"/>
      <c r="AG8188" s="25" t="n"/>
      <c r="AH8188" s="25" t="n"/>
      <c r="AI8188" s="394" t="n"/>
      <c r="AM8188" s="48" t="n"/>
      <c r="AN8188" s="48" t="n"/>
      <c r="AO8188" s="48" t="n"/>
    </row>
    <row r="8189">
      <c r="M8189" s="25" t="n"/>
      <c r="Q8189" s="25" t="n"/>
      <c r="U8189" s="194" t="n"/>
      <c r="AA8189" s="25" t="n"/>
      <c r="AB8189" s="25" t="n"/>
      <c r="AC8189" s="195" t="n"/>
      <c r="AD8189" s="25" t="n"/>
      <c r="AE8189" s="25" t="n"/>
      <c r="AG8189" s="25" t="n"/>
      <c r="AH8189" s="25" t="n"/>
      <c r="AI8189" s="394" t="n"/>
      <c r="AM8189" s="48" t="n"/>
      <c r="AN8189" s="48" t="n"/>
      <c r="AO8189" s="48" t="n"/>
    </row>
    <row r="8190">
      <c r="M8190" s="25" t="n"/>
      <c r="Q8190" s="25" t="n"/>
      <c r="U8190" s="194" t="n"/>
      <c r="AA8190" s="25" t="n"/>
      <c r="AB8190" s="25" t="n"/>
      <c r="AC8190" s="195" t="n"/>
      <c r="AD8190" s="25" t="n"/>
      <c r="AE8190" s="25" t="n"/>
      <c r="AG8190" s="25" t="n"/>
      <c r="AH8190" s="25" t="n"/>
      <c r="AI8190" s="394" t="n"/>
      <c r="AM8190" s="48" t="n"/>
      <c r="AN8190" s="48" t="n"/>
      <c r="AO8190" s="48" t="n"/>
    </row>
    <row r="8191">
      <c r="M8191" s="25" t="n"/>
      <c r="Q8191" s="25" t="n"/>
      <c r="U8191" s="194" t="n"/>
      <c r="AA8191" s="25" t="n"/>
      <c r="AB8191" s="25" t="n"/>
      <c r="AC8191" s="195" t="n"/>
      <c r="AD8191" s="25" t="n"/>
      <c r="AE8191" s="25" t="n"/>
      <c r="AG8191" s="25" t="n"/>
      <c r="AH8191" s="25" t="n"/>
      <c r="AI8191" s="394" t="n"/>
      <c r="AM8191" s="48" t="n"/>
      <c r="AN8191" s="48" t="n"/>
      <c r="AO8191" s="48" t="n"/>
    </row>
    <row r="8192">
      <c r="M8192" s="25" t="n"/>
      <c r="Q8192" s="25" t="n"/>
      <c r="U8192" s="194" t="n"/>
      <c r="AA8192" s="25" t="n"/>
      <c r="AB8192" s="25" t="n"/>
      <c r="AC8192" s="195" t="n"/>
      <c r="AD8192" s="25" t="n"/>
      <c r="AE8192" s="25" t="n"/>
      <c r="AG8192" s="25" t="n"/>
      <c r="AH8192" s="25" t="n"/>
      <c r="AI8192" s="394" t="n"/>
      <c r="AM8192" s="48" t="n"/>
      <c r="AN8192" s="48" t="n"/>
      <c r="AO8192" s="48" t="n"/>
    </row>
    <row r="8193">
      <c r="M8193" s="25" t="n"/>
      <c r="Q8193" s="25" t="n"/>
      <c r="U8193" s="194" t="n"/>
      <c r="AA8193" s="25" t="n"/>
      <c r="AB8193" s="25" t="n"/>
      <c r="AC8193" s="195" t="n"/>
      <c r="AD8193" s="25" t="n"/>
      <c r="AE8193" s="25" t="n"/>
      <c r="AG8193" s="25" t="n"/>
      <c r="AH8193" s="25" t="n"/>
      <c r="AI8193" s="394" t="n"/>
      <c r="AM8193" s="48" t="n"/>
      <c r="AN8193" s="48" t="n"/>
      <c r="AO8193" s="48" t="n"/>
    </row>
    <row r="8194">
      <c r="M8194" s="25" t="n"/>
      <c r="Q8194" s="25" t="n"/>
      <c r="U8194" s="194" t="n"/>
      <c r="AA8194" s="25" t="n"/>
      <c r="AB8194" s="25" t="n"/>
      <c r="AC8194" s="195" t="n"/>
      <c r="AD8194" s="25" t="n"/>
      <c r="AE8194" s="25" t="n"/>
      <c r="AG8194" s="25" t="n"/>
      <c r="AH8194" s="25" t="n"/>
      <c r="AI8194" s="394" t="n"/>
      <c r="AM8194" s="48" t="n"/>
      <c r="AN8194" s="48" t="n"/>
      <c r="AO8194" s="48" t="n"/>
    </row>
    <row r="8195">
      <c r="M8195" s="25" t="n"/>
      <c r="Q8195" s="25" t="n"/>
      <c r="U8195" s="194" t="n"/>
      <c r="AA8195" s="25" t="n"/>
      <c r="AB8195" s="25" t="n"/>
      <c r="AC8195" s="195" t="n"/>
      <c r="AD8195" s="25" t="n"/>
      <c r="AE8195" s="25" t="n"/>
      <c r="AG8195" s="25" t="n"/>
      <c r="AH8195" s="25" t="n"/>
      <c r="AI8195" s="394" t="n"/>
      <c r="AM8195" s="48" t="n"/>
      <c r="AN8195" s="48" t="n"/>
      <c r="AO8195" s="48" t="n"/>
    </row>
    <row r="8196">
      <c r="M8196" s="25" t="n"/>
      <c r="Q8196" s="25" t="n"/>
      <c r="U8196" s="194" t="n"/>
      <c r="AA8196" s="25" t="n"/>
      <c r="AB8196" s="25" t="n"/>
      <c r="AC8196" s="195" t="n"/>
      <c r="AD8196" s="25" t="n"/>
      <c r="AE8196" s="25" t="n"/>
      <c r="AG8196" s="25" t="n"/>
      <c r="AH8196" s="25" t="n"/>
      <c r="AI8196" s="394" t="n"/>
      <c r="AM8196" s="48" t="n"/>
      <c r="AN8196" s="48" t="n"/>
      <c r="AO8196" s="48" t="n"/>
    </row>
    <row r="8197">
      <c r="M8197" s="25" t="n"/>
      <c r="Q8197" s="25" t="n"/>
      <c r="U8197" s="194" t="n"/>
      <c r="AA8197" s="25" t="n"/>
      <c r="AB8197" s="25" t="n"/>
      <c r="AC8197" s="195" t="n"/>
      <c r="AD8197" s="25" t="n"/>
      <c r="AE8197" s="25" t="n"/>
      <c r="AG8197" s="25" t="n"/>
      <c r="AH8197" s="25" t="n"/>
      <c r="AI8197" s="394" t="n"/>
      <c r="AM8197" s="48" t="n"/>
      <c r="AN8197" s="48" t="n"/>
      <c r="AO8197" s="48" t="n"/>
    </row>
    <row r="8198">
      <c r="M8198" s="25" t="n"/>
      <c r="Q8198" s="25" t="n"/>
      <c r="U8198" s="194" t="n"/>
      <c r="AA8198" s="25" t="n"/>
      <c r="AB8198" s="25" t="n"/>
      <c r="AC8198" s="195" t="n"/>
      <c r="AD8198" s="25" t="n"/>
      <c r="AE8198" s="25" t="n"/>
      <c r="AG8198" s="25" t="n"/>
      <c r="AH8198" s="25" t="n"/>
      <c r="AI8198" s="394" t="n"/>
      <c r="AM8198" s="48" t="n"/>
      <c r="AN8198" s="48" t="n"/>
      <c r="AO8198" s="48" t="n"/>
    </row>
    <row r="8199">
      <c r="M8199" s="25" t="n"/>
      <c r="Q8199" s="25" t="n"/>
      <c r="U8199" s="194" t="n"/>
      <c r="AA8199" s="25" t="n"/>
      <c r="AB8199" s="25" t="n"/>
      <c r="AC8199" s="195" t="n"/>
      <c r="AD8199" s="25" t="n"/>
      <c r="AE8199" s="25" t="n"/>
      <c r="AG8199" s="25" t="n"/>
      <c r="AH8199" s="25" t="n"/>
      <c r="AI8199" s="394" t="n"/>
      <c r="AM8199" s="48" t="n"/>
      <c r="AN8199" s="48" t="n"/>
      <c r="AO8199" s="48" t="n"/>
    </row>
    <row r="8200">
      <c r="M8200" s="25" t="n"/>
      <c r="Q8200" s="25" t="n"/>
      <c r="U8200" s="194" t="n"/>
      <c r="AA8200" s="25" t="n"/>
      <c r="AB8200" s="25" t="n"/>
      <c r="AC8200" s="195" t="n"/>
      <c r="AD8200" s="25" t="n"/>
      <c r="AE8200" s="25" t="n"/>
      <c r="AG8200" s="25" t="n"/>
      <c r="AH8200" s="25" t="n"/>
      <c r="AI8200" s="394" t="n"/>
      <c r="AM8200" s="48" t="n"/>
      <c r="AN8200" s="48" t="n"/>
      <c r="AO8200" s="48" t="n"/>
    </row>
    <row r="8201">
      <c r="M8201" s="25" t="n"/>
      <c r="Q8201" s="25" t="n"/>
      <c r="U8201" s="194" t="n"/>
      <c r="AA8201" s="25" t="n"/>
      <c r="AB8201" s="25" t="n"/>
      <c r="AC8201" s="195" t="n"/>
      <c r="AD8201" s="25" t="n"/>
      <c r="AE8201" s="25" t="n"/>
      <c r="AG8201" s="25" t="n"/>
      <c r="AH8201" s="25" t="n"/>
      <c r="AI8201" s="394" t="n"/>
      <c r="AM8201" s="48" t="n"/>
      <c r="AN8201" s="48" t="n"/>
      <c r="AO8201" s="48" t="n"/>
    </row>
    <row r="8202">
      <c r="M8202" s="25" t="n"/>
      <c r="Q8202" s="25" t="n"/>
      <c r="U8202" s="194" t="n"/>
      <c r="AA8202" s="25" t="n"/>
      <c r="AB8202" s="25" t="n"/>
      <c r="AC8202" s="195" t="n"/>
      <c r="AD8202" s="25" t="n"/>
      <c r="AE8202" s="25" t="n"/>
      <c r="AG8202" s="25" t="n"/>
      <c r="AH8202" s="25" t="n"/>
      <c r="AI8202" s="394" t="n"/>
      <c r="AM8202" s="48" t="n"/>
      <c r="AN8202" s="48" t="n"/>
      <c r="AO8202" s="48" t="n"/>
    </row>
    <row r="8203">
      <c r="M8203" s="25" t="n"/>
      <c r="Q8203" s="25" t="n"/>
      <c r="U8203" s="194" t="n"/>
      <c r="AA8203" s="25" t="n"/>
      <c r="AB8203" s="25" t="n"/>
      <c r="AC8203" s="195" t="n"/>
      <c r="AD8203" s="25" t="n"/>
      <c r="AE8203" s="25" t="n"/>
      <c r="AG8203" s="25" t="n"/>
      <c r="AH8203" s="25" t="n"/>
      <c r="AI8203" s="394" t="n"/>
      <c r="AM8203" s="48" t="n"/>
      <c r="AN8203" s="48" t="n"/>
      <c r="AO8203" s="48" t="n"/>
    </row>
    <row r="8204">
      <c r="M8204" s="25" t="n"/>
      <c r="Q8204" s="25" t="n"/>
      <c r="U8204" s="194" t="n"/>
      <c r="AA8204" s="25" t="n"/>
      <c r="AB8204" s="25" t="n"/>
      <c r="AC8204" s="195" t="n"/>
      <c r="AD8204" s="25" t="n"/>
      <c r="AE8204" s="25" t="n"/>
      <c r="AG8204" s="25" t="n"/>
      <c r="AH8204" s="25" t="n"/>
      <c r="AI8204" s="394" t="n"/>
      <c r="AM8204" s="48" t="n"/>
      <c r="AN8204" s="48" t="n"/>
      <c r="AO8204" s="48" t="n"/>
    </row>
    <row r="8205">
      <c r="M8205" s="25" t="n"/>
      <c r="Q8205" s="25" t="n"/>
      <c r="U8205" s="194" t="n"/>
      <c r="AA8205" s="25" t="n"/>
      <c r="AB8205" s="25" t="n"/>
      <c r="AC8205" s="195" t="n"/>
      <c r="AD8205" s="25" t="n"/>
      <c r="AE8205" s="25" t="n"/>
      <c r="AG8205" s="25" t="n"/>
      <c r="AH8205" s="25" t="n"/>
      <c r="AI8205" s="394" t="n"/>
      <c r="AM8205" s="48" t="n"/>
      <c r="AN8205" s="48" t="n"/>
      <c r="AO8205" s="48" t="n"/>
    </row>
    <row r="8206">
      <c r="M8206" s="25" t="n"/>
      <c r="Q8206" s="25" t="n"/>
      <c r="U8206" s="194" t="n"/>
      <c r="AA8206" s="25" t="n"/>
      <c r="AB8206" s="25" t="n"/>
      <c r="AC8206" s="195" t="n"/>
      <c r="AD8206" s="25" t="n"/>
      <c r="AE8206" s="25" t="n"/>
      <c r="AG8206" s="25" t="n"/>
      <c r="AH8206" s="25" t="n"/>
      <c r="AI8206" s="394" t="n"/>
      <c r="AM8206" s="48" t="n"/>
      <c r="AN8206" s="48" t="n"/>
      <c r="AO8206" s="48" t="n"/>
    </row>
    <row r="8207">
      <c r="M8207" s="25" t="n"/>
      <c r="Q8207" s="25" t="n"/>
      <c r="U8207" s="194" t="n"/>
      <c r="AA8207" s="25" t="n"/>
      <c r="AB8207" s="25" t="n"/>
      <c r="AC8207" s="195" t="n"/>
      <c r="AD8207" s="25" t="n"/>
      <c r="AE8207" s="25" t="n"/>
      <c r="AG8207" s="25" t="n"/>
      <c r="AH8207" s="25" t="n"/>
      <c r="AI8207" s="394" t="n"/>
      <c r="AM8207" s="48" t="n"/>
      <c r="AN8207" s="48" t="n"/>
      <c r="AO8207" s="48" t="n"/>
    </row>
    <row r="8208">
      <c r="M8208" s="25" t="n"/>
      <c r="Q8208" s="25" t="n"/>
      <c r="U8208" s="194" t="n"/>
      <c r="AA8208" s="25" t="n"/>
      <c r="AB8208" s="25" t="n"/>
      <c r="AC8208" s="195" t="n"/>
      <c r="AD8208" s="25" t="n"/>
      <c r="AE8208" s="25" t="n"/>
      <c r="AG8208" s="25" t="n"/>
      <c r="AH8208" s="25" t="n"/>
      <c r="AI8208" s="394" t="n"/>
      <c r="AM8208" s="48" t="n"/>
      <c r="AN8208" s="48" t="n"/>
      <c r="AO8208" s="48" t="n"/>
    </row>
    <row r="8209">
      <c r="M8209" s="25" t="n"/>
      <c r="Q8209" s="25" t="n"/>
      <c r="U8209" s="194" t="n"/>
      <c r="AA8209" s="25" t="n"/>
      <c r="AB8209" s="25" t="n"/>
      <c r="AC8209" s="195" t="n"/>
      <c r="AD8209" s="25" t="n"/>
      <c r="AE8209" s="25" t="n"/>
      <c r="AG8209" s="25" t="n"/>
      <c r="AH8209" s="25" t="n"/>
      <c r="AI8209" s="394" t="n"/>
      <c r="AM8209" s="48" t="n"/>
      <c r="AN8209" s="48" t="n"/>
      <c r="AO8209" s="48" t="n"/>
    </row>
    <row r="8210">
      <c r="M8210" s="25" t="n"/>
      <c r="Q8210" s="25" t="n"/>
      <c r="U8210" s="194" t="n"/>
      <c r="AA8210" s="25" t="n"/>
      <c r="AB8210" s="25" t="n"/>
      <c r="AC8210" s="195" t="n"/>
      <c r="AD8210" s="25" t="n"/>
      <c r="AE8210" s="25" t="n"/>
      <c r="AG8210" s="25" t="n"/>
      <c r="AH8210" s="25" t="n"/>
      <c r="AI8210" s="394" t="n"/>
      <c r="AM8210" s="48" t="n"/>
      <c r="AN8210" s="48" t="n"/>
      <c r="AO8210" s="48" t="n"/>
    </row>
    <row r="8211">
      <c r="M8211" s="25" t="n"/>
      <c r="Q8211" s="25" t="n"/>
      <c r="U8211" s="194" t="n"/>
      <c r="AA8211" s="25" t="n"/>
      <c r="AB8211" s="25" t="n"/>
      <c r="AC8211" s="195" t="n"/>
      <c r="AD8211" s="25" t="n"/>
      <c r="AE8211" s="25" t="n"/>
      <c r="AG8211" s="25" t="n"/>
      <c r="AH8211" s="25" t="n"/>
      <c r="AI8211" s="394" t="n"/>
      <c r="AM8211" s="48" t="n"/>
      <c r="AN8211" s="48" t="n"/>
      <c r="AO8211" s="48" t="n"/>
    </row>
    <row r="8212">
      <c r="M8212" s="25" t="n"/>
      <c r="Q8212" s="25" t="n"/>
      <c r="U8212" s="194" t="n"/>
      <c r="AA8212" s="25" t="n"/>
      <c r="AB8212" s="25" t="n"/>
      <c r="AC8212" s="195" t="n"/>
      <c r="AD8212" s="25" t="n"/>
      <c r="AE8212" s="25" t="n"/>
      <c r="AG8212" s="25" t="n"/>
      <c r="AH8212" s="25" t="n"/>
      <c r="AI8212" s="394" t="n"/>
      <c r="AM8212" s="48" t="n"/>
      <c r="AN8212" s="48" t="n"/>
      <c r="AO8212" s="48" t="n"/>
    </row>
    <row r="8213">
      <c r="M8213" s="25" t="n"/>
      <c r="Q8213" s="25" t="n"/>
      <c r="U8213" s="194" t="n"/>
      <c r="AA8213" s="25" t="n"/>
      <c r="AB8213" s="25" t="n"/>
      <c r="AC8213" s="195" t="n"/>
      <c r="AD8213" s="25" t="n"/>
      <c r="AE8213" s="25" t="n"/>
      <c r="AG8213" s="25" t="n"/>
      <c r="AH8213" s="25" t="n"/>
      <c r="AI8213" s="394" t="n"/>
      <c r="AM8213" s="48" t="n"/>
      <c r="AN8213" s="48" t="n"/>
      <c r="AO8213" s="48" t="n"/>
    </row>
    <row r="8214">
      <c r="M8214" s="25" t="n"/>
      <c r="Q8214" s="25" t="n"/>
      <c r="U8214" s="194" t="n"/>
      <c r="AA8214" s="25" t="n"/>
      <c r="AB8214" s="25" t="n"/>
      <c r="AC8214" s="195" t="n"/>
      <c r="AD8214" s="25" t="n"/>
      <c r="AE8214" s="25" t="n"/>
      <c r="AG8214" s="25" t="n"/>
      <c r="AH8214" s="25" t="n"/>
      <c r="AI8214" s="394" t="n"/>
      <c r="AM8214" s="48" t="n"/>
      <c r="AN8214" s="48" t="n"/>
      <c r="AO8214" s="48" t="n"/>
    </row>
    <row r="8215">
      <c r="M8215" s="25" t="n"/>
      <c r="Q8215" s="25" t="n"/>
      <c r="U8215" s="194" t="n"/>
      <c r="AA8215" s="25" t="n"/>
      <c r="AB8215" s="25" t="n"/>
      <c r="AC8215" s="195" t="n"/>
      <c r="AD8215" s="25" t="n"/>
      <c r="AE8215" s="25" t="n"/>
      <c r="AG8215" s="25" t="n"/>
      <c r="AH8215" s="25" t="n"/>
      <c r="AI8215" s="394" t="n"/>
      <c r="AM8215" s="48" t="n"/>
      <c r="AN8215" s="48" t="n"/>
      <c r="AO8215" s="48" t="n"/>
    </row>
    <row r="8216">
      <c r="M8216" s="25" t="n"/>
      <c r="Q8216" s="25" t="n"/>
      <c r="U8216" s="194" t="n"/>
      <c r="AA8216" s="25" t="n"/>
      <c r="AB8216" s="25" t="n"/>
      <c r="AC8216" s="195" t="n"/>
      <c r="AD8216" s="25" t="n"/>
      <c r="AE8216" s="25" t="n"/>
      <c r="AG8216" s="25" t="n"/>
      <c r="AH8216" s="25" t="n"/>
      <c r="AI8216" s="394" t="n"/>
      <c r="AM8216" s="48" t="n"/>
      <c r="AN8216" s="48" t="n"/>
      <c r="AO8216" s="48" t="n"/>
    </row>
    <row r="8217">
      <c r="M8217" s="25" t="n"/>
      <c r="Q8217" s="25" t="n"/>
      <c r="U8217" s="194" t="n"/>
      <c r="AA8217" s="25" t="n"/>
      <c r="AB8217" s="25" t="n"/>
      <c r="AC8217" s="195" t="n"/>
      <c r="AD8217" s="25" t="n"/>
      <c r="AE8217" s="25" t="n"/>
      <c r="AG8217" s="25" t="n"/>
      <c r="AH8217" s="25" t="n"/>
      <c r="AI8217" s="394" t="n"/>
      <c r="AM8217" s="48" t="n"/>
      <c r="AN8217" s="48" t="n"/>
      <c r="AO8217" s="48" t="n"/>
    </row>
    <row r="8218">
      <c r="M8218" s="25" t="n"/>
      <c r="Q8218" s="25" t="n"/>
      <c r="U8218" s="194" t="n"/>
      <c r="AA8218" s="25" t="n"/>
      <c r="AB8218" s="25" t="n"/>
      <c r="AC8218" s="195" t="n"/>
      <c r="AD8218" s="25" t="n"/>
      <c r="AE8218" s="25" t="n"/>
      <c r="AG8218" s="25" t="n"/>
      <c r="AH8218" s="25" t="n"/>
      <c r="AI8218" s="394" t="n"/>
      <c r="AM8218" s="48" t="n"/>
      <c r="AN8218" s="48" t="n"/>
      <c r="AO8218" s="48" t="n"/>
    </row>
    <row r="8219">
      <c r="M8219" s="25" t="n"/>
      <c r="Q8219" s="25" t="n"/>
      <c r="U8219" s="194" t="n"/>
      <c r="AA8219" s="25" t="n"/>
      <c r="AB8219" s="25" t="n"/>
      <c r="AC8219" s="195" t="n"/>
      <c r="AD8219" s="25" t="n"/>
      <c r="AE8219" s="25" t="n"/>
      <c r="AG8219" s="25" t="n"/>
      <c r="AH8219" s="25" t="n"/>
      <c r="AI8219" s="394" t="n"/>
      <c r="AM8219" s="48" t="n"/>
      <c r="AN8219" s="48" t="n"/>
      <c r="AO8219" s="48" t="n"/>
    </row>
    <row r="8220">
      <c r="M8220" s="25" t="n"/>
      <c r="Q8220" s="25" t="n"/>
      <c r="U8220" s="194" t="n"/>
      <c r="AA8220" s="25" t="n"/>
      <c r="AB8220" s="25" t="n"/>
      <c r="AC8220" s="195" t="n"/>
      <c r="AD8220" s="25" t="n"/>
      <c r="AE8220" s="25" t="n"/>
      <c r="AG8220" s="25" t="n"/>
      <c r="AH8220" s="25" t="n"/>
      <c r="AI8220" s="394" t="n"/>
      <c r="AM8220" s="48" t="n"/>
      <c r="AN8220" s="48" t="n"/>
      <c r="AO8220" s="48" t="n"/>
    </row>
    <row r="8221">
      <c r="M8221" s="25" t="n"/>
      <c r="Q8221" s="25" t="n"/>
      <c r="U8221" s="194" t="n"/>
      <c r="AA8221" s="25" t="n"/>
      <c r="AB8221" s="25" t="n"/>
      <c r="AC8221" s="195" t="n"/>
      <c r="AD8221" s="25" t="n"/>
      <c r="AE8221" s="25" t="n"/>
      <c r="AG8221" s="25" t="n"/>
      <c r="AH8221" s="25" t="n"/>
      <c r="AI8221" s="394" t="n"/>
      <c r="AM8221" s="48" t="n"/>
      <c r="AN8221" s="48" t="n"/>
      <c r="AO8221" s="48" t="n"/>
    </row>
    <row r="8222">
      <c r="M8222" s="25" t="n"/>
      <c r="Q8222" s="25" t="n"/>
      <c r="U8222" s="194" t="n"/>
      <c r="AA8222" s="25" t="n"/>
      <c r="AB8222" s="25" t="n"/>
      <c r="AC8222" s="195" t="n"/>
      <c r="AD8222" s="25" t="n"/>
      <c r="AE8222" s="25" t="n"/>
      <c r="AG8222" s="25" t="n"/>
      <c r="AH8222" s="25" t="n"/>
      <c r="AI8222" s="394" t="n"/>
      <c r="AM8222" s="48" t="n"/>
      <c r="AN8222" s="48" t="n"/>
      <c r="AO8222" s="48" t="n"/>
    </row>
    <row r="8223">
      <c r="M8223" s="25" t="n"/>
      <c r="Q8223" s="25" t="n"/>
      <c r="U8223" s="194" t="n"/>
      <c r="AA8223" s="25" t="n"/>
      <c r="AB8223" s="25" t="n"/>
      <c r="AC8223" s="195" t="n"/>
      <c r="AD8223" s="25" t="n"/>
      <c r="AE8223" s="25" t="n"/>
      <c r="AG8223" s="25" t="n"/>
      <c r="AH8223" s="25" t="n"/>
      <c r="AI8223" s="394" t="n"/>
      <c r="AM8223" s="48" t="n"/>
      <c r="AN8223" s="48" t="n"/>
      <c r="AO8223" s="48" t="n"/>
    </row>
    <row r="8224">
      <c r="M8224" s="25" t="n"/>
      <c r="Q8224" s="25" t="n"/>
      <c r="U8224" s="194" t="n"/>
      <c r="AA8224" s="25" t="n"/>
      <c r="AB8224" s="25" t="n"/>
      <c r="AC8224" s="195" t="n"/>
      <c r="AD8224" s="25" t="n"/>
      <c r="AE8224" s="25" t="n"/>
      <c r="AG8224" s="25" t="n"/>
      <c r="AH8224" s="25" t="n"/>
      <c r="AI8224" s="394" t="n"/>
      <c r="AM8224" s="48" t="n"/>
      <c r="AN8224" s="48" t="n"/>
      <c r="AO8224" s="48" t="n"/>
    </row>
    <row r="8225">
      <c r="M8225" s="25" t="n"/>
      <c r="Q8225" s="25" t="n"/>
      <c r="U8225" s="194" t="n"/>
      <c r="AA8225" s="25" t="n"/>
      <c r="AB8225" s="25" t="n"/>
      <c r="AC8225" s="195" t="n"/>
      <c r="AD8225" s="25" t="n"/>
      <c r="AE8225" s="25" t="n"/>
      <c r="AG8225" s="25" t="n"/>
      <c r="AH8225" s="25" t="n"/>
      <c r="AI8225" s="394" t="n"/>
      <c r="AM8225" s="48" t="n"/>
      <c r="AN8225" s="48" t="n"/>
      <c r="AO8225" s="48" t="n"/>
    </row>
    <row r="8226">
      <c r="M8226" s="25" t="n"/>
      <c r="Q8226" s="25" t="n"/>
      <c r="U8226" s="194" t="n"/>
      <c r="AA8226" s="25" t="n"/>
      <c r="AB8226" s="25" t="n"/>
      <c r="AC8226" s="195" t="n"/>
      <c r="AD8226" s="25" t="n"/>
      <c r="AE8226" s="25" t="n"/>
      <c r="AG8226" s="25" t="n"/>
      <c r="AH8226" s="25" t="n"/>
      <c r="AI8226" s="394" t="n"/>
      <c r="AM8226" s="48" t="n"/>
      <c r="AN8226" s="48" t="n"/>
      <c r="AO8226" s="48" t="n"/>
    </row>
    <row r="8227">
      <c r="M8227" s="25" t="n"/>
      <c r="Q8227" s="25" t="n"/>
      <c r="U8227" s="194" t="n"/>
      <c r="AA8227" s="25" t="n"/>
      <c r="AB8227" s="25" t="n"/>
      <c r="AC8227" s="195" t="n"/>
      <c r="AD8227" s="25" t="n"/>
      <c r="AE8227" s="25" t="n"/>
      <c r="AG8227" s="25" t="n"/>
      <c r="AH8227" s="25" t="n"/>
      <c r="AI8227" s="394" t="n"/>
      <c r="AM8227" s="48" t="n"/>
      <c r="AN8227" s="48" t="n"/>
      <c r="AO8227" s="48" t="n"/>
    </row>
    <row r="8228">
      <c r="M8228" s="25" t="n"/>
      <c r="Q8228" s="25" t="n"/>
      <c r="U8228" s="194" t="n"/>
      <c r="AA8228" s="25" t="n"/>
      <c r="AB8228" s="25" t="n"/>
      <c r="AC8228" s="195" t="n"/>
      <c r="AD8228" s="25" t="n"/>
      <c r="AE8228" s="25" t="n"/>
      <c r="AG8228" s="25" t="n"/>
      <c r="AH8228" s="25" t="n"/>
      <c r="AI8228" s="394" t="n"/>
      <c r="AM8228" s="48" t="n"/>
      <c r="AN8228" s="48" t="n"/>
      <c r="AO8228" s="48" t="n"/>
    </row>
    <row r="8229">
      <c r="M8229" s="25" t="n"/>
      <c r="Q8229" s="25" t="n"/>
      <c r="U8229" s="194" t="n"/>
      <c r="AA8229" s="25" t="n"/>
      <c r="AB8229" s="25" t="n"/>
      <c r="AC8229" s="195" t="n"/>
      <c r="AD8229" s="25" t="n"/>
      <c r="AE8229" s="25" t="n"/>
      <c r="AG8229" s="25" t="n"/>
      <c r="AH8229" s="25" t="n"/>
      <c r="AI8229" s="394" t="n"/>
      <c r="AM8229" s="48" t="n"/>
      <c r="AN8229" s="48" t="n"/>
      <c r="AO8229" s="48" t="n"/>
    </row>
    <row r="8230">
      <c r="M8230" s="25" t="n"/>
      <c r="Q8230" s="25" t="n"/>
      <c r="U8230" s="194" t="n"/>
      <c r="AA8230" s="25" t="n"/>
      <c r="AB8230" s="25" t="n"/>
      <c r="AC8230" s="195" t="n"/>
      <c r="AD8230" s="25" t="n"/>
      <c r="AE8230" s="25" t="n"/>
      <c r="AG8230" s="25" t="n"/>
      <c r="AH8230" s="25" t="n"/>
      <c r="AI8230" s="394" t="n"/>
      <c r="AM8230" s="48" t="n"/>
      <c r="AN8230" s="48" t="n"/>
      <c r="AO8230" s="48" t="n"/>
    </row>
    <row r="8231">
      <c r="M8231" s="25" t="n"/>
      <c r="Q8231" s="25" t="n"/>
      <c r="U8231" s="194" t="n"/>
      <c r="AA8231" s="25" t="n"/>
      <c r="AB8231" s="25" t="n"/>
      <c r="AC8231" s="195" t="n"/>
      <c r="AD8231" s="25" t="n"/>
      <c r="AE8231" s="25" t="n"/>
      <c r="AG8231" s="25" t="n"/>
      <c r="AH8231" s="25" t="n"/>
      <c r="AI8231" s="394" t="n"/>
      <c r="AM8231" s="48" t="n"/>
      <c r="AN8231" s="48" t="n"/>
      <c r="AO8231" s="48" t="n"/>
    </row>
    <row r="8232">
      <c r="M8232" s="25" t="n"/>
      <c r="Q8232" s="25" t="n"/>
      <c r="U8232" s="194" t="n"/>
      <c r="AA8232" s="25" t="n"/>
      <c r="AB8232" s="25" t="n"/>
      <c r="AC8232" s="195" t="n"/>
      <c r="AD8232" s="25" t="n"/>
      <c r="AE8232" s="25" t="n"/>
      <c r="AG8232" s="25" t="n"/>
      <c r="AH8232" s="25" t="n"/>
      <c r="AI8232" s="394" t="n"/>
      <c r="AM8232" s="48" t="n"/>
      <c r="AN8232" s="48" t="n"/>
      <c r="AO8232" s="48" t="n"/>
    </row>
    <row r="8233">
      <c r="M8233" s="25" t="n"/>
      <c r="Q8233" s="25" t="n"/>
      <c r="U8233" s="194" t="n"/>
      <c r="AA8233" s="25" t="n"/>
      <c r="AB8233" s="25" t="n"/>
      <c r="AC8233" s="195" t="n"/>
      <c r="AD8233" s="25" t="n"/>
      <c r="AE8233" s="25" t="n"/>
      <c r="AG8233" s="25" t="n"/>
      <c r="AH8233" s="25" t="n"/>
      <c r="AI8233" s="394" t="n"/>
      <c r="AM8233" s="48" t="n"/>
      <c r="AN8233" s="48" t="n"/>
      <c r="AO8233" s="48" t="n"/>
    </row>
    <row r="8234">
      <c r="M8234" s="25" t="n"/>
      <c r="Q8234" s="25" t="n"/>
      <c r="U8234" s="194" t="n"/>
      <c r="AA8234" s="25" t="n"/>
      <c r="AB8234" s="25" t="n"/>
      <c r="AC8234" s="195" t="n"/>
      <c r="AD8234" s="25" t="n"/>
      <c r="AE8234" s="25" t="n"/>
      <c r="AG8234" s="25" t="n"/>
      <c r="AH8234" s="25" t="n"/>
      <c r="AI8234" s="394" t="n"/>
      <c r="AM8234" s="48" t="n"/>
      <c r="AN8234" s="48" t="n"/>
      <c r="AO8234" s="48" t="n"/>
    </row>
    <row r="8235">
      <c r="M8235" s="25" t="n"/>
      <c r="Q8235" s="25" t="n"/>
      <c r="U8235" s="194" t="n"/>
      <c r="AA8235" s="25" t="n"/>
      <c r="AB8235" s="25" t="n"/>
      <c r="AC8235" s="195" t="n"/>
      <c r="AD8235" s="25" t="n"/>
      <c r="AE8235" s="25" t="n"/>
      <c r="AG8235" s="25" t="n"/>
      <c r="AH8235" s="25" t="n"/>
      <c r="AI8235" s="394" t="n"/>
      <c r="AM8235" s="48" t="n"/>
      <c r="AN8235" s="48" t="n"/>
      <c r="AO8235" s="48" t="n"/>
    </row>
    <row r="8236">
      <c r="M8236" s="25" t="n"/>
      <c r="Q8236" s="25" t="n"/>
      <c r="U8236" s="194" t="n"/>
      <c r="AA8236" s="25" t="n"/>
      <c r="AB8236" s="25" t="n"/>
      <c r="AC8236" s="195" t="n"/>
      <c r="AD8236" s="25" t="n"/>
      <c r="AE8236" s="25" t="n"/>
      <c r="AG8236" s="25" t="n"/>
      <c r="AH8236" s="25" t="n"/>
      <c r="AI8236" s="394" t="n"/>
      <c r="AM8236" s="48" t="n"/>
      <c r="AN8236" s="48" t="n"/>
      <c r="AO8236" s="48" t="n"/>
    </row>
    <row r="8237">
      <c r="M8237" s="25" t="n"/>
      <c r="Q8237" s="25" t="n"/>
      <c r="U8237" s="194" t="n"/>
      <c r="AA8237" s="25" t="n"/>
      <c r="AB8237" s="25" t="n"/>
      <c r="AC8237" s="195" t="n"/>
      <c r="AD8237" s="25" t="n"/>
      <c r="AE8237" s="25" t="n"/>
      <c r="AG8237" s="25" t="n"/>
      <c r="AH8237" s="25" t="n"/>
      <c r="AI8237" s="394" t="n"/>
      <c r="AM8237" s="48" t="n"/>
      <c r="AN8237" s="48" t="n"/>
      <c r="AO8237" s="48" t="n"/>
    </row>
    <row r="8238">
      <c r="M8238" s="25" t="n"/>
      <c r="Q8238" s="25" t="n"/>
      <c r="U8238" s="194" t="n"/>
      <c r="AA8238" s="25" t="n"/>
      <c r="AB8238" s="25" t="n"/>
      <c r="AC8238" s="195" t="n"/>
      <c r="AD8238" s="25" t="n"/>
      <c r="AE8238" s="25" t="n"/>
      <c r="AG8238" s="25" t="n"/>
      <c r="AH8238" s="25" t="n"/>
      <c r="AI8238" s="394" t="n"/>
      <c r="AM8238" s="48" t="n"/>
      <c r="AN8238" s="48" t="n"/>
      <c r="AO8238" s="48" t="n"/>
    </row>
    <row r="8239">
      <c r="M8239" s="25" t="n"/>
      <c r="Q8239" s="25" t="n"/>
      <c r="U8239" s="194" t="n"/>
      <c r="AA8239" s="25" t="n"/>
      <c r="AB8239" s="25" t="n"/>
      <c r="AC8239" s="195" t="n"/>
      <c r="AD8239" s="25" t="n"/>
      <c r="AE8239" s="25" t="n"/>
      <c r="AG8239" s="25" t="n"/>
      <c r="AH8239" s="25" t="n"/>
      <c r="AI8239" s="394" t="n"/>
      <c r="AM8239" s="48" t="n"/>
      <c r="AN8239" s="48" t="n"/>
      <c r="AO8239" s="48" t="n"/>
    </row>
    <row r="8240">
      <c r="M8240" s="25" t="n"/>
      <c r="Q8240" s="25" t="n"/>
      <c r="U8240" s="194" t="n"/>
      <c r="AA8240" s="25" t="n"/>
      <c r="AB8240" s="25" t="n"/>
      <c r="AC8240" s="195" t="n"/>
      <c r="AD8240" s="25" t="n"/>
      <c r="AE8240" s="25" t="n"/>
      <c r="AG8240" s="25" t="n"/>
      <c r="AH8240" s="25" t="n"/>
      <c r="AI8240" s="394" t="n"/>
      <c r="AM8240" s="48" t="n"/>
      <c r="AN8240" s="48" t="n"/>
      <c r="AO8240" s="48" t="n"/>
    </row>
    <row r="8241">
      <c r="M8241" s="25" t="n"/>
      <c r="Q8241" s="25" t="n"/>
      <c r="U8241" s="194" t="n"/>
      <c r="AA8241" s="25" t="n"/>
      <c r="AB8241" s="25" t="n"/>
      <c r="AC8241" s="195" t="n"/>
      <c r="AD8241" s="25" t="n"/>
      <c r="AE8241" s="25" t="n"/>
      <c r="AG8241" s="25" t="n"/>
      <c r="AH8241" s="25" t="n"/>
      <c r="AI8241" s="394" t="n"/>
      <c r="AM8241" s="48" t="n"/>
      <c r="AN8241" s="48" t="n"/>
      <c r="AO8241" s="48" t="n"/>
    </row>
    <row r="8242">
      <c r="M8242" s="25" t="n"/>
      <c r="Q8242" s="25" t="n"/>
      <c r="U8242" s="194" t="n"/>
      <c r="AA8242" s="25" t="n"/>
      <c r="AB8242" s="25" t="n"/>
      <c r="AC8242" s="195" t="n"/>
      <c r="AD8242" s="25" t="n"/>
      <c r="AE8242" s="25" t="n"/>
      <c r="AG8242" s="25" t="n"/>
      <c r="AH8242" s="25" t="n"/>
      <c r="AI8242" s="394" t="n"/>
      <c r="AM8242" s="48" t="n"/>
      <c r="AN8242" s="48" t="n"/>
      <c r="AO8242" s="48" t="n"/>
    </row>
    <row r="8243">
      <c r="M8243" s="25" t="n"/>
      <c r="Q8243" s="25" t="n"/>
      <c r="U8243" s="194" t="n"/>
      <c r="AA8243" s="25" t="n"/>
      <c r="AB8243" s="25" t="n"/>
      <c r="AC8243" s="195" t="n"/>
      <c r="AD8243" s="25" t="n"/>
      <c r="AE8243" s="25" t="n"/>
      <c r="AG8243" s="25" t="n"/>
      <c r="AH8243" s="25" t="n"/>
      <c r="AI8243" s="394" t="n"/>
      <c r="AM8243" s="48" t="n"/>
      <c r="AN8243" s="48" t="n"/>
      <c r="AO8243" s="48" t="n"/>
    </row>
    <row r="8244">
      <c r="M8244" s="25" t="n"/>
      <c r="Q8244" s="25" t="n"/>
      <c r="U8244" s="194" t="n"/>
      <c r="AA8244" s="25" t="n"/>
      <c r="AB8244" s="25" t="n"/>
      <c r="AC8244" s="195" t="n"/>
      <c r="AD8244" s="25" t="n"/>
      <c r="AE8244" s="25" t="n"/>
      <c r="AG8244" s="25" t="n"/>
      <c r="AH8244" s="25" t="n"/>
      <c r="AI8244" s="394" t="n"/>
      <c r="AM8244" s="48" t="n"/>
      <c r="AN8244" s="48" t="n"/>
      <c r="AO8244" s="48" t="n"/>
    </row>
    <row r="8245">
      <c r="M8245" s="25" t="n"/>
      <c r="Q8245" s="25" t="n"/>
      <c r="U8245" s="194" t="n"/>
      <c r="AA8245" s="25" t="n"/>
      <c r="AB8245" s="25" t="n"/>
      <c r="AC8245" s="195" t="n"/>
      <c r="AD8245" s="25" t="n"/>
      <c r="AE8245" s="25" t="n"/>
      <c r="AG8245" s="25" t="n"/>
      <c r="AH8245" s="25" t="n"/>
      <c r="AI8245" s="394" t="n"/>
      <c r="AM8245" s="48" t="n"/>
      <c r="AN8245" s="48" t="n"/>
      <c r="AO8245" s="48" t="n"/>
    </row>
    <row r="8246">
      <c r="M8246" s="25" t="n"/>
      <c r="Q8246" s="25" t="n"/>
      <c r="U8246" s="194" t="n"/>
      <c r="AA8246" s="25" t="n"/>
      <c r="AB8246" s="25" t="n"/>
      <c r="AC8246" s="195" t="n"/>
      <c r="AD8246" s="25" t="n"/>
      <c r="AE8246" s="25" t="n"/>
      <c r="AG8246" s="25" t="n"/>
      <c r="AH8246" s="25" t="n"/>
      <c r="AI8246" s="394" t="n"/>
      <c r="AM8246" s="48" t="n"/>
      <c r="AN8246" s="48" t="n"/>
      <c r="AO8246" s="48" t="n"/>
    </row>
    <row r="8247">
      <c r="M8247" s="25" t="n"/>
      <c r="Q8247" s="25" t="n"/>
      <c r="U8247" s="194" t="n"/>
      <c r="AA8247" s="25" t="n"/>
      <c r="AB8247" s="25" t="n"/>
      <c r="AC8247" s="195" t="n"/>
      <c r="AD8247" s="25" t="n"/>
      <c r="AE8247" s="25" t="n"/>
      <c r="AG8247" s="25" t="n"/>
      <c r="AH8247" s="25" t="n"/>
      <c r="AI8247" s="394" t="n"/>
      <c r="AM8247" s="48" t="n"/>
      <c r="AN8247" s="48" t="n"/>
      <c r="AO8247" s="48" t="n"/>
    </row>
    <row r="8248">
      <c r="M8248" s="25" t="n"/>
      <c r="Q8248" s="25" t="n"/>
      <c r="U8248" s="194" t="n"/>
      <c r="AA8248" s="25" t="n"/>
      <c r="AB8248" s="25" t="n"/>
      <c r="AC8248" s="195" t="n"/>
      <c r="AD8248" s="25" t="n"/>
      <c r="AE8248" s="25" t="n"/>
      <c r="AG8248" s="25" t="n"/>
      <c r="AH8248" s="25" t="n"/>
      <c r="AI8248" s="394" t="n"/>
      <c r="AM8248" s="48" t="n"/>
      <c r="AN8248" s="48" t="n"/>
      <c r="AO8248" s="48" t="n"/>
    </row>
    <row r="8249">
      <c r="M8249" s="25" t="n"/>
      <c r="Q8249" s="25" t="n"/>
      <c r="U8249" s="194" t="n"/>
      <c r="AA8249" s="25" t="n"/>
      <c r="AB8249" s="25" t="n"/>
      <c r="AC8249" s="195" t="n"/>
      <c r="AD8249" s="25" t="n"/>
      <c r="AE8249" s="25" t="n"/>
      <c r="AG8249" s="25" t="n"/>
      <c r="AH8249" s="25" t="n"/>
      <c r="AI8249" s="394" t="n"/>
      <c r="AM8249" s="48" t="n"/>
      <c r="AN8249" s="48" t="n"/>
      <c r="AO8249" s="48" t="n"/>
    </row>
    <row r="8250">
      <c r="M8250" s="25" t="n"/>
      <c r="Q8250" s="25" t="n"/>
      <c r="U8250" s="194" t="n"/>
      <c r="AA8250" s="25" t="n"/>
      <c r="AB8250" s="25" t="n"/>
      <c r="AC8250" s="195" t="n"/>
      <c r="AD8250" s="25" t="n"/>
      <c r="AE8250" s="25" t="n"/>
      <c r="AG8250" s="25" t="n"/>
      <c r="AH8250" s="25" t="n"/>
      <c r="AI8250" s="394" t="n"/>
      <c r="AM8250" s="48" t="n"/>
      <c r="AN8250" s="48" t="n"/>
      <c r="AO8250" s="48" t="n"/>
    </row>
    <row r="8251">
      <c r="M8251" s="25" t="n"/>
      <c r="Q8251" s="25" t="n"/>
      <c r="U8251" s="194" t="n"/>
      <c r="AA8251" s="25" t="n"/>
      <c r="AB8251" s="25" t="n"/>
      <c r="AC8251" s="195" t="n"/>
      <c r="AD8251" s="25" t="n"/>
      <c r="AE8251" s="25" t="n"/>
      <c r="AG8251" s="25" t="n"/>
      <c r="AH8251" s="25" t="n"/>
      <c r="AI8251" s="394" t="n"/>
      <c r="AM8251" s="48" t="n"/>
      <c r="AN8251" s="48" t="n"/>
      <c r="AO8251" s="48" t="n"/>
    </row>
    <row r="8252">
      <c r="M8252" s="25" t="n"/>
      <c r="Q8252" s="25" t="n"/>
      <c r="U8252" s="194" t="n"/>
      <c r="AA8252" s="25" t="n"/>
      <c r="AB8252" s="25" t="n"/>
      <c r="AC8252" s="195" t="n"/>
      <c r="AD8252" s="25" t="n"/>
      <c r="AE8252" s="25" t="n"/>
      <c r="AG8252" s="25" t="n"/>
      <c r="AH8252" s="25" t="n"/>
      <c r="AI8252" s="394" t="n"/>
      <c r="AM8252" s="48" t="n"/>
      <c r="AN8252" s="48" t="n"/>
      <c r="AO8252" s="48" t="n"/>
    </row>
    <row r="8253">
      <c r="M8253" s="25" t="n"/>
      <c r="Q8253" s="25" t="n"/>
      <c r="U8253" s="194" t="n"/>
      <c r="AA8253" s="25" t="n"/>
      <c r="AB8253" s="25" t="n"/>
      <c r="AC8253" s="195" t="n"/>
      <c r="AD8253" s="25" t="n"/>
      <c r="AE8253" s="25" t="n"/>
      <c r="AG8253" s="25" t="n"/>
      <c r="AH8253" s="25" t="n"/>
      <c r="AI8253" s="394" t="n"/>
      <c r="AM8253" s="48" t="n"/>
      <c r="AN8253" s="48" t="n"/>
      <c r="AO8253" s="48" t="n"/>
    </row>
    <row r="8254">
      <c r="M8254" s="25" t="n"/>
      <c r="Q8254" s="25" t="n"/>
      <c r="U8254" s="194" t="n"/>
      <c r="AA8254" s="25" t="n"/>
      <c r="AB8254" s="25" t="n"/>
      <c r="AC8254" s="195" t="n"/>
      <c r="AD8254" s="25" t="n"/>
      <c r="AE8254" s="25" t="n"/>
      <c r="AG8254" s="25" t="n"/>
      <c r="AH8254" s="25" t="n"/>
      <c r="AI8254" s="394" t="n"/>
      <c r="AM8254" s="48" t="n"/>
      <c r="AN8254" s="48" t="n"/>
      <c r="AO8254" s="48" t="n"/>
    </row>
    <row r="8255">
      <c r="M8255" s="25" t="n"/>
      <c r="Q8255" s="25" t="n"/>
      <c r="U8255" s="194" t="n"/>
      <c r="AA8255" s="25" t="n"/>
      <c r="AB8255" s="25" t="n"/>
      <c r="AC8255" s="195" t="n"/>
      <c r="AD8255" s="25" t="n"/>
      <c r="AE8255" s="25" t="n"/>
      <c r="AG8255" s="25" t="n"/>
      <c r="AH8255" s="25" t="n"/>
      <c r="AI8255" s="394" t="n"/>
      <c r="AM8255" s="48" t="n"/>
      <c r="AN8255" s="48" t="n"/>
      <c r="AO8255" s="48" t="n"/>
    </row>
    <row r="8256">
      <c r="M8256" s="25" t="n"/>
      <c r="Q8256" s="25" t="n"/>
      <c r="U8256" s="194" t="n"/>
      <c r="AA8256" s="25" t="n"/>
      <c r="AB8256" s="25" t="n"/>
      <c r="AC8256" s="195" t="n"/>
      <c r="AD8256" s="25" t="n"/>
      <c r="AE8256" s="25" t="n"/>
      <c r="AG8256" s="25" t="n"/>
      <c r="AH8256" s="25" t="n"/>
      <c r="AI8256" s="394" t="n"/>
      <c r="AM8256" s="48" t="n"/>
      <c r="AN8256" s="48" t="n"/>
      <c r="AO8256" s="48" t="n"/>
    </row>
    <row r="8257">
      <c r="M8257" s="25" t="n"/>
      <c r="Q8257" s="25" t="n"/>
      <c r="U8257" s="194" t="n"/>
      <c r="AA8257" s="25" t="n"/>
      <c r="AB8257" s="25" t="n"/>
      <c r="AC8257" s="195" t="n"/>
      <c r="AD8257" s="25" t="n"/>
      <c r="AE8257" s="25" t="n"/>
      <c r="AG8257" s="25" t="n"/>
      <c r="AH8257" s="25" t="n"/>
      <c r="AI8257" s="394" t="n"/>
      <c r="AM8257" s="48" t="n"/>
      <c r="AN8257" s="48" t="n"/>
      <c r="AO8257" s="48" t="n"/>
    </row>
    <row r="8258">
      <c r="M8258" s="25" t="n"/>
      <c r="Q8258" s="25" t="n"/>
      <c r="U8258" s="194" t="n"/>
      <c r="AA8258" s="25" t="n"/>
      <c r="AB8258" s="25" t="n"/>
      <c r="AC8258" s="195" t="n"/>
      <c r="AD8258" s="25" t="n"/>
      <c r="AE8258" s="25" t="n"/>
      <c r="AG8258" s="25" t="n"/>
      <c r="AH8258" s="25" t="n"/>
      <c r="AI8258" s="394" t="n"/>
      <c r="AM8258" s="48" t="n"/>
      <c r="AN8258" s="48" t="n"/>
      <c r="AO8258" s="48" t="n"/>
    </row>
    <row r="8259">
      <c r="M8259" s="25" t="n"/>
      <c r="Q8259" s="25" t="n"/>
      <c r="U8259" s="194" t="n"/>
      <c r="AA8259" s="25" t="n"/>
      <c r="AB8259" s="25" t="n"/>
      <c r="AC8259" s="195" t="n"/>
      <c r="AD8259" s="25" t="n"/>
      <c r="AE8259" s="25" t="n"/>
      <c r="AG8259" s="25" t="n"/>
      <c r="AH8259" s="25" t="n"/>
      <c r="AI8259" s="394" t="n"/>
      <c r="AM8259" s="48" t="n"/>
      <c r="AN8259" s="48" t="n"/>
      <c r="AO8259" s="48" t="n"/>
    </row>
    <row r="8260">
      <c r="M8260" s="25" t="n"/>
      <c r="Q8260" s="25" t="n"/>
      <c r="U8260" s="194" t="n"/>
      <c r="AA8260" s="25" t="n"/>
      <c r="AB8260" s="25" t="n"/>
      <c r="AC8260" s="195" t="n"/>
      <c r="AD8260" s="25" t="n"/>
      <c r="AE8260" s="25" t="n"/>
      <c r="AG8260" s="25" t="n"/>
      <c r="AH8260" s="25" t="n"/>
      <c r="AI8260" s="394" t="n"/>
      <c r="AM8260" s="48" t="n"/>
      <c r="AN8260" s="48" t="n"/>
      <c r="AO8260" s="48" t="n"/>
    </row>
    <row r="8261">
      <c r="M8261" s="25" t="n"/>
      <c r="Q8261" s="25" t="n"/>
      <c r="U8261" s="194" t="n"/>
      <c r="AA8261" s="25" t="n"/>
      <c r="AB8261" s="25" t="n"/>
      <c r="AC8261" s="195" t="n"/>
      <c r="AD8261" s="25" t="n"/>
      <c r="AE8261" s="25" t="n"/>
      <c r="AG8261" s="25" t="n"/>
      <c r="AH8261" s="25" t="n"/>
      <c r="AI8261" s="394" t="n"/>
      <c r="AM8261" s="48" t="n"/>
      <c r="AN8261" s="48" t="n"/>
      <c r="AO8261" s="48" t="n"/>
    </row>
    <row r="8262">
      <c r="M8262" s="25" t="n"/>
      <c r="Q8262" s="25" t="n"/>
      <c r="U8262" s="194" t="n"/>
      <c r="AA8262" s="25" t="n"/>
      <c r="AB8262" s="25" t="n"/>
      <c r="AC8262" s="195" t="n"/>
      <c r="AD8262" s="25" t="n"/>
      <c r="AE8262" s="25" t="n"/>
      <c r="AG8262" s="25" t="n"/>
      <c r="AH8262" s="25" t="n"/>
      <c r="AI8262" s="394" t="n"/>
      <c r="AM8262" s="48" t="n"/>
      <c r="AN8262" s="48" t="n"/>
      <c r="AO8262" s="48" t="n"/>
    </row>
    <row r="8263">
      <c r="M8263" s="25" t="n"/>
      <c r="Q8263" s="25" t="n"/>
      <c r="U8263" s="194" t="n"/>
      <c r="AA8263" s="25" t="n"/>
      <c r="AB8263" s="25" t="n"/>
      <c r="AC8263" s="195" t="n"/>
      <c r="AD8263" s="25" t="n"/>
      <c r="AE8263" s="25" t="n"/>
      <c r="AG8263" s="25" t="n"/>
      <c r="AH8263" s="25" t="n"/>
      <c r="AI8263" s="394" t="n"/>
      <c r="AM8263" s="48" t="n"/>
      <c r="AN8263" s="48" t="n"/>
      <c r="AO8263" s="48" t="n"/>
    </row>
    <row r="8264">
      <c r="M8264" s="25" t="n"/>
      <c r="Q8264" s="25" t="n"/>
      <c r="U8264" s="194" t="n"/>
      <c r="AA8264" s="25" t="n"/>
      <c r="AB8264" s="25" t="n"/>
      <c r="AC8264" s="195" t="n"/>
      <c r="AD8264" s="25" t="n"/>
      <c r="AE8264" s="25" t="n"/>
      <c r="AG8264" s="25" t="n"/>
      <c r="AH8264" s="25" t="n"/>
      <c r="AI8264" s="394" t="n"/>
      <c r="AM8264" s="48" t="n"/>
      <c r="AN8264" s="48" t="n"/>
      <c r="AO8264" s="48" t="n"/>
    </row>
    <row r="8265">
      <c r="M8265" s="25" t="n"/>
      <c r="Q8265" s="25" t="n"/>
      <c r="U8265" s="194" t="n"/>
      <c r="AA8265" s="25" t="n"/>
      <c r="AB8265" s="25" t="n"/>
      <c r="AC8265" s="195" t="n"/>
      <c r="AD8265" s="25" t="n"/>
      <c r="AE8265" s="25" t="n"/>
      <c r="AG8265" s="25" t="n"/>
      <c r="AH8265" s="25" t="n"/>
      <c r="AI8265" s="394" t="n"/>
      <c r="AM8265" s="48" t="n"/>
      <c r="AN8265" s="48" t="n"/>
      <c r="AO8265" s="48" t="n"/>
    </row>
    <row r="8266">
      <c r="M8266" s="25" t="n"/>
      <c r="Q8266" s="25" t="n"/>
      <c r="U8266" s="194" t="n"/>
      <c r="AA8266" s="25" t="n"/>
      <c r="AB8266" s="25" t="n"/>
      <c r="AC8266" s="195" t="n"/>
      <c r="AD8266" s="25" t="n"/>
      <c r="AE8266" s="25" t="n"/>
      <c r="AG8266" s="25" t="n"/>
      <c r="AH8266" s="25" t="n"/>
      <c r="AI8266" s="394" t="n"/>
      <c r="AM8266" s="48" t="n"/>
      <c r="AN8266" s="48" t="n"/>
      <c r="AO8266" s="48" t="n"/>
    </row>
    <row r="8267">
      <c r="M8267" s="25" t="n"/>
      <c r="Q8267" s="25" t="n"/>
      <c r="U8267" s="194" t="n"/>
      <c r="AA8267" s="25" t="n"/>
      <c r="AB8267" s="25" t="n"/>
      <c r="AC8267" s="195" t="n"/>
      <c r="AD8267" s="25" t="n"/>
      <c r="AE8267" s="25" t="n"/>
      <c r="AG8267" s="25" t="n"/>
      <c r="AH8267" s="25" t="n"/>
      <c r="AI8267" s="394" t="n"/>
      <c r="AM8267" s="48" t="n"/>
      <c r="AN8267" s="48" t="n"/>
      <c r="AO8267" s="48" t="n"/>
    </row>
    <row r="8268">
      <c r="M8268" s="25" t="n"/>
      <c r="Q8268" s="25" t="n"/>
      <c r="U8268" s="194" t="n"/>
      <c r="AA8268" s="25" t="n"/>
      <c r="AB8268" s="25" t="n"/>
      <c r="AC8268" s="195" t="n"/>
      <c r="AD8268" s="25" t="n"/>
      <c r="AE8268" s="25" t="n"/>
      <c r="AG8268" s="25" t="n"/>
      <c r="AH8268" s="25" t="n"/>
      <c r="AI8268" s="394" t="n"/>
      <c r="AM8268" s="48" t="n"/>
      <c r="AN8268" s="48" t="n"/>
      <c r="AO8268" s="48" t="n"/>
    </row>
    <row r="8269">
      <c r="M8269" s="25" t="n"/>
      <c r="Q8269" s="25" t="n"/>
      <c r="U8269" s="194" t="n"/>
      <c r="AA8269" s="25" t="n"/>
      <c r="AB8269" s="25" t="n"/>
      <c r="AC8269" s="195" t="n"/>
      <c r="AD8269" s="25" t="n"/>
      <c r="AE8269" s="25" t="n"/>
      <c r="AG8269" s="25" t="n"/>
      <c r="AH8269" s="25" t="n"/>
      <c r="AI8269" s="394" t="n"/>
      <c r="AM8269" s="48" t="n"/>
      <c r="AN8269" s="48" t="n"/>
      <c r="AO8269" s="48" t="n"/>
    </row>
    <row r="8270">
      <c r="M8270" s="25" t="n"/>
      <c r="Q8270" s="25" t="n"/>
      <c r="U8270" s="194" t="n"/>
      <c r="AA8270" s="25" t="n"/>
      <c r="AB8270" s="25" t="n"/>
      <c r="AC8270" s="195" t="n"/>
      <c r="AD8270" s="25" t="n"/>
      <c r="AE8270" s="25" t="n"/>
      <c r="AG8270" s="25" t="n"/>
      <c r="AH8270" s="25" t="n"/>
      <c r="AI8270" s="394" t="n"/>
      <c r="AM8270" s="48" t="n"/>
      <c r="AN8270" s="48" t="n"/>
      <c r="AO8270" s="48" t="n"/>
    </row>
    <row r="8271">
      <c r="M8271" s="25" t="n"/>
      <c r="Q8271" s="25" t="n"/>
      <c r="U8271" s="194" t="n"/>
      <c r="AA8271" s="25" t="n"/>
      <c r="AB8271" s="25" t="n"/>
      <c r="AC8271" s="195" t="n"/>
      <c r="AD8271" s="25" t="n"/>
      <c r="AE8271" s="25" t="n"/>
      <c r="AG8271" s="25" t="n"/>
      <c r="AH8271" s="25" t="n"/>
      <c r="AI8271" s="394" t="n"/>
      <c r="AM8271" s="48" t="n"/>
      <c r="AN8271" s="48" t="n"/>
      <c r="AO8271" s="48" t="n"/>
    </row>
    <row r="8272">
      <c r="M8272" s="25" t="n"/>
      <c r="Q8272" s="25" t="n"/>
      <c r="U8272" s="194" t="n"/>
      <c r="AA8272" s="25" t="n"/>
      <c r="AB8272" s="25" t="n"/>
      <c r="AC8272" s="195" t="n"/>
      <c r="AD8272" s="25" t="n"/>
      <c r="AE8272" s="25" t="n"/>
      <c r="AG8272" s="25" t="n"/>
      <c r="AH8272" s="25" t="n"/>
      <c r="AI8272" s="394" t="n"/>
      <c r="AM8272" s="48" t="n"/>
      <c r="AN8272" s="48" t="n"/>
      <c r="AO8272" s="48" t="n"/>
    </row>
    <row r="8273">
      <c r="M8273" s="25" t="n"/>
      <c r="Q8273" s="25" t="n"/>
      <c r="U8273" s="194" t="n"/>
      <c r="AA8273" s="25" t="n"/>
      <c r="AB8273" s="25" t="n"/>
      <c r="AC8273" s="195" t="n"/>
      <c r="AD8273" s="25" t="n"/>
      <c r="AE8273" s="25" t="n"/>
      <c r="AG8273" s="25" t="n"/>
      <c r="AH8273" s="25" t="n"/>
      <c r="AI8273" s="394" t="n"/>
      <c r="AM8273" s="48" t="n"/>
      <c r="AN8273" s="48" t="n"/>
      <c r="AO8273" s="48" t="n"/>
    </row>
    <row r="8274">
      <c r="M8274" s="25" t="n"/>
      <c r="Q8274" s="25" t="n"/>
      <c r="U8274" s="194" t="n"/>
      <c r="AA8274" s="25" t="n"/>
      <c r="AB8274" s="25" t="n"/>
      <c r="AC8274" s="195" t="n"/>
      <c r="AD8274" s="25" t="n"/>
      <c r="AE8274" s="25" t="n"/>
      <c r="AG8274" s="25" t="n"/>
      <c r="AH8274" s="25" t="n"/>
      <c r="AI8274" s="394" t="n"/>
      <c r="AM8274" s="48" t="n"/>
      <c r="AN8274" s="48" t="n"/>
      <c r="AO8274" s="48" t="n"/>
    </row>
    <row r="8275">
      <c r="M8275" s="25" t="n"/>
      <c r="Q8275" s="25" t="n"/>
      <c r="U8275" s="194" t="n"/>
      <c r="AA8275" s="25" t="n"/>
      <c r="AB8275" s="25" t="n"/>
      <c r="AC8275" s="195" t="n"/>
      <c r="AD8275" s="25" t="n"/>
      <c r="AE8275" s="25" t="n"/>
      <c r="AG8275" s="25" t="n"/>
      <c r="AH8275" s="25" t="n"/>
      <c r="AI8275" s="394" t="n"/>
      <c r="AM8275" s="48" t="n"/>
      <c r="AN8275" s="48" t="n"/>
      <c r="AO8275" s="48" t="n"/>
    </row>
    <row r="8276">
      <c r="M8276" s="25" t="n"/>
      <c r="Q8276" s="25" t="n"/>
      <c r="U8276" s="194" t="n"/>
      <c r="AA8276" s="25" t="n"/>
      <c r="AB8276" s="25" t="n"/>
      <c r="AC8276" s="195" t="n"/>
      <c r="AD8276" s="25" t="n"/>
      <c r="AE8276" s="25" t="n"/>
      <c r="AG8276" s="25" t="n"/>
      <c r="AH8276" s="25" t="n"/>
      <c r="AI8276" s="394" t="n"/>
      <c r="AM8276" s="48" t="n"/>
      <c r="AN8276" s="48" t="n"/>
      <c r="AO8276" s="48" t="n"/>
    </row>
    <row r="8277">
      <c r="M8277" s="25" t="n"/>
      <c r="Q8277" s="25" t="n"/>
      <c r="U8277" s="194" t="n"/>
      <c r="AA8277" s="25" t="n"/>
      <c r="AB8277" s="25" t="n"/>
      <c r="AC8277" s="195" t="n"/>
      <c r="AD8277" s="25" t="n"/>
      <c r="AE8277" s="25" t="n"/>
      <c r="AG8277" s="25" t="n"/>
      <c r="AH8277" s="25" t="n"/>
      <c r="AI8277" s="394" t="n"/>
      <c r="AM8277" s="48" t="n"/>
      <c r="AN8277" s="48" t="n"/>
      <c r="AO8277" s="48" t="n"/>
    </row>
    <row r="8278">
      <c r="M8278" s="25" t="n"/>
      <c r="Q8278" s="25" t="n"/>
      <c r="U8278" s="194" t="n"/>
      <c r="AA8278" s="25" t="n"/>
      <c r="AB8278" s="25" t="n"/>
      <c r="AC8278" s="195" t="n"/>
      <c r="AD8278" s="25" t="n"/>
      <c r="AE8278" s="25" t="n"/>
      <c r="AG8278" s="25" t="n"/>
      <c r="AH8278" s="25" t="n"/>
      <c r="AI8278" s="394" t="n"/>
      <c r="AM8278" s="48" t="n"/>
      <c r="AN8278" s="48" t="n"/>
      <c r="AO8278" s="48" t="n"/>
    </row>
    <row r="8279">
      <c r="M8279" s="25" t="n"/>
      <c r="Q8279" s="25" t="n"/>
      <c r="U8279" s="194" t="n"/>
      <c r="AA8279" s="25" t="n"/>
      <c r="AB8279" s="25" t="n"/>
      <c r="AC8279" s="195" t="n"/>
      <c r="AD8279" s="25" t="n"/>
      <c r="AE8279" s="25" t="n"/>
      <c r="AG8279" s="25" t="n"/>
      <c r="AH8279" s="25" t="n"/>
      <c r="AI8279" s="394" t="n"/>
      <c r="AM8279" s="48" t="n"/>
      <c r="AN8279" s="48" t="n"/>
      <c r="AO8279" s="48" t="n"/>
    </row>
    <row r="8280">
      <c r="M8280" s="25" t="n"/>
      <c r="Q8280" s="25" t="n"/>
      <c r="U8280" s="194" t="n"/>
      <c r="AA8280" s="25" t="n"/>
      <c r="AB8280" s="25" t="n"/>
      <c r="AC8280" s="195" t="n"/>
      <c r="AD8280" s="25" t="n"/>
      <c r="AE8280" s="25" t="n"/>
      <c r="AG8280" s="25" t="n"/>
      <c r="AH8280" s="25" t="n"/>
      <c r="AI8280" s="394" t="n"/>
      <c r="AM8280" s="48" t="n"/>
      <c r="AN8280" s="48" t="n"/>
      <c r="AO8280" s="48" t="n"/>
    </row>
    <row r="8281">
      <c r="M8281" s="25" t="n"/>
      <c r="Q8281" s="25" t="n"/>
      <c r="U8281" s="194" t="n"/>
      <c r="AA8281" s="25" t="n"/>
      <c r="AB8281" s="25" t="n"/>
      <c r="AC8281" s="195" t="n"/>
      <c r="AD8281" s="25" t="n"/>
      <c r="AE8281" s="25" t="n"/>
      <c r="AG8281" s="25" t="n"/>
      <c r="AH8281" s="25" t="n"/>
      <c r="AI8281" s="394" t="n"/>
      <c r="AM8281" s="48" t="n"/>
      <c r="AN8281" s="48" t="n"/>
      <c r="AO8281" s="48" t="n"/>
    </row>
    <row r="8282">
      <c r="M8282" s="25" t="n"/>
      <c r="Q8282" s="25" t="n"/>
      <c r="U8282" s="194" t="n"/>
      <c r="AA8282" s="25" t="n"/>
      <c r="AB8282" s="25" t="n"/>
      <c r="AC8282" s="195" t="n"/>
      <c r="AD8282" s="25" t="n"/>
      <c r="AE8282" s="25" t="n"/>
      <c r="AG8282" s="25" t="n"/>
      <c r="AH8282" s="25" t="n"/>
      <c r="AI8282" s="394" t="n"/>
      <c r="AM8282" s="48" t="n"/>
      <c r="AN8282" s="48" t="n"/>
      <c r="AO8282" s="48" t="n"/>
    </row>
    <row r="8283">
      <c r="M8283" s="25" t="n"/>
      <c r="Q8283" s="25" t="n"/>
      <c r="U8283" s="194" t="n"/>
      <c r="AA8283" s="25" t="n"/>
      <c r="AB8283" s="25" t="n"/>
      <c r="AC8283" s="195" t="n"/>
      <c r="AD8283" s="25" t="n"/>
      <c r="AE8283" s="25" t="n"/>
      <c r="AG8283" s="25" t="n"/>
      <c r="AH8283" s="25" t="n"/>
      <c r="AI8283" s="394" t="n"/>
      <c r="AM8283" s="48" t="n"/>
      <c r="AN8283" s="48" t="n"/>
      <c r="AO8283" s="48" t="n"/>
    </row>
    <row r="8284">
      <c r="M8284" s="25" t="n"/>
      <c r="Q8284" s="25" t="n"/>
      <c r="U8284" s="194" t="n"/>
      <c r="AA8284" s="25" t="n"/>
      <c r="AB8284" s="25" t="n"/>
      <c r="AC8284" s="195" t="n"/>
      <c r="AD8284" s="25" t="n"/>
      <c r="AE8284" s="25" t="n"/>
      <c r="AG8284" s="25" t="n"/>
      <c r="AH8284" s="25" t="n"/>
      <c r="AI8284" s="394" t="n"/>
      <c r="AM8284" s="48" t="n"/>
      <c r="AN8284" s="48" t="n"/>
      <c r="AO8284" s="48" t="n"/>
    </row>
    <row r="8285">
      <c r="M8285" s="25" t="n"/>
      <c r="Q8285" s="25" t="n"/>
      <c r="U8285" s="194" t="n"/>
      <c r="AA8285" s="25" t="n"/>
      <c r="AB8285" s="25" t="n"/>
      <c r="AC8285" s="195" t="n"/>
      <c r="AD8285" s="25" t="n"/>
      <c r="AE8285" s="25" t="n"/>
      <c r="AG8285" s="25" t="n"/>
      <c r="AH8285" s="25" t="n"/>
      <c r="AI8285" s="394" t="n"/>
      <c r="AM8285" s="48" t="n"/>
      <c r="AN8285" s="48" t="n"/>
      <c r="AO8285" s="48" t="n"/>
    </row>
    <row r="8286">
      <c r="M8286" s="25" t="n"/>
      <c r="Q8286" s="25" t="n"/>
      <c r="U8286" s="194" t="n"/>
      <c r="AA8286" s="25" t="n"/>
      <c r="AB8286" s="25" t="n"/>
      <c r="AC8286" s="195" t="n"/>
      <c r="AD8286" s="25" t="n"/>
      <c r="AE8286" s="25" t="n"/>
      <c r="AG8286" s="25" t="n"/>
      <c r="AH8286" s="25" t="n"/>
      <c r="AI8286" s="394" t="n"/>
      <c r="AM8286" s="48" t="n"/>
      <c r="AN8286" s="48" t="n"/>
      <c r="AO8286" s="48" t="n"/>
    </row>
    <row r="8287">
      <c r="M8287" s="25" t="n"/>
      <c r="Q8287" s="25" t="n"/>
      <c r="U8287" s="194" t="n"/>
      <c r="AA8287" s="25" t="n"/>
      <c r="AB8287" s="25" t="n"/>
      <c r="AC8287" s="195" t="n"/>
      <c r="AD8287" s="25" t="n"/>
      <c r="AE8287" s="25" t="n"/>
      <c r="AG8287" s="25" t="n"/>
      <c r="AH8287" s="25" t="n"/>
      <c r="AI8287" s="394" t="n"/>
      <c r="AM8287" s="48" t="n"/>
      <c r="AN8287" s="48" t="n"/>
      <c r="AO8287" s="48" t="n"/>
    </row>
    <row r="8288">
      <c r="M8288" s="25" t="n"/>
      <c r="Q8288" s="25" t="n"/>
      <c r="U8288" s="194" t="n"/>
      <c r="AA8288" s="25" t="n"/>
      <c r="AB8288" s="25" t="n"/>
      <c r="AC8288" s="195" t="n"/>
      <c r="AD8288" s="25" t="n"/>
      <c r="AE8288" s="25" t="n"/>
      <c r="AG8288" s="25" t="n"/>
      <c r="AH8288" s="25" t="n"/>
      <c r="AI8288" s="394" t="n"/>
      <c r="AM8288" s="48" t="n"/>
      <c r="AN8288" s="48" t="n"/>
      <c r="AO8288" s="48" t="n"/>
    </row>
    <row r="8289">
      <c r="M8289" s="25" t="n"/>
      <c r="Q8289" s="25" t="n"/>
      <c r="U8289" s="194" t="n"/>
      <c r="AA8289" s="25" t="n"/>
      <c r="AB8289" s="25" t="n"/>
      <c r="AC8289" s="195" t="n"/>
      <c r="AD8289" s="25" t="n"/>
      <c r="AE8289" s="25" t="n"/>
      <c r="AG8289" s="25" t="n"/>
      <c r="AH8289" s="25" t="n"/>
      <c r="AI8289" s="394" t="n"/>
      <c r="AM8289" s="48" t="n"/>
      <c r="AN8289" s="48" t="n"/>
      <c r="AO8289" s="48" t="n"/>
    </row>
    <row r="8290">
      <c r="M8290" s="25" t="n"/>
      <c r="Q8290" s="25" t="n"/>
      <c r="U8290" s="194" t="n"/>
      <c r="AA8290" s="25" t="n"/>
      <c r="AB8290" s="25" t="n"/>
      <c r="AC8290" s="195" t="n"/>
      <c r="AD8290" s="25" t="n"/>
      <c r="AE8290" s="25" t="n"/>
      <c r="AG8290" s="25" t="n"/>
      <c r="AH8290" s="25" t="n"/>
      <c r="AI8290" s="394" t="n"/>
      <c r="AM8290" s="48" t="n"/>
      <c r="AN8290" s="48" t="n"/>
      <c r="AO8290" s="48" t="n"/>
    </row>
    <row r="8291">
      <c r="M8291" s="25" t="n"/>
      <c r="Q8291" s="25" t="n"/>
      <c r="U8291" s="194" t="n"/>
      <c r="AA8291" s="25" t="n"/>
      <c r="AB8291" s="25" t="n"/>
      <c r="AC8291" s="195" t="n"/>
      <c r="AD8291" s="25" t="n"/>
      <c r="AE8291" s="25" t="n"/>
      <c r="AG8291" s="25" t="n"/>
      <c r="AH8291" s="25" t="n"/>
      <c r="AI8291" s="394" t="n"/>
      <c r="AM8291" s="48" t="n"/>
      <c r="AN8291" s="48" t="n"/>
      <c r="AO8291" s="48" t="n"/>
    </row>
    <row r="8292">
      <c r="M8292" s="25" t="n"/>
      <c r="Q8292" s="25" t="n"/>
      <c r="U8292" s="194" t="n"/>
      <c r="AA8292" s="25" t="n"/>
      <c r="AB8292" s="25" t="n"/>
      <c r="AC8292" s="195" t="n"/>
      <c r="AD8292" s="25" t="n"/>
      <c r="AE8292" s="25" t="n"/>
      <c r="AG8292" s="25" t="n"/>
      <c r="AH8292" s="25" t="n"/>
      <c r="AI8292" s="394" t="n"/>
      <c r="AM8292" s="48" t="n"/>
      <c r="AN8292" s="48" t="n"/>
      <c r="AO8292" s="48" t="n"/>
    </row>
    <row r="8293">
      <c r="M8293" s="25" t="n"/>
      <c r="Q8293" s="25" t="n"/>
      <c r="U8293" s="194" t="n"/>
      <c r="AA8293" s="25" t="n"/>
      <c r="AB8293" s="25" t="n"/>
      <c r="AC8293" s="195" t="n"/>
      <c r="AD8293" s="25" t="n"/>
      <c r="AE8293" s="25" t="n"/>
      <c r="AG8293" s="25" t="n"/>
      <c r="AH8293" s="25" t="n"/>
      <c r="AI8293" s="394" t="n"/>
      <c r="AM8293" s="48" t="n"/>
      <c r="AN8293" s="48" t="n"/>
      <c r="AO8293" s="48" t="n"/>
    </row>
    <row r="8294">
      <c r="M8294" s="25" t="n"/>
      <c r="Q8294" s="25" t="n"/>
      <c r="U8294" s="194" t="n"/>
      <c r="AA8294" s="25" t="n"/>
      <c r="AB8294" s="25" t="n"/>
      <c r="AC8294" s="195" t="n"/>
      <c r="AD8294" s="25" t="n"/>
      <c r="AE8294" s="25" t="n"/>
      <c r="AG8294" s="25" t="n"/>
      <c r="AH8294" s="25" t="n"/>
      <c r="AI8294" s="394" t="n"/>
      <c r="AM8294" s="48" t="n"/>
      <c r="AN8294" s="48" t="n"/>
      <c r="AO8294" s="48" t="n"/>
    </row>
    <row r="8295">
      <c r="M8295" s="25" t="n"/>
      <c r="Q8295" s="25" t="n"/>
      <c r="U8295" s="194" t="n"/>
      <c r="AA8295" s="25" t="n"/>
      <c r="AB8295" s="25" t="n"/>
      <c r="AC8295" s="195" t="n"/>
      <c r="AD8295" s="25" t="n"/>
      <c r="AE8295" s="25" t="n"/>
      <c r="AG8295" s="25" t="n"/>
      <c r="AH8295" s="25" t="n"/>
      <c r="AI8295" s="394" t="n"/>
      <c r="AM8295" s="48" t="n"/>
      <c r="AN8295" s="48" t="n"/>
      <c r="AO8295" s="48" t="n"/>
    </row>
    <row r="8296">
      <c r="M8296" s="25" t="n"/>
      <c r="Q8296" s="25" t="n"/>
      <c r="U8296" s="194" t="n"/>
      <c r="AA8296" s="25" t="n"/>
      <c r="AB8296" s="25" t="n"/>
      <c r="AC8296" s="195" t="n"/>
      <c r="AD8296" s="25" t="n"/>
      <c r="AE8296" s="25" t="n"/>
      <c r="AG8296" s="25" t="n"/>
      <c r="AH8296" s="25" t="n"/>
      <c r="AI8296" s="394" t="n"/>
      <c r="AM8296" s="48" t="n"/>
      <c r="AN8296" s="48" t="n"/>
      <c r="AO8296" s="48" t="n"/>
    </row>
    <row r="8297">
      <c r="M8297" s="25" t="n"/>
      <c r="Q8297" s="25" t="n"/>
      <c r="U8297" s="194" t="n"/>
      <c r="AA8297" s="25" t="n"/>
      <c r="AB8297" s="25" t="n"/>
      <c r="AC8297" s="195" t="n"/>
      <c r="AD8297" s="25" t="n"/>
      <c r="AE8297" s="25" t="n"/>
      <c r="AG8297" s="25" t="n"/>
      <c r="AH8297" s="25" t="n"/>
      <c r="AI8297" s="394" t="n"/>
      <c r="AM8297" s="48" t="n"/>
      <c r="AN8297" s="48" t="n"/>
      <c r="AO8297" s="48" t="n"/>
    </row>
    <row r="8298">
      <c r="M8298" s="25" t="n"/>
      <c r="Q8298" s="25" t="n"/>
      <c r="U8298" s="194" t="n"/>
      <c r="AA8298" s="25" t="n"/>
      <c r="AB8298" s="25" t="n"/>
      <c r="AC8298" s="195" t="n"/>
      <c r="AD8298" s="25" t="n"/>
      <c r="AE8298" s="25" t="n"/>
      <c r="AG8298" s="25" t="n"/>
      <c r="AH8298" s="25" t="n"/>
      <c r="AI8298" s="394" t="n"/>
      <c r="AM8298" s="48" t="n"/>
      <c r="AN8298" s="48" t="n"/>
      <c r="AO8298" s="48" t="n"/>
    </row>
    <row r="8299">
      <c r="M8299" s="25" t="n"/>
      <c r="Q8299" s="25" t="n"/>
      <c r="U8299" s="194" t="n"/>
      <c r="AA8299" s="25" t="n"/>
      <c r="AB8299" s="25" t="n"/>
      <c r="AC8299" s="195" t="n"/>
      <c r="AD8299" s="25" t="n"/>
      <c r="AE8299" s="25" t="n"/>
      <c r="AG8299" s="25" t="n"/>
      <c r="AH8299" s="25" t="n"/>
      <c r="AI8299" s="394" t="n"/>
      <c r="AM8299" s="48" t="n"/>
      <c r="AN8299" s="48" t="n"/>
      <c r="AO8299" s="48" t="n"/>
    </row>
    <row r="8300">
      <c r="M8300" s="25" t="n"/>
      <c r="Q8300" s="25" t="n"/>
      <c r="U8300" s="194" t="n"/>
      <c r="AA8300" s="25" t="n"/>
      <c r="AB8300" s="25" t="n"/>
      <c r="AC8300" s="195" t="n"/>
      <c r="AD8300" s="25" t="n"/>
      <c r="AE8300" s="25" t="n"/>
      <c r="AG8300" s="25" t="n"/>
      <c r="AH8300" s="25" t="n"/>
      <c r="AI8300" s="394" t="n"/>
      <c r="AM8300" s="48" t="n"/>
      <c r="AN8300" s="48" t="n"/>
      <c r="AO8300" s="48" t="n"/>
    </row>
    <row r="8301">
      <c r="M8301" s="25" t="n"/>
      <c r="Q8301" s="25" t="n"/>
      <c r="U8301" s="194" t="n"/>
      <c r="AA8301" s="25" t="n"/>
      <c r="AB8301" s="25" t="n"/>
      <c r="AC8301" s="195" t="n"/>
      <c r="AD8301" s="25" t="n"/>
      <c r="AE8301" s="25" t="n"/>
      <c r="AG8301" s="25" t="n"/>
      <c r="AH8301" s="25" t="n"/>
      <c r="AI8301" s="394" t="n"/>
      <c r="AM8301" s="48" t="n"/>
      <c r="AN8301" s="48" t="n"/>
      <c r="AO8301" s="48" t="n"/>
    </row>
    <row r="8302">
      <c r="M8302" s="25" t="n"/>
      <c r="Q8302" s="25" t="n"/>
      <c r="U8302" s="194" t="n"/>
      <c r="AA8302" s="25" t="n"/>
      <c r="AB8302" s="25" t="n"/>
      <c r="AC8302" s="195" t="n"/>
      <c r="AD8302" s="25" t="n"/>
      <c r="AE8302" s="25" t="n"/>
      <c r="AG8302" s="25" t="n"/>
      <c r="AH8302" s="25" t="n"/>
      <c r="AI8302" s="394" t="n"/>
      <c r="AM8302" s="48" t="n"/>
      <c r="AN8302" s="48" t="n"/>
      <c r="AO8302" s="48" t="n"/>
    </row>
    <row r="8303">
      <c r="M8303" s="25" t="n"/>
      <c r="Q8303" s="25" t="n"/>
      <c r="U8303" s="194" t="n"/>
      <c r="AA8303" s="25" t="n"/>
      <c r="AB8303" s="25" t="n"/>
      <c r="AC8303" s="195" t="n"/>
      <c r="AD8303" s="25" t="n"/>
      <c r="AE8303" s="25" t="n"/>
      <c r="AG8303" s="25" t="n"/>
      <c r="AH8303" s="25" t="n"/>
      <c r="AI8303" s="394" t="n"/>
      <c r="AM8303" s="48" t="n"/>
      <c r="AN8303" s="48" t="n"/>
      <c r="AO8303" s="48" t="n"/>
    </row>
    <row r="8304">
      <c r="M8304" s="25" t="n"/>
      <c r="Q8304" s="25" t="n"/>
      <c r="U8304" s="194" t="n"/>
      <c r="AA8304" s="25" t="n"/>
      <c r="AB8304" s="25" t="n"/>
      <c r="AC8304" s="195" t="n"/>
      <c r="AD8304" s="25" t="n"/>
      <c r="AE8304" s="25" t="n"/>
      <c r="AG8304" s="25" t="n"/>
      <c r="AH8304" s="25" t="n"/>
      <c r="AI8304" s="394" t="n"/>
      <c r="AM8304" s="48" t="n"/>
      <c r="AN8304" s="48" t="n"/>
      <c r="AO8304" s="48" t="n"/>
    </row>
    <row r="8305">
      <c r="M8305" s="25" t="n"/>
      <c r="Q8305" s="25" t="n"/>
      <c r="U8305" s="194" t="n"/>
      <c r="AA8305" s="25" t="n"/>
      <c r="AB8305" s="25" t="n"/>
      <c r="AC8305" s="195" t="n"/>
      <c r="AD8305" s="25" t="n"/>
      <c r="AE8305" s="25" t="n"/>
      <c r="AG8305" s="25" t="n"/>
      <c r="AH8305" s="25" t="n"/>
      <c r="AI8305" s="394" t="n"/>
      <c r="AM8305" s="48" t="n"/>
      <c r="AN8305" s="48" t="n"/>
      <c r="AO8305" s="48" t="n"/>
    </row>
    <row r="8306">
      <c r="M8306" s="25" t="n"/>
      <c r="Q8306" s="25" t="n"/>
      <c r="U8306" s="194" t="n"/>
      <c r="AA8306" s="25" t="n"/>
      <c r="AB8306" s="25" t="n"/>
      <c r="AC8306" s="195" t="n"/>
      <c r="AD8306" s="25" t="n"/>
      <c r="AE8306" s="25" t="n"/>
      <c r="AG8306" s="25" t="n"/>
      <c r="AH8306" s="25" t="n"/>
      <c r="AI8306" s="394" t="n"/>
      <c r="AM8306" s="48" t="n"/>
      <c r="AN8306" s="48" t="n"/>
      <c r="AO8306" s="48" t="n"/>
    </row>
    <row r="8307">
      <c r="M8307" s="25" t="n"/>
      <c r="Q8307" s="25" t="n"/>
      <c r="U8307" s="194" t="n"/>
      <c r="AA8307" s="25" t="n"/>
      <c r="AB8307" s="25" t="n"/>
      <c r="AC8307" s="195" t="n"/>
      <c r="AD8307" s="25" t="n"/>
      <c r="AE8307" s="25" t="n"/>
      <c r="AG8307" s="25" t="n"/>
      <c r="AH8307" s="25" t="n"/>
      <c r="AI8307" s="394" t="n"/>
      <c r="AM8307" s="48" t="n"/>
      <c r="AN8307" s="48" t="n"/>
      <c r="AO8307" s="48" t="n"/>
    </row>
    <row r="8308">
      <c r="M8308" s="25" t="n"/>
      <c r="Q8308" s="25" t="n"/>
      <c r="U8308" s="194" t="n"/>
      <c r="AA8308" s="25" t="n"/>
      <c r="AB8308" s="25" t="n"/>
      <c r="AC8308" s="195" t="n"/>
      <c r="AD8308" s="25" t="n"/>
      <c r="AE8308" s="25" t="n"/>
      <c r="AG8308" s="25" t="n"/>
      <c r="AH8308" s="25" t="n"/>
      <c r="AI8308" s="394" t="n"/>
      <c r="AM8308" s="48" t="n"/>
      <c r="AN8308" s="48" t="n"/>
      <c r="AO8308" s="48" t="n"/>
    </row>
    <row r="8309">
      <c r="M8309" s="25" t="n"/>
      <c r="Q8309" s="25" t="n"/>
      <c r="U8309" s="194" t="n"/>
      <c r="AA8309" s="25" t="n"/>
      <c r="AB8309" s="25" t="n"/>
      <c r="AC8309" s="195" t="n"/>
      <c r="AD8309" s="25" t="n"/>
      <c r="AE8309" s="25" t="n"/>
      <c r="AG8309" s="25" t="n"/>
      <c r="AH8309" s="25" t="n"/>
      <c r="AI8309" s="394" t="n"/>
      <c r="AM8309" s="48" t="n"/>
      <c r="AN8309" s="48" t="n"/>
      <c r="AO8309" s="48" t="n"/>
    </row>
    <row r="8310">
      <c r="M8310" s="25" t="n"/>
      <c r="Q8310" s="25" t="n"/>
      <c r="U8310" s="194" t="n"/>
      <c r="AA8310" s="25" t="n"/>
      <c r="AB8310" s="25" t="n"/>
      <c r="AC8310" s="195" t="n"/>
      <c r="AD8310" s="25" t="n"/>
      <c r="AE8310" s="25" t="n"/>
      <c r="AG8310" s="25" t="n"/>
      <c r="AH8310" s="25" t="n"/>
      <c r="AI8310" s="394" t="n"/>
      <c r="AM8310" s="48" t="n"/>
      <c r="AN8310" s="48" t="n"/>
      <c r="AO8310" s="48" t="n"/>
    </row>
    <row r="8311">
      <c r="M8311" s="25" t="n"/>
      <c r="Q8311" s="25" t="n"/>
      <c r="U8311" s="194" t="n"/>
      <c r="AA8311" s="25" t="n"/>
      <c r="AB8311" s="25" t="n"/>
      <c r="AC8311" s="195" t="n"/>
      <c r="AD8311" s="25" t="n"/>
      <c r="AE8311" s="25" t="n"/>
      <c r="AG8311" s="25" t="n"/>
      <c r="AH8311" s="25" t="n"/>
      <c r="AI8311" s="394" t="n"/>
      <c r="AM8311" s="48" t="n"/>
      <c r="AN8311" s="48" t="n"/>
      <c r="AO8311" s="48" t="n"/>
    </row>
    <row r="8312">
      <c r="M8312" s="25" t="n"/>
      <c r="Q8312" s="25" t="n"/>
      <c r="U8312" s="194" t="n"/>
      <c r="AA8312" s="25" t="n"/>
      <c r="AB8312" s="25" t="n"/>
      <c r="AC8312" s="195" t="n"/>
      <c r="AD8312" s="25" t="n"/>
      <c r="AE8312" s="25" t="n"/>
      <c r="AG8312" s="25" t="n"/>
      <c r="AH8312" s="25" t="n"/>
      <c r="AI8312" s="394" t="n"/>
      <c r="AM8312" s="48" t="n"/>
      <c r="AN8312" s="48" t="n"/>
      <c r="AO8312" s="48" t="n"/>
    </row>
    <row r="8313">
      <c r="M8313" s="25" t="n"/>
      <c r="Q8313" s="25" t="n"/>
      <c r="U8313" s="194" t="n"/>
      <c r="AA8313" s="25" t="n"/>
      <c r="AB8313" s="25" t="n"/>
      <c r="AC8313" s="195" t="n"/>
      <c r="AD8313" s="25" t="n"/>
      <c r="AE8313" s="25" t="n"/>
      <c r="AG8313" s="25" t="n"/>
      <c r="AH8313" s="25" t="n"/>
      <c r="AI8313" s="394" t="n"/>
      <c r="AM8313" s="48" t="n"/>
      <c r="AN8313" s="48" t="n"/>
      <c r="AO8313" s="48" t="n"/>
    </row>
    <row r="8314">
      <c r="M8314" s="25" t="n"/>
      <c r="Q8314" s="25" t="n"/>
      <c r="U8314" s="194" t="n"/>
      <c r="AA8314" s="25" t="n"/>
      <c r="AB8314" s="25" t="n"/>
      <c r="AC8314" s="195" t="n"/>
      <c r="AD8314" s="25" t="n"/>
      <c r="AE8314" s="25" t="n"/>
      <c r="AG8314" s="25" t="n"/>
      <c r="AH8314" s="25" t="n"/>
      <c r="AI8314" s="394" t="n"/>
      <c r="AM8314" s="48" t="n"/>
      <c r="AN8314" s="48" t="n"/>
      <c r="AO8314" s="48" t="n"/>
    </row>
    <row r="8315">
      <c r="M8315" s="25" t="n"/>
      <c r="Q8315" s="25" t="n"/>
      <c r="U8315" s="194" t="n"/>
      <c r="AA8315" s="25" t="n"/>
      <c r="AB8315" s="25" t="n"/>
      <c r="AC8315" s="195" t="n"/>
      <c r="AD8315" s="25" t="n"/>
      <c r="AE8315" s="25" t="n"/>
      <c r="AG8315" s="25" t="n"/>
      <c r="AH8315" s="25" t="n"/>
      <c r="AI8315" s="394" t="n"/>
      <c r="AM8315" s="48" t="n"/>
      <c r="AN8315" s="48" t="n"/>
      <c r="AO8315" s="48" t="n"/>
    </row>
    <row r="8316">
      <c r="M8316" s="25" t="n"/>
      <c r="Q8316" s="25" t="n"/>
      <c r="U8316" s="194" t="n"/>
      <c r="AA8316" s="25" t="n"/>
      <c r="AB8316" s="25" t="n"/>
      <c r="AC8316" s="195" t="n"/>
      <c r="AD8316" s="25" t="n"/>
      <c r="AE8316" s="25" t="n"/>
      <c r="AG8316" s="25" t="n"/>
      <c r="AH8316" s="25" t="n"/>
      <c r="AI8316" s="394" t="n"/>
      <c r="AM8316" s="48" t="n"/>
      <c r="AN8316" s="48" t="n"/>
      <c r="AO8316" s="48" t="n"/>
    </row>
    <row r="8317">
      <c r="M8317" s="25" t="n"/>
      <c r="Q8317" s="25" t="n"/>
      <c r="U8317" s="194" t="n"/>
      <c r="AA8317" s="25" t="n"/>
      <c r="AB8317" s="25" t="n"/>
      <c r="AC8317" s="195" t="n"/>
      <c r="AD8317" s="25" t="n"/>
      <c r="AE8317" s="25" t="n"/>
      <c r="AG8317" s="25" t="n"/>
      <c r="AH8317" s="25" t="n"/>
      <c r="AI8317" s="394" t="n"/>
      <c r="AM8317" s="48" t="n"/>
      <c r="AN8317" s="48" t="n"/>
      <c r="AO8317" s="48" t="n"/>
    </row>
    <row r="8318">
      <c r="M8318" s="25" t="n"/>
      <c r="Q8318" s="25" t="n"/>
      <c r="U8318" s="194" t="n"/>
      <c r="AA8318" s="25" t="n"/>
      <c r="AB8318" s="25" t="n"/>
      <c r="AC8318" s="195" t="n"/>
      <c r="AD8318" s="25" t="n"/>
      <c r="AE8318" s="25" t="n"/>
      <c r="AG8318" s="25" t="n"/>
      <c r="AH8318" s="25" t="n"/>
      <c r="AI8318" s="394" t="n"/>
      <c r="AM8318" s="48" t="n"/>
      <c r="AN8318" s="48" t="n"/>
      <c r="AO8318" s="48" t="n"/>
    </row>
    <row r="8319">
      <c r="M8319" s="25" t="n"/>
      <c r="Q8319" s="25" t="n"/>
      <c r="U8319" s="194" t="n"/>
      <c r="AA8319" s="25" t="n"/>
      <c r="AB8319" s="25" t="n"/>
      <c r="AC8319" s="195" t="n"/>
      <c r="AD8319" s="25" t="n"/>
      <c r="AE8319" s="25" t="n"/>
      <c r="AG8319" s="25" t="n"/>
      <c r="AH8319" s="25" t="n"/>
      <c r="AI8319" s="394" t="n"/>
      <c r="AM8319" s="48" t="n"/>
      <c r="AN8319" s="48" t="n"/>
      <c r="AO8319" s="48" t="n"/>
    </row>
    <row r="8320">
      <c r="M8320" s="25" t="n"/>
      <c r="Q8320" s="25" t="n"/>
      <c r="U8320" s="194" t="n"/>
      <c r="AA8320" s="25" t="n"/>
      <c r="AB8320" s="25" t="n"/>
      <c r="AC8320" s="195" t="n"/>
      <c r="AD8320" s="25" t="n"/>
      <c r="AE8320" s="25" t="n"/>
      <c r="AG8320" s="25" t="n"/>
      <c r="AH8320" s="25" t="n"/>
      <c r="AI8320" s="394" t="n"/>
      <c r="AM8320" s="48" t="n"/>
      <c r="AN8320" s="48" t="n"/>
      <c r="AO8320" s="48" t="n"/>
    </row>
    <row r="8321">
      <c r="M8321" s="25" t="n"/>
      <c r="Q8321" s="25" t="n"/>
      <c r="U8321" s="194" t="n"/>
      <c r="AA8321" s="25" t="n"/>
      <c r="AB8321" s="25" t="n"/>
      <c r="AC8321" s="195" t="n"/>
      <c r="AD8321" s="25" t="n"/>
      <c r="AE8321" s="25" t="n"/>
      <c r="AG8321" s="25" t="n"/>
      <c r="AH8321" s="25" t="n"/>
      <c r="AI8321" s="394" t="n"/>
      <c r="AM8321" s="48" t="n"/>
      <c r="AN8321" s="48" t="n"/>
      <c r="AO8321" s="48" t="n"/>
    </row>
    <row r="8322">
      <c r="M8322" s="25" t="n"/>
      <c r="Q8322" s="25" t="n"/>
      <c r="U8322" s="194" t="n"/>
      <c r="AA8322" s="25" t="n"/>
      <c r="AB8322" s="25" t="n"/>
      <c r="AC8322" s="195" t="n"/>
      <c r="AD8322" s="25" t="n"/>
      <c r="AE8322" s="25" t="n"/>
      <c r="AG8322" s="25" t="n"/>
      <c r="AH8322" s="25" t="n"/>
      <c r="AI8322" s="394" t="n"/>
      <c r="AM8322" s="48" t="n"/>
      <c r="AN8322" s="48" t="n"/>
      <c r="AO8322" s="48" t="n"/>
    </row>
    <row r="8323">
      <c r="M8323" s="25" t="n"/>
      <c r="Q8323" s="25" t="n"/>
      <c r="U8323" s="194" t="n"/>
      <c r="AA8323" s="25" t="n"/>
      <c r="AB8323" s="25" t="n"/>
      <c r="AC8323" s="195" t="n"/>
      <c r="AD8323" s="25" t="n"/>
      <c r="AE8323" s="25" t="n"/>
      <c r="AG8323" s="25" t="n"/>
      <c r="AH8323" s="25" t="n"/>
      <c r="AI8323" s="394" t="n"/>
      <c r="AM8323" s="48" t="n"/>
      <c r="AN8323" s="48" t="n"/>
      <c r="AO8323" s="48" t="n"/>
    </row>
    <row r="8324">
      <c r="M8324" s="25" t="n"/>
      <c r="Q8324" s="25" t="n"/>
      <c r="U8324" s="194" t="n"/>
      <c r="AA8324" s="25" t="n"/>
      <c r="AB8324" s="25" t="n"/>
      <c r="AC8324" s="195" t="n"/>
      <c r="AD8324" s="25" t="n"/>
      <c r="AE8324" s="25" t="n"/>
      <c r="AG8324" s="25" t="n"/>
      <c r="AH8324" s="25" t="n"/>
      <c r="AI8324" s="394" t="n"/>
      <c r="AM8324" s="48" t="n"/>
      <c r="AN8324" s="48" t="n"/>
      <c r="AO8324" s="48" t="n"/>
    </row>
    <row r="8325">
      <c r="M8325" s="25" t="n"/>
      <c r="Q8325" s="25" t="n"/>
      <c r="U8325" s="194" t="n"/>
      <c r="AA8325" s="25" t="n"/>
      <c r="AB8325" s="25" t="n"/>
      <c r="AC8325" s="195" t="n"/>
      <c r="AD8325" s="25" t="n"/>
      <c r="AE8325" s="25" t="n"/>
      <c r="AG8325" s="25" t="n"/>
      <c r="AH8325" s="25" t="n"/>
      <c r="AI8325" s="394" t="n"/>
      <c r="AM8325" s="48" t="n"/>
      <c r="AN8325" s="48" t="n"/>
      <c r="AO8325" s="48" t="n"/>
    </row>
    <row r="8326">
      <c r="M8326" s="25" t="n"/>
      <c r="Q8326" s="25" t="n"/>
      <c r="U8326" s="194" t="n"/>
      <c r="AA8326" s="25" t="n"/>
      <c r="AB8326" s="25" t="n"/>
      <c r="AC8326" s="195" t="n"/>
      <c r="AD8326" s="25" t="n"/>
      <c r="AE8326" s="25" t="n"/>
      <c r="AG8326" s="25" t="n"/>
      <c r="AH8326" s="25" t="n"/>
      <c r="AI8326" s="394" t="n"/>
      <c r="AM8326" s="48" t="n"/>
      <c r="AN8326" s="48" t="n"/>
      <c r="AO8326" s="48" t="n"/>
    </row>
    <row r="8327">
      <c r="M8327" s="25" t="n"/>
      <c r="Q8327" s="25" t="n"/>
      <c r="U8327" s="194" t="n"/>
      <c r="AA8327" s="25" t="n"/>
      <c r="AB8327" s="25" t="n"/>
      <c r="AC8327" s="195" t="n"/>
      <c r="AD8327" s="25" t="n"/>
      <c r="AE8327" s="25" t="n"/>
      <c r="AG8327" s="25" t="n"/>
      <c r="AH8327" s="25" t="n"/>
      <c r="AI8327" s="394" t="n"/>
      <c r="AM8327" s="48" t="n"/>
      <c r="AN8327" s="48" t="n"/>
      <c r="AO8327" s="48" t="n"/>
    </row>
    <row r="8328">
      <c r="M8328" s="25" t="n"/>
      <c r="Q8328" s="25" t="n"/>
      <c r="U8328" s="194" t="n"/>
      <c r="AA8328" s="25" t="n"/>
      <c r="AB8328" s="25" t="n"/>
      <c r="AC8328" s="195" t="n"/>
      <c r="AD8328" s="25" t="n"/>
      <c r="AE8328" s="25" t="n"/>
      <c r="AG8328" s="25" t="n"/>
      <c r="AH8328" s="25" t="n"/>
      <c r="AI8328" s="394" t="n"/>
      <c r="AM8328" s="48" t="n"/>
      <c r="AN8328" s="48" t="n"/>
      <c r="AO8328" s="48" t="n"/>
    </row>
    <row r="8329">
      <c r="M8329" s="25" t="n"/>
      <c r="Q8329" s="25" t="n"/>
      <c r="U8329" s="194" t="n"/>
      <c r="AA8329" s="25" t="n"/>
      <c r="AB8329" s="25" t="n"/>
      <c r="AC8329" s="195" t="n"/>
      <c r="AD8329" s="25" t="n"/>
      <c r="AE8329" s="25" t="n"/>
      <c r="AG8329" s="25" t="n"/>
      <c r="AH8329" s="25" t="n"/>
      <c r="AI8329" s="394" t="n"/>
      <c r="AM8329" s="48" t="n"/>
      <c r="AN8329" s="48" t="n"/>
      <c r="AO8329" s="48" t="n"/>
    </row>
    <row r="8330">
      <c r="M8330" s="25" t="n"/>
      <c r="Q8330" s="25" t="n"/>
      <c r="U8330" s="194" t="n"/>
      <c r="AA8330" s="25" t="n"/>
      <c r="AB8330" s="25" t="n"/>
      <c r="AC8330" s="195" t="n"/>
      <c r="AD8330" s="25" t="n"/>
      <c r="AE8330" s="25" t="n"/>
      <c r="AG8330" s="25" t="n"/>
      <c r="AH8330" s="25" t="n"/>
      <c r="AI8330" s="394" t="n"/>
      <c r="AM8330" s="48" t="n"/>
      <c r="AN8330" s="48" t="n"/>
      <c r="AO8330" s="48" t="n"/>
    </row>
    <row r="8331">
      <c r="M8331" s="25" t="n"/>
      <c r="Q8331" s="25" t="n"/>
      <c r="U8331" s="194" t="n"/>
      <c r="AA8331" s="25" t="n"/>
      <c r="AB8331" s="25" t="n"/>
      <c r="AC8331" s="195" t="n"/>
      <c r="AD8331" s="25" t="n"/>
      <c r="AE8331" s="25" t="n"/>
      <c r="AG8331" s="25" t="n"/>
      <c r="AH8331" s="25" t="n"/>
      <c r="AI8331" s="394" t="n"/>
      <c r="AM8331" s="48" t="n"/>
      <c r="AN8331" s="48" t="n"/>
      <c r="AO8331" s="48" t="n"/>
    </row>
    <row r="8332">
      <c r="M8332" s="25" t="n"/>
      <c r="Q8332" s="25" t="n"/>
      <c r="U8332" s="194" t="n"/>
      <c r="AA8332" s="25" t="n"/>
      <c r="AB8332" s="25" t="n"/>
      <c r="AC8332" s="195" t="n"/>
      <c r="AD8332" s="25" t="n"/>
      <c r="AE8332" s="25" t="n"/>
      <c r="AG8332" s="25" t="n"/>
      <c r="AH8332" s="25" t="n"/>
      <c r="AI8332" s="394" t="n"/>
      <c r="AM8332" s="48" t="n"/>
      <c r="AN8332" s="48" t="n"/>
      <c r="AO8332" s="48" t="n"/>
    </row>
    <row r="8333">
      <c r="M8333" s="25" t="n"/>
      <c r="Q8333" s="25" t="n"/>
      <c r="U8333" s="194" t="n"/>
      <c r="AA8333" s="25" t="n"/>
      <c r="AB8333" s="25" t="n"/>
      <c r="AC8333" s="195" t="n"/>
      <c r="AD8333" s="25" t="n"/>
      <c r="AE8333" s="25" t="n"/>
      <c r="AG8333" s="25" t="n"/>
      <c r="AH8333" s="25" t="n"/>
      <c r="AI8333" s="394" t="n"/>
      <c r="AM8333" s="48" t="n"/>
      <c r="AN8333" s="48" t="n"/>
      <c r="AO8333" s="48" t="n"/>
    </row>
    <row r="8334">
      <c r="M8334" s="25" t="n"/>
      <c r="Q8334" s="25" t="n"/>
      <c r="U8334" s="194" t="n"/>
      <c r="AA8334" s="25" t="n"/>
      <c r="AB8334" s="25" t="n"/>
      <c r="AC8334" s="195" t="n"/>
      <c r="AD8334" s="25" t="n"/>
      <c r="AE8334" s="25" t="n"/>
      <c r="AG8334" s="25" t="n"/>
      <c r="AH8334" s="25" t="n"/>
      <c r="AI8334" s="394" t="n"/>
      <c r="AM8334" s="48" t="n"/>
      <c r="AN8334" s="48" t="n"/>
      <c r="AO8334" s="48" t="n"/>
    </row>
    <row r="8335">
      <c r="M8335" s="25" t="n"/>
      <c r="Q8335" s="25" t="n"/>
      <c r="U8335" s="194" t="n"/>
      <c r="AA8335" s="25" t="n"/>
      <c r="AB8335" s="25" t="n"/>
      <c r="AC8335" s="195" t="n"/>
      <c r="AD8335" s="25" t="n"/>
      <c r="AE8335" s="25" t="n"/>
      <c r="AG8335" s="25" t="n"/>
      <c r="AH8335" s="25" t="n"/>
      <c r="AI8335" s="394" t="n"/>
      <c r="AM8335" s="48" t="n"/>
      <c r="AN8335" s="48" t="n"/>
      <c r="AO8335" s="48" t="n"/>
    </row>
    <row r="8336">
      <c r="M8336" s="25" t="n"/>
      <c r="Q8336" s="25" t="n"/>
      <c r="U8336" s="194" t="n"/>
      <c r="AA8336" s="25" t="n"/>
      <c r="AB8336" s="25" t="n"/>
      <c r="AC8336" s="195" t="n"/>
      <c r="AD8336" s="25" t="n"/>
      <c r="AE8336" s="25" t="n"/>
      <c r="AG8336" s="25" t="n"/>
      <c r="AH8336" s="25" t="n"/>
      <c r="AI8336" s="394" t="n"/>
      <c r="AM8336" s="48" t="n"/>
      <c r="AN8336" s="48" t="n"/>
      <c r="AO8336" s="48" t="n"/>
    </row>
    <row r="8337">
      <c r="M8337" s="25" t="n"/>
      <c r="Q8337" s="25" t="n"/>
      <c r="U8337" s="194" t="n"/>
      <c r="AA8337" s="25" t="n"/>
      <c r="AB8337" s="25" t="n"/>
      <c r="AC8337" s="195" t="n"/>
      <c r="AD8337" s="25" t="n"/>
      <c r="AE8337" s="25" t="n"/>
      <c r="AG8337" s="25" t="n"/>
      <c r="AH8337" s="25" t="n"/>
      <c r="AI8337" s="394" t="n"/>
      <c r="AM8337" s="48" t="n"/>
      <c r="AN8337" s="48" t="n"/>
      <c r="AO8337" s="48" t="n"/>
    </row>
    <row r="8338">
      <c r="M8338" s="25" t="n"/>
      <c r="Q8338" s="25" t="n"/>
      <c r="U8338" s="194" t="n"/>
      <c r="AA8338" s="25" t="n"/>
      <c r="AB8338" s="25" t="n"/>
      <c r="AC8338" s="195" t="n"/>
      <c r="AD8338" s="25" t="n"/>
      <c r="AE8338" s="25" t="n"/>
      <c r="AG8338" s="25" t="n"/>
      <c r="AH8338" s="25" t="n"/>
      <c r="AI8338" s="394" t="n"/>
      <c r="AM8338" s="48" t="n"/>
      <c r="AN8338" s="48" t="n"/>
      <c r="AO8338" s="48" t="n"/>
    </row>
    <row r="8339">
      <c r="M8339" s="25" t="n"/>
      <c r="Q8339" s="25" t="n"/>
      <c r="U8339" s="194" t="n"/>
      <c r="AA8339" s="25" t="n"/>
      <c r="AB8339" s="25" t="n"/>
      <c r="AC8339" s="195" t="n"/>
      <c r="AD8339" s="25" t="n"/>
      <c r="AE8339" s="25" t="n"/>
      <c r="AG8339" s="25" t="n"/>
      <c r="AH8339" s="25" t="n"/>
      <c r="AI8339" s="394" t="n"/>
      <c r="AM8339" s="48" t="n"/>
      <c r="AN8339" s="48" t="n"/>
      <c r="AO8339" s="48" t="n"/>
    </row>
    <row r="8340">
      <c r="M8340" s="25" t="n"/>
      <c r="Q8340" s="25" t="n"/>
      <c r="U8340" s="194" t="n"/>
      <c r="AA8340" s="25" t="n"/>
      <c r="AB8340" s="25" t="n"/>
      <c r="AC8340" s="195" t="n"/>
      <c r="AD8340" s="25" t="n"/>
      <c r="AE8340" s="25" t="n"/>
      <c r="AG8340" s="25" t="n"/>
      <c r="AH8340" s="25" t="n"/>
      <c r="AI8340" s="394" t="n"/>
      <c r="AM8340" s="48" t="n"/>
      <c r="AN8340" s="48" t="n"/>
      <c r="AO8340" s="48" t="n"/>
    </row>
    <row r="8341">
      <c r="M8341" s="25" t="n"/>
      <c r="Q8341" s="25" t="n"/>
      <c r="U8341" s="194" t="n"/>
      <c r="AA8341" s="25" t="n"/>
      <c r="AB8341" s="25" t="n"/>
      <c r="AC8341" s="195" t="n"/>
      <c r="AD8341" s="25" t="n"/>
      <c r="AE8341" s="25" t="n"/>
      <c r="AG8341" s="25" t="n"/>
      <c r="AH8341" s="25" t="n"/>
      <c r="AI8341" s="394" t="n"/>
      <c r="AM8341" s="48" t="n"/>
      <c r="AN8341" s="48" t="n"/>
      <c r="AO8341" s="48" t="n"/>
    </row>
    <row r="8342">
      <c r="M8342" s="25" t="n"/>
      <c r="Q8342" s="25" t="n"/>
      <c r="U8342" s="194" t="n"/>
      <c r="AA8342" s="25" t="n"/>
      <c r="AB8342" s="25" t="n"/>
      <c r="AC8342" s="195" t="n"/>
      <c r="AD8342" s="25" t="n"/>
      <c r="AE8342" s="25" t="n"/>
      <c r="AG8342" s="25" t="n"/>
      <c r="AH8342" s="25" t="n"/>
      <c r="AI8342" s="394" t="n"/>
      <c r="AM8342" s="48" t="n"/>
      <c r="AN8342" s="48" t="n"/>
      <c r="AO8342" s="48" t="n"/>
    </row>
    <row r="8343">
      <c r="M8343" s="25" t="n"/>
      <c r="Q8343" s="25" t="n"/>
      <c r="U8343" s="194" t="n"/>
      <c r="AA8343" s="25" t="n"/>
      <c r="AB8343" s="25" t="n"/>
      <c r="AC8343" s="195" t="n"/>
      <c r="AD8343" s="25" t="n"/>
      <c r="AE8343" s="25" t="n"/>
      <c r="AG8343" s="25" t="n"/>
      <c r="AH8343" s="25" t="n"/>
      <c r="AI8343" s="394" t="n"/>
      <c r="AM8343" s="48" t="n"/>
      <c r="AN8343" s="48" t="n"/>
      <c r="AO8343" s="48" t="n"/>
    </row>
    <row r="8344">
      <c r="M8344" s="25" t="n"/>
      <c r="Q8344" s="25" t="n"/>
      <c r="U8344" s="194" t="n"/>
      <c r="AA8344" s="25" t="n"/>
      <c r="AB8344" s="25" t="n"/>
      <c r="AC8344" s="195" t="n"/>
      <c r="AD8344" s="25" t="n"/>
      <c r="AE8344" s="25" t="n"/>
      <c r="AG8344" s="25" t="n"/>
      <c r="AH8344" s="25" t="n"/>
      <c r="AI8344" s="394" t="n"/>
      <c r="AM8344" s="48" t="n"/>
      <c r="AN8344" s="48" t="n"/>
      <c r="AO8344" s="48" t="n"/>
    </row>
    <row r="8345">
      <c r="M8345" s="25" t="n"/>
      <c r="Q8345" s="25" t="n"/>
      <c r="U8345" s="194" t="n"/>
      <c r="AA8345" s="25" t="n"/>
      <c r="AB8345" s="25" t="n"/>
      <c r="AC8345" s="195" t="n"/>
      <c r="AD8345" s="25" t="n"/>
      <c r="AE8345" s="25" t="n"/>
      <c r="AG8345" s="25" t="n"/>
      <c r="AH8345" s="25" t="n"/>
      <c r="AI8345" s="394" t="n"/>
      <c r="AM8345" s="48" t="n"/>
      <c r="AN8345" s="48" t="n"/>
      <c r="AO8345" s="48" t="n"/>
    </row>
    <row r="8346">
      <c r="M8346" s="25" t="n"/>
      <c r="Q8346" s="25" t="n"/>
      <c r="U8346" s="194" t="n"/>
      <c r="AA8346" s="25" t="n"/>
      <c r="AB8346" s="25" t="n"/>
      <c r="AC8346" s="195" t="n"/>
      <c r="AD8346" s="25" t="n"/>
      <c r="AE8346" s="25" t="n"/>
      <c r="AG8346" s="25" t="n"/>
      <c r="AH8346" s="25" t="n"/>
      <c r="AI8346" s="394" t="n"/>
      <c r="AM8346" s="48" t="n"/>
      <c r="AN8346" s="48" t="n"/>
      <c r="AO8346" s="48" t="n"/>
    </row>
    <row r="8347">
      <c r="M8347" s="25" t="n"/>
      <c r="Q8347" s="25" t="n"/>
      <c r="U8347" s="194" t="n"/>
      <c r="AA8347" s="25" t="n"/>
      <c r="AB8347" s="25" t="n"/>
      <c r="AC8347" s="195" t="n"/>
      <c r="AD8347" s="25" t="n"/>
      <c r="AE8347" s="25" t="n"/>
      <c r="AG8347" s="25" t="n"/>
      <c r="AH8347" s="25" t="n"/>
      <c r="AI8347" s="394" t="n"/>
      <c r="AM8347" s="48" t="n"/>
      <c r="AN8347" s="48" t="n"/>
      <c r="AO8347" s="48" t="n"/>
    </row>
    <row r="8348">
      <c r="M8348" s="25" t="n"/>
      <c r="Q8348" s="25" t="n"/>
      <c r="U8348" s="194" t="n"/>
      <c r="AA8348" s="25" t="n"/>
      <c r="AB8348" s="25" t="n"/>
      <c r="AC8348" s="195" t="n"/>
      <c r="AD8348" s="25" t="n"/>
      <c r="AE8348" s="25" t="n"/>
      <c r="AG8348" s="25" t="n"/>
      <c r="AH8348" s="25" t="n"/>
      <c r="AI8348" s="394" t="n"/>
      <c r="AM8348" s="48" t="n"/>
      <c r="AN8348" s="48" t="n"/>
      <c r="AO8348" s="48" t="n"/>
    </row>
    <row r="8349">
      <c r="M8349" s="25" t="n"/>
      <c r="Q8349" s="25" t="n"/>
      <c r="U8349" s="194" t="n"/>
      <c r="AA8349" s="25" t="n"/>
      <c r="AB8349" s="25" t="n"/>
      <c r="AC8349" s="195" t="n"/>
      <c r="AD8349" s="25" t="n"/>
      <c r="AE8349" s="25" t="n"/>
      <c r="AG8349" s="25" t="n"/>
      <c r="AH8349" s="25" t="n"/>
      <c r="AI8349" s="394" t="n"/>
      <c r="AM8349" s="48" t="n"/>
      <c r="AN8349" s="48" t="n"/>
      <c r="AO8349" s="48" t="n"/>
    </row>
    <row r="8350">
      <c r="M8350" s="25" t="n"/>
      <c r="Q8350" s="25" t="n"/>
      <c r="U8350" s="194" t="n"/>
      <c r="AA8350" s="25" t="n"/>
      <c r="AB8350" s="25" t="n"/>
      <c r="AC8350" s="195" t="n"/>
      <c r="AD8350" s="25" t="n"/>
      <c r="AE8350" s="25" t="n"/>
      <c r="AG8350" s="25" t="n"/>
      <c r="AH8350" s="25" t="n"/>
      <c r="AI8350" s="394" t="n"/>
      <c r="AM8350" s="48" t="n"/>
      <c r="AN8350" s="48" t="n"/>
      <c r="AO8350" s="48" t="n"/>
    </row>
    <row r="8351">
      <c r="M8351" s="25" t="n"/>
      <c r="Q8351" s="25" t="n"/>
      <c r="U8351" s="194" t="n"/>
      <c r="AA8351" s="25" t="n"/>
      <c r="AB8351" s="25" t="n"/>
      <c r="AC8351" s="195" t="n"/>
      <c r="AD8351" s="25" t="n"/>
      <c r="AE8351" s="25" t="n"/>
      <c r="AG8351" s="25" t="n"/>
      <c r="AH8351" s="25" t="n"/>
      <c r="AI8351" s="394" t="n"/>
      <c r="AM8351" s="48" t="n"/>
      <c r="AN8351" s="48" t="n"/>
      <c r="AO8351" s="48" t="n"/>
    </row>
    <row r="8352">
      <c r="M8352" s="25" t="n"/>
      <c r="Q8352" s="25" t="n"/>
      <c r="U8352" s="194" t="n"/>
      <c r="AA8352" s="25" t="n"/>
      <c r="AB8352" s="25" t="n"/>
      <c r="AC8352" s="195" t="n"/>
      <c r="AD8352" s="25" t="n"/>
      <c r="AE8352" s="25" t="n"/>
      <c r="AG8352" s="25" t="n"/>
      <c r="AH8352" s="25" t="n"/>
      <c r="AI8352" s="394" t="n"/>
      <c r="AM8352" s="48" t="n"/>
      <c r="AN8352" s="48" t="n"/>
      <c r="AO8352" s="48" t="n"/>
    </row>
    <row r="8353">
      <c r="M8353" s="25" t="n"/>
      <c r="Q8353" s="25" t="n"/>
      <c r="U8353" s="194" t="n"/>
      <c r="AA8353" s="25" t="n"/>
      <c r="AB8353" s="25" t="n"/>
      <c r="AC8353" s="195" t="n"/>
      <c r="AD8353" s="25" t="n"/>
      <c r="AE8353" s="25" t="n"/>
      <c r="AG8353" s="25" t="n"/>
      <c r="AH8353" s="25" t="n"/>
      <c r="AI8353" s="394" t="n"/>
      <c r="AM8353" s="48" t="n"/>
      <c r="AN8353" s="48" t="n"/>
      <c r="AO8353" s="48" t="n"/>
    </row>
    <row r="8354">
      <c r="M8354" s="25" t="n"/>
      <c r="Q8354" s="25" t="n"/>
      <c r="U8354" s="194" t="n"/>
      <c r="AA8354" s="25" t="n"/>
      <c r="AB8354" s="25" t="n"/>
      <c r="AC8354" s="195" t="n"/>
      <c r="AD8354" s="25" t="n"/>
      <c r="AE8354" s="25" t="n"/>
      <c r="AG8354" s="25" t="n"/>
      <c r="AH8354" s="25" t="n"/>
      <c r="AI8354" s="394" t="n"/>
      <c r="AM8354" s="48" t="n"/>
      <c r="AN8354" s="48" t="n"/>
      <c r="AO8354" s="48" t="n"/>
    </row>
    <row r="8355">
      <c r="M8355" s="25" t="n"/>
      <c r="Q8355" s="25" t="n"/>
      <c r="U8355" s="194" t="n"/>
      <c r="AA8355" s="25" t="n"/>
      <c r="AB8355" s="25" t="n"/>
      <c r="AC8355" s="195" t="n"/>
      <c r="AD8355" s="25" t="n"/>
      <c r="AE8355" s="25" t="n"/>
      <c r="AG8355" s="25" t="n"/>
      <c r="AH8355" s="25" t="n"/>
      <c r="AI8355" s="394" t="n"/>
      <c r="AM8355" s="48" t="n"/>
      <c r="AN8355" s="48" t="n"/>
      <c r="AO8355" s="48" t="n"/>
    </row>
    <row r="8356">
      <c r="M8356" s="25" t="n"/>
      <c r="Q8356" s="25" t="n"/>
      <c r="U8356" s="194" t="n"/>
      <c r="AA8356" s="25" t="n"/>
      <c r="AB8356" s="25" t="n"/>
      <c r="AC8356" s="195" t="n"/>
      <c r="AD8356" s="25" t="n"/>
      <c r="AE8356" s="25" t="n"/>
      <c r="AG8356" s="25" t="n"/>
      <c r="AH8356" s="25" t="n"/>
      <c r="AI8356" s="394" t="n"/>
      <c r="AM8356" s="48" t="n"/>
      <c r="AN8356" s="48" t="n"/>
      <c r="AO8356" s="48" t="n"/>
    </row>
    <row r="8357">
      <c r="M8357" s="25" t="n"/>
      <c r="Q8357" s="25" t="n"/>
      <c r="U8357" s="194" t="n"/>
      <c r="AA8357" s="25" t="n"/>
      <c r="AB8357" s="25" t="n"/>
      <c r="AC8357" s="195" t="n"/>
      <c r="AD8357" s="25" t="n"/>
      <c r="AE8357" s="25" t="n"/>
      <c r="AG8357" s="25" t="n"/>
      <c r="AH8357" s="25" t="n"/>
      <c r="AI8357" s="394" t="n"/>
      <c r="AM8357" s="48" t="n"/>
      <c r="AN8357" s="48" t="n"/>
      <c r="AO8357" s="48" t="n"/>
    </row>
    <row r="8358">
      <c r="M8358" s="25" t="n"/>
      <c r="Q8358" s="25" t="n"/>
      <c r="U8358" s="194" t="n"/>
      <c r="AA8358" s="25" t="n"/>
      <c r="AB8358" s="25" t="n"/>
      <c r="AC8358" s="195" t="n"/>
      <c r="AD8358" s="25" t="n"/>
      <c r="AE8358" s="25" t="n"/>
      <c r="AG8358" s="25" t="n"/>
      <c r="AH8358" s="25" t="n"/>
      <c r="AI8358" s="394" t="n"/>
      <c r="AM8358" s="48" t="n"/>
      <c r="AN8358" s="48" t="n"/>
      <c r="AO8358" s="48" t="n"/>
    </row>
    <row r="8359">
      <c r="M8359" s="25" t="n"/>
      <c r="Q8359" s="25" t="n"/>
      <c r="U8359" s="194" t="n"/>
      <c r="AA8359" s="25" t="n"/>
      <c r="AB8359" s="25" t="n"/>
      <c r="AC8359" s="195" t="n"/>
      <c r="AD8359" s="25" t="n"/>
      <c r="AE8359" s="25" t="n"/>
      <c r="AG8359" s="25" t="n"/>
      <c r="AH8359" s="25" t="n"/>
      <c r="AI8359" s="394" t="n"/>
      <c r="AM8359" s="48" t="n"/>
      <c r="AN8359" s="48" t="n"/>
      <c r="AO8359" s="48" t="n"/>
    </row>
    <row r="8360">
      <c r="M8360" s="25" t="n"/>
      <c r="Q8360" s="25" t="n"/>
      <c r="U8360" s="194" t="n"/>
      <c r="AA8360" s="25" t="n"/>
      <c r="AB8360" s="25" t="n"/>
      <c r="AC8360" s="195" t="n"/>
      <c r="AD8360" s="25" t="n"/>
      <c r="AE8360" s="25" t="n"/>
      <c r="AG8360" s="25" t="n"/>
      <c r="AH8360" s="25" t="n"/>
      <c r="AI8360" s="394" t="n"/>
      <c r="AM8360" s="48" t="n"/>
      <c r="AN8360" s="48" t="n"/>
      <c r="AO8360" s="48" t="n"/>
    </row>
    <row r="8361">
      <c r="M8361" s="25" t="n"/>
      <c r="Q8361" s="25" t="n"/>
      <c r="U8361" s="194" t="n"/>
      <c r="AA8361" s="25" t="n"/>
      <c r="AB8361" s="25" t="n"/>
      <c r="AC8361" s="195" t="n"/>
      <c r="AD8361" s="25" t="n"/>
      <c r="AE8361" s="25" t="n"/>
      <c r="AG8361" s="25" t="n"/>
      <c r="AH8361" s="25" t="n"/>
      <c r="AI8361" s="394" t="n"/>
      <c r="AM8361" s="48" t="n"/>
      <c r="AN8361" s="48" t="n"/>
      <c r="AO8361" s="48" t="n"/>
    </row>
    <row r="8362">
      <c r="M8362" s="25" t="n"/>
      <c r="Q8362" s="25" t="n"/>
      <c r="U8362" s="194" t="n"/>
      <c r="AA8362" s="25" t="n"/>
      <c r="AB8362" s="25" t="n"/>
      <c r="AC8362" s="195" t="n"/>
      <c r="AD8362" s="25" t="n"/>
      <c r="AE8362" s="25" t="n"/>
      <c r="AG8362" s="25" t="n"/>
      <c r="AH8362" s="25" t="n"/>
      <c r="AI8362" s="394" t="n"/>
      <c r="AM8362" s="48" t="n"/>
      <c r="AN8362" s="48" t="n"/>
      <c r="AO8362" s="48" t="n"/>
    </row>
    <row r="8363">
      <c r="M8363" s="25" t="n"/>
      <c r="Q8363" s="25" t="n"/>
      <c r="U8363" s="194" t="n"/>
      <c r="AA8363" s="25" t="n"/>
      <c r="AB8363" s="25" t="n"/>
      <c r="AC8363" s="195" t="n"/>
      <c r="AD8363" s="25" t="n"/>
      <c r="AE8363" s="25" t="n"/>
      <c r="AG8363" s="25" t="n"/>
      <c r="AH8363" s="25" t="n"/>
      <c r="AI8363" s="394" t="n"/>
      <c r="AM8363" s="48" t="n"/>
      <c r="AN8363" s="48" t="n"/>
      <c r="AO8363" s="48" t="n"/>
    </row>
    <row r="8364">
      <c r="M8364" s="25" t="n"/>
      <c r="Q8364" s="25" t="n"/>
      <c r="U8364" s="194" t="n"/>
      <c r="AA8364" s="25" t="n"/>
      <c r="AB8364" s="25" t="n"/>
      <c r="AC8364" s="195" t="n"/>
      <c r="AD8364" s="25" t="n"/>
      <c r="AE8364" s="25" t="n"/>
      <c r="AG8364" s="25" t="n"/>
      <c r="AH8364" s="25" t="n"/>
      <c r="AI8364" s="394" t="n"/>
      <c r="AM8364" s="48" t="n"/>
      <c r="AN8364" s="48" t="n"/>
      <c r="AO8364" s="48" t="n"/>
    </row>
    <row r="8365">
      <c r="M8365" s="25" t="n"/>
      <c r="Q8365" s="25" t="n"/>
      <c r="U8365" s="194" t="n"/>
      <c r="AA8365" s="25" t="n"/>
      <c r="AB8365" s="25" t="n"/>
      <c r="AC8365" s="195" t="n"/>
      <c r="AD8365" s="25" t="n"/>
      <c r="AE8365" s="25" t="n"/>
      <c r="AG8365" s="25" t="n"/>
      <c r="AH8365" s="25" t="n"/>
      <c r="AI8365" s="394" t="n"/>
      <c r="AM8365" s="48" t="n"/>
      <c r="AN8365" s="48" t="n"/>
      <c r="AO8365" s="48" t="n"/>
    </row>
    <row r="8366">
      <c r="M8366" s="25" t="n"/>
      <c r="Q8366" s="25" t="n"/>
      <c r="U8366" s="194" t="n"/>
      <c r="AA8366" s="25" t="n"/>
      <c r="AB8366" s="25" t="n"/>
      <c r="AC8366" s="195" t="n"/>
      <c r="AD8366" s="25" t="n"/>
      <c r="AE8366" s="25" t="n"/>
      <c r="AG8366" s="25" t="n"/>
      <c r="AH8366" s="25" t="n"/>
      <c r="AI8366" s="394" t="n"/>
      <c r="AM8366" s="48" t="n"/>
      <c r="AN8366" s="48" t="n"/>
      <c r="AO8366" s="48" t="n"/>
    </row>
    <row r="8367">
      <c r="M8367" s="25" t="n"/>
      <c r="Q8367" s="25" t="n"/>
      <c r="U8367" s="194" t="n"/>
      <c r="AA8367" s="25" t="n"/>
      <c r="AB8367" s="25" t="n"/>
      <c r="AC8367" s="195" t="n"/>
      <c r="AD8367" s="25" t="n"/>
      <c r="AE8367" s="25" t="n"/>
      <c r="AG8367" s="25" t="n"/>
      <c r="AH8367" s="25" t="n"/>
      <c r="AI8367" s="394" t="n"/>
      <c r="AM8367" s="48" t="n"/>
      <c r="AN8367" s="48" t="n"/>
      <c r="AO8367" s="48" t="n"/>
    </row>
    <row r="8368">
      <c r="M8368" s="25" t="n"/>
      <c r="Q8368" s="25" t="n"/>
      <c r="U8368" s="194" t="n"/>
      <c r="AA8368" s="25" t="n"/>
      <c r="AB8368" s="25" t="n"/>
      <c r="AC8368" s="195" t="n"/>
      <c r="AD8368" s="25" t="n"/>
      <c r="AE8368" s="25" t="n"/>
      <c r="AG8368" s="25" t="n"/>
      <c r="AH8368" s="25" t="n"/>
      <c r="AI8368" s="394" t="n"/>
      <c r="AM8368" s="48" t="n"/>
      <c r="AN8368" s="48" t="n"/>
      <c r="AO8368" s="48" t="n"/>
    </row>
    <row r="8369">
      <c r="M8369" s="25" t="n"/>
      <c r="Q8369" s="25" t="n"/>
      <c r="U8369" s="194" t="n"/>
      <c r="AA8369" s="25" t="n"/>
      <c r="AB8369" s="25" t="n"/>
      <c r="AC8369" s="195" t="n"/>
      <c r="AD8369" s="25" t="n"/>
      <c r="AE8369" s="25" t="n"/>
      <c r="AG8369" s="25" t="n"/>
      <c r="AH8369" s="25" t="n"/>
      <c r="AI8369" s="394" t="n"/>
      <c r="AM8369" s="48" t="n"/>
      <c r="AN8369" s="48" t="n"/>
      <c r="AO8369" s="48" t="n"/>
    </row>
    <row r="8370">
      <c r="M8370" s="25" t="n"/>
      <c r="Q8370" s="25" t="n"/>
      <c r="U8370" s="194" t="n"/>
      <c r="AA8370" s="25" t="n"/>
      <c r="AB8370" s="25" t="n"/>
      <c r="AC8370" s="195" t="n"/>
      <c r="AD8370" s="25" t="n"/>
      <c r="AE8370" s="25" t="n"/>
      <c r="AG8370" s="25" t="n"/>
      <c r="AH8370" s="25" t="n"/>
      <c r="AI8370" s="394" t="n"/>
      <c r="AM8370" s="48" t="n"/>
      <c r="AN8370" s="48" t="n"/>
      <c r="AO8370" s="48" t="n"/>
    </row>
    <row r="8371">
      <c r="M8371" s="25" t="n"/>
      <c r="Q8371" s="25" t="n"/>
      <c r="U8371" s="194" t="n"/>
      <c r="AA8371" s="25" t="n"/>
      <c r="AB8371" s="25" t="n"/>
      <c r="AC8371" s="195" t="n"/>
      <c r="AD8371" s="25" t="n"/>
      <c r="AE8371" s="25" t="n"/>
      <c r="AG8371" s="25" t="n"/>
      <c r="AH8371" s="25" t="n"/>
      <c r="AI8371" s="394" t="n"/>
      <c r="AM8371" s="48" t="n"/>
      <c r="AN8371" s="48" t="n"/>
      <c r="AO8371" s="48" t="n"/>
    </row>
    <row r="8372">
      <c r="M8372" s="25" t="n"/>
      <c r="Q8372" s="25" t="n"/>
      <c r="U8372" s="194" t="n"/>
      <c r="AA8372" s="25" t="n"/>
      <c r="AB8372" s="25" t="n"/>
      <c r="AC8372" s="195" t="n"/>
      <c r="AD8372" s="25" t="n"/>
      <c r="AE8372" s="25" t="n"/>
      <c r="AG8372" s="25" t="n"/>
      <c r="AH8372" s="25" t="n"/>
      <c r="AI8372" s="394" t="n"/>
      <c r="AM8372" s="48" t="n"/>
      <c r="AN8372" s="48" t="n"/>
      <c r="AO8372" s="48" t="n"/>
    </row>
    <row r="8373">
      <c r="M8373" s="25" t="n"/>
      <c r="Q8373" s="25" t="n"/>
      <c r="U8373" s="194" t="n"/>
      <c r="AA8373" s="25" t="n"/>
      <c r="AB8373" s="25" t="n"/>
      <c r="AC8373" s="195" t="n"/>
      <c r="AD8373" s="25" t="n"/>
      <c r="AE8373" s="25" t="n"/>
      <c r="AG8373" s="25" t="n"/>
      <c r="AH8373" s="25" t="n"/>
      <c r="AI8373" s="394" t="n"/>
      <c r="AM8373" s="48" t="n"/>
      <c r="AN8373" s="48" t="n"/>
      <c r="AO8373" s="48" t="n"/>
    </row>
    <row r="8374">
      <c r="M8374" s="25" t="n"/>
      <c r="Q8374" s="25" t="n"/>
      <c r="U8374" s="194" t="n"/>
      <c r="AA8374" s="25" t="n"/>
      <c r="AB8374" s="25" t="n"/>
      <c r="AC8374" s="195" t="n"/>
      <c r="AD8374" s="25" t="n"/>
      <c r="AE8374" s="25" t="n"/>
      <c r="AG8374" s="25" t="n"/>
      <c r="AH8374" s="25" t="n"/>
      <c r="AI8374" s="394" t="n"/>
      <c r="AM8374" s="48" t="n"/>
      <c r="AN8374" s="48" t="n"/>
      <c r="AO8374" s="48" t="n"/>
    </row>
    <row r="8375">
      <c r="M8375" s="25" t="n"/>
      <c r="Q8375" s="25" t="n"/>
      <c r="U8375" s="194" t="n"/>
      <c r="AA8375" s="25" t="n"/>
      <c r="AB8375" s="25" t="n"/>
      <c r="AC8375" s="195" t="n"/>
      <c r="AD8375" s="25" t="n"/>
      <c r="AE8375" s="25" t="n"/>
      <c r="AG8375" s="25" t="n"/>
      <c r="AH8375" s="25" t="n"/>
      <c r="AI8375" s="394" t="n"/>
      <c r="AM8375" s="48" t="n"/>
      <c r="AN8375" s="48" t="n"/>
      <c r="AO8375" s="48" t="n"/>
    </row>
    <row r="8376">
      <c r="M8376" s="25" t="n"/>
      <c r="Q8376" s="25" t="n"/>
      <c r="U8376" s="194" t="n"/>
      <c r="AA8376" s="25" t="n"/>
      <c r="AB8376" s="25" t="n"/>
      <c r="AC8376" s="195" t="n"/>
      <c r="AD8376" s="25" t="n"/>
      <c r="AE8376" s="25" t="n"/>
      <c r="AG8376" s="25" t="n"/>
      <c r="AH8376" s="25" t="n"/>
      <c r="AI8376" s="394" t="n"/>
      <c r="AM8376" s="48" t="n"/>
      <c r="AN8376" s="48" t="n"/>
      <c r="AO8376" s="48" t="n"/>
    </row>
    <row r="8377">
      <c r="M8377" s="25" t="n"/>
      <c r="Q8377" s="25" t="n"/>
      <c r="U8377" s="194" t="n"/>
      <c r="AA8377" s="25" t="n"/>
      <c r="AB8377" s="25" t="n"/>
      <c r="AC8377" s="195" t="n"/>
      <c r="AD8377" s="25" t="n"/>
      <c r="AE8377" s="25" t="n"/>
      <c r="AG8377" s="25" t="n"/>
      <c r="AH8377" s="25" t="n"/>
      <c r="AI8377" s="394" t="n"/>
      <c r="AM8377" s="48" t="n"/>
      <c r="AN8377" s="48" t="n"/>
      <c r="AO8377" s="48" t="n"/>
    </row>
    <row r="8378">
      <c r="M8378" s="25" t="n"/>
      <c r="Q8378" s="25" t="n"/>
      <c r="U8378" s="194" t="n"/>
      <c r="AA8378" s="25" t="n"/>
      <c r="AB8378" s="25" t="n"/>
      <c r="AC8378" s="195" t="n"/>
      <c r="AD8378" s="25" t="n"/>
      <c r="AE8378" s="25" t="n"/>
      <c r="AG8378" s="25" t="n"/>
      <c r="AH8378" s="25" t="n"/>
      <c r="AI8378" s="394" t="n"/>
      <c r="AM8378" s="48" t="n"/>
      <c r="AN8378" s="48" t="n"/>
      <c r="AO8378" s="48" t="n"/>
    </row>
    <row r="8379">
      <c r="M8379" s="25" t="n"/>
      <c r="Q8379" s="25" t="n"/>
      <c r="U8379" s="194" t="n"/>
      <c r="AA8379" s="25" t="n"/>
      <c r="AB8379" s="25" t="n"/>
      <c r="AC8379" s="195" t="n"/>
      <c r="AD8379" s="25" t="n"/>
      <c r="AE8379" s="25" t="n"/>
      <c r="AG8379" s="25" t="n"/>
      <c r="AH8379" s="25" t="n"/>
      <c r="AI8379" s="394" t="n"/>
      <c r="AM8379" s="48" t="n"/>
      <c r="AN8379" s="48" t="n"/>
      <c r="AO8379" s="48" t="n"/>
    </row>
    <row r="8380">
      <c r="M8380" s="25" t="n"/>
      <c r="Q8380" s="25" t="n"/>
      <c r="U8380" s="194" t="n"/>
      <c r="AA8380" s="25" t="n"/>
      <c r="AB8380" s="25" t="n"/>
      <c r="AC8380" s="195" t="n"/>
      <c r="AD8380" s="25" t="n"/>
      <c r="AE8380" s="25" t="n"/>
      <c r="AG8380" s="25" t="n"/>
      <c r="AH8380" s="25" t="n"/>
      <c r="AI8380" s="394" t="n"/>
      <c r="AM8380" s="48" t="n"/>
      <c r="AN8380" s="48" t="n"/>
      <c r="AO8380" s="48" t="n"/>
    </row>
    <row r="8381">
      <c r="M8381" s="25" t="n"/>
      <c r="Q8381" s="25" t="n"/>
      <c r="U8381" s="194" t="n"/>
      <c r="AA8381" s="25" t="n"/>
      <c r="AB8381" s="25" t="n"/>
      <c r="AC8381" s="195" t="n"/>
      <c r="AD8381" s="25" t="n"/>
      <c r="AE8381" s="25" t="n"/>
      <c r="AG8381" s="25" t="n"/>
      <c r="AH8381" s="25" t="n"/>
      <c r="AI8381" s="394" t="n"/>
      <c r="AM8381" s="48" t="n"/>
      <c r="AN8381" s="48" t="n"/>
      <c r="AO8381" s="48" t="n"/>
    </row>
    <row r="8382">
      <c r="M8382" s="25" t="n"/>
      <c r="Q8382" s="25" t="n"/>
      <c r="U8382" s="194" t="n"/>
      <c r="AA8382" s="25" t="n"/>
      <c r="AB8382" s="25" t="n"/>
      <c r="AC8382" s="195" t="n"/>
      <c r="AD8382" s="25" t="n"/>
      <c r="AE8382" s="25" t="n"/>
      <c r="AG8382" s="25" t="n"/>
      <c r="AH8382" s="25" t="n"/>
      <c r="AI8382" s="394" t="n"/>
      <c r="AM8382" s="48" t="n"/>
      <c r="AN8382" s="48" t="n"/>
      <c r="AO8382" s="48" t="n"/>
    </row>
    <row r="8383">
      <c r="M8383" s="25" t="n"/>
      <c r="Q8383" s="25" t="n"/>
      <c r="U8383" s="194" t="n"/>
      <c r="AA8383" s="25" t="n"/>
      <c r="AB8383" s="25" t="n"/>
      <c r="AC8383" s="195" t="n"/>
      <c r="AD8383" s="25" t="n"/>
      <c r="AE8383" s="25" t="n"/>
      <c r="AG8383" s="25" t="n"/>
      <c r="AH8383" s="25" t="n"/>
      <c r="AI8383" s="394" t="n"/>
      <c r="AM8383" s="48" t="n"/>
      <c r="AN8383" s="48" t="n"/>
      <c r="AO8383" s="48" t="n"/>
    </row>
    <row r="8384">
      <c r="M8384" s="25" t="n"/>
      <c r="Q8384" s="25" t="n"/>
      <c r="U8384" s="194" t="n"/>
      <c r="AA8384" s="25" t="n"/>
      <c r="AB8384" s="25" t="n"/>
      <c r="AC8384" s="195" t="n"/>
      <c r="AD8384" s="25" t="n"/>
      <c r="AE8384" s="25" t="n"/>
      <c r="AG8384" s="25" t="n"/>
      <c r="AH8384" s="25" t="n"/>
      <c r="AI8384" s="394" t="n"/>
      <c r="AM8384" s="48" t="n"/>
      <c r="AN8384" s="48" t="n"/>
      <c r="AO8384" s="48" t="n"/>
    </row>
    <row r="8385">
      <c r="M8385" s="25" t="n"/>
      <c r="Q8385" s="25" t="n"/>
      <c r="U8385" s="194" t="n"/>
      <c r="AA8385" s="25" t="n"/>
      <c r="AB8385" s="25" t="n"/>
      <c r="AC8385" s="195" t="n"/>
      <c r="AD8385" s="25" t="n"/>
      <c r="AE8385" s="25" t="n"/>
      <c r="AG8385" s="25" t="n"/>
      <c r="AH8385" s="25" t="n"/>
      <c r="AI8385" s="394" t="n"/>
      <c r="AM8385" s="48" t="n"/>
      <c r="AN8385" s="48" t="n"/>
      <c r="AO8385" s="48" t="n"/>
    </row>
    <row r="8386">
      <c r="M8386" s="25" t="n"/>
      <c r="Q8386" s="25" t="n"/>
      <c r="U8386" s="194" t="n"/>
      <c r="AA8386" s="25" t="n"/>
      <c r="AB8386" s="25" t="n"/>
      <c r="AC8386" s="195" t="n"/>
      <c r="AD8386" s="25" t="n"/>
      <c r="AE8386" s="25" t="n"/>
      <c r="AG8386" s="25" t="n"/>
      <c r="AH8386" s="25" t="n"/>
      <c r="AI8386" s="394" t="n"/>
      <c r="AM8386" s="48" t="n"/>
      <c r="AN8386" s="48" t="n"/>
      <c r="AO8386" s="48" t="n"/>
    </row>
    <row r="8387">
      <c r="M8387" s="25" t="n"/>
      <c r="Q8387" s="25" t="n"/>
      <c r="U8387" s="194" t="n"/>
      <c r="AA8387" s="25" t="n"/>
      <c r="AB8387" s="25" t="n"/>
      <c r="AC8387" s="195" t="n"/>
      <c r="AD8387" s="25" t="n"/>
      <c r="AE8387" s="25" t="n"/>
      <c r="AG8387" s="25" t="n"/>
      <c r="AH8387" s="25" t="n"/>
      <c r="AI8387" s="394" t="n"/>
      <c r="AM8387" s="48" t="n"/>
      <c r="AN8387" s="48" t="n"/>
      <c r="AO8387" s="48" t="n"/>
    </row>
    <row r="8388">
      <c r="M8388" s="25" t="n"/>
      <c r="Q8388" s="25" t="n"/>
      <c r="U8388" s="194" t="n"/>
      <c r="AA8388" s="25" t="n"/>
      <c r="AB8388" s="25" t="n"/>
      <c r="AC8388" s="195" t="n"/>
      <c r="AD8388" s="25" t="n"/>
      <c r="AE8388" s="25" t="n"/>
      <c r="AG8388" s="25" t="n"/>
      <c r="AH8388" s="25" t="n"/>
      <c r="AI8388" s="394" t="n"/>
      <c r="AM8388" s="48" t="n"/>
      <c r="AN8388" s="48" t="n"/>
      <c r="AO8388" s="48" t="n"/>
    </row>
    <row r="8389">
      <c r="M8389" s="25" t="n"/>
      <c r="Q8389" s="25" t="n"/>
      <c r="U8389" s="194" t="n"/>
      <c r="AA8389" s="25" t="n"/>
      <c r="AB8389" s="25" t="n"/>
      <c r="AC8389" s="195" t="n"/>
      <c r="AD8389" s="25" t="n"/>
      <c r="AE8389" s="25" t="n"/>
      <c r="AG8389" s="25" t="n"/>
      <c r="AH8389" s="25" t="n"/>
      <c r="AI8389" s="394" t="n"/>
      <c r="AM8389" s="48" t="n"/>
      <c r="AN8389" s="48" t="n"/>
      <c r="AO8389" s="48" t="n"/>
    </row>
    <row r="8390">
      <c r="M8390" s="25" t="n"/>
      <c r="Q8390" s="25" t="n"/>
      <c r="U8390" s="194" t="n"/>
      <c r="AA8390" s="25" t="n"/>
      <c r="AB8390" s="25" t="n"/>
      <c r="AC8390" s="195" t="n"/>
      <c r="AD8390" s="25" t="n"/>
      <c r="AE8390" s="25" t="n"/>
      <c r="AG8390" s="25" t="n"/>
      <c r="AH8390" s="25" t="n"/>
      <c r="AI8390" s="394" t="n"/>
      <c r="AM8390" s="48" t="n"/>
      <c r="AN8390" s="48" t="n"/>
      <c r="AO8390" s="48" t="n"/>
    </row>
    <row r="8391">
      <c r="M8391" s="25" t="n"/>
      <c r="Q8391" s="25" t="n"/>
      <c r="U8391" s="194" t="n"/>
      <c r="AA8391" s="25" t="n"/>
      <c r="AB8391" s="25" t="n"/>
      <c r="AC8391" s="195" t="n"/>
      <c r="AD8391" s="25" t="n"/>
      <c r="AE8391" s="25" t="n"/>
      <c r="AG8391" s="25" t="n"/>
      <c r="AH8391" s="25" t="n"/>
      <c r="AI8391" s="394" t="n"/>
      <c r="AM8391" s="48" t="n"/>
      <c r="AN8391" s="48" t="n"/>
      <c r="AO8391" s="48" t="n"/>
    </row>
    <row r="8392">
      <c r="M8392" s="25" t="n"/>
      <c r="Q8392" s="25" t="n"/>
      <c r="U8392" s="194" t="n"/>
      <c r="AA8392" s="25" t="n"/>
      <c r="AB8392" s="25" t="n"/>
      <c r="AC8392" s="195" t="n"/>
      <c r="AD8392" s="25" t="n"/>
      <c r="AE8392" s="25" t="n"/>
      <c r="AG8392" s="25" t="n"/>
      <c r="AH8392" s="25" t="n"/>
      <c r="AI8392" s="394" t="n"/>
      <c r="AM8392" s="48" t="n"/>
      <c r="AN8392" s="48" t="n"/>
      <c r="AO8392" s="48" t="n"/>
    </row>
    <row r="8393">
      <c r="M8393" s="25" t="n"/>
      <c r="Q8393" s="25" t="n"/>
      <c r="U8393" s="194" t="n"/>
      <c r="AA8393" s="25" t="n"/>
      <c r="AB8393" s="25" t="n"/>
      <c r="AC8393" s="195" t="n"/>
      <c r="AD8393" s="25" t="n"/>
      <c r="AE8393" s="25" t="n"/>
      <c r="AG8393" s="25" t="n"/>
      <c r="AH8393" s="25" t="n"/>
      <c r="AI8393" s="394" t="n"/>
      <c r="AM8393" s="48" t="n"/>
      <c r="AN8393" s="48" t="n"/>
      <c r="AO8393" s="48" t="n"/>
    </row>
    <row r="8394">
      <c r="M8394" s="25" t="n"/>
      <c r="Q8394" s="25" t="n"/>
      <c r="U8394" s="194" t="n"/>
      <c r="AA8394" s="25" t="n"/>
      <c r="AB8394" s="25" t="n"/>
      <c r="AC8394" s="195" t="n"/>
      <c r="AD8394" s="25" t="n"/>
      <c r="AE8394" s="25" t="n"/>
      <c r="AG8394" s="25" t="n"/>
      <c r="AH8394" s="25" t="n"/>
      <c r="AI8394" s="394" t="n"/>
      <c r="AM8394" s="48" t="n"/>
      <c r="AN8394" s="48" t="n"/>
      <c r="AO8394" s="48" t="n"/>
    </row>
    <row r="8395">
      <c r="M8395" s="25" t="n"/>
      <c r="Q8395" s="25" t="n"/>
      <c r="U8395" s="194" t="n"/>
      <c r="AA8395" s="25" t="n"/>
      <c r="AB8395" s="25" t="n"/>
      <c r="AC8395" s="195" t="n"/>
      <c r="AD8395" s="25" t="n"/>
      <c r="AE8395" s="25" t="n"/>
      <c r="AG8395" s="25" t="n"/>
      <c r="AH8395" s="25" t="n"/>
      <c r="AI8395" s="394" t="n"/>
      <c r="AM8395" s="48" t="n"/>
      <c r="AN8395" s="48" t="n"/>
      <c r="AO8395" s="48" t="n"/>
    </row>
    <row r="8396">
      <c r="M8396" s="25" t="n"/>
      <c r="Q8396" s="25" t="n"/>
      <c r="U8396" s="194" t="n"/>
      <c r="AA8396" s="25" t="n"/>
      <c r="AB8396" s="25" t="n"/>
      <c r="AC8396" s="195" t="n"/>
      <c r="AD8396" s="25" t="n"/>
      <c r="AE8396" s="25" t="n"/>
      <c r="AG8396" s="25" t="n"/>
      <c r="AH8396" s="25" t="n"/>
      <c r="AI8396" s="394" t="n"/>
      <c r="AM8396" s="48" t="n"/>
      <c r="AN8396" s="48" t="n"/>
      <c r="AO8396" s="48" t="n"/>
    </row>
    <row r="8397">
      <c r="M8397" s="25" t="n"/>
      <c r="Q8397" s="25" t="n"/>
      <c r="U8397" s="194" t="n"/>
      <c r="AA8397" s="25" t="n"/>
      <c r="AB8397" s="25" t="n"/>
      <c r="AC8397" s="195" t="n"/>
      <c r="AD8397" s="25" t="n"/>
      <c r="AE8397" s="25" t="n"/>
      <c r="AG8397" s="25" t="n"/>
      <c r="AH8397" s="25" t="n"/>
      <c r="AI8397" s="394" t="n"/>
      <c r="AM8397" s="48" t="n"/>
      <c r="AN8397" s="48" t="n"/>
      <c r="AO8397" s="48" t="n"/>
    </row>
    <row r="8398">
      <c r="M8398" s="25" t="n"/>
      <c r="Q8398" s="25" t="n"/>
      <c r="U8398" s="194" t="n"/>
      <c r="AA8398" s="25" t="n"/>
      <c r="AB8398" s="25" t="n"/>
      <c r="AC8398" s="195" t="n"/>
      <c r="AD8398" s="25" t="n"/>
      <c r="AE8398" s="25" t="n"/>
      <c r="AG8398" s="25" t="n"/>
      <c r="AH8398" s="25" t="n"/>
      <c r="AI8398" s="394" t="n"/>
      <c r="AM8398" s="48" t="n"/>
      <c r="AN8398" s="48" t="n"/>
      <c r="AO8398" s="48" t="n"/>
    </row>
    <row r="8399">
      <c r="M8399" s="25" t="n"/>
      <c r="Q8399" s="25" t="n"/>
      <c r="U8399" s="194" t="n"/>
      <c r="AA8399" s="25" t="n"/>
      <c r="AB8399" s="25" t="n"/>
      <c r="AC8399" s="195" t="n"/>
      <c r="AD8399" s="25" t="n"/>
      <c r="AE8399" s="25" t="n"/>
      <c r="AG8399" s="25" t="n"/>
      <c r="AH8399" s="25" t="n"/>
      <c r="AI8399" s="394" t="n"/>
      <c r="AM8399" s="48" t="n"/>
      <c r="AN8399" s="48" t="n"/>
      <c r="AO8399" s="48" t="n"/>
    </row>
    <row r="8400">
      <c r="M8400" s="25" t="n"/>
      <c r="Q8400" s="25" t="n"/>
      <c r="U8400" s="194" t="n"/>
      <c r="AA8400" s="25" t="n"/>
      <c r="AB8400" s="25" t="n"/>
      <c r="AC8400" s="195" t="n"/>
      <c r="AD8400" s="25" t="n"/>
      <c r="AE8400" s="25" t="n"/>
      <c r="AG8400" s="25" t="n"/>
      <c r="AH8400" s="25" t="n"/>
      <c r="AI8400" s="394" t="n"/>
      <c r="AM8400" s="48" t="n"/>
      <c r="AN8400" s="48" t="n"/>
      <c r="AO8400" s="48" t="n"/>
    </row>
    <row r="8401">
      <c r="M8401" s="25" t="n"/>
      <c r="Q8401" s="25" t="n"/>
      <c r="U8401" s="194" t="n"/>
      <c r="AA8401" s="25" t="n"/>
      <c r="AB8401" s="25" t="n"/>
      <c r="AC8401" s="195" t="n"/>
      <c r="AD8401" s="25" t="n"/>
      <c r="AE8401" s="25" t="n"/>
      <c r="AG8401" s="25" t="n"/>
      <c r="AH8401" s="25" t="n"/>
      <c r="AI8401" s="394" t="n"/>
      <c r="AM8401" s="48" t="n"/>
      <c r="AN8401" s="48" t="n"/>
      <c r="AO8401" s="48" t="n"/>
    </row>
    <row r="8402">
      <c r="M8402" s="25" t="n"/>
      <c r="Q8402" s="25" t="n"/>
      <c r="U8402" s="194" t="n"/>
      <c r="AA8402" s="25" t="n"/>
      <c r="AB8402" s="25" t="n"/>
      <c r="AC8402" s="195" t="n"/>
      <c r="AD8402" s="25" t="n"/>
      <c r="AE8402" s="25" t="n"/>
      <c r="AG8402" s="25" t="n"/>
      <c r="AH8402" s="25" t="n"/>
      <c r="AI8402" s="394" t="n"/>
      <c r="AM8402" s="48" t="n"/>
      <c r="AN8402" s="48" t="n"/>
      <c r="AO8402" s="48" t="n"/>
    </row>
    <row r="8403">
      <c r="M8403" s="25" t="n"/>
      <c r="Q8403" s="25" t="n"/>
      <c r="U8403" s="194" t="n"/>
      <c r="AA8403" s="25" t="n"/>
      <c r="AB8403" s="25" t="n"/>
      <c r="AC8403" s="195" t="n"/>
      <c r="AD8403" s="25" t="n"/>
      <c r="AE8403" s="25" t="n"/>
      <c r="AG8403" s="25" t="n"/>
      <c r="AH8403" s="25" t="n"/>
      <c r="AI8403" s="394" t="n"/>
      <c r="AM8403" s="48" t="n"/>
      <c r="AN8403" s="48" t="n"/>
      <c r="AO8403" s="48" t="n"/>
    </row>
    <row r="8404">
      <c r="M8404" s="25" t="n"/>
      <c r="Q8404" s="25" t="n"/>
      <c r="U8404" s="194" t="n"/>
      <c r="AA8404" s="25" t="n"/>
      <c r="AB8404" s="25" t="n"/>
      <c r="AC8404" s="195" t="n"/>
      <c r="AD8404" s="25" t="n"/>
      <c r="AE8404" s="25" t="n"/>
      <c r="AG8404" s="25" t="n"/>
      <c r="AH8404" s="25" t="n"/>
      <c r="AI8404" s="394" t="n"/>
      <c r="AM8404" s="48" t="n"/>
      <c r="AN8404" s="48" t="n"/>
      <c r="AO8404" s="48" t="n"/>
    </row>
    <row r="8405">
      <c r="M8405" s="25" t="n"/>
      <c r="Q8405" s="25" t="n"/>
      <c r="U8405" s="194" t="n"/>
      <c r="AA8405" s="25" t="n"/>
      <c r="AB8405" s="25" t="n"/>
      <c r="AC8405" s="195" t="n"/>
      <c r="AD8405" s="25" t="n"/>
      <c r="AE8405" s="25" t="n"/>
      <c r="AG8405" s="25" t="n"/>
      <c r="AH8405" s="25" t="n"/>
      <c r="AI8405" s="394" t="n"/>
      <c r="AM8405" s="48" t="n"/>
      <c r="AN8405" s="48" t="n"/>
      <c r="AO8405" s="48" t="n"/>
    </row>
    <row r="8406">
      <c r="M8406" s="25" t="n"/>
      <c r="Q8406" s="25" t="n"/>
      <c r="U8406" s="194" t="n"/>
      <c r="AA8406" s="25" t="n"/>
      <c r="AB8406" s="25" t="n"/>
      <c r="AC8406" s="195" t="n"/>
      <c r="AD8406" s="25" t="n"/>
      <c r="AE8406" s="25" t="n"/>
      <c r="AG8406" s="25" t="n"/>
      <c r="AH8406" s="25" t="n"/>
      <c r="AI8406" s="394" t="n"/>
      <c r="AM8406" s="48" t="n"/>
      <c r="AN8406" s="48" t="n"/>
      <c r="AO8406" s="48" t="n"/>
    </row>
    <row r="8407">
      <c r="M8407" s="25" t="n"/>
      <c r="Q8407" s="25" t="n"/>
      <c r="U8407" s="194" t="n"/>
      <c r="AA8407" s="25" t="n"/>
      <c r="AB8407" s="25" t="n"/>
      <c r="AC8407" s="195" t="n"/>
      <c r="AD8407" s="25" t="n"/>
      <c r="AE8407" s="25" t="n"/>
      <c r="AG8407" s="25" t="n"/>
      <c r="AH8407" s="25" t="n"/>
      <c r="AI8407" s="394" t="n"/>
      <c r="AM8407" s="48" t="n"/>
      <c r="AN8407" s="48" t="n"/>
      <c r="AO8407" s="48" t="n"/>
    </row>
    <row r="8408">
      <c r="M8408" s="25" t="n"/>
      <c r="Q8408" s="25" t="n"/>
      <c r="U8408" s="194" t="n"/>
      <c r="AA8408" s="25" t="n"/>
      <c r="AB8408" s="25" t="n"/>
      <c r="AC8408" s="195" t="n"/>
      <c r="AD8408" s="25" t="n"/>
      <c r="AE8408" s="25" t="n"/>
      <c r="AG8408" s="25" t="n"/>
      <c r="AH8408" s="25" t="n"/>
      <c r="AI8408" s="394" t="n"/>
      <c r="AM8408" s="48" t="n"/>
      <c r="AN8408" s="48" t="n"/>
      <c r="AO8408" s="48" t="n"/>
    </row>
    <row r="8409">
      <c r="M8409" s="25" t="n"/>
      <c r="Q8409" s="25" t="n"/>
      <c r="U8409" s="194" t="n"/>
      <c r="AA8409" s="25" t="n"/>
      <c r="AB8409" s="25" t="n"/>
      <c r="AC8409" s="195" t="n"/>
      <c r="AD8409" s="25" t="n"/>
      <c r="AE8409" s="25" t="n"/>
      <c r="AG8409" s="25" t="n"/>
      <c r="AH8409" s="25" t="n"/>
      <c r="AI8409" s="394" t="n"/>
      <c r="AM8409" s="48" t="n"/>
      <c r="AN8409" s="48" t="n"/>
      <c r="AO8409" s="48" t="n"/>
    </row>
    <row r="8410">
      <c r="M8410" s="25" t="n"/>
      <c r="Q8410" s="25" t="n"/>
      <c r="U8410" s="194" t="n"/>
      <c r="AA8410" s="25" t="n"/>
      <c r="AB8410" s="25" t="n"/>
      <c r="AC8410" s="195" t="n"/>
      <c r="AD8410" s="25" t="n"/>
      <c r="AE8410" s="25" t="n"/>
      <c r="AG8410" s="25" t="n"/>
      <c r="AH8410" s="25" t="n"/>
      <c r="AI8410" s="394" t="n"/>
      <c r="AM8410" s="48" t="n"/>
      <c r="AN8410" s="48" t="n"/>
      <c r="AO8410" s="48" t="n"/>
    </row>
    <row r="8411">
      <c r="M8411" s="25" t="n"/>
      <c r="Q8411" s="25" t="n"/>
      <c r="U8411" s="194" t="n"/>
      <c r="AA8411" s="25" t="n"/>
      <c r="AB8411" s="25" t="n"/>
      <c r="AC8411" s="195" t="n"/>
      <c r="AD8411" s="25" t="n"/>
      <c r="AE8411" s="25" t="n"/>
      <c r="AG8411" s="25" t="n"/>
      <c r="AH8411" s="25" t="n"/>
      <c r="AI8411" s="394" t="n"/>
      <c r="AM8411" s="48" t="n"/>
      <c r="AN8411" s="48" t="n"/>
      <c r="AO8411" s="48" t="n"/>
    </row>
    <row r="8412">
      <c r="M8412" s="25" t="n"/>
      <c r="Q8412" s="25" t="n"/>
      <c r="U8412" s="194" t="n"/>
      <c r="AA8412" s="25" t="n"/>
      <c r="AB8412" s="25" t="n"/>
      <c r="AC8412" s="195" t="n"/>
      <c r="AD8412" s="25" t="n"/>
      <c r="AE8412" s="25" t="n"/>
      <c r="AG8412" s="25" t="n"/>
      <c r="AH8412" s="25" t="n"/>
      <c r="AI8412" s="394" t="n"/>
      <c r="AM8412" s="48" t="n"/>
      <c r="AN8412" s="48" t="n"/>
      <c r="AO8412" s="48" t="n"/>
    </row>
    <row r="8413">
      <c r="M8413" s="25" t="n"/>
      <c r="Q8413" s="25" t="n"/>
      <c r="U8413" s="194" t="n"/>
      <c r="AA8413" s="25" t="n"/>
      <c r="AB8413" s="25" t="n"/>
      <c r="AC8413" s="195" t="n"/>
      <c r="AD8413" s="25" t="n"/>
      <c r="AE8413" s="25" t="n"/>
      <c r="AG8413" s="25" t="n"/>
      <c r="AH8413" s="25" t="n"/>
      <c r="AI8413" s="394" t="n"/>
      <c r="AM8413" s="48" t="n"/>
      <c r="AN8413" s="48" t="n"/>
      <c r="AO8413" s="48" t="n"/>
    </row>
    <row r="8414">
      <c r="M8414" s="25" t="n"/>
      <c r="Q8414" s="25" t="n"/>
      <c r="U8414" s="194" t="n"/>
      <c r="AA8414" s="25" t="n"/>
      <c r="AB8414" s="25" t="n"/>
      <c r="AC8414" s="195" t="n"/>
      <c r="AD8414" s="25" t="n"/>
      <c r="AE8414" s="25" t="n"/>
      <c r="AG8414" s="25" t="n"/>
      <c r="AH8414" s="25" t="n"/>
      <c r="AI8414" s="394" t="n"/>
      <c r="AM8414" s="48" t="n"/>
      <c r="AN8414" s="48" t="n"/>
      <c r="AO8414" s="48" t="n"/>
    </row>
    <row r="8415">
      <c r="M8415" s="25" t="n"/>
      <c r="Q8415" s="25" t="n"/>
      <c r="U8415" s="194" t="n"/>
      <c r="AA8415" s="25" t="n"/>
      <c r="AB8415" s="25" t="n"/>
      <c r="AC8415" s="195" t="n"/>
      <c r="AD8415" s="25" t="n"/>
      <c r="AE8415" s="25" t="n"/>
      <c r="AG8415" s="25" t="n"/>
      <c r="AH8415" s="25" t="n"/>
      <c r="AI8415" s="394" t="n"/>
      <c r="AM8415" s="48" t="n"/>
      <c r="AN8415" s="48" t="n"/>
      <c r="AO8415" s="48" t="n"/>
    </row>
    <row r="8416">
      <c r="M8416" s="25" t="n"/>
      <c r="Q8416" s="25" t="n"/>
      <c r="U8416" s="194" t="n"/>
      <c r="AA8416" s="25" t="n"/>
      <c r="AB8416" s="25" t="n"/>
      <c r="AC8416" s="195" t="n"/>
      <c r="AD8416" s="25" t="n"/>
      <c r="AE8416" s="25" t="n"/>
      <c r="AG8416" s="25" t="n"/>
      <c r="AH8416" s="25" t="n"/>
      <c r="AI8416" s="394" t="n"/>
      <c r="AM8416" s="48" t="n"/>
      <c r="AN8416" s="48" t="n"/>
      <c r="AO8416" s="48" t="n"/>
    </row>
    <row r="8417">
      <c r="M8417" s="25" t="n"/>
      <c r="Q8417" s="25" t="n"/>
      <c r="U8417" s="194" t="n"/>
      <c r="AA8417" s="25" t="n"/>
      <c r="AB8417" s="25" t="n"/>
      <c r="AC8417" s="195" t="n"/>
      <c r="AD8417" s="25" t="n"/>
      <c r="AE8417" s="25" t="n"/>
      <c r="AG8417" s="25" t="n"/>
      <c r="AH8417" s="25" t="n"/>
      <c r="AI8417" s="394" t="n"/>
      <c r="AM8417" s="48" t="n"/>
      <c r="AN8417" s="48" t="n"/>
      <c r="AO8417" s="48" t="n"/>
    </row>
    <row r="8418">
      <c r="M8418" s="25" t="n"/>
      <c r="Q8418" s="25" t="n"/>
      <c r="U8418" s="194" t="n"/>
      <c r="AA8418" s="25" t="n"/>
      <c r="AB8418" s="25" t="n"/>
      <c r="AC8418" s="195" t="n"/>
      <c r="AD8418" s="25" t="n"/>
      <c r="AE8418" s="25" t="n"/>
      <c r="AG8418" s="25" t="n"/>
      <c r="AH8418" s="25" t="n"/>
      <c r="AI8418" s="394" t="n"/>
      <c r="AM8418" s="48" t="n"/>
      <c r="AN8418" s="48" t="n"/>
      <c r="AO8418" s="48" t="n"/>
    </row>
    <row r="8419">
      <c r="M8419" s="25" t="n"/>
      <c r="Q8419" s="25" t="n"/>
      <c r="U8419" s="194" t="n"/>
      <c r="AA8419" s="25" t="n"/>
      <c r="AB8419" s="25" t="n"/>
      <c r="AC8419" s="195" t="n"/>
      <c r="AD8419" s="25" t="n"/>
      <c r="AE8419" s="25" t="n"/>
      <c r="AG8419" s="25" t="n"/>
      <c r="AH8419" s="25" t="n"/>
      <c r="AI8419" s="394" t="n"/>
      <c r="AM8419" s="48" t="n"/>
      <c r="AN8419" s="48" t="n"/>
      <c r="AO8419" s="48" t="n"/>
    </row>
    <row r="8420">
      <c r="M8420" s="25" t="n"/>
      <c r="Q8420" s="25" t="n"/>
      <c r="U8420" s="194" t="n"/>
      <c r="AA8420" s="25" t="n"/>
      <c r="AB8420" s="25" t="n"/>
      <c r="AC8420" s="195" t="n"/>
      <c r="AD8420" s="25" t="n"/>
      <c r="AE8420" s="25" t="n"/>
      <c r="AG8420" s="25" t="n"/>
      <c r="AH8420" s="25" t="n"/>
      <c r="AI8420" s="394" t="n"/>
      <c r="AM8420" s="48" t="n"/>
      <c r="AN8420" s="48" t="n"/>
      <c r="AO8420" s="48" t="n"/>
    </row>
    <row r="8421">
      <c r="M8421" s="25" t="n"/>
      <c r="Q8421" s="25" t="n"/>
      <c r="U8421" s="194" t="n"/>
      <c r="AA8421" s="25" t="n"/>
      <c r="AB8421" s="25" t="n"/>
      <c r="AC8421" s="195" t="n"/>
      <c r="AD8421" s="25" t="n"/>
      <c r="AE8421" s="25" t="n"/>
      <c r="AG8421" s="25" t="n"/>
      <c r="AH8421" s="25" t="n"/>
      <c r="AI8421" s="394" t="n"/>
      <c r="AM8421" s="48" t="n"/>
      <c r="AN8421" s="48" t="n"/>
      <c r="AO8421" s="48" t="n"/>
    </row>
    <row r="8422">
      <c r="M8422" s="25" t="n"/>
      <c r="Q8422" s="25" t="n"/>
      <c r="U8422" s="194" t="n"/>
      <c r="AA8422" s="25" t="n"/>
      <c r="AB8422" s="25" t="n"/>
      <c r="AC8422" s="195" t="n"/>
      <c r="AD8422" s="25" t="n"/>
      <c r="AE8422" s="25" t="n"/>
      <c r="AG8422" s="25" t="n"/>
      <c r="AH8422" s="25" t="n"/>
      <c r="AI8422" s="394" t="n"/>
      <c r="AM8422" s="48" t="n"/>
      <c r="AN8422" s="48" t="n"/>
      <c r="AO8422" s="48" t="n"/>
    </row>
    <row r="8423">
      <c r="M8423" s="25" t="n"/>
      <c r="Q8423" s="25" t="n"/>
      <c r="U8423" s="194" t="n"/>
      <c r="AA8423" s="25" t="n"/>
      <c r="AB8423" s="25" t="n"/>
      <c r="AC8423" s="195" t="n"/>
      <c r="AD8423" s="25" t="n"/>
      <c r="AE8423" s="25" t="n"/>
      <c r="AG8423" s="25" t="n"/>
      <c r="AH8423" s="25" t="n"/>
      <c r="AI8423" s="394" t="n"/>
      <c r="AM8423" s="48" t="n"/>
      <c r="AN8423" s="48" t="n"/>
      <c r="AO8423" s="48" t="n"/>
    </row>
    <row r="8424">
      <c r="M8424" s="25" t="n"/>
      <c r="Q8424" s="25" t="n"/>
      <c r="U8424" s="194" t="n"/>
      <c r="AA8424" s="25" t="n"/>
      <c r="AB8424" s="25" t="n"/>
      <c r="AC8424" s="195" t="n"/>
      <c r="AD8424" s="25" t="n"/>
      <c r="AE8424" s="25" t="n"/>
      <c r="AG8424" s="25" t="n"/>
      <c r="AH8424" s="25" t="n"/>
      <c r="AI8424" s="394" t="n"/>
      <c r="AM8424" s="48" t="n"/>
      <c r="AN8424" s="48" t="n"/>
      <c r="AO8424" s="48" t="n"/>
    </row>
    <row r="8425">
      <c r="M8425" s="25" t="n"/>
      <c r="Q8425" s="25" t="n"/>
      <c r="U8425" s="194" t="n"/>
      <c r="AA8425" s="25" t="n"/>
      <c r="AB8425" s="25" t="n"/>
      <c r="AC8425" s="195" t="n"/>
      <c r="AD8425" s="25" t="n"/>
      <c r="AE8425" s="25" t="n"/>
      <c r="AG8425" s="25" t="n"/>
      <c r="AH8425" s="25" t="n"/>
      <c r="AI8425" s="394" t="n"/>
      <c r="AM8425" s="48" t="n"/>
      <c r="AN8425" s="48" t="n"/>
      <c r="AO8425" s="48" t="n"/>
    </row>
    <row r="8426">
      <c r="M8426" s="25" t="n"/>
      <c r="Q8426" s="25" t="n"/>
      <c r="U8426" s="194" t="n"/>
      <c r="AA8426" s="25" t="n"/>
      <c r="AB8426" s="25" t="n"/>
      <c r="AC8426" s="195" t="n"/>
      <c r="AD8426" s="25" t="n"/>
      <c r="AE8426" s="25" t="n"/>
      <c r="AG8426" s="25" t="n"/>
      <c r="AH8426" s="25" t="n"/>
      <c r="AI8426" s="394" t="n"/>
      <c r="AM8426" s="48" t="n"/>
      <c r="AN8426" s="48" t="n"/>
      <c r="AO8426" s="48" t="n"/>
    </row>
    <row r="8427">
      <c r="M8427" s="25" t="n"/>
      <c r="Q8427" s="25" t="n"/>
      <c r="U8427" s="194" t="n"/>
      <c r="AA8427" s="25" t="n"/>
      <c r="AB8427" s="25" t="n"/>
      <c r="AC8427" s="195" t="n"/>
      <c r="AD8427" s="25" t="n"/>
      <c r="AE8427" s="25" t="n"/>
      <c r="AG8427" s="25" t="n"/>
      <c r="AH8427" s="25" t="n"/>
      <c r="AI8427" s="394" t="n"/>
      <c r="AM8427" s="48" t="n"/>
      <c r="AN8427" s="48" t="n"/>
      <c r="AO8427" s="48" t="n"/>
    </row>
    <row r="8428">
      <c r="M8428" s="25" t="n"/>
      <c r="Q8428" s="25" t="n"/>
      <c r="U8428" s="194" t="n"/>
      <c r="AA8428" s="25" t="n"/>
      <c r="AB8428" s="25" t="n"/>
      <c r="AC8428" s="195" t="n"/>
      <c r="AD8428" s="25" t="n"/>
      <c r="AE8428" s="25" t="n"/>
      <c r="AG8428" s="25" t="n"/>
      <c r="AH8428" s="25" t="n"/>
      <c r="AI8428" s="394" t="n"/>
      <c r="AM8428" s="48" t="n"/>
      <c r="AN8428" s="48" t="n"/>
      <c r="AO8428" s="48" t="n"/>
    </row>
    <row r="8429">
      <c r="M8429" s="25" t="n"/>
      <c r="Q8429" s="25" t="n"/>
      <c r="U8429" s="194" t="n"/>
      <c r="AA8429" s="25" t="n"/>
      <c r="AB8429" s="25" t="n"/>
      <c r="AC8429" s="195" t="n"/>
      <c r="AD8429" s="25" t="n"/>
      <c r="AE8429" s="25" t="n"/>
      <c r="AG8429" s="25" t="n"/>
      <c r="AH8429" s="25" t="n"/>
      <c r="AI8429" s="394" t="n"/>
      <c r="AM8429" s="48" t="n"/>
      <c r="AN8429" s="48" t="n"/>
      <c r="AO8429" s="48" t="n"/>
    </row>
    <row r="8430">
      <c r="M8430" s="25" t="n"/>
      <c r="Q8430" s="25" t="n"/>
      <c r="U8430" s="194" t="n"/>
      <c r="AA8430" s="25" t="n"/>
      <c r="AB8430" s="25" t="n"/>
      <c r="AC8430" s="195" t="n"/>
      <c r="AD8430" s="25" t="n"/>
      <c r="AE8430" s="25" t="n"/>
      <c r="AG8430" s="25" t="n"/>
      <c r="AH8430" s="25" t="n"/>
      <c r="AI8430" s="394" t="n"/>
      <c r="AM8430" s="48" t="n"/>
      <c r="AN8430" s="48" t="n"/>
      <c r="AO8430" s="48" t="n"/>
    </row>
    <row r="8431">
      <c r="M8431" s="25" t="n"/>
      <c r="Q8431" s="25" t="n"/>
      <c r="U8431" s="194" t="n"/>
      <c r="AA8431" s="25" t="n"/>
      <c r="AB8431" s="25" t="n"/>
      <c r="AC8431" s="195" t="n"/>
      <c r="AD8431" s="25" t="n"/>
      <c r="AE8431" s="25" t="n"/>
      <c r="AG8431" s="25" t="n"/>
      <c r="AH8431" s="25" t="n"/>
      <c r="AI8431" s="394" t="n"/>
      <c r="AM8431" s="48" t="n"/>
      <c r="AN8431" s="48" t="n"/>
      <c r="AO8431" s="48" t="n"/>
    </row>
    <row r="8432">
      <c r="M8432" s="25" t="n"/>
      <c r="Q8432" s="25" t="n"/>
      <c r="U8432" s="194" t="n"/>
      <c r="AA8432" s="25" t="n"/>
      <c r="AB8432" s="25" t="n"/>
      <c r="AC8432" s="195" t="n"/>
      <c r="AD8432" s="25" t="n"/>
      <c r="AE8432" s="25" t="n"/>
      <c r="AG8432" s="25" t="n"/>
      <c r="AH8432" s="25" t="n"/>
      <c r="AI8432" s="394" t="n"/>
      <c r="AM8432" s="48" t="n"/>
      <c r="AN8432" s="48" t="n"/>
      <c r="AO8432" s="48" t="n"/>
    </row>
    <row r="8433">
      <c r="M8433" s="25" t="n"/>
      <c r="Q8433" s="25" t="n"/>
      <c r="U8433" s="194" t="n"/>
      <c r="AA8433" s="25" t="n"/>
      <c r="AB8433" s="25" t="n"/>
      <c r="AC8433" s="195" t="n"/>
      <c r="AD8433" s="25" t="n"/>
      <c r="AE8433" s="25" t="n"/>
      <c r="AG8433" s="25" t="n"/>
      <c r="AH8433" s="25" t="n"/>
      <c r="AI8433" s="394" t="n"/>
      <c r="AM8433" s="48" t="n"/>
      <c r="AN8433" s="48" t="n"/>
      <c r="AO8433" s="48" t="n"/>
    </row>
    <row r="8434">
      <c r="M8434" s="25" t="n"/>
      <c r="Q8434" s="25" t="n"/>
      <c r="U8434" s="194" t="n"/>
      <c r="AA8434" s="25" t="n"/>
      <c r="AB8434" s="25" t="n"/>
      <c r="AC8434" s="195" t="n"/>
      <c r="AD8434" s="25" t="n"/>
      <c r="AE8434" s="25" t="n"/>
      <c r="AG8434" s="25" t="n"/>
      <c r="AH8434" s="25" t="n"/>
      <c r="AI8434" s="394" t="n"/>
      <c r="AM8434" s="48" t="n"/>
      <c r="AN8434" s="48" t="n"/>
      <c r="AO8434" s="48" t="n"/>
    </row>
    <row r="8435">
      <c r="M8435" s="25" t="n"/>
      <c r="Q8435" s="25" t="n"/>
      <c r="U8435" s="194" t="n"/>
      <c r="AA8435" s="25" t="n"/>
      <c r="AB8435" s="25" t="n"/>
      <c r="AC8435" s="195" t="n"/>
      <c r="AD8435" s="25" t="n"/>
      <c r="AE8435" s="25" t="n"/>
      <c r="AG8435" s="25" t="n"/>
      <c r="AH8435" s="25" t="n"/>
      <c r="AI8435" s="394" t="n"/>
      <c r="AM8435" s="48" t="n"/>
      <c r="AN8435" s="48" t="n"/>
      <c r="AO8435" s="48" t="n"/>
    </row>
    <row r="8436">
      <c r="M8436" s="25" t="n"/>
      <c r="Q8436" s="25" t="n"/>
      <c r="U8436" s="194" t="n"/>
      <c r="AA8436" s="25" t="n"/>
      <c r="AB8436" s="25" t="n"/>
      <c r="AC8436" s="195" t="n"/>
      <c r="AD8436" s="25" t="n"/>
      <c r="AE8436" s="25" t="n"/>
      <c r="AG8436" s="25" t="n"/>
      <c r="AH8436" s="25" t="n"/>
      <c r="AI8436" s="394" t="n"/>
      <c r="AM8436" s="48" t="n"/>
      <c r="AN8436" s="48" t="n"/>
      <c r="AO8436" s="48" t="n"/>
    </row>
    <row r="8437">
      <c r="M8437" s="25" t="n"/>
      <c r="Q8437" s="25" t="n"/>
      <c r="U8437" s="194" t="n"/>
      <c r="AA8437" s="25" t="n"/>
      <c r="AB8437" s="25" t="n"/>
      <c r="AC8437" s="195" t="n"/>
      <c r="AD8437" s="25" t="n"/>
      <c r="AE8437" s="25" t="n"/>
      <c r="AG8437" s="25" t="n"/>
      <c r="AH8437" s="25" t="n"/>
      <c r="AI8437" s="394" t="n"/>
      <c r="AM8437" s="48" t="n"/>
      <c r="AN8437" s="48" t="n"/>
      <c r="AO8437" s="48" t="n"/>
    </row>
    <row r="8438">
      <c r="M8438" s="25" t="n"/>
      <c r="Q8438" s="25" t="n"/>
      <c r="U8438" s="194" t="n"/>
      <c r="AA8438" s="25" t="n"/>
      <c r="AB8438" s="25" t="n"/>
      <c r="AC8438" s="195" t="n"/>
      <c r="AD8438" s="25" t="n"/>
      <c r="AE8438" s="25" t="n"/>
      <c r="AG8438" s="25" t="n"/>
      <c r="AH8438" s="25" t="n"/>
      <c r="AI8438" s="394" t="n"/>
      <c r="AM8438" s="48" t="n"/>
      <c r="AN8438" s="48" t="n"/>
      <c r="AO8438" s="48" t="n"/>
    </row>
    <row r="8439">
      <c r="M8439" s="25" t="n"/>
      <c r="Q8439" s="25" t="n"/>
      <c r="U8439" s="194" t="n"/>
      <c r="AA8439" s="25" t="n"/>
      <c r="AB8439" s="25" t="n"/>
      <c r="AC8439" s="195" t="n"/>
      <c r="AD8439" s="25" t="n"/>
      <c r="AE8439" s="25" t="n"/>
      <c r="AG8439" s="25" t="n"/>
      <c r="AH8439" s="25" t="n"/>
      <c r="AI8439" s="394" t="n"/>
      <c r="AM8439" s="48" t="n"/>
      <c r="AN8439" s="48" t="n"/>
      <c r="AO8439" s="48" t="n"/>
    </row>
    <row r="8440">
      <c r="M8440" s="25" t="n"/>
      <c r="Q8440" s="25" t="n"/>
      <c r="U8440" s="194" t="n"/>
      <c r="AA8440" s="25" t="n"/>
      <c r="AB8440" s="25" t="n"/>
      <c r="AC8440" s="195" t="n"/>
      <c r="AD8440" s="25" t="n"/>
      <c r="AE8440" s="25" t="n"/>
      <c r="AG8440" s="25" t="n"/>
      <c r="AH8440" s="25" t="n"/>
      <c r="AI8440" s="394" t="n"/>
      <c r="AM8440" s="48" t="n"/>
      <c r="AN8440" s="48" t="n"/>
      <c r="AO8440" s="48" t="n"/>
    </row>
    <row r="8441">
      <c r="M8441" s="25" t="n"/>
      <c r="Q8441" s="25" t="n"/>
      <c r="U8441" s="194" t="n"/>
      <c r="AA8441" s="25" t="n"/>
      <c r="AB8441" s="25" t="n"/>
      <c r="AC8441" s="195" t="n"/>
      <c r="AD8441" s="25" t="n"/>
      <c r="AE8441" s="25" t="n"/>
      <c r="AG8441" s="25" t="n"/>
      <c r="AH8441" s="25" t="n"/>
      <c r="AI8441" s="394" t="n"/>
      <c r="AM8441" s="48" t="n"/>
      <c r="AN8441" s="48" t="n"/>
      <c r="AO8441" s="48" t="n"/>
    </row>
    <row r="8442">
      <c r="M8442" s="25" t="n"/>
      <c r="Q8442" s="25" t="n"/>
      <c r="U8442" s="194" t="n"/>
      <c r="AA8442" s="25" t="n"/>
      <c r="AB8442" s="25" t="n"/>
      <c r="AC8442" s="195" t="n"/>
      <c r="AD8442" s="25" t="n"/>
      <c r="AE8442" s="25" t="n"/>
      <c r="AG8442" s="25" t="n"/>
      <c r="AH8442" s="25" t="n"/>
      <c r="AI8442" s="394" t="n"/>
      <c r="AM8442" s="48" t="n"/>
      <c r="AN8442" s="48" t="n"/>
      <c r="AO8442" s="48" t="n"/>
    </row>
    <row r="8443">
      <c r="M8443" s="25" t="n"/>
      <c r="Q8443" s="25" t="n"/>
      <c r="U8443" s="194" t="n"/>
      <c r="AA8443" s="25" t="n"/>
      <c r="AB8443" s="25" t="n"/>
      <c r="AC8443" s="195" t="n"/>
      <c r="AD8443" s="25" t="n"/>
      <c r="AE8443" s="25" t="n"/>
      <c r="AG8443" s="25" t="n"/>
      <c r="AH8443" s="25" t="n"/>
      <c r="AI8443" s="394" t="n"/>
      <c r="AM8443" s="48" t="n"/>
      <c r="AN8443" s="48" t="n"/>
      <c r="AO8443" s="48" t="n"/>
    </row>
    <row r="8444">
      <c r="M8444" s="25" t="n"/>
      <c r="Q8444" s="25" t="n"/>
      <c r="U8444" s="194" t="n"/>
      <c r="AA8444" s="25" t="n"/>
      <c r="AB8444" s="25" t="n"/>
      <c r="AC8444" s="195" t="n"/>
      <c r="AD8444" s="25" t="n"/>
      <c r="AE8444" s="25" t="n"/>
      <c r="AG8444" s="25" t="n"/>
      <c r="AH8444" s="25" t="n"/>
      <c r="AI8444" s="394" t="n"/>
      <c r="AM8444" s="48" t="n"/>
      <c r="AN8444" s="48" t="n"/>
      <c r="AO8444" s="48" t="n"/>
    </row>
    <row r="8445">
      <c r="M8445" s="25" t="n"/>
      <c r="Q8445" s="25" t="n"/>
      <c r="U8445" s="194" t="n"/>
      <c r="AA8445" s="25" t="n"/>
      <c r="AB8445" s="25" t="n"/>
      <c r="AC8445" s="195" t="n"/>
      <c r="AD8445" s="25" t="n"/>
      <c r="AE8445" s="25" t="n"/>
      <c r="AG8445" s="25" t="n"/>
      <c r="AH8445" s="25" t="n"/>
      <c r="AI8445" s="394" t="n"/>
      <c r="AM8445" s="48" t="n"/>
      <c r="AN8445" s="48" t="n"/>
      <c r="AO8445" s="48" t="n"/>
    </row>
    <row r="8446">
      <c r="M8446" s="25" t="n"/>
      <c r="Q8446" s="25" t="n"/>
      <c r="U8446" s="194" t="n"/>
      <c r="AA8446" s="25" t="n"/>
      <c r="AB8446" s="25" t="n"/>
      <c r="AC8446" s="195" t="n"/>
      <c r="AD8446" s="25" t="n"/>
      <c r="AE8446" s="25" t="n"/>
      <c r="AG8446" s="25" t="n"/>
      <c r="AH8446" s="25" t="n"/>
      <c r="AI8446" s="394" t="n"/>
      <c r="AM8446" s="48" t="n"/>
      <c r="AN8446" s="48" t="n"/>
      <c r="AO8446" s="48" t="n"/>
    </row>
    <row r="8447">
      <c r="M8447" s="25" t="n"/>
      <c r="Q8447" s="25" t="n"/>
      <c r="U8447" s="194" t="n"/>
      <c r="AA8447" s="25" t="n"/>
      <c r="AB8447" s="25" t="n"/>
      <c r="AC8447" s="195" t="n"/>
      <c r="AD8447" s="25" t="n"/>
      <c r="AE8447" s="25" t="n"/>
      <c r="AG8447" s="25" t="n"/>
      <c r="AH8447" s="25" t="n"/>
      <c r="AI8447" s="394" t="n"/>
      <c r="AM8447" s="48" t="n"/>
      <c r="AN8447" s="48" t="n"/>
      <c r="AO8447" s="48" t="n"/>
    </row>
    <row r="8448">
      <c r="M8448" s="25" t="n"/>
      <c r="Q8448" s="25" t="n"/>
      <c r="U8448" s="194" t="n"/>
      <c r="AA8448" s="25" t="n"/>
      <c r="AB8448" s="25" t="n"/>
      <c r="AC8448" s="195" t="n"/>
      <c r="AD8448" s="25" t="n"/>
      <c r="AE8448" s="25" t="n"/>
      <c r="AG8448" s="25" t="n"/>
      <c r="AH8448" s="25" t="n"/>
      <c r="AI8448" s="394" t="n"/>
      <c r="AM8448" s="48" t="n"/>
      <c r="AN8448" s="48" t="n"/>
      <c r="AO8448" s="48" t="n"/>
    </row>
    <row r="8449">
      <c r="M8449" s="25" t="n"/>
      <c r="Q8449" s="25" t="n"/>
      <c r="U8449" s="194" t="n"/>
      <c r="AA8449" s="25" t="n"/>
      <c r="AB8449" s="25" t="n"/>
      <c r="AC8449" s="195" t="n"/>
      <c r="AD8449" s="25" t="n"/>
      <c r="AE8449" s="25" t="n"/>
      <c r="AG8449" s="25" t="n"/>
      <c r="AH8449" s="25" t="n"/>
      <c r="AI8449" s="394" t="n"/>
      <c r="AM8449" s="48" t="n"/>
      <c r="AN8449" s="48" t="n"/>
      <c r="AO8449" s="48" t="n"/>
    </row>
    <row r="8450">
      <c r="M8450" s="25" t="n"/>
      <c r="Q8450" s="25" t="n"/>
      <c r="U8450" s="194" t="n"/>
      <c r="AA8450" s="25" t="n"/>
      <c r="AB8450" s="25" t="n"/>
      <c r="AC8450" s="195" t="n"/>
      <c r="AD8450" s="25" t="n"/>
      <c r="AE8450" s="25" t="n"/>
      <c r="AG8450" s="25" t="n"/>
      <c r="AH8450" s="25" t="n"/>
      <c r="AI8450" s="394" t="n"/>
      <c r="AM8450" s="48" t="n"/>
      <c r="AN8450" s="48" t="n"/>
      <c r="AO8450" s="48" t="n"/>
    </row>
    <row r="8451">
      <c r="M8451" s="25" t="n"/>
      <c r="Q8451" s="25" t="n"/>
      <c r="U8451" s="194" t="n"/>
      <c r="AA8451" s="25" t="n"/>
      <c r="AB8451" s="25" t="n"/>
      <c r="AC8451" s="195" t="n"/>
      <c r="AD8451" s="25" t="n"/>
      <c r="AE8451" s="25" t="n"/>
      <c r="AG8451" s="25" t="n"/>
      <c r="AH8451" s="25" t="n"/>
      <c r="AI8451" s="394" t="n"/>
      <c r="AM8451" s="48" t="n"/>
      <c r="AN8451" s="48" t="n"/>
      <c r="AO8451" s="48" t="n"/>
    </row>
    <row r="8452">
      <c r="M8452" s="25" t="n"/>
      <c r="Q8452" s="25" t="n"/>
      <c r="U8452" s="194" t="n"/>
      <c r="AA8452" s="25" t="n"/>
      <c r="AB8452" s="25" t="n"/>
      <c r="AC8452" s="195" t="n"/>
      <c r="AD8452" s="25" t="n"/>
      <c r="AE8452" s="25" t="n"/>
      <c r="AG8452" s="25" t="n"/>
      <c r="AH8452" s="25" t="n"/>
      <c r="AI8452" s="394" t="n"/>
      <c r="AM8452" s="48" t="n"/>
      <c r="AN8452" s="48" t="n"/>
      <c r="AO8452" s="48" t="n"/>
    </row>
    <row r="8453">
      <c r="M8453" s="25" t="n"/>
      <c r="Q8453" s="25" t="n"/>
      <c r="U8453" s="194" t="n"/>
      <c r="AA8453" s="25" t="n"/>
      <c r="AB8453" s="25" t="n"/>
      <c r="AC8453" s="195" t="n"/>
      <c r="AD8453" s="25" t="n"/>
      <c r="AE8453" s="25" t="n"/>
      <c r="AG8453" s="25" t="n"/>
      <c r="AH8453" s="25" t="n"/>
      <c r="AI8453" s="394" t="n"/>
      <c r="AM8453" s="48" t="n"/>
      <c r="AN8453" s="48" t="n"/>
      <c r="AO8453" s="48" t="n"/>
    </row>
    <row r="8454">
      <c r="M8454" s="25" t="n"/>
      <c r="Q8454" s="25" t="n"/>
      <c r="U8454" s="194" t="n"/>
      <c r="AA8454" s="25" t="n"/>
      <c r="AB8454" s="25" t="n"/>
      <c r="AC8454" s="195" t="n"/>
      <c r="AD8454" s="25" t="n"/>
      <c r="AE8454" s="25" t="n"/>
      <c r="AG8454" s="25" t="n"/>
      <c r="AH8454" s="25" t="n"/>
      <c r="AI8454" s="394" t="n"/>
      <c r="AM8454" s="48" t="n"/>
      <c r="AN8454" s="48" t="n"/>
      <c r="AO8454" s="48" t="n"/>
    </row>
    <row r="8455">
      <c r="M8455" s="25" t="n"/>
      <c r="Q8455" s="25" t="n"/>
      <c r="U8455" s="194" t="n"/>
      <c r="AA8455" s="25" t="n"/>
      <c r="AB8455" s="25" t="n"/>
      <c r="AC8455" s="195" t="n"/>
      <c r="AD8455" s="25" t="n"/>
      <c r="AE8455" s="25" t="n"/>
      <c r="AG8455" s="25" t="n"/>
      <c r="AH8455" s="25" t="n"/>
      <c r="AI8455" s="394" t="n"/>
      <c r="AM8455" s="48" t="n"/>
      <c r="AN8455" s="48" t="n"/>
      <c r="AO8455" s="48" t="n"/>
    </row>
    <row r="8456">
      <c r="M8456" s="25" t="n"/>
      <c r="Q8456" s="25" t="n"/>
      <c r="U8456" s="194" t="n"/>
      <c r="AA8456" s="25" t="n"/>
      <c r="AB8456" s="25" t="n"/>
      <c r="AC8456" s="195" t="n"/>
      <c r="AD8456" s="25" t="n"/>
      <c r="AE8456" s="25" t="n"/>
      <c r="AG8456" s="25" t="n"/>
      <c r="AH8456" s="25" t="n"/>
      <c r="AI8456" s="394" t="n"/>
      <c r="AM8456" s="48" t="n"/>
      <c r="AN8456" s="48" t="n"/>
      <c r="AO8456" s="48" t="n"/>
    </row>
    <row r="8457">
      <c r="M8457" s="25" t="n"/>
      <c r="Q8457" s="25" t="n"/>
      <c r="U8457" s="194" t="n"/>
      <c r="AA8457" s="25" t="n"/>
      <c r="AB8457" s="25" t="n"/>
      <c r="AC8457" s="195" t="n"/>
      <c r="AD8457" s="25" t="n"/>
      <c r="AE8457" s="25" t="n"/>
      <c r="AG8457" s="25" t="n"/>
      <c r="AH8457" s="25" t="n"/>
      <c r="AI8457" s="394" t="n"/>
      <c r="AM8457" s="48" t="n"/>
      <c r="AN8457" s="48" t="n"/>
      <c r="AO8457" s="48" t="n"/>
    </row>
    <row r="8458">
      <c r="M8458" s="25" t="n"/>
      <c r="Q8458" s="25" t="n"/>
      <c r="U8458" s="194" t="n"/>
      <c r="AA8458" s="25" t="n"/>
      <c r="AB8458" s="25" t="n"/>
      <c r="AC8458" s="195" t="n"/>
      <c r="AD8458" s="25" t="n"/>
      <c r="AE8458" s="25" t="n"/>
      <c r="AG8458" s="25" t="n"/>
      <c r="AH8458" s="25" t="n"/>
      <c r="AI8458" s="394" t="n"/>
      <c r="AM8458" s="48" t="n"/>
      <c r="AN8458" s="48" t="n"/>
      <c r="AO8458" s="48" t="n"/>
    </row>
    <row r="8459">
      <c r="M8459" s="25" t="n"/>
      <c r="Q8459" s="25" t="n"/>
      <c r="U8459" s="194" t="n"/>
      <c r="AA8459" s="25" t="n"/>
      <c r="AB8459" s="25" t="n"/>
      <c r="AC8459" s="195" t="n"/>
      <c r="AD8459" s="25" t="n"/>
      <c r="AE8459" s="25" t="n"/>
      <c r="AG8459" s="25" t="n"/>
      <c r="AH8459" s="25" t="n"/>
      <c r="AI8459" s="394" t="n"/>
      <c r="AM8459" s="48" t="n"/>
      <c r="AN8459" s="48" t="n"/>
      <c r="AO8459" s="48" t="n"/>
    </row>
    <row r="8460">
      <c r="M8460" s="25" t="n"/>
      <c r="Q8460" s="25" t="n"/>
      <c r="U8460" s="194" t="n"/>
      <c r="AA8460" s="25" t="n"/>
      <c r="AB8460" s="25" t="n"/>
      <c r="AC8460" s="195" t="n"/>
      <c r="AD8460" s="25" t="n"/>
      <c r="AE8460" s="25" t="n"/>
      <c r="AG8460" s="25" t="n"/>
      <c r="AH8460" s="25" t="n"/>
      <c r="AI8460" s="394" t="n"/>
      <c r="AM8460" s="48" t="n"/>
      <c r="AN8460" s="48" t="n"/>
      <c r="AO8460" s="48" t="n"/>
    </row>
    <row r="8461">
      <c r="M8461" s="25" t="n"/>
      <c r="Q8461" s="25" t="n"/>
      <c r="U8461" s="194" t="n"/>
      <c r="AA8461" s="25" t="n"/>
      <c r="AB8461" s="25" t="n"/>
      <c r="AC8461" s="195" t="n"/>
      <c r="AD8461" s="25" t="n"/>
      <c r="AE8461" s="25" t="n"/>
      <c r="AG8461" s="25" t="n"/>
      <c r="AH8461" s="25" t="n"/>
      <c r="AI8461" s="394" t="n"/>
      <c r="AM8461" s="48" t="n"/>
      <c r="AN8461" s="48" t="n"/>
      <c r="AO8461" s="48" t="n"/>
    </row>
    <row r="8462">
      <c r="M8462" s="25" t="n"/>
      <c r="Q8462" s="25" t="n"/>
      <c r="U8462" s="194" t="n"/>
      <c r="AA8462" s="25" t="n"/>
      <c r="AB8462" s="25" t="n"/>
      <c r="AC8462" s="195" t="n"/>
      <c r="AD8462" s="25" t="n"/>
      <c r="AE8462" s="25" t="n"/>
      <c r="AG8462" s="25" t="n"/>
      <c r="AH8462" s="25" t="n"/>
      <c r="AI8462" s="394" t="n"/>
      <c r="AM8462" s="48" t="n"/>
      <c r="AN8462" s="48" t="n"/>
      <c r="AO8462" s="48" t="n"/>
    </row>
    <row r="8463">
      <c r="M8463" s="25" t="n"/>
      <c r="Q8463" s="25" t="n"/>
      <c r="U8463" s="194" t="n"/>
      <c r="AA8463" s="25" t="n"/>
      <c r="AB8463" s="25" t="n"/>
      <c r="AC8463" s="195" t="n"/>
      <c r="AD8463" s="25" t="n"/>
      <c r="AE8463" s="25" t="n"/>
      <c r="AG8463" s="25" t="n"/>
      <c r="AH8463" s="25" t="n"/>
      <c r="AI8463" s="394" t="n"/>
      <c r="AM8463" s="48" t="n"/>
      <c r="AN8463" s="48" t="n"/>
      <c r="AO8463" s="48" t="n"/>
    </row>
    <row r="8464">
      <c r="M8464" s="25" t="n"/>
      <c r="Q8464" s="25" t="n"/>
      <c r="U8464" s="194" t="n"/>
      <c r="AA8464" s="25" t="n"/>
      <c r="AB8464" s="25" t="n"/>
      <c r="AC8464" s="195" t="n"/>
      <c r="AD8464" s="25" t="n"/>
      <c r="AE8464" s="25" t="n"/>
      <c r="AG8464" s="25" t="n"/>
      <c r="AH8464" s="25" t="n"/>
      <c r="AI8464" s="394" t="n"/>
      <c r="AM8464" s="48" t="n"/>
      <c r="AN8464" s="48" t="n"/>
      <c r="AO8464" s="48" t="n"/>
    </row>
    <row r="8465">
      <c r="M8465" s="25" t="n"/>
      <c r="Q8465" s="25" t="n"/>
      <c r="U8465" s="194" t="n"/>
      <c r="AA8465" s="25" t="n"/>
      <c r="AB8465" s="25" t="n"/>
      <c r="AC8465" s="195" t="n"/>
      <c r="AD8465" s="25" t="n"/>
      <c r="AE8465" s="25" t="n"/>
      <c r="AG8465" s="25" t="n"/>
      <c r="AH8465" s="25" t="n"/>
      <c r="AI8465" s="394" t="n"/>
      <c r="AM8465" s="48" t="n"/>
      <c r="AN8465" s="48" t="n"/>
      <c r="AO8465" s="48" t="n"/>
    </row>
    <row r="8466">
      <c r="M8466" s="25" t="n"/>
      <c r="Q8466" s="25" t="n"/>
      <c r="U8466" s="194" t="n"/>
      <c r="AA8466" s="25" t="n"/>
      <c r="AB8466" s="25" t="n"/>
      <c r="AC8466" s="195" t="n"/>
      <c r="AD8466" s="25" t="n"/>
      <c r="AE8466" s="25" t="n"/>
      <c r="AG8466" s="25" t="n"/>
      <c r="AH8466" s="25" t="n"/>
      <c r="AI8466" s="394" t="n"/>
      <c r="AM8466" s="48" t="n"/>
      <c r="AN8466" s="48" t="n"/>
      <c r="AO8466" s="48" t="n"/>
    </row>
    <row r="8467">
      <c r="M8467" s="25" t="n"/>
      <c r="Q8467" s="25" t="n"/>
      <c r="U8467" s="194" t="n"/>
      <c r="AA8467" s="25" t="n"/>
      <c r="AB8467" s="25" t="n"/>
      <c r="AC8467" s="195" t="n"/>
      <c r="AD8467" s="25" t="n"/>
      <c r="AE8467" s="25" t="n"/>
      <c r="AG8467" s="25" t="n"/>
      <c r="AH8467" s="25" t="n"/>
      <c r="AI8467" s="394" t="n"/>
      <c r="AM8467" s="48" t="n"/>
      <c r="AN8467" s="48" t="n"/>
      <c r="AO8467" s="48" t="n"/>
    </row>
    <row r="8468">
      <c r="M8468" s="25" t="n"/>
      <c r="Q8468" s="25" t="n"/>
      <c r="U8468" s="194" t="n"/>
      <c r="AA8468" s="25" t="n"/>
      <c r="AB8468" s="25" t="n"/>
      <c r="AC8468" s="195" t="n"/>
      <c r="AD8468" s="25" t="n"/>
      <c r="AE8468" s="25" t="n"/>
      <c r="AG8468" s="25" t="n"/>
      <c r="AH8468" s="25" t="n"/>
      <c r="AI8468" s="394" t="n"/>
      <c r="AM8468" s="48" t="n"/>
      <c r="AN8468" s="48" t="n"/>
      <c r="AO8468" s="48" t="n"/>
    </row>
    <row r="8469">
      <c r="M8469" s="25" t="n"/>
      <c r="Q8469" s="25" t="n"/>
      <c r="U8469" s="194" t="n"/>
      <c r="AA8469" s="25" t="n"/>
      <c r="AB8469" s="25" t="n"/>
      <c r="AC8469" s="195" t="n"/>
      <c r="AD8469" s="25" t="n"/>
      <c r="AE8469" s="25" t="n"/>
      <c r="AG8469" s="25" t="n"/>
      <c r="AH8469" s="25" t="n"/>
      <c r="AI8469" s="394" t="n"/>
      <c r="AM8469" s="48" t="n"/>
      <c r="AN8469" s="48" t="n"/>
      <c r="AO8469" s="48" t="n"/>
    </row>
    <row r="8470">
      <c r="M8470" s="25" t="n"/>
      <c r="Q8470" s="25" t="n"/>
      <c r="U8470" s="194" t="n"/>
      <c r="AA8470" s="25" t="n"/>
      <c r="AB8470" s="25" t="n"/>
      <c r="AC8470" s="195" t="n"/>
      <c r="AD8470" s="25" t="n"/>
      <c r="AE8470" s="25" t="n"/>
      <c r="AG8470" s="25" t="n"/>
      <c r="AH8470" s="25" t="n"/>
      <c r="AI8470" s="394" t="n"/>
      <c r="AM8470" s="48" t="n"/>
      <c r="AN8470" s="48" t="n"/>
      <c r="AO8470" s="48" t="n"/>
    </row>
    <row r="8471">
      <c r="M8471" s="25" t="n"/>
      <c r="Q8471" s="25" t="n"/>
      <c r="U8471" s="194" t="n"/>
      <c r="AA8471" s="25" t="n"/>
      <c r="AB8471" s="25" t="n"/>
      <c r="AC8471" s="195" t="n"/>
      <c r="AD8471" s="25" t="n"/>
      <c r="AE8471" s="25" t="n"/>
      <c r="AG8471" s="25" t="n"/>
      <c r="AH8471" s="25" t="n"/>
      <c r="AI8471" s="394" t="n"/>
      <c r="AM8471" s="48" t="n"/>
      <c r="AN8471" s="48" t="n"/>
      <c r="AO8471" s="48" t="n"/>
    </row>
    <row r="8472">
      <c r="M8472" s="25" t="n"/>
      <c r="Q8472" s="25" t="n"/>
      <c r="U8472" s="194" t="n"/>
      <c r="AA8472" s="25" t="n"/>
      <c r="AB8472" s="25" t="n"/>
      <c r="AC8472" s="195" t="n"/>
      <c r="AD8472" s="25" t="n"/>
      <c r="AE8472" s="25" t="n"/>
      <c r="AG8472" s="25" t="n"/>
      <c r="AH8472" s="25" t="n"/>
      <c r="AI8472" s="394" t="n"/>
      <c r="AM8472" s="48" t="n"/>
      <c r="AN8472" s="48" t="n"/>
      <c r="AO8472" s="48" t="n"/>
    </row>
    <row r="8473">
      <c r="M8473" s="25" t="n"/>
      <c r="Q8473" s="25" t="n"/>
      <c r="U8473" s="194" t="n"/>
      <c r="AA8473" s="25" t="n"/>
      <c r="AB8473" s="25" t="n"/>
      <c r="AC8473" s="195" t="n"/>
      <c r="AD8473" s="25" t="n"/>
      <c r="AE8473" s="25" t="n"/>
      <c r="AG8473" s="25" t="n"/>
      <c r="AH8473" s="25" t="n"/>
      <c r="AI8473" s="394" t="n"/>
      <c r="AM8473" s="48" t="n"/>
      <c r="AN8473" s="48" t="n"/>
      <c r="AO8473" s="48" t="n"/>
    </row>
    <row r="8474">
      <c r="M8474" s="25" t="n"/>
      <c r="Q8474" s="25" t="n"/>
      <c r="U8474" s="194" t="n"/>
      <c r="AA8474" s="25" t="n"/>
      <c r="AB8474" s="25" t="n"/>
      <c r="AC8474" s="195" t="n"/>
      <c r="AD8474" s="25" t="n"/>
      <c r="AE8474" s="25" t="n"/>
      <c r="AG8474" s="25" t="n"/>
      <c r="AH8474" s="25" t="n"/>
      <c r="AI8474" s="394" t="n"/>
      <c r="AM8474" s="48" t="n"/>
      <c r="AN8474" s="48" t="n"/>
      <c r="AO8474" s="48" t="n"/>
    </row>
    <row r="8475">
      <c r="M8475" s="25" t="n"/>
      <c r="Q8475" s="25" t="n"/>
      <c r="U8475" s="194" t="n"/>
      <c r="AA8475" s="25" t="n"/>
      <c r="AB8475" s="25" t="n"/>
      <c r="AC8475" s="195" t="n"/>
      <c r="AD8475" s="25" t="n"/>
      <c r="AE8475" s="25" t="n"/>
      <c r="AG8475" s="25" t="n"/>
      <c r="AH8475" s="25" t="n"/>
      <c r="AI8475" s="394" t="n"/>
      <c r="AM8475" s="48" t="n"/>
      <c r="AN8475" s="48" t="n"/>
      <c r="AO8475" s="48" t="n"/>
    </row>
    <row r="8476">
      <c r="M8476" s="25" t="n"/>
      <c r="Q8476" s="25" t="n"/>
      <c r="U8476" s="194" t="n"/>
      <c r="AA8476" s="25" t="n"/>
      <c r="AB8476" s="25" t="n"/>
      <c r="AC8476" s="195" t="n"/>
      <c r="AD8476" s="25" t="n"/>
      <c r="AE8476" s="25" t="n"/>
      <c r="AG8476" s="25" t="n"/>
      <c r="AH8476" s="25" t="n"/>
      <c r="AI8476" s="394" t="n"/>
      <c r="AM8476" s="48" t="n"/>
      <c r="AN8476" s="48" t="n"/>
      <c r="AO8476" s="48" t="n"/>
    </row>
    <row r="8477">
      <c r="M8477" s="25" t="n"/>
      <c r="Q8477" s="25" t="n"/>
      <c r="U8477" s="194" t="n"/>
      <c r="AA8477" s="25" t="n"/>
      <c r="AB8477" s="25" t="n"/>
      <c r="AC8477" s="195" t="n"/>
      <c r="AD8477" s="25" t="n"/>
      <c r="AE8477" s="25" t="n"/>
      <c r="AG8477" s="25" t="n"/>
      <c r="AH8477" s="25" t="n"/>
      <c r="AI8477" s="394" t="n"/>
      <c r="AM8477" s="48" t="n"/>
      <c r="AN8477" s="48" t="n"/>
      <c r="AO8477" s="48" t="n"/>
    </row>
    <row r="8478">
      <c r="M8478" s="25" t="n"/>
      <c r="Q8478" s="25" t="n"/>
      <c r="U8478" s="194" t="n"/>
      <c r="AA8478" s="25" t="n"/>
      <c r="AB8478" s="25" t="n"/>
      <c r="AC8478" s="195" t="n"/>
      <c r="AD8478" s="25" t="n"/>
      <c r="AE8478" s="25" t="n"/>
      <c r="AG8478" s="25" t="n"/>
      <c r="AH8478" s="25" t="n"/>
      <c r="AI8478" s="394" t="n"/>
      <c r="AM8478" s="48" t="n"/>
      <c r="AN8478" s="48" t="n"/>
      <c r="AO8478" s="48" t="n"/>
    </row>
    <row r="8479">
      <c r="M8479" s="25" t="n"/>
      <c r="Q8479" s="25" t="n"/>
      <c r="U8479" s="194" t="n"/>
      <c r="AA8479" s="25" t="n"/>
      <c r="AB8479" s="25" t="n"/>
      <c r="AC8479" s="195" t="n"/>
      <c r="AD8479" s="25" t="n"/>
      <c r="AE8479" s="25" t="n"/>
      <c r="AG8479" s="25" t="n"/>
      <c r="AH8479" s="25" t="n"/>
      <c r="AI8479" s="394" t="n"/>
      <c r="AM8479" s="48" t="n"/>
      <c r="AN8479" s="48" t="n"/>
      <c r="AO8479" s="48" t="n"/>
    </row>
    <row r="8480">
      <c r="M8480" s="25" t="n"/>
      <c r="Q8480" s="25" t="n"/>
      <c r="U8480" s="194" t="n"/>
      <c r="AA8480" s="25" t="n"/>
      <c r="AB8480" s="25" t="n"/>
      <c r="AC8480" s="195" t="n"/>
      <c r="AD8480" s="25" t="n"/>
      <c r="AE8480" s="25" t="n"/>
      <c r="AG8480" s="25" t="n"/>
      <c r="AH8480" s="25" t="n"/>
      <c r="AI8480" s="394" t="n"/>
      <c r="AM8480" s="48" t="n"/>
      <c r="AN8480" s="48" t="n"/>
      <c r="AO8480" s="48" t="n"/>
    </row>
    <row r="8481">
      <c r="M8481" s="25" t="n"/>
      <c r="Q8481" s="25" t="n"/>
      <c r="U8481" s="194" t="n"/>
      <c r="AA8481" s="25" t="n"/>
      <c r="AB8481" s="25" t="n"/>
      <c r="AC8481" s="195" t="n"/>
      <c r="AD8481" s="25" t="n"/>
      <c r="AE8481" s="25" t="n"/>
      <c r="AG8481" s="25" t="n"/>
      <c r="AH8481" s="25" t="n"/>
      <c r="AI8481" s="394" t="n"/>
      <c r="AM8481" s="48" t="n"/>
      <c r="AN8481" s="48" t="n"/>
      <c r="AO8481" s="48" t="n"/>
    </row>
    <row r="8482">
      <c r="M8482" s="25" t="n"/>
      <c r="Q8482" s="25" t="n"/>
      <c r="U8482" s="194" t="n"/>
      <c r="AA8482" s="25" t="n"/>
      <c r="AB8482" s="25" t="n"/>
      <c r="AC8482" s="195" t="n"/>
      <c r="AD8482" s="25" t="n"/>
      <c r="AE8482" s="25" t="n"/>
      <c r="AG8482" s="25" t="n"/>
      <c r="AH8482" s="25" t="n"/>
      <c r="AI8482" s="394" t="n"/>
      <c r="AM8482" s="48" t="n"/>
      <c r="AN8482" s="48" t="n"/>
      <c r="AO8482" s="48" t="n"/>
    </row>
    <row r="8483">
      <c r="M8483" s="25" t="n"/>
      <c r="Q8483" s="25" t="n"/>
      <c r="U8483" s="194" t="n"/>
      <c r="AA8483" s="25" t="n"/>
      <c r="AB8483" s="25" t="n"/>
      <c r="AC8483" s="195" t="n"/>
      <c r="AD8483" s="25" t="n"/>
      <c r="AE8483" s="25" t="n"/>
      <c r="AG8483" s="25" t="n"/>
      <c r="AH8483" s="25" t="n"/>
      <c r="AI8483" s="394" t="n"/>
      <c r="AM8483" s="48" t="n"/>
      <c r="AN8483" s="48" t="n"/>
      <c r="AO8483" s="48" t="n"/>
    </row>
    <row r="8484">
      <c r="M8484" s="25" t="n"/>
      <c r="Q8484" s="25" t="n"/>
      <c r="U8484" s="194" t="n"/>
      <c r="AA8484" s="25" t="n"/>
      <c r="AB8484" s="25" t="n"/>
      <c r="AC8484" s="195" t="n"/>
      <c r="AD8484" s="25" t="n"/>
      <c r="AE8484" s="25" t="n"/>
      <c r="AG8484" s="25" t="n"/>
      <c r="AH8484" s="25" t="n"/>
      <c r="AI8484" s="394" t="n"/>
      <c r="AM8484" s="48" t="n"/>
      <c r="AN8484" s="48" t="n"/>
      <c r="AO8484" s="48" t="n"/>
    </row>
    <row r="8485">
      <c r="M8485" s="25" t="n"/>
      <c r="Q8485" s="25" t="n"/>
      <c r="U8485" s="194" t="n"/>
      <c r="AA8485" s="25" t="n"/>
      <c r="AB8485" s="25" t="n"/>
      <c r="AC8485" s="195" t="n"/>
      <c r="AD8485" s="25" t="n"/>
      <c r="AE8485" s="25" t="n"/>
      <c r="AG8485" s="25" t="n"/>
      <c r="AH8485" s="25" t="n"/>
      <c r="AI8485" s="394" t="n"/>
      <c r="AM8485" s="48" t="n"/>
      <c r="AN8485" s="48" t="n"/>
      <c r="AO8485" s="48" t="n"/>
    </row>
    <row r="8486">
      <c r="M8486" s="25" t="n"/>
      <c r="Q8486" s="25" t="n"/>
      <c r="U8486" s="194" t="n"/>
      <c r="AA8486" s="25" t="n"/>
      <c r="AB8486" s="25" t="n"/>
      <c r="AC8486" s="195" t="n"/>
      <c r="AD8486" s="25" t="n"/>
      <c r="AE8486" s="25" t="n"/>
      <c r="AG8486" s="25" t="n"/>
      <c r="AH8486" s="25" t="n"/>
      <c r="AI8486" s="394" t="n"/>
      <c r="AM8486" s="48" t="n"/>
      <c r="AN8486" s="48" t="n"/>
      <c r="AO8486" s="48" t="n"/>
    </row>
    <row r="8487">
      <c r="M8487" s="25" t="n"/>
      <c r="Q8487" s="25" t="n"/>
      <c r="U8487" s="194" t="n"/>
      <c r="AA8487" s="25" t="n"/>
      <c r="AB8487" s="25" t="n"/>
      <c r="AC8487" s="195" t="n"/>
      <c r="AD8487" s="25" t="n"/>
      <c r="AE8487" s="25" t="n"/>
      <c r="AG8487" s="25" t="n"/>
      <c r="AH8487" s="25" t="n"/>
      <c r="AI8487" s="394" t="n"/>
      <c r="AM8487" s="48" t="n"/>
      <c r="AN8487" s="48" t="n"/>
      <c r="AO8487" s="48" t="n"/>
    </row>
    <row r="8488">
      <c r="M8488" s="25" t="n"/>
      <c r="Q8488" s="25" t="n"/>
      <c r="U8488" s="194" t="n"/>
      <c r="AA8488" s="25" t="n"/>
      <c r="AB8488" s="25" t="n"/>
      <c r="AC8488" s="195" t="n"/>
      <c r="AD8488" s="25" t="n"/>
      <c r="AE8488" s="25" t="n"/>
      <c r="AG8488" s="25" t="n"/>
      <c r="AH8488" s="25" t="n"/>
      <c r="AI8488" s="394" t="n"/>
      <c r="AM8488" s="48" t="n"/>
      <c r="AN8488" s="48" t="n"/>
      <c r="AO8488" s="48" t="n"/>
    </row>
    <row r="8489">
      <c r="M8489" s="25" t="n"/>
      <c r="Q8489" s="25" t="n"/>
      <c r="U8489" s="194" t="n"/>
      <c r="AA8489" s="25" t="n"/>
      <c r="AB8489" s="25" t="n"/>
      <c r="AC8489" s="195" t="n"/>
      <c r="AD8489" s="25" t="n"/>
      <c r="AE8489" s="25" t="n"/>
      <c r="AG8489" s="25" t="n"/>
      <c r="AH8489" s="25" t="n"/>
      <c r="AI8489" s="394" t="n"/>
      <c r="AM8489" s="48" t="n"/>
      <c r="AN8489" s="48" t="n"/>
      <c r="AO8489" s="48" t="n"/>
    </row>
    <row r="8490">
      <c r="M8490" s="25" t="n"/>
      <c r="Q8490" s="25" t="n"/>
      <c r="U8490" s="194" t="n"/>
      <c r="AA8490" s="25" t="n"/>
      <c r="AB8490" s="25" t="n"/>
      <c r="AC8490" s="195" t="n"/>
      <c r="AD8490" s="25" t="n"/>
      <c r="AE8490" s="25" t="n"/>
      <c r="AG8490" s="25" t="n"/>
      <c r="AH8490" s="25" t="n"/>
      <c r="AI8490" s="394" t="n"/>
      <c r="AM8490" s="48" t="n"/>
      <c r="AN8490" s="48" t="n"/>
      <c r="AO8490" s="48" t="n"/>
    </row>
    <row r="8491">
      <c r="M8491" s="25" t="n"/>
      <c r="Q8491" s="25" t="n"/>
      <c r="U8491" s="194" t="n"/>
      <c r="AA8491" s="25" t="n"/>
      <c r="AB8491" s="25" t="n"/>
      <c r="AC8491" s="195" t="n"/>
      <c r="AD8491" s="25" t="n"/>
      <c r="AE8491" s="25" t="n"/>
      <c r="AG8491" s="25" t="n"/>
      <c r="AH8491" s="25" t="n"/>
      <c r="AI8491" s="394" t="n"/>
      <c r="AM8491" s="48" t="n"/>
      <c r="AN8491" s="48" t="n"/>
      <c r="AO8491" s="48" t="n"/>
    </row>
    <row r="8492">
      <c r="M8492" s="25" t="n"/>
      <c r="Q8492" s="25" t="n"/>
      <c r="U8492" s="194" t="n"/>
      <c r="AA8492" s="25" t="n"/>
      <c r="AB8492" s="25" t="n"/>
      <c r="AC8492" s="195" t="n"/>
      <c r="AD8492" s="25" t="n"/>
      <c r="AE8492" s="25" t="n"/>
      <c r="AG8492" s="25" t="n"/>
      <c r="AH8492" s="25" t="n"/>
      <c r="AI8492" s="394" t="n"/>
      <c r="AM8492" s="48" t="n"/>
      <c r="AN8492" s="48" t="n"/>
      <c r="AO8492" s="48" t="n"/>
    </row>
    <row r="8493">
      <c r="M8493" s="25" t="n"/>
      <c r="Q8493" s="25" t="n"/>
      <c r="U8493" s="194" t="n"/>
      <c r="AA8493" s="25" t="n"/>
      <c r="AB8493" s="25" t="n"/>
      <c r="AC8493" s="195" t="n"/>
      <c r="AD8493" s="25" t="n"/>
      <c r="AE8493" s="25" t="n"/>
      <c r="AG8493" s="25" t="n"/>
      <c r="AH8493" s="25" t="n"/>
      <c r="AI8493" s="394" t="n"/>
      <c r="AM8493" s="48" t="n"/>
      <c r="AN8493" s="48" t="n"/>
      <c r="AO8493" s="48" t="n"/>
    </row>
    <row r="8494">
      <c r="M8494" s="25" t="n"/>
      <c r="Q8494" s="25" t="n"/>
      <c r="U8494" s="194" t="n"/>
      <c r="AA8494" s="25" t="n"/>
      <c r="AB8494" s="25" t="n"/>
      <c r="AC8494" s="195" t="n"/>
      <c r="AD8494" s="25" t="n"/>
      <c r="AE8494" s="25" t="n"/>
      <c r="AG8494" s="25" t="n"/>
      <c r="AH8494" s="25" t="n"/>
      <c r="AI8494" s="394" t="n"/>
      <c r="AM8494" s="48" t="n"/>
      <c r="AN8494" s="48" t="n"/>
      <c r="AO8494" s="48" t="n"/>
    </row>
    <row r="8495">
      <c r="M8495" s="25" t="n"/>
      <c r="Q8495" s="25" t="n"/>
      <c r="U8495" s="194" t="n"/>
      <c r="AA8495" s="25" t="n"/>
      <c r="AB8495" s="25" t="n"/>
      <c r="AC8495" s="195" t="n"/>
      <c r="AD8495" s="25" t="n"/>
      <c r="AE8495" s="25" t="n"/>
      <c r="AG8495" s="25" t="n"/>
      <c r="AH8495" s="25" t="n"/>
      <c r="AI8495" s="394" t="n"/>
      <c r="AM8495" s="48" t="n"/>
      <c r="AN8495" s="48" t="n"/>
      <c r="AO8495" s="48" t="n"/>
    </row>
    <row r="8496">
      <c r="M8496" s="25" t="n"/>
      <c r="Q8496" s="25" t="n"/>
      <c r="U8496" s="194" t="n"/>
      <c r="AA8496" s="25" t="n"/>
      <c r="AB8496" s="25" t="n"/>
      <c r="AC8496" s="195" t="n"/>
      <c r="AD8496" s="25" t="n"/>
      <c r="AE8496" s="25" t="n"/>
      <c r="AG8496" s="25" t="n"/>
      <c r="AH8496" s="25" t="n"/>
      <c r="AI8496" s="394" t="n"/>
      <c r="AM8496" s="48" t="n"/>
      <c r="AN8496" s="48" t="n"/>
      <c r="AO8496" s="48" t="n"/>
    </row>
    <row r="8497">
      <c r="M8497" s="25" t="n"/>
      <c r="Q8497" s="25" t="n"/>
      <c r="U8497" s="194" t="n"/>
      <c r="AA8497" s="25" t="n"/>
      <c r="AB8497" s="25" t="n"/>
      <c r="AC8497" s="195" t="n"/>
      <c r="AD8497" s="25" t="n"/>
      <c r="AE8497" s="25" t="n"/>
      <c r="AG8497" s="25" t="n"/>
      <c r="AH8497" s="25" t="n"/>
      <c r="AI8497" s="394" t="n"/>
      <c r="AM8497" s="48" t="n"/>
      <c r="AN8497" s="48" t="n"/>
      <c r="AO8497" s="48" t="n"/>
    </row>
    <row r="8498">
      <c r="M8498" s="25" t="n"/>
      <c r="Q8498" s="25" t="n"/>
      <c r="U8498" s="194" t="n"/>
      <c r="AA8498" s="25" t="n"/>
      <c r="AB8498" s="25" t="n"/>
      <c r="AC8498" s="195" t="n"/>
      <c r="AD8498" s="25" t="n"/>
      <c r="AE8498" s="25" t="n"/>
      <c r="AG8498" s="25" t="n"/>
      <c r="AH8498" s="25" t="n"/>
      <c r="AI8498" s="394" t="n"/>
      <c r="AM8498" s="48" t="n"/>
      <c r="AN8498" s="48" t="n"/>
      <c r="AO8498" s="48" t="n"/>
    </row>
    <row r="8499">
      <c r="M8499" s="25" t="n"/>
      <c r="Q8499" s="25" t="n"/>
      <c r="U8499" s="194" t="n"/>
      <c r="AA8499" s="25" t="n"/>
      <c r="AB8499" s="25" t="n"/>
      <c r="AC8499" s="195" t="n"/>
      <c r="AD8499" s="25" t="n"/>
      <c r="AE8499" s="25" t="n"/>
      <c r="AG8499" s="25" t="n"/>
      <c r="AH8499" s="25" t="n"/>
      <c r="AI8499" s="394" t="n"/>
      <c r="AM8499" s="48" t="n"/>
      <c r="AN8499" s="48" t="n"/>
      <c r="AO8499" s="48" t="n"/>
    </row>
    <row r="8500">
      <c r="M8500" s="25" t="n"/>
      <c r="Q8500" s="25" t="n"/>
      <c r="U8500" s="194" t="n"/>
      <c r="AA8500" s="25" t="n"/>
      <c r="AB8500" s="25" t="n"/>
      <c r="AC8500" s="195" t="n"/>
      <c r="AD8500" s="25" t="n"/>
      <c r="AE8500" s="25" t="n"/>
      <c r="AG8500" s="25" t="n"/>
      <c r="AH8500" s="25" t="n"/>
      <c r="AI8500" s="394" t="n"/>
      <c r="AM8500" s="48" t="n"/>
      <c r="AN8500" s="48" t="n"/>
      <c r="AO8500" s="48" t="n"/>
    </row>
    <row r="8501">
      <c r="M8501" s="25" t="n"/>
      <c r="Q8501" s="25" t="n"/>
      <c r="U8501" s="194" t="n"/>
      <c r="AA8501" s="25" t="n"/>
      <c r="AB8501" s="25" t="n"/>
      <c r="AC8501" s="195" t="n"/>
      <c r="AD8501" s="25" t="n"/>
      <c r="AE8501" s="25" t="n"/>
      <c r="AG8501" s="25" t="n"/>
      <c r="AH8501" s="25" t="n"/>
      <c r="AI8501" s="394" t="n"/>
      <c r="AM8501" s="48" t="n"/>
      <c r="AN8501" s="48" t="n"/>
      <c r="AO8501" s="48" t="n"/>
    </row>
    <row r="8502">
      <c r="M8502" s="25" t="n"/>
      <c r="Q8502" s="25" t="n"/>
      <c r="U8502" s="194" t="n"/>
      <c r="AA8502" s="25" t="n"/>
      <c r="AB8502" s="25" t="n"/>
      <c r="AC8502" s="195" t="n"/>
      <c r="AD8502" s="25" t="n"/>
      <c r="AE8502" s="25" t="n"/>
      <c r="AG8502" s="25" t="n"/>
      <c r="AH8502" s="25" t="n"/>
      <c r="AI8502" s="394" t="n"/>
      <c r="AM8502" s="48" t="n"/>
      <c r="AN8502" s="48" t="n"/>
      <c r="AO8502" s="48" t="n"/>
    </row>
    <row r="8503">
      <c r="M8503" s="25" t="n"/>
      <c r="Q8503" s="25" t="n"/>
      <c r="U8503" s="194" t="n"/>
      <c r="AA8503" s="25" t="n"/>
      <c r="AB8503" s="25" t="n"/>
      <c r="AC8503" s="195" t="n"/>
      <c r="AD8503" s="25" t="n"/>
      <c r="AE8503" s="25" t="n"/>
      <c r="AG8503" s="25" t="n"/>
      <c r="AH8503" s="25" t="n"/>
      <c r="AI8503" s="394" t="n"/>
      <c r="AM8503" s="48" t="n"/>
      <c r="AN8503" s="48" t="n"/>
      <c r="AO8503" s="48" t="n"/>
    </row>
    <row r="8504">
      <c r="M8504" s="25" t="n"/>
      <c r="Q8504" s="25" t="n"/>
      <c r="U8504" s="194" t="n"/>
      <c r="AA8504" s="25" t="n"/>
      <c r="AB8504" s="25" t="n"/>
      <c r="AC8504" s="195" t="n"/>
      <c r="AD8504" s="25" t="n"/>
      <c r="AE8504" s="25" t="n"/>
      <c r="AG8504" s="25" t="n"/>
      <c r="AH8504" s="25" t="n"/>
      <c r="AI8504" s="394" t="n"/>
      <c r="AM8504" s="48" t="n"/>
      <c r="AN8504" s="48" t="n"/>
      <c r="AO8504" s="48" t="n"/>
    </row>
    <row r="8505">
      <c r="M8505" s="25" t="n"/>
      <c r="Q8505" s="25" t="n"/>
      <c r="U8505" s="194" t="n"/>
      <c r="AA8505" s="25" t="n"/>
      <c r="AB8505" s="25" t="n"/>
      <c r="AC8505" s="195" t="n"/>
      <c r="AD8505" s="25" t="n"/>
      <c r="AE8505" s="25" t="n"/>
      <c r="AG8505" s="25" t="n"/>
      <c r="AH8505" s="25" t="n"/>
      <c r="AI8505" s="394" t="n"/>
      <c r="AM8505" s="48" t="n"/>
      <c r="AN8505" s="48" t="n"/>
      <c r="AO8505" s="48" t="n"/>
    </row>
    <row r="8506">
      <c r="M8506" s="25" t="n"/>
      <c r="Q8506" s="25" t="n"/>
      <c r="U8506" s="194" t="n"/>
      <c r="AA8506" s="25" t="n"/>
      <c r="AB8506" s="25" t="n"/>
      <c r="AC8506" s="195" t="n"/>
      <c r="AD8506" s="25" t="n"/>
      <c r="AE8506" s="25" t="n"/>
      <c r="AG8506" s="25" t="n"/>
      <c r="AH8506" s="25" t="n"/>
      <c r="AI8506" s="394" t="n"/>
      <c r="AM8506" s="48" t="n"/>
      <c r="AN8506" s="48" t="n"/>
      <c r="AO8506" s="48" t="n"/>
    </row>
    <row r="8507">
      <c r="M8507" s="25" t="n"/>
      <c r="Q8507" s="25" t="n"/>
      <c r="U8507" s="194" t="n"/>
      <c r="AA8507" s="25" t="n"/>
      <c r="AB8507" s="25" t="n"/>
      <c r="AC8507" s="195" t="n"/>
      <c r="AD8507" s="25" t="n"/>
      <c r="AE8507" s="25" t="n"/>
      <c r="AG8507" s="25" t="n"/>
      <c r="AH8507" s="25" t="n"/>
      <c r="AI8507" s="394" t="n"/>
      <c r="AM8507" s="48" t="n"/>
      <c r="AN8507" s="48" t="n"/>
      <c r="AO8507" s="48" t="n"/>
    </row>
    <row r="8508">
      <c r="M8508" s="25" t="n"/>
      <c r="Q8508" s="25" t="n"/>
      <c r="U8508" s="194" t="n"/>
      <c r="AA8508" s="25" t="n"/>
      <c r="AB8508" s="25" t="n"/>
      <c r="AC8508" s="195" t="n"/>
      <c r="AD8508" s="25" t="n"/>
      <c r="AE8508" s="25" t="n"/>
      <c r="AG8508" s="25" t="n"/>
      <c r="AH8508" s="25" t="n"/>
      <c r="AI8508" s="394" t="n"/>
      <c r="AM8508" s="48" t="n"/>
      <c r="AN8508" s="48" t="n"/>
      <c r="AO8508" s="48" t="n"/>
    </row>
    <row r="8509">
      <c r="M8509" s="25" t="n"/>
      <c r="Q8509" s="25" t="n"/>
      <c r="U8509" s="194" t="n"/>
      <c r="AA8509" s="25" t="n"/>
      <c r="AB8509" s="25" t="n"/>
      <c r="AC8509" s="195" t="n"/>
      <c r="AD8509" s="25" t="n"/>
      <c r="AE8509" s="25" t="n"/>
      <c r="AG8509" s="25" t="n"/>
      <c r="AH8509" s="25" t="n"/>
      <c r="AI8509" s="394" t="n"/>
      <c r="AM8509" s="48" t="n"/>
      <c r="AN8509" s="48" t="n"/>
      <c r="AO8509" s="48" t="n"/>
    </row>
    <row r="8510">
      <c r="M8510" s="25" t="n"/>
      <c r="Q8510" s="25" t="n"/>
      <c r="U8510" s="194" t="n"/>
      <c r="AA8510" s="25" t="n"/>
      <c r="AB8510" s="25" t="n"/>
      <c r="AC8510" s="195" t="n"/>
      <c r="AD8510" s="25" t="n"/>
      <c r="AE8510" s="25" t="n"/>
      <c r="AG8510" s="25" t="n"/>
      <c r="AH8510" s="25" t="n"/>
      <c r="AI8510" s="394" t="n"/>
      <c r="AM8510" s="48" t="n"/>
      <c r="AN8510" s="48" t="n"/>
      <c r="AO8510" s="48" t="n"/>
    </row>
    <row r="8511">
      <c r="M8511" s="25" t="n"/>
      <c r="Q8511" s="25" t="n"/>
      <c r="U8511" s="194" t="n"/>
      <c r="AA8511" s="25" t="n"/>
      <c r="AB8511" s="25" t="n"/>
      <c r="AC8511" s="195" t="n"/>
      <c r="AD8511" s="25" t="n"/>
      <c r="AE8511" s="25" t="n"/>
      <c r="AG8511" s="25" t="n"/>
      <c r="AH8511" s="25" t="n"/>
      <c r="AI8511" s="394" t="n"/>
      <c r="AM8511" s="48" t="n"/>
      <c r="AN8511" s="48" t="n"/>
      <c r="AO8511" s="48" t="n"/>
    </row>
    <row r="8512">
      <c r="M8512" s="25" t="n"/>
      <c r="Q8512" s="25" t="n"/>
      <c r="U8512" s="194" t="n"/>
      <c r="AA8512" s="25" t="n"/>
      <c r="AB8512" s="25" t="n"/>
      <c r="AC8512" s="195" t="n"/>
      <c r="AD8512" s="25" t="n"/>
      <c r="AE8512" s="25" t="n"/>
      <c r="AG8512" s="25" t="n"/>
      <c r="AH8512" s="25" t="n"/>
      <c r="AI8512" s="394" t="n"/>
      <c r="AM8512" s="48" t="n"/>
      <c r="AN8512" s="48" t="n"/>
      <c r="AO8512" s="48" t="n"/>
    </row>
    <row r="8513">
      <c r="M8513" s="25" t="n"/>
      <c r="Q8513" s="25" t="n"/>
      <c r="U8513" s="194" t="n"/>
      <c r="AA8513" s="25" t="n"/>
      <c r="AB8513" s="25" t="n"/>
      <c r="AC8513" s="195" t="n"/>
      <c r="AD8513" s="25" t="n"/>
      <c r="AE8513" s="25" t="n"/>
      <c r="AG8513" s="25" t="n"/>
      <c r="AH8513" s="25" t="n"/>
      <c r="AI8513" s="394" t="n"/>
      <c r="AM8513" s="48" t="n"/>
      <c r="AN8513" s="48" t="n"/>
      <c r="AO8513" s="48" t="n"/>
    </row>
    <row r="8514">
      <c r="M8514" s="25" t="n"/>
      <c r="Q8514" s="25" t="n"/>
      <c r="U8514" s="194" t="n"/>
      <c r="AA8514" s="25" t="n"/>
      <c r="AB8514" s="25" t="n"/>
      <c r="AC8514" s="195" t="n"/>
      <c r="AD8514" s="25" t="n"/>
      <c r="AE8514" s="25" t="n"/>
      <c r="AG8514" s="25" t="n"/>
      <c r="AH8514" s="25" t="n"/>
      <c r="AI8514" s="394" t="n"/>
      <c r="AM8514" s="48" t="n"/>
      <c r="AN8514" s="48" t="n"/>
      <c r="AO8514" s="48" t="n"/>
    </row>
    <row r="8515">
      <c r="M8515" s="25" t="n"/>
      <c r="Q8515" s="25" t="n"/>
      <c r="U8515" s="194" t="n"/>
      <c r="AA8515" s="25" t="n"/>
      <c r="AB8515" s="25" t="n"/>
      <c r="AC8515" s="195" t="n"/>
      <c r="AD8515" s="25" t="n"/>
      <c r="AE8515" s="25" t="n"/>
      <c r="AG8515" s="25" t="n"/>
      <c r="AH8515" s="25" t="n"/>
      <c r="AI8515" s="394" t="n"/>
      <c r="AM8515" s="48" t="n"/>
      <c r="AN8515" s="48" t="n"/>
      <c r="AO8515" s="48" t="n"/>
    </row>
    <row r="8516">
      <c r="M8516" s="25" t="n"/>
      <c r="Q8516" s="25" t="n"/>
      <c r="U8516" s="194" t="n"/>
      <c r="AA8516" s="25" t="n"/>
      <c r="AB8516" s="25" t="n"/>
      <c r="AC8516" s="195" t="n"/>
      <c r="AD8516" s="25" t="n"/>
      <c r="AE8516" s="25" t="n"/>
      <c r="AG8516" s="25" t="n"/>
      <c r="AH8516" s="25" t="n"/>
      <c r="AI8516" s="394" t="n"/>
      <c r="AM8516" s="48" t="n"/>
      <c r="AN8516" s="48" t="n"/>
      <c r="AO8516" s="48" t="n"/>
    </row>
    <row r="8517">
      <c r="M8517" s="25" t="n"/>
      <c r="Q8517" s="25" t="n"/>
      <c r="U8517" s="194" t="n"/>
      <c r="AA8517" s="25" t="n"/>
      <c r="AB8517" s="25" t="n"/>
      <c r="AC8517" s="195" t="n"/>
      <c r="AD8517" s="25" t="n"/>
      <c r="AE8517" s="25" t="n"/>
      <c r="AG8517" s="25" t="n"/>
      <c r="AH8517" s="25" t="n"/>
      <c r="AI8517" s="394" t="n"/>
      <c r="AM8517" s="48" t="n"/>
      <c r="AN8517" s="48" t="n"/>
      <c r="AO8517" s="48" t="n"/>
    </row>
    <row r="8518">
      <c r="M8518" s="25" t="n"/>
      <c r="Q8518" s="25" t="n"/>
      <c r="U8518" s="194" t="n"/>
      <c r="AA8518" s="25" t="n"/>
      <c r="AB8518" s="25" t="n"/>
      <c r="AC8518" s="195" t="n"/>
      <c r="AD8518" s="25" t="n"/>
      <c r="AE8518" s="25" t="n"/>
      <c r="AG8518" s="25" t="n"/>
      <c r="AH8518" s="25" t="n"/>
      <c r="AI8518" s="394" t="n"/>
      <c r="AM8518" s="48" t="n"/>
      <c r="AN8518" s="48" t="n"/>
      <c r="AO8518" s="48" t="n"/>
    </row>
    <row r="8519">
      <c r="M8519" s="25" t="n"/>
      <c r="Q8519" s="25" t="n"/>
      <c r="U8519" s="194" t="n"/>
      <c r="AA8519" s="25" t="n"/>
      <c r="AB8519" s="25" t="n"/>
      <c r="AC8519" s="195" t="n"/>
      <c r="AD8519" s="25" t="n"/>
      <c r="AE8519" s="25" t="n"/>
      <c r="AG8519" s="25" t="n"/>
      <c r="AH8519" s="25" t="n"/>
      <c r="AI8519" s="394" t="n"/>
      <c r="AM8519" s="48" t="n"/>
      <c r="AN8519" s="48" t="n"/>
      <c r="AO8519" s="48" t="n"/>
    </row>
    <row r="8520">
      <c r="M8520" s="25" t="n"/>
      <c r="Q8520" s="25" t="n"/>
      <c r="U8520" s="194" t="n"/>
      <c r="AA8520" s="25" t="n"/>
      <c r="AB8520" s="25" t="n"/>
      <c r="AC8520" s="195" t="n"/>
      <c r="AD8520" s="25" t="n"/>
      <c r="AE8520" s="25" t="n"/>
      <c r="AG8520" s="25" t="n"/>
      <c r="AH8520" s="25" t="n"/>
      <c r="AI8520" s="394" t="n"/>
      <c r="AM8520" s="48" t="n"/>
      <c r="AN8520" s="48" t="n"/>
      <c r="AO8520" s="48" t="n"/>
    </row>
    <row r="8521">
      <c r="M8521" s="25" t="n"/>
      <c r="Q8521" s="25" t="n"/>
      <c r="U8521" s="194" t="n"/>
      <c r="AA8521" s="25" t="n"/>
      <c r="AB8521" s="25" t="n"/>
      <c r="AC8521" s="195" t="n"/>
      <c r="AD8521" s="25" t="n"/>
      <c r="AE8521" s="25" t="n"/>
      <c r="AG8521" s="25" t="n"/>
      <c r="AH8521" s="25" t="n"/>
      <c r="AI8521" s="394" t="n"/>
      <c r="AM8521" s="48" t="n"/>
      <c r="AN8521" s="48" t="n"/>
      <c r="AO8521" s="48" t="n"/>
    </row>
    <row r="8522">
      <c r="M8522" s="25" t="n"/>
      <c r="Q8522" s="25" t="n"/>
      <c r="U8522" s="194" t="n"/>
      <c r="AA8522" s="25" t="n"/>
      <c r="AB8522" s="25" t="n"/>
      <c r="AC8522" s="195" t="n"/>
      <c r="AD8522" s="25" t="n"/>
      <c r="AE8522" s="25" t="n"/>
      <c r="AG8522" s="25" t="n"/>
      <c r="AH8522" s="25" t="n"/>
      <c r="AI8522" s="394" t="n"/>
      <c r="AM8522" s="48" t="n"/>
      <c r="AN8522" s="48" t="n"/>
      <c r="AO8522" s="48" t="n"/>
    </row>
    <row r="8523">
      <c r="M8523" s="25" t="n"/>
      <c r="Q8523" s="25" t="n"/>
      <c r="U8523" s="194" t="n"/>
      <c r="AA8523" s="25" t="n"/>
      <c r="AB8523" s="25" t="n"/>
      <c r="AC8523" s="195" t="n"/>
      <c r="AD8523" s="25" t="n"/>
      <c r="AE8523" s="25" t="n"/>
      <c r="AG8523" s="25" t="n"/>
      <c r="AH8523" s="25" t="n"/>
      <c r="AI8523" s="394" t="n"/>
      <c r="AM8523" s="48" t="n"/>
      <c r="AN8523" s="48" t="n"/>
      <c r="AO8523" s="48" t="n"/>
    </row>
    <row r="8524">
      <c r="M8524" s="25" t="n"/>
      <c r="Q8524" s="25" t="n"/>
      <c r="U8524" s="194" t="n"/>
      <c r="AA8524" s="25" t="n"/>
      <c r="AB8524" s="25" t="n"/>
      <c r="AC8524" s="195" t="n"/>
      <c r="AD8524" s="25" t="n"/>
      <c r="AE8524" s="25" t="n"/>
      <c r="AG8524" s="25" t="n"/>
      <c r="AH8524" s="25" t="n"/>
      <c r="AI8524" s="394" t="n"/>
      <c r="AM8524" s="48" t="n"/>
      <c r="AN8524" s="48" t="n"/>
      <c r="AO8524" s="48" t="n"/>
    </row>
    <row r="8525">
      <c r="M8525" s="25" t="n"/>
      <c r="Q8525" s="25" t="n"/>
      <c r="U8525" s="194" t="n"/>
      <c r="AA8525" s="25" t="n"/>
      <c r="AB8525" s="25" t="n"/>
      <c r="AC8525" s="195" t="n"/>
      <c r="AD8525" s="25" t="n"/>
      <c r="AE8525" s="25" t="n"/>
      <c r="AG8525" s="25" t="n"/>
      <c r="AH8525" s="25" t="n"/>
      <c r="AI8525" s="394" t="n"/>
      <c r="AM8525" s="48" t="n"/>
      <c r="AN8525" s="48" t="n"/>
      <c r="AO8525" s="48" t="n"/>
    </row>
    <row r="8526">
      <c r="M8526" s="25" t="n"/>
      <c r="Q8526" s="25" t="n"/>
      <c r="U8526" s="194" t="n"/>
      <c r="AA8526" s="25" t="n"/>
      <c r="AB8526" s="25" t="n"/>
      <c r="AC8526" s="195" t="n"/>
      <c r="AD8526" s="25" t="n"/>
      <c r="AE8526" s="25" t="n"/>
      <c r="AG8526" s="25" t="n"/>
      <c r="AH8526" s="25" t="n"/>
      <c r="AI8526" s="394" t="n"/>
      <c r="AM8526" s="48" t="n"/>
      <c r="AN8526" s="48" t="n"/>
      <c r="AO8526" s="48" t="n"/>
    </row>
    <row r="8527">
      <c r="M8527" s="25" t="n"/>
      <c r="Q8527" s="25" t="n"/>
      <c r="U8527" s="194" t="n"/>
      <c r="AA8527" s="25" t="n"/>
      <c r="AB8527" s="25" t="n"/>
      <c r="AC8527" s="195" t="n"/>
      <c r="AD8527" s="25" t="n"/>
      <c r="AE8527" s="25" t="n"/>
      <c r="AG8527" s="25" t="n"/>
      <c r="AH8527" s="25" t="n"/>
      <c r="AI8527" s="394" t="n"/>
      <c r="AM8527" s="48" t="n"/>
      <c r="AN8527" s="48" t="n"/>
      <c r="AO8527" s="48" t="n"/>
    </row>
    <row r="8528">
      <c r="M8528" s="25" t="n"/>
      <c r="Q8528" s="25" t="n"/>
      <c r="U8528" s="194" t="n"/>
      <c r="AA8528" s="25" t="n"/>
      <c r="AB8528" s="25" t="n"/>
      <c r="AC8528" s="195" t="n"/>
      <c r="AD8528" s="25" t="n"/>
      <c r="AE8528" s="25" t="n"/>
      <c r="AG8528" s="25" t="n"/>
      <c r="AH8528" s="25" t="n"/>
      <c r="AI8528" s="394" t="n"/>
      <c r="AM8528" s="48" t="n"/>
      <c r="AN8528" s="48" t="n"/>
      <c r="AO8528" s="48" t="n"/>
    </row>
    <row r="8529">
      <c r="M8529" s="25" t="n"/>
      <c r="Q8529" s="25" t="n"/>
      <c r="U8529" s="194" t="n"/>
      <c r="AA8529" s="25" t="n"/>
      <c r="AB8529" s="25" t="n"/>
      <c r="AC8529" s="195" t="n"/>
      <c r="AD8529" s="25" t="n"/>
      <c r="AE8529" s="25" t="n"/>
      <c r="AG8529" s="25" t="n"/>
      <c r="AH8529" s="25" t="n"/>
      <c r="AI8529" s="394" t="n"/>
      <c r="AM8529" s="48" t="n"/>
      <c r="AN8529" s="48" t="n"/>
      <c r="AO8529" s="48" t="n"/>
    </row>
    <row r="8530">
      <c r="M8530" s="25" t="n"/>
      <c r="Q8530" s="25" t="n"/>
      <c r="U8530" s="194" t="n"/>
      <c r="AA8530" s="25" t="n"/>
      <c r="AB8530" s="25" t="n"/>
      <c r="AC8530" s="195" t="n"/>
      <c r="AD8530" s="25" t="n"/>
      <c r="AE8530" s="25" t="n"/>
      <c r="AG8530" s="25" t="n"/>
      <c r="AH8530" s="25" t="n"/>
      <c r="AI8530" s="394" t="n"/>
      <c r="AM8530" s="48" t="n"/>
      <c r="AN8530" s="48" t="n"/>
      <c r="AO8530" s="48" t="n"/>
    </row>
    <row r="8531">
      <c r="M8531" s="25" t="n"/>
      <c r="Q8531" s="25" t="n"/>
      <c r="U8531" s="194" t="n"/>
      <c r="AA8531" s="25" t="n"/>
      <c r="AB8531" s="25" t="n"/>
      <c r="AC8531" s="195" t="n"/>
      <c r="AD8531" s="25" t="n"/>
      <c r="AE8531" s="25" t="n"/>
      <c r="AG8531" s="25" t="n"/>
      <c r="AH8531" s="25" t="n"/>
      <c r="AI8531" s="394" t="n"/>
      <c r="AM8531" s="48" t="n"/>
      <c r="AN8531" s="48" t="n"/>
      <c r="AO8531" s="48" t="n"/>
    </row>
    <row r="8532">
      <c r="M8532" s="25" t="n"/>
      <c r="Q8532" s="25" t="n"/>
      <c r="U8532" s="194" t="n"/>
      <c r="AA8532" s="25" t="n"/>
      <c r="AB8532" s="25" t="n"/>
      <c r="AC8532" s="195" t="n"/>
      <c r="AD8532" s="25" t="n"/>
      <c r="AE8532" s="25" t="n"/>
      <c r="AG8532" s="25" t="n"/>
      <c r="AH8532" s="25" t="n"/>
      <c r="AI8532" s="394" t="n"/>
      <c r="AM8532" s="48" t="n"/>
      <c r="AN8532" s="48" t="n"/>
      <c r="AO8532" s="48" t="n"/>
    </row>
    <row r="8533">
      <c r="M8533" s="25" t="n"/>
      <c r="Q8533" s="25" t="n"/>
      <c r="U8533" s="194" t="n"/>
      <c r="AA8533" s="25" t="n"/>
      <c r="AB8533" s="25" t="n"/>
      <c r="AC8533" s="195" t="n"/>
      <c r="AD8533" s="25" t="n"/>
      <c r="AE8533" s="25" t="n"/>
      <c r="AG8533" s="25" t="n"/>
      <c r="AH8533" s="25" t="n"/>
      <c r="AI8533" s="394" t="n"/>
      <c r="AM8533" s="48" t="n"/>
      <c r="AN8533" s="48" t="n"/>
      <c r="AO8533" s="48" t="n"/>
    </row>
    <row r="8534">
      <c r="M8534" s="25" t="n"/>
      <c r="Q8534" s="25" t="n"/>
      <c r="U8534" s="194" t="n"/>
      <c r="AA8534" s="25" t="n"/>
      <c r="AB8534" s="25" t="n"/>
      <c r="AC8534" s="195" t="n"/>
      <c r="AD8534" s="25" t="n"/>
      <c r="AE8534" s="25" t="n"/>
      <c r="AG8534" s="25" t="n"/>
      <c r="AH8534" s="25" t="n"/>
      <c r="AI8534" s="394" t="n"/>
      <c r="AM8534" s="48" t="n"/>
      <c r="AN8534" s="48" t="n"/>
      <c r="AO8534" s="48" t="n"/>
    </row>
    <row r="8535">
      <c r="M8535" s="25" t="n"/>
      <c r="Q8535" s="25" t="n"/>
      <c r="U8535" s="194" t="n"/>
      <c r="AA8535" s="25" t="n"/>
      <c r="AB8535" s="25" t="n"/>
      <c r="AC8535" s="195" t="n"/>
      <c r="AD8535" s="25" t="n"/>
      <c r="AE8535" s="25" t="n"/>
      <c r="AG8535" s="25" t="n"/>
      <c r="AH8535" s="25" t="n"/>
      <c r="AI8535" s="394" t="n"/>
      <c r="AM8535" s="48" t="n"/>
      <c r="AN8535" s="48" t="n"/>
      <c r="AO8535" s="48" t="n"/>
    </row>
    <row r="8536">
      <c r="M8536" s="25" t="n"/>
      <c r="Q8536" s="25" t="n"/>
      <c r="U8536" s="194" t="n"/>
      <c r="AA8536" s="25" t="n"/>
      <c r="AB8536" s="25" t="n"/>
      <c r="AC8536" s="195" t="n"/>
      <c r="AD8536" s="25" t="n"/>
      <c r="AE8536" s="25" t="n"/>
      <c r="AG8536" s="25" t="n"/>
      <c r="AH8536" s="25" t="n"/>
      <c r="AI8536" s="394" t="n"/>
      <c r="AM8536" s="48" t="n"/>
      <c r="AN8536" s="48" t="n"/>
      <c r="AO8536" s="48" t="n"/>
    </row>
    <row r="8537">
      <c r="M8537" s="25" t="n"/>
      <c r="Q8537" s="25" t="n"/>
      <c r="U8537" s="194" t="n"/>
      <c r="AA8537" s="25" t="n"/>
      <c r="AB8537" s="25" t="n"/>
      <c r="AC8537" s="195" t="n"/>
      <c r="AD8537" s="25" t="n"/>
      <c r="AE8537" s="25" t="n"/>
      <c r="AG8537" s="25" t="n"/>
      <c r="AH8537" s="25" t="n"/>
      <c r="AI8537" s="394" t="n"/>
      <c r="AM8537" s="48" t="n"/>
      <c r="AN8537" s="48" t="n"/>
      <c r="AO8537" s="48" t="n"/>
    </row>
    <row r="8538">
      <c r="M8538" s="25" t="n"/>
      <c r="Q8538" s="25" t="n"/>
      <c r="U8538" s="194" t="n"/>
      <c r="AA8538" s="25" t="n"/>
      <c r="AB8538" s="25" t="n"/>
      <c r="AC8538" s="195" t="n"/>
      <c r="AD8538" s="25" t="n"/>
      <c r="AE8538" s="25" t="n"/>
      <c r="AG8538" s="25" t="n"/>
      <c r="AH8538" s="25" t="n"/>
      <c r="AI8538" s="394" t="n"/>
      <c r="AM8538" s="48" t="n"/>
      <c r="AN8538" s="48" t="n"/>
      <c r="AO8538" s="48" t="n"/>
    </row>
    <row r="8539">
      <c r="M8539" s="25" t="n"/>
      <c r="Q8539" s="25" t="n"/>
      <c r="U8539" s="194" t="n"/>
      <c r="AA8539" s="25" t="n"/>
      <c r="AB8539" s="25" t="n"/>
      <c r="AC8539" s="195" t="n"/>
      <c r="AD8539" s="25" t="n"/>
      <c r="AE8539" s="25" t="n"/>
      <c r="AG8539" s="25" t="n"/>
      <c r="AH8539" s="25" t="n"/>
      <c r="AI8539" s="394" t="n"/>
      <c r="AM8539" s="48" t="n"/>
      <c r="AN8539" s="48" t="n"/>
      <c r="AO8539" s="48" t="n"/>
    </row>
    <row r="8540">
      <c r="M8540" s="25" t="n"/>
      <c r="Q8540" s="25" t="n"/>
      <c r="U8540" s="194" t="n"/>
      <c r="AA8540" s="25" t="n"/>
      <c r="AB8540" s="25" t="n"/>
      <c r="AC8540" s="195" t="n"/>
      <c r="AD8540" s="25" t="n"/>
      <c r="AE8540" s="25" t="n"/>
      <c r="AG8540" s="25" t="n"/>
      <c r="AH8540" s="25" t="n"/>
      <c r="AI8540" s="394" t="n"/>
      <c r="AM8540" s="48" t="n"/>
      <c r="AN8540" s="48" t="n"/>
      <c r="AO8540" s="48" t="n"/>
    </row>
    <row r="8541">
      <c r="M8541" s="25" t="n"/>
      <c r="Q8541" s="25" t="n"/>
      <c r="U8541" s="194" t="n"/>
      <c r="AA8541" s="25" t="n"/>
      <c r="AB8541" s="25" t="n"/>
      <c r="AC8541" s="195" t="n"/>
      <c r="AD8541" s="25" t="n"/>
      <c r="AE8541" s="25" t="n"/>
      <c r="AG8541" s="25" t="n"/>
      <c r="AH8541" s="25" t="n"/>
      <c r="AI8541" s="394" t="n"/>
      <c r="AM8541" s="48" t="n"/>
      <c r="AN8541" s="48" t="n"/>
      <c r="AO8541" s="48" t="n"/>
    </row>
    <row r="8542">
      <c r="M8542" s="25" t="n"/>
      <c r="Q8542" s="25" t="n"/>
      <c r="U8542" s="194" t="n"/>
      <c r="AA8542" s="25" t="n"/>
      <c r="AB8542" s="25" t="n"/>
      <c r="AC8542" s="195" t="n"/>
      <c r="AD8542" s="25" t="n"/>
      <c r="AE8542" s="25" t="n"/>
      <c r="AG8542" s="25" t="n"/>
      <c r="AH8542" s="25" t="n"/>
      <c r="AI8542" s="394" t="n"/>
      <c r="AM8542" s="48" t="n"/>
      <c r="AN8542" s="48" t="n"/>
      <c r="AO8542" s="48" t="n"/>
    </row>
    <row r="8543">
      <c r="M8543" s="25" t="n"/>
      <c r="Q8543" s="25" t="n"/>
      <c r="U8543" s="194" t="n"/>
      <c r="AA8543" s="25" t="n"/>
      <c r="AB8543" s="25" t="n"/>
      <c r="AC8543" s="195" t="n"/>
      <c r="AD8543" s="25" t="n"/>
      <c r="AE8543" s="25" t="n"/>
      <c r="AG8543" s="25" t="n"/>
      <c r="AH8543" s="25" t="n"/>
      <c r="AI8543" s="394" t="n"/>
      <c r="AM8543" s="48" t="n"/>
      <c r="AN8543" s="48" t="n"/>
      <c r="AO8543" s="48" t="n"/>
    </row>
    <row r="8544">
      <c r="M8544" s="25" t="n"/>
      <c r="Q8544" s="25" t="n"/>
      <c r="U8544" s="194" t="n"/>
      <c r="AA8544" s="25" t="n"/>
      <c r="AB8544" s="25" t="n"/>
      <c r="AC8544" s="195" t="n"/>
      <c r="AD8544" s="25" t="n"/>
      <c r="AE8544" s="25" t="n"/>
      <c r="AG8544" s="25" t="n"/>
      <c r="AH8544" s="25" t="n"/>
      <c r="AI8544" s="394" t="n"/>
      <c r="AM8544" s="48" t="n"/>
      <c r="AN8544" s="48" t="n"/>
      <c r="AO8544" s="48" t="n"/>
    </row>
    <row r="8545">
      <c r="M8545" s="25" t="n"/>
      <c r="Q8545" s="25" t="n"/>
      <c r="U8545" s="194" t="n"/>
      <c r="AA8545" s="25" t="n"/>
      <c r="AB8545" s="25" t="n"/>
      <c r="AC8545" s="195" t="n"/>
      <c r="AD8545" s="25" t="n"/>
      <c r="AE8545" s="25" t="n"/>
      <c r="AG8545" s="25" t="n"/>
      <c r="AH8545" s="25" t="n"/>
      <c r="AI8545" s="394" t="n"/>
      <c r="AM8545" s="48" t="n"/>
      <c r="AN8545" s="48" t="n"/>
      <c r="AO8545" s="48" t="n"/>
    </row>
    <row r="8546">
      <c r="M8546" s="25" t="n"/>
      <c r="Q8546" s="25" t="n"/>
      <c r="U8546" s="194" t="n"/>
      <c r="AA8546" s="25" t="n"/>
      <c r="AB8546" s="25" t="n"/>
      <c r="AC8546" s="195" t="n"/>
      <c r="AD8546" s="25" t="n"/>
      <c r="AE8546" s="25" t="n"/>
      <c r="AG8546" s="25" t="n"/>
      <c r="AH8546" s="25" t="n"/>
      <c r="AI8546" s="394" t="n"/>
      <c r="AM8546" s="48" t="n"/>
      <c r="AN8546" s="48" t="n"/>
      <c r="AO8546" s="48" t="n"/>
    </row>
    <row r="8547">
      <c r="M8547" s="25" t="n"/>
      <c r="Q8547" s="25" t="n"/>
      <c r="U8547" s="194" t="n"/>
      <c r="AA8547" s="25" t="n"/>
      <c r="AB8547" s="25" t="n"/>
      <c r="AC8547" s="195" t="n"/>
      <c r="AD8547" s="25" t="n"/>
      <c r="AE8547" s="25" t="n"/>
      <c r="AG8547" s="25" t="n"/>
      <c r="AH8547" s="25" t="n"/>
      <c r="AI8547" s="394" t="n"/>
      <c r="AM8547" s="48" t="n"/>
      <c r="AN8547" s="48" t="n"/>
      <c r="AO8547" s="48" t="n"/>
    </row>
    <row r="8548">
      <c r="M8548" s="25" t="n"/>
      <c r="Q8548" s="25" t="n"/>
      <c r="U8548" s="194" t="n"/>
      <c r="AA8548" s="25" t="n"/>
      <c r="AB8548" s="25" t="n"/>
      <c r="AC8548" s="195" t="n"/>
      <c r="AD8548" s="25" t="n"/>
      <c r="AE8548" s="25" t="n"/>
      <c r="AG8548" s="25" t="n"/>
      <c r="AH8548" s="25" t="n"/>
      <c r="AI8548" s="394" t="n"/>
      <c r="AM8548" s="48" t="n"/>
      <c r="AN8548" s="48" t="n"/>
      <c r="AO8548" s="48" t="n"/>
    </row>
    <row r="8549">
      <c r="M8549" s="25" t="n"/>
      <c r="Q8549" s="25" t="n"/>
      <c r="U8549" s="194" t="n"/>
      <c r="AA8549" s="25" t="n"/>
      <c r="AB8549" s="25" t="n"/>
      <c r="AC8549" s="195" t="n"/>
      <c r="AD8549" s="25" t="n"/>
      <c r="AE8549" s="25" t="n"/>
      <c r="AG8549" s="25" t="n"/>
      <c r="AH8549" s="25" t="n"/>
      <c r="AI8549" s="394" t="n"/>
      <c r="AM8549" s="48" t="n"/>
      <c r="AN8549" s="48" t="n"/>
      <c r="AO8549" s="48" t="n"/>
    </row>
    <row r="8550">
      <c r="M8550" s="25" t="n"/>
      <c r="Q8550" s="25" t="n"/>
      <c r="U8550" s="194" t="n"/>
      <c r="AA8550" s="25" t="n"/>
      <c r="AB8550" s="25" t="n"/>
      <c r="AC8550" s="195" t="n"/>
      <c r="AD8550" s="25" t="n"/>
      <c r="AE8550" s="25" t="n"/>
      <c r="AG8550" s="25" t="n"/>
      <c r="AH8550" s="25" t="n"/>
      <c r="AI8550" s="394" t="n"/>
      <c r="AM8550" s="48" t="n"/>
      <c r="AN8550" s="48" t="n"/>
      <c r="AO8550" s="48" t="n"/>
    </row>
    <row r="8551">
      <c r="M8551" s="25" t="n"/>
      <c r="Q8551" s="25" t="n"/>
      <c r="U8551" s="194" t="n"/>
      <c r="AA8551" s="25" t="n"/>
      <c r="AB8551" s="25" t="n"/>
      <c r="AC8551" s="195" t="n"/>
      <c r="AD8551" s="25" t="n"/>
      <c r="AE8551" s="25" t="n"/>
      <c r="AG8551" s="25" t="n"/>
      <c r="AH8551" s="25" t="n"/>
      <c r="AI8551" s="394" t="n"/>
      <c r="AM8551" s="48" t="n"/>
      <c r="AN8551" s="48" t="n"/>
      <c r="AO8551" s="48" t="n"/>
    </row>
    <row r="8552">
      <c r="M8552" s="25" t="n"/>
      <c r="Q8552" s="25" t="n"/>
      <c r="U8552" s="194" t="n"/>
      <c r="AA8552" s="25" t="n"/>
      <c r="AB8552" s="25" t="n"/>
      <c r="AC8552" s="195" t="n"/>
      <c r="AD8552" s="25" t="n"/>
      <c r="AE8552" s="25" t="n"/>
      <c r="AG8552" s="25" t="n"/>
      <c r="AH8552" s="25" t="n"/>
      <c r="AI8552" s="394" t="n"/>
      <c r="AM8552" s="48" t="n"/>
      <c r="AN8552" s="48" t="n"/>
      <c r="AO8552" s="48" t="n"/>
    </row>
    <row r="8553">
      <c r="M8553" s="25" t="n"/>
      <c r="Q8553" s="25" t="n"/>
      <c r="U8553" s="194" t="n"/>
      <c r="AA8553" s="25" t="n"/>
      <c r="AB8553" s="25" t="n"/>
      <c r="AC8553" s="195" t="n"/>
      <c r="AD8553" s="25" t="n"/>
      <c r="AE8553" s="25" t="n"/>
      <c r="AG8553" s="25" t="n"/>
      <c r="AH8553" s="25" t="n"/>
      <c r="AI8553" s="394" t="n"/>
      <c r="AM8553" s="48" t="n"/>
      <c r="AN8553" s="48" t="n"/>
      <c r="AO8553" s="48" t="n"/>
    </row>
    <row r="8554">
      <c r="M8554" s="25" t="n"/>
      <c r="Q8554" s="25" t="n"/>
      <c r="U8554" s="194" t="n"/>
      <c r="AA8554" s="25" t="n"/>
      <c r="AB8554" s="25" t="n"/>
      <c r="AC8554" s="195" t="n"/>
      <c r="AD8554" s="25" t="n"/>
      <c r="AE8554" s="25" t="n"/>
      <c r="AG8554" s="25" t="n"/>
      <c r="AH8554" s="25" t="n"/>
      <c r="AI8554" s="394" t="n"/>
      <c r="AM8554" s="48" t="n"/>
      <c r="AN8554" s="48" t="n"/>
      <c r="AO8554" s="48" t="n"/>
    </row>
    <row r="8555">
      <c r="M8555" s="25" t="n"/>
      <c r="Q8555" s="25" t="n"/>
      <c r="U8555" s="194" t="n"/>
      <c r="AA8555" s="25" t="n"/>
      <c r="AB8555" s="25" t="n"/>
      <c r="AC8555" s="195" t="n"/>
      <c r="AD8555" s="25" t="n"/>
      <c r="AE8555" s="25" t="n"/>
      <c r="AG8555" s="25" t="n"/>
      <c r="AH8555" s="25" t="n"/>
      <c r="AI8555" s="394" t="n"/>
      <c r="AM8555" s="48" t="n"/>
      <c r="AN8555" s="48" t="n"/>
      <c r="AO8555" s="48" t="n"/>
    </row>
    <row r="8556">
      <c r="M8556" s="25" t="n"/>
      <c r="Q8556" s="25" t="n"/>
      <c r="U8556" s="194" t="n"/>
      <c r="AA8556" s="25" t="n"/>
      <c r="AB8556" s="25" t="n"/>
      <c r="AC8556" s="195" t="n"/>
      <c r="AD8556" s="25" t="n"/>
      <c r="AE8556" s="25" t="n"/>
      <c r="AG8556" s="25" t="n"/>
      <c r="AH8556" s="25" t="n"/>
      <c r="AI8556" s="394" t="n"/>
      <c r="AM8556" s="48" t="n"/>
      <c r="AN8556" s="48" t="n"/>
      <c r="AO8556" s="48" t="n"/>
    </row>
    <row r="8557">
      <c r="M8557" s="25" t="n"/>
      <c r="Q8557" s="25" t="n"/>
      <c r="U8557" s="194" t="n"/>
      <c r="AA8557" s="25" t="n"/>
      <c r="AB8557" s="25" t="n"/>
      <c r="AC8557" s="195" t="n"/>
      <c r="AD8557" s="25" t="n"/>
      <c r="AE8557" s="25" t="n"/>
      <c r="AG8557" s="25" t="n"/>
      <c r="AH8557" s="25" t="n"/>
      <c r="AI8557" s="394" t="n"/>
      <c r="AM8557" s="48" t="n"/>
      <c r="AN8557" s="48" t="n"/>
      <c r="AO8557" s="48" t="n"/>
    </row>
    <row r="8558">
      <c r="M8558" s="25" t="n"/>
      <c r="Q8558" s="25" t="n"/>
      <c r="U8558" s="194" t="n"/>
      <c r="AA8558" s="25" t="n"/>
      <c r="AB8558" s="25" t="n"/>
      <c r="AC8558" s="195" t="n"/>
      <c r="AD8558" s="25" t="n"/>
      <c r="AE8558" s="25" t="n"/>
      <c r="AG8558" s="25" t="n"/>
      <c r="AH8558" s="25" t="n"/>
      <c r="AI8558" s="394" t="n"/>
      <c r="AM8558" s="48" t="n"/>
      <c r="AN8558" s="48" t="n"/>
      <c r="AO8558" s="48" t="n"/>
    </row>
    <row r="8559">
      <c r="M8559" s="25" t="n"/>
      <c r="Q8559" s="25" t="n"/>
      <c r="U8559" s="194" t="n"/>
      <c r="AA8559" s="25" t="n"/>
      <c r="AB8559" s="25" t="n"/>
      <c r="AC8559" s="195" t="n"/>
      <c r="AD8559" s="25" t="n"/>
      <c r="AE8559" s="25" t="n"/>
      <c r="AG8559" s="25" t="n"/>
      <c r="AH8559" s="25" t="n"/>
      <c r="AI8559" s="394" t="n"/>
      <c r="AM8559" s="48" t="n"/>
      <c r="AN8559" s="48" t="n"/>
      <c r="AO8559" s="48" t="n"/>
    </row>
    <row r="8560">
      <c r="M8560" s="25" t="n"/>
      <c r="Q8560" s="25" t="n"/>
      <c r="U8560" s="194" t="n"/>
      <c r="AA8560" s="25" t="n"/>
      <c r="AB8560" s="25" t="n"/>
      <c r="AC8560" s="195" t="n"/>
      <c r="AD8560" s="25" t="n"/>
      <c r="AE8560" s="25" t="n"/>
      <c r="AG8560" s="25" t="n"/>
      <c r="AH8560" s="25" t="n"/>
      <c r="AI8560" s="394" t="n"/>
      <c r="AM8560" s="48" t="n"/>
      <c r="AN8560" s="48" t="n"/>
      <c r="AO8560" s="48" t="n"/>
    </row>
    <row r="8561">
      <c r="M8561" s="25" t="n"/>
      <c r="Q8561" s="25" t="n"/>
      <c r="U8561" s="194" t="n"/>
      <c r="AA8561" s="25" t="n"/>
      <c r="AB8561" s="25" t="n"/>
      <c r="AC8561" s="195" t="n"/>
      <c r="AD8561" s="25" t="n"/>
      <c r="AE8561" s="25" t="n"/>
      <c r="AG8561" s="25" t="n"/>
      <c r="AH8561" s="25" t="n"/>
      <c r="AI8561" s="394" t="n"/>
      <c r="AM8561" s="48" t="n"/>
      <c r="AN8561" s="48" t="n"/>
      <c r="AO8561" s="48" t="n"/>
    </row>
    <row r="8562">
      <c r="M8562" s="25" t="n"/>
      <c r="Q8562" s="25" t="n"/>
      <c r="U8562" s="194" t="n"/>
      <c r="AA8562" s="25" t="n"/>
      <c r="AB8562" s="25" t="n"/>
      <c r="AC8562" s="195" t="n"/>
      <c r="AD8562" s="25" t="n"/>
      <c r="AE8562" s="25" t="n"/>
      <c r="AG8562" s="25" t="n"/>
      <c r="AH8562" s="25" t="n"/>
      <c r="AI8562" s="394" t="n"/>
      <c r="AM8562" s="48" t="n"/>
      <c r="AN8562" s="48" t="n"/>
      <c r="AO8562" s="48" t="n"/>
    </row>
    <row r="8563">
      <c r="M8563" s="25" t="n"/>
      <c r="Q8563" s="25" t="n"/>
      <c r="U8563" s="194" t="n"/>
      <c r="AA8563" s="25" t="n"/>
      <c r="AB8563" s="25" t="n"/>
      <c r="AC8563" s="195" t="n"/>
      <c r="AD8563" s="25" t="n"/>
      <c r="AE8563" s="25" t="n"/>
      <c r="AG8563" s="25" t="n"/>
      <c r="AH8563" s="25" t="n"/>
      <c r="AI8563" s="394" t="n"/>
      <c r="AM8563" s="48" t="n"/>
      <c r="AN8563" s="48" t="n"/>
      <c r="AO8563" s="48" t="n"/>
    </row>
    <row r="8564">
      <c r="M8564" s="25" t="n"/>
      <c r="Q8564" s="25" t="n"/>
      <c r="U8564" s="194" t="n"/>
      <c r="AA8564" s="25" t="n"/>
      <c r="AB8564" s="25" t="n"/>
      <c r="AC8564" s="195" t="n"/>
      <c r="AD8564" s="25" t="n"/>
      <c r="AE8564" s="25" t="n"/>
      <c r="AG8564" s="25" t="n"/>
      <c r="AH8564" s="25" t="n"/>
      <c r="AI8564" s="394" t="n"/>
      <c r="AM8564" s="48" t="n"/>
      <c r="AN8564" s="48" t="n"/>
      <c r="AO8564" s="48" t="n"/>
    </row>
    <row r="8565">
      <c r="M8565" s="25" t="n"/>
      <c r="Q8565" s="25" t="n"/>
      <c r="U8565" s="194" t="n"/>
      <c r="AA8565" s="25" t="n"/>
      <c r="AB8565" s="25" t="n"/>
      <c r="AC8565" s="195" t="n"/>
      <c r="AD8565" s="25" t="n"/>
      <c r="AE8565" s="25" t="n"/>
      <c r="AG8565" s="25" t="n"/>
      <c r="AH8565" s="25" t="n"/>
      <c r="AI8565" s="394" t="n"/>
      <c r="AM8565" s="48" t="n"/>
      <c r="AN8565" s="48" t="n"/>
      <c r="AO8565" s="48" t="n"/>
    </row>
    <row r="8566">
      <c r="M8566" s="25" t="n"/>
      <c r="Q8566" s="25" t="n"/>
      <c r="U8566" s="194" t="n"/>
      <c r="AA8566" s="25" t="n"/>
      <c r="AB8566" s="25" t="n"/>
      <c r="AC8566" s="195" t="n"/>
      <c r="AD8566" s="25" t="n"/>
      <c r="AE8566" s="25" t="n"/>
      <c r="AG8566" s="25" t="n"/>
      <c r="AH8566" s="25" t="n"/>
      <c r="AI8566" s="394" t="n"/>
      <c r="AM8566" s="48" t="n"/>
      <c r="AN8566" s="48" t="n"/>
      <c r="AO8566" s="48" t="n"/>
    </row>
    <row r="8567">
      <c r="M8567" s="25" t="n"/>
      <c r="Q8567" s="25" t="n"/>
      <c r="U8567" s="194" t="n"/>
      <c r="AA8567" s="25" t="n"/>
      <c r="AB8567" s="25" t="n"/>
      <c r="AC8567" s="195" t="n"/>
      <c r="AD8567" s="25" t="n"/>
      <c r="AE8567" s="25" t="n"/>
      <c r="AG8567" s="25" t="n"/>
      <c r="AH8567" s="25" t="n"/>
      <c r="AI8567" s="394" t="n"/>
      <c r="AM8567" s="48" t="n"/>
      <c r="AN8567" s="48" t="n"/>
      <c r="AO8567" s="48" t="n"/>
    </row>
    <row r="8568">
      <c r="M8568" s="25" t="n"/>
      <c r="Q8568" s="25" t="n"/>
      <c r="U8568" s="194" t="n"/>
      <c r="AA8568" s="25" t="n"/>
      <c r="AB8568" s="25" t="n"/>
      <c r="AC8568" s="195" t="n"/>
      <c r="AD8568" s="25" t="n"/>
      <c r="AE8568" s="25" t="n"/>
      <c r="AG8568" s="25" t="n"/>
      <c r="AH8568" s="25" t="n"/>
      <c r="AI8568" s="394" t="n"/>
      <c r="AM8568" s="48" t="n"/>
      <c r="AN8568" s="48" t="n"/>
      <c r="AO8568" s="48" t="n"/>
    </row>
    <row r="8569">
      <c r="M8569" s="25" t="n"/>
      <c r="Q8569" s="25" t="n"/>
      <c r="U8569" s="194" t="n"/>
      <c r="AA8569" s="25" t="n"/>
      <c r="AB8569" s="25" t="n"/>
      <c r="AC8569" s="195" t="n"/>
      <c r="AD8569" s="25" t="n"/>
      <c r="AE8569" s="25" t="n"/>
      <c r="AG8569" s="25" t="n"/>
      <c r="AH8569" s="25" t="n"/>
      <c r="AI8569" s="394" t="n"/>
      <c r="AM8569" s="48" t="n"/>
      <c r="AN8569" s="48" t="n"/>
      <c r="AO8569" s="48" t="n"/>
    </row>
    <row r="8570">
      <c r="M8570" s="25" t="n"/>
      <c r="Q8570" s="25" t="n"/>
      <c r="U8570" s="194" t="n"/>
      <c r="AA8570" s="25" t="n"/>
      <c r="AB8570" s="25" t="n"/>
      <c r="AC8570" s="195" t="n"/>
      <c r="AD8570" s="25" t="n"/>
      <c r="AE8570" s="25" t="n"/>
      <c r="AG8570" s="25" t="n"/>
      <c r="AH8570" s="25" t="n"/>
      <c r="AI8570" s="394" t="n"/>
      <c r="AM8570" s="48" t="n"/>
      <c r="AN8570" s="48" t="n"/>
      <c r="AO8570" s="48" t="n"/>
    </row>
    <row r="8571">
      <c r="M8571" s="25" t="n"/>
      <c r="Q8571" s="25" t="n"/>
      <c r="U8571" s="194" t="n"/>
      <c r="AA8571" s="25" t="n"/>
      <c r="AB8571" s="25" t="n"/>
      <c r="AC8571" s="195" t="n"/>
      <c r="AD8571" s="25" t="n"/>
      <c r="AE8571" s="25" t="n"/>
      <c r="AG8571" s="25" t="n"/>
      <c r="AH8571" s="25" t="n"/>
      <c r="AI8571" s="394" t="n"/>
      <c r="AM8571" s="48" t="n"/>
      <c r="AN8571" s="48" t="n"/>
      <c r="AO8571" s="48" t="n"/>
    </row>
    <row r="8572">
      <c r="M8572" s="25" t="n"/>
      <c r="Q8572" s="25" t="n"/>
      <c r="U8572" s="194" t="n"/>
      <c r="AA8572" s="25" t="n"/>
      <c r="AB8572" s="25" t="n"/>
      <c r="AC8572" s="195" t="n"/>
      <c r="AD8572" s="25" t="n"/>
      <c r="AE8572" s="25" t="n"/>
      <c r="AG8572" s="25" t="n"/>
      <c r="AH8572" s="25" t="n"/>
      <c r="AI8572" s="394" t="n"/>
      <c r="AM8572" s="48" t="n"/>
      <c r="AN8572" s="48" t="n"/>
      <c r="AO8572" s="48" t="n"/>
    </row>
    <row r="8573">
      <c r="M8573" s="25" t="n"/>
      <c r="Q8573" s="25" t="n"/>
      <c r="U8573" s="194" t="n"/>
      <c r="AA8573" s="25" t="n"/>
      <c r="AB8573" s="25" t="n"/>
      <c r="AC8573" s="195" t="n"/>
      <c r="AD8573" s="25" t="n"/>
      <c r="AE8573" s="25" t="n"/>
      <c r="AG8573" s="25" t="n"/>
      <c r="AH8573" s="25" t="n"/>
      <c r="AI8573" s="394" t="n"/>
      <c r="AM8573" s="48" t="n"/>
      <c r="AN8573" s="48" t="n"/>
      <c r="AO8573" s="48" t="n"/>
    </row>
    <row r="8574">
      <c r="M8574" s="25" t="n"/>
      <c r="Q8574" s="25" t="n"/>
      <c r="U8574" s="194" t="n"/>
      <c r="AA8574" s="25" t="n"/>
      <c r="AB8574" s="25" t="n"/>
      <c r="AC8574" s="195" t="n"/>
      <c r="AD8574" s="25" t="n"/>
      <c r="AE8574" s="25" t="n"/>
      <c r="AG8574" s="25" t="n"/>
      <c r="AH8574" s="25" t="n"/>
      <c r="AI8574" s="394" t="n"/>
      <c r="AM8574" s="48" t="n"/>
      <c r="AN8574" s="48" t="n"/>
      <c r="AO8574" s="48" t="n"/>
    </row>
    <row r="8575">
      <c r="M8575" s="25" t="n"/>
      <c r="Q8575" s="25" t="n"/>
      <c r="U8575" s="194" t="n"/>
      <c r="AA8575" s="25" t="n"/>
      <c r="AB8575" s="25" t="n"/>
      <c r="AC8575" s="195" t="n"/>
      <c r="AD8575" s="25" t="n"/>
      <c r="AE8575" s="25" t="n"/>
      <c r="AG8575" s="25" t="n"/>
      <c r="AH8575" s="25" t="n"/>
      <c r="AI8575" s="394" t="n"/>
      <c r="AM8575" s="48" t="n"/>
      <c r="AN8575" s="48" t="n"/>
      <c r="AO8575" s="48" t="n"/>
    </row>
    <row r="8576">
      <c r="M8576" s="25" t="n"/>
      <c r="Q8576" s="25" t="n"/>
      <c r="U8576" s="194" t="n"/>
      <c r="AA8576" s="25" t="n"/>
      <c r="AB8576" s="25" t="n"/>
      <c r="AC8576" s="195" t="n"/>
      <c r="AD8576" s="25" t="n"/>
      <c r="AE8576" s="25" t="n"/>
      <c r="AG8576" s="25" t="n"/>
      <c r="AH8576" s="25" t="n"/>
      <c r="AI8576" s="394" t="n"/>
      <c r="AM8576" s="48" t="n"/>
      <c r="AN8576" s="48" t="n"/>
      <c r="AO8576" s="48" t="n"/>
    </row>
    <row r="8577">
      <c r="M8577" s="25" t="n"/>
      <c r="Q8577" s="25" t="n"/>
      <c r="U8577" s="194" t="n"/>
      <c r="AA8577" s="25" t="n"/>
      <c r="AB8577" s="25" t="n"/>
      <c r="AC8577" s="195" t="n"/>
      <c r="AD8577" s="25" t="n"/>
      <c r="AE8577" s="25" t="n"/>
      <c r="AG8577" s="25" t="n"/>
      <c r="AH8577" s="25" t="n"/>
      <c r="AI8577" s="394" t="n"/>
      <c r="AM8577" s="48" t="n"/>
      <c r="AN8577" s="48" t="n"/>
      <c r="AO8577" s="48" t="n"/>
    </row>
    <row r="8578">
      <c r="M8578" s="25" t="n"/>
      <c r="Q8578" s="25" t="n"/>
      <c r="U8578" s="194" t="n"/>
      <c r="AA8578" s="25" t="n"/>
      <c r="AB8578" s="25" t="n"/>
      <c r="AC8578" s="195" t="n"/>
      <c r="AD8578" s="25" t="n"/>
      <c r="AE8578" s="25" t="n"/>
      <c r="AG8578" s="25" t="n"/>
      <c r="AH8578" s="25" t="n"/>
      <c r="AI8578" s="394" t="n"/>
      <c r="AM8578" s="48" t="n"/>
      <c r="AN8578" s="48" t="n"/>
      <c r="AO8578" s="48" t="n"/>
    </row>
    <row r="8579">
      <c r="M8579" s="25" t="n"/>
      <c r="Q8579" s="25" t="n"/>
      <c r="U8579" s="194" t="n"/>
      <c r="AA8579" s="25" t="n"/>
      <c r="AB8579" s="25" t="n"/>
      <c r="AC8579" s="195" t="n"/>
      <c r="AD8579" s="25" t="n"/>
      <c r="AE8579" s="25" t="n"/>
      <c r="AG8579" s="25" t="n"/>
      <c r="AH8579" s="25" t="n"/>
      <c r="AI8579" s="394" t="n"/>
      <c r="AM8579" s="48" t="n"/>
      <c r="AN8579" s="48" t="n"/>
      <c r="AO8579" s="48" t="n"/>
    </row>
    <row r="8580">
      <c r="M8580" s="25" t="n"/>
      <c r="Q8580" s="25" t="n"/>
      <c r="U8580" s="194" t="n"/>
      <c r="AA8580" s="25" t="n"/>
      <c r="AB8580" s="25" t="n"/>
      <c r="AC8580" s="195" t="n"/>
      <c r="AD8580" s="25" t="n"/>
      <c r="AE8580" s="25" t="n"/>
      <c r="AG8580" s="25" t="n"/>
      <c r="AH8580" s="25" t="n"/>
      <c r="AI8580" s="394" t="n"/>
      <c r="AM8580" s="48" t="n"/>
      <c r="AN8580" s="48" t="n"/>
      <c r="AO8580" s="48" t="n"/>
    </row>
    <row r="8581">
      <c r="M8581" s="25" t="n"/>
      <c r="Q8581" s="25" t="n"/>
      <c r="U8581" s="194" t="n"/>
      <c r="AA8581" s="25" t="n"/>
      <c r="AB8581" s="25" t="n"/>
      <c r="AC8581" s="195" t="n"/>
      <c r="AD8581" s="25" t="n"/>
      <c r="AE8581" s="25" t="n"/>
      <c r="AG8581" s="25" t="n"/>
      <c r="AH8581" s="25" t="n"/>
      <c r="AI8581" s="394" t="n"/>
      <c r="AM8581" s="48" t="n"/>
      <c r="AN8581" s="48" t="n"/>
      <c r="AO8581" s="48" t="n"/>
    </row>
    <row r="8582">
      <c r="M8582" s="25" t="n"/>
      <c r="Q8582" s="25" t="n"/>
      <c r="U8582" s="194" t="n"/>
      <c r="AA8582" s="25" t="n"/>
      <c r="AB8582" s="25" t="n"/>
      <c r="AC8582" s="195" t="n"/>
      <c r="AD8582" s="25" t="n"/>
      <c r="AE8582" s="25" t="n"/>
      <c r="AG8582" s="25" t="n"/>
      <c r="AH8582" s="25" t="n"/>
      <c r="AI8582" s="394" t="n"/>
      <c r="AM8582" s="48" t="n"/>
      <c r="AN8582" s="48" t="n"/>
      <c r="AO8582" s="48" t="n"/>
    </row>
    <row r="8583">
      <c r="M8583" s="25" t="n"/>
      <c r="Q8583" s="25" t="n"/>
      <c r="U8583" s="194" t="n"/>
      <c r="AA8583" s="25" t="n"/>
      <c r="AB8583" s="25" t="n"/>
      <c r="AC8583" s="195" t="n"/>
      <c r="AD8583" s="25" t="n"/>
      <c r="AE8583" s="25" t="n"/>
      <c r="AG8583" s="25" t="n"/>
      <c r="AH8583" s="25" t="n"/>
      <c r="AI8583" s="394" t="n"/>
      <c r="AM8583" s="48" t="n"/>
      <c r="AN8583" s="48" t="n"/>
      <c r="AO8583" s="48" t="n"/>
    </row>
    <row r="8584">
      <c r="M8584" s="25" t="n"/>
      <c r="Q8584" s="25" t="n"/>
      <c r="U8584" s="194" t="n"/>
      <c r="AA8584" s="25" t="n"/>
      <c r="AB8584" s="25" t="n"/>
      <c r="AC8584" s="195" t="n"/>
      <c r="AD8584" s="25" t="n"/>
      <c r="AE8584" s="25" t="n"/>
      <c r="AG8584" s="25" t="n"/>
      <c r="AH8584" s="25" t="n"/>
      <c r="AI8584" s="394" t="n"/>
      <c r="AM8584" s="48" t="n"/>
      <c r="AN8584" s="48" t="n"/>
      <c r="AO8584" s="48" t="n"/>
    </row>
    <row r="8585">
      <c r="M8585" s="25" t="n"/>
      <c r="Q8585" s="25" t="n"/>
      <c r="U8585" s="194" t="n"/>
      <c r="AA8585" s="25" t="n"/>
      <c r="AB8585" s="25" t="n"/>
      <c r="AC8585" s="195" t="n"/>
      <c r="AD8585" s="25" t="n"/>
      <c r="AE8585" s="25" t="n"/>
      <c r="AG8585" s="25" t="n"/>
      <c r="AH8585" s="25" t="n"/>
      <c r="AI8585" s="394" t="n"/>
      <c r="AM8585" s="48" t="n"/>
      <c r="AN8585" s="48" t="n"/>
      <c r="AO8585" s="48" t="n"/>
    </row>
    <row r="8586">
      <c r="M8586" s="25" t="n"/>
      <c r="Q8586" s="25" t="n"/>
      <c r="U8586" s="194" t="n"/>
      <c r="AA8586" s="25" t="n"/>
      <c r="AB8586" s="25" t="n"/>
      <c r="AC8586" s="195" t="n"/>
      <c r="AD8586" s="25" t="n"/>
      <c r="AE8586" s="25" t="n"/>
      <c r="AG8586" s="25" t="n"/>
      <c r="AH8586" s="25" t="n"/>
      <c r="AI8586" s="394" t="n"/>
      <c r="AM8586" s="48" t="n"/>
      <c r="AN8586" s="48" t="n"/>
      <c r="AO8586" s="48" t="n"/>
    </row>
    <row r="8587">
      <c r="M8587" s="25" t="n"/>
      <c r="Q8587" s="25" t="n"/>
      <c r="U8587" s="194" t="n"/>
      <c r="AA8587" s="25" t="n"/>
      <c r="AB8587" s="25" t="n"/>
      <c r="AC8587" s="195" t="n"/>
      <c r="AD8587" s="25" t="n"/>
      <c r="AE8587" s="25" t="n"/>
      <c r="AG8587" s="25" t="n"/>
      <c r="AH8587" s="25" t="n"/>
      <c r="AI8587" s="394" t="n"/>
      <c r="AM8587" s="48" t="n"/>
      <c r="AN8587" s="48" t="n"/>
      <c r="AO8587" s="48" t="n"/>
    </row>
    <row r="8588">
      <c r="M8588" s="25" t="n"/>
      <c r="Q8588" s="25" t="n"/>
      <c r="U8588" s="194" t="n"/>
      <c r="AA8588" s="25" t="n"/>
      <c r="AB8588" s="25" t="n"/>
      <c r="AC8588" s="195" t="n"/>
      <c r="AD8588" s="25" t="n"/>
      <c r="AE8588" s="25" t="n"/>
      <c r="AG8588" s="25" t="n"/>
      <c r="AH8588" s="25" t="n"/>
      <c r="AI8588" s="394" t="n"/>
      <c r="AM8588" s="48" t="n"/>
      <c r="AN8588" s="48" t="n"/>
      <c r="AO8588" s="48" t="n"/>
    </row>
    <row r="8589">
      <c r="M8589" s="25" t="n"/>
      <c r="Q8589" s="25" t="n"/>
      <c r="U8589" s="194" t="n"/>
      <c r="AA8589" s="25" t="n"/>
      <c r="AB8589" s="25" t="n"/>
      <c r="AC8589" s="195" t="n"/>
      <c r="AD8589" s="25" t="n"/>
      <c r="AE8589" s="25" t="n"/>
      <c r="AG8589" s="25" t="n"/>
      <c r="AH8589" s="25" t="n"/>
      <c r="AI8589" s="394" t="n"/>
      <c r="AM8589" s="48" t="n"/>
      <c r="AN8589" s="48" t="n"/>
      <c r="AO8589" s="48" t="n"/>
    </row>
    <row r="8590">
      <c r="M8590" s="25" t="n"/>
      <c r="Q8590" s="25" t="n"/>
      <c r="U8590" s="194" t="n"/>
      <c r="AA8590" s="25" t="n"/>
      <c r="AB8590" s="25" t="n"/>
      <c r="AC8590" s="195" t="n"/>
      <c r="AD8590" s="25" t="n"/>
      <c r="AE8590" s="25" t="n"/>
      <c r="AG8590" s="25" t="n"/>
      <c r="AH8590" s="25" t="n"/>
      <c r="AI8590" s="394" t="n"/>
      <c r="AM8590" s="48" t="n"/>
      <c r="AN8590" s="48" t="n"/>
      <c r="AO8590" s="48" t="n"/>
    </row>
    <row r="8591">
      <c r="M8591" s="25" t="n"/>
      <c r="Q8591" s="25" t="n"/>
      <c r="U8591" s="194" t="n"/>
      <c r="AA8591" s="25" t="n"/>
      <c r="AB8591" s="25" t="n"/>
      <c r="AC8591" s="195" t="n"/>
      <c r="AD8591" s="25" t="n"/>
      <c r="AE8591" s="25" t="n"/>
      <c r="AG8591" s="25" t="n"/>
      <c r="AH8591" s="25" t="n"/>
      <c r="AI8591" s="394" t="n"/>
      <c r="AM8591" s="48" t="n"/>
      <c r="AN8591" s="48" t="n"/>
      <c r="AO8591" s="48" t="n"/>
    </row>
    <row r="8592">
      <c r="M8592" s="25" t="n"/>
      <c r="Q8592" s="25" t="n"/>
      <c r="U8592" s="194" t="n"/>
      <c r="AA8592" s="25" t="n"/>
      <c r="AB8592" s="25" t="n"/>
      <c r="AC8592" s="195" t="n"/>
      <c r="AD8592" s="25" t="n"/>
      <c r="AE8592" s="25" t="n"/>
      <c r="AG8592" s="25" t="n"/>
      <c r="AH8592" s="25" t="n"/>
      <c r="AI8592" s="394" t="n"/>
      <c r="AM8592" s="48" t="n"/>
      <c r="AN8592" s="48" t="n"/>
      <c r="AO8592" s="48" t="n"/>
    </row>
    <row r="8593">
      <c r="M8593" s="25" t="n"/>
      <c r="Q8593" s="25" t="n"/>
      <c r="U8593" s="194" t="n"/>
      <c r="AA8593" s="25" t="n"/>
      <c r="AB8593" s="25" t="n"/>
      <c r="AC8593" s="195" t="n"/>
      <c r="AD8593" s="25" t="n"/>
      <c r="AE8593" s="25" t="n"/>
      <c r="AG8593" s="25" t="n"/>
      <c r="AH8593" s="25" t="n"/>
      <c r="AI8593" s="394" t="n"/>
      <c r="AM8593" s="48" t="n"/>
      <c r="AN8593" s="48" t="n"/>
      <c r="AO8593" s="48" t="n"/>
    </row>
    <row r="8594">
      <c r="M8594" s="25" t="n"/>
      <c r="Q8594" s="25" t="n"/>
      <c r="U8594" s="194" t="n"/>
      <c r="AA8594" s="25" t="n"/>
      <c r="AB8594" s="25" t="n"/>
      <c r="AC8594" s="195" t="n"/>
      <c r="AD8594" s="25" t="n"/>
      <c r="AE8594" s="25" t="n"/>
      <c r="AG8594" s="25" t="n"/>
      <c r="AH8594" s="25" t="n"/>
      <c r="AI8594" s="394" t="n"/>
      <c r="AM8594" s="48" t="n"/>
      <c r="AN8594" s="48" t="n"/>
      <c r="AO8594" s="48" t="n"/>
    </row>
    <row r="8595">
      <c r="M8595" s="25" t="n"/>
      <c r="Q8595" s="25" t="n"/>
      <c r="U8595" s="194" t="n"/>
      <c r="AA8595" s="25" t="n"/>
      <c r="AB8595" s="25" t="n"/>
      <c r="AC8595" s="195" t="n"/>
      <c r="AD8595" s="25" t="n"/>
      <c r="AE8595" s="25" t="n"/>
      <c r="AG8595" s="25" t="n"/>
      <c r="AH8595" s="25" t="n"/>
      <c r="AI8595" s="394" t="n"/>
      <c r="AM8595" s="48" t="n"/>
      <c r="AN8595" s="48" t="n"/>
      <c r="AO8595" s="48" t="n"/>
    </row>
    <row r="8596">
      <c r="M8596" s="25" t="n"/>
      <c r="Q8596" s="25" t="n"/>
      <c r="U8596" s="194" t="n"/>
      <c r="AA8596" s="25" t="n"/>
      <c r="AB8596" s="25" t="n"/>
      <c r="AC8596" s="195" t="n"/>
      <c r="AD8596" s="25" t="n"/>
      <c r="AE8596" s="25" t="n"/>
      <c r="AG8596" s="25" t="n"/>
      <c r="AH8596" s="25" t="n"/>
      <c r="AI8596" s="394" t="n"/>
      <c r="AM8596" s="48" t="n"/>
      <c r="AN8596" s="48" t="n"/>
      <c r="AO8596" s="48" t="n"/>
    </row>
    <row r="8597">
      <c r="M8597" s="25" t="n"/>
      <c r="Q8597" s="25" t="n"/>
      <c r="U8597" s="194" t="n"/>
      <c r="AA8597" s="25" t="n"/>
      <c r="AB8597" s="25" t="n"/>
      <c r="AC8597" s="195" t="n"/>
      <c r="AD8597" s="25" t="n"/>
      <c r="AE8597" s="25" t="n"/>
      <c r="AG8597" s="25" t="n"/>
      <c r="AH8597" s="25" t="n"/>
      <c r="AI8597" s="394" t="n"/>
      <c r="AM8597" s="48" t="n"/>
      <c r="AN8597" s="48" t="n"/>
      <c r="AO8597" s="48" t="n"/>
    </row>
    <row r="8598">
      <c r="M8598" s="25" t="n"/>
      <c r="Q8598" s="25" t="n"/>
      <c r="U8598" s="194" t="n"/>
      <c r="AA8598" s="25" t="n"/>
      <c r="AB8598" s="25" t="n"/>
      <c r="AC8598" s="195" t="n"/>
      <c r="AD8598" s="25" t="n"/>
      <c r="AE8598" s="25" t="n"/>
      <c r="AG8598" s="25" t="n"/>
      <c r="AH8598" s="25" t="n"/>
      <c r="AI8598" s="394" t="n"/>
      <c r="AM8598" s="48" t="n"/>
      <c r="AN8598" s="48" t="n"/>
      <c r="AO8598" s="48" t="n"/>
    </row>
    <row r="8599">
      <c r="M8599" s="25" t="n"/>
      <c r="Q8599" s="25" t="n"/>
      <c r="U8599" s="194" t="n"/>
      <c r="AA8599" s="25" t="n"/>
      <c r="AB8599" s="25" t="n"/>
      <c r="AC8599" s="195" t="n"/>
      <c r="AD8599" s="25" t="n"/>
      <c r="AE8599" s="25" t="n"/>
      <c r="AG8599" s="25" t="n"/>
      <c r="AH8599" s="25" t="n"/>
      <c r="AI8599" s="394" t="n"/>
      <c r="AM8599" s="48" t="n"/>
      <c r="AN8599" s="48" t="n"/>
      <c r="AO8599" s="48" t="n"/>
    </row>
    <row r="8600">
      <c r="M8600" s="25" t="n"/>
      <c r="Q8600" s="25" t="n"/>
      <c r="U8600" s="194" t="n"/>
      <c r="AA8600" s="25" t="n"/>
      <c r="AB8600" s="25" t="n"/>
      <c r="AC8600" s="195" t="n"/>
      <c r="AD8600" s="25" t="n"/>
      <c r="AE8600" s="25" t="n"/>
      <c r="AG8600" s="25" t="n"/>
      <c r="AH8600" s="25" t="n"/>
      <c r="AI8600" s="394" t="n"/>
      <c r="AM8600" s="48" t="n"/>
      <c r="AN8600" s="48" t="n"/>
      <c r="AO8600" s="48" t="n"/>
    </row>
    <row r="8601">
      <c r="M8601" s="25" t="n"/>
      <c r="Q8601" s="25" t="n"/>
      <c r="U8601" s="194" t="n"/>
      <c r="AA8601" s="25" t="n"/>
      <c r="AB8601" s="25" t="n"/>
      <c r="AC8601" s="195" t="n"/>
      <c r="AD8601" s="25" t="n"/>
      <c r="AE8601" s="25" t="n"/>
      <c r="AG8601" s="25" t="n"/>
      <c r="AH8601" s="25" t="n"/>
      <c r="AI8601" s="394" t="n"/>
      <c r="AM8601" s="48" t="n"/>
      <c r="AN8601" s="48" t="n"/>
      <c r="AO8601" s="48" t="n"/>
    </row>
    <row r="8602">
      <c r="M8602" s="25" t="n"/>
      <c r="Q8602" s="25" t="n"/>
      <c r="U8602" s="194" t="n"/>
      <c r="AA8602" s="25" t="n"/>
      <c r="AB8602" s="25" t="n"/>
      <c r="AC8602" s="195" t="n"/>
      <c r="AD8602" s="25" t="n"/>
      <c r="AE8602" s="25" t="n"/>
      <c r="AG8602" s="25" t="n"/>
      <c r="AH8602" s="25" t="n"/>
      <c r="AI8602" s="394" t="n"/>
      <c r="AM8602" s="48" t="n"/>
      <c r="AN8602" s="48" t="n"/>
      <c r="AO8602" s="48" t="n"/>
    </row>
    <row r="8603">
      <c r="M8603" s="25" t="n"/>
      <c r="Q8603" s="25" t="n"/>
      <c r="U8603" s="194" t="n"/>
      <c r="AA8603" s="25" t="n"/>
      <c r="AB8603" s="25" t="n"/>
      <c r="AC8603" s="195" t="n"/>
      <c r="AD8603" s="25" t="n"/>
      <c r="AE8603" s="25" t="n"/>
      <c r="AG8603" s="25" t="n"/>
      <c r="AH8603" s="25" t="n"/>
      <c r="AI8603" s="394" t="n"/>
      <c r="AM8603" s="48" t="n"/>
      <c r="AN8603" s="48" t="n"/>
      <c r="AO8603" s="48" t="n"/>
    </row>
    <row r="8604">
      <c r="M8604" s="25" t="n"/>
      <c r="Q8604" s="25" t="n"/>
      <c r="U8604" s="194" t="n"/>
      <c r="AA8604" s="25" t="n"/>
      <c r="AB8604" s="25" t="n"/>
      <c r="AC8604" s="195" t="n"/>
      <c r="AD8604" s="25" t="n"/>
      <c r="AE8604" s="25" t="n"/>
      <c r="AG8604" s="25" t="n"/>
      <c r="AH8604" s="25" t="n"/>
      <c r="AI8604" s="394" t="n"/>
      <c r="AM8604" s="48" t="n"/>
      <c r="AN8604" s="48" t="n"/>
      <c r="AO8604" s="48" t="n"/>
    </row>
    <row r="8605">
      <c r="M8605" s="25" t="n"/>
      <c r="Q8605" s="25" t="n"/>
      <c r="U8605" s="194" t="n"/>
      <c r="AA8605" s="25" t="n"/>
      <c r="AB8605" s="25" t="n"/>
      <c r="AC8605" s="195" t="n"/>
      <c r="AD8605" s="25" t="n"/>
      <c r="AE8605" s="25" t="n"/>
      <c r="AG8605" s="25" t="n"/>
      <c r="AH8605" s="25" t="n"/>
      <c r="AI8605" s="394" t="n"/>
      <c r="AM8605" s="48" t="n"/>
      <c r="AN8605" s="48" t="n"/>
      <c r="AO8605" s="48" t="n"/>
    </row>
    <row r="8606">
      <c r="M8606" s="25" t="n"/>
      <c r="Q8606" s="25" t="n"/>
      <c r="U8606" s="194" t="n"/>
      <c r="AA8606" s="25" t="n"/>
      <c r="AB8606" s="25" t="n"/>
      <c r="AC8606" s="195" t="n"/>
      <c r="AD8606" s="25" t="n"/>
      <c r="AE8606" s="25" t="n"/>
      <c r="AG8606" s="25" t="n"/>
      <c r="AH8606" s="25" t="n"/>
      <c r="AI8606" s="394" t="n"/>
      <c r="AM8606" s="48" t="n"/>
      <c r="AN8606" s="48" t="n"/>
      <c r="AO8606" s="48" t="n"/>
    </row>
    <row r="8607">
      <c r="M8607" s="25" t="n"/>
      <c r="Q8607" s="25" t="n"/>
      <c r="U8607" s="194" t="n"/>
      <c r="AA8607" s="25" t="n"/>
      <c r="AB8607" s="25" t="n"/>
      <c r="AC8607" s="195" t="n"/>
      <c r="AD8607" s="25" t="n"/>
      <c r="AE8607" s="25" t="n"/>
      <c r="AG8607" s="25" t="n"/>
      <c r="AH8607" s="25" t="n"/>
      <c r="AI8607" s="394" t="n"/>
      <c r="AM8607" s="48" t="n"/>
      <c r="AN8607" s="48" t="n"/>
      <c r="AO8607" s="48" t="n"/>
    </row>
    <row r="8608">
      <c r="M8608" s="25" t="n"/>
      <c r="Q8608" s="25" t="n"/>
      <c r="U8608" s="194" t="n"/>
      <c r="AA8608" s="25" t="n"/>
      <c r="AB8608" s="25" t="n"/>
      <c r="AC8608" s="195" t="n"/>
      <c r="AD8608" s="25" t="n"/>
      <c r="AE8608" s="25" t="n"/>
      <c r="AG8608" s="25" t="n"/>
      <c r="AH8608" s="25" t="n"/>
      <c r="AI8608" s="394" t="n"/>
      <c r="AM8608" s="48" t="n"/>
      <c r="AN8608" s="48" t="n"/>
      <c r="AO8608" s="48" t="n"/>
    </row>
    <row r="8609">
      <c r="M8609" s="25" t="n"/>
      <c r="Q8609" s="25" t="n"/>
      <c r="U8609" s="194" t="n"/>
      <c r="AA8609" s="25" t="n"/>
      <c r="AB8609" s="25" t="n"/>
      <c r="AC8609" s="195" t="n"/>
      <c r="AD8609" s="25" t="n"/>
      <c r="AE8609" s="25" t="n"/>
      <c r="AG8609" s="25" t="n"/>
      <c r="AH8609" s="25" t="n"/>
      <c r="AI8609" s="394" t="n"/>
      <c r="AM8609" s="48" t="n"/>
      <c r="AN8609" s="48" t="n"/>
      <c r="AO8609" s="48" t="n"/>
    </row>
    <row r="8610">
      <c r="M8610" s="25" t="n"/>
      <c r="Q8610" s="25" t="n"/>
      <c r="U8610" s="194" t="n"/>
      <c r="AA8610" s="25" t="n"/>
      <c r="AB8610" s="25" t="n"/>
      <c r="AC8610" s="195" t="n"/>
      <c r="AD8610" s="25" t="n"/>
      <c r="AE8610" s="25" t="n"/>
      <c r="AG8610" s="25" t="n"/>
      <c r="AH8610" s="25" t="n"/>
      <c r="AI8610" s="394" t="n"/>
      <c r="AM8610" s="48" t="n"/>
      <c r="AN8610" s="48" t="n"/>
      <c r="AO8610" s="48" t="n"/>
    </row>
    <row r="8611">
      <c r="M8611" s="25" t="n"/>
      <c r="Q8611" s="25" t="n"/>
      <c r="U8611" s="194" t="n"/>
      <c r="AA8611" s="25" t="n"/>
      <c r="AB8611" s="25" t="n"/>
      <c r="AC8611" s="195" t="n"/>
      <c r="AD8611" s="25" t="n"/>
      <c r="AE8611" s="25" t="n"/>
      <c r="AG8611" s="25" t="n"/>
      <c r="AH8611" s="25" t="n"/>
      <c r="AI8611" s="394" t="n"/>
      <c r="AM8611" s="48" t="n"/>
      <c r="AN8611" s="48" t="n"/>
      <c r="AO8611" s="48" t="n"/>
    </row>
    <row r="8612">
      <c r="M8612" s="25" t="n"/>
      <c r="Q8612" s="25" t="n"/>
      <c r="U8612" s="194" t="n"/>
      <c r="AA8612" s="25" t="n"/>
      <c r="AB8612" s="25" t="n"/>
      <c r="AC8612" s="195" t="n"/>
      <c r="AD8612" s="25" t="n"/>
      <c r="AE8612" s="25" t="n"/>
      <c r="AG8612" s="25" t="n"/>
      <c r="AH8612" s="25" t="n"/>
      <c r="AI8612" s="394" t="n"/>
      <c r="AM8612" s="48" t="n"/>
      <c r="AN8612" s="48" t="n"/>
      <c r="AO8612" s="48" t="n"/>
    </row>
    <row r="8613">
      <c r="M8613" s="25" t="n"/>
      <c r="Q8613" s="25" t="n"/>
      <c r="U8613" s="194" t="n"/>
      <c r="AA8613" s="25" t="n"/>
      <c r="AB8613" s="25" t="n"/>
      <c r="AC8613" s="195" t="n"/>
      <c r="AD8613" s="25" t="n"/>
      <c r="AE8613" s="25" t="n"/>
      <c r="AG8613" s="25" t="n"/>
      <c r="AH8613" s="25" t="n"/>
      <c r="AI8613" s="394" t="n"/>
      <c r="AM8613" s="48" t="n"/>
      <c r="AN8613" s="48" t="n"/>
      <c r="AO8613" s="48" t="n"/>
    </row>
    <row r="8614">
      <c r="M8614" s="25" t="n"/>
      <c r="Q8614" s="25" t="n"/>
      <c r="U8614" s="194" t="n"/>
      <c r="AA8614" s="25" t="n"/>
      <c r="AB8614" s="25" t="n"/>
      <c r="AC8614" s="195" t="n"/>
      <c r="AD8614" s="25" t="n"/>
      <c r="AE8614" s="25" t="n"/>
      <c r="AG8614" s="25" t="n"/>
      <c r="AH8614" s="25" t="n"/>
      <c r="AI8614" s="394" t="n"/>
      <c r="AM8614" s="48" t="n"/>
      <c r="AN8614" s="48" t="n"/>
      <c r="AO8614" s="48" t="n"/>
    </row>
    <row r="8615">
      <c r="M8615" s="25" t="n"/>
      <c r="Q8615" s="25" t="n"/>
      <c r="U8615" s="194" t="n"/>
      <c r="AA8615" s="25" t="n"/>
      <c r="AB8615" s="25" t="n"/>
      <c r="AC8615" s="195" t="n"/>
      <c r="AD8615" s="25" t="n"/>
      <c r="AE8615" s="25" t="n"/>
      <c r="AG8615" s="25" t="n"/>
      <c r="AH8615" s="25" t="n"/>
      <c r="AI8615" s="394" t="n"/>
      <c r="AM8615" s="48" t="n"/>
      <c r="AN8615" s="48" t="n"/>
      <c r="AO8615" s="48" t="n"/>
    </row>
    <row r="8616">
      <c r="M8616" s="25" t="n"/>
      <c r="Q8616" s="25" t="n"/>
      <c r="U8616" s="194" t="n"/>
      <c r="AA8616" s="25" t="n"/>
      <c r="AB8616" s="25" t="n"/>
      <c r="AC8616" s="195" t="n"/>
      <c r="AD8616" s="25" t="n"/>
      <c r="AE8616" s="25" t="n"/>
      <c r="AG8616" s="25" t="n"/>
      <c r="AH8616" s="25" t="n"/>
      <c r="AI8616" s="394" t="n"/>
      <c r="AM8616" s="48" t="n"/>
      <c r="AN8616" s="48" t="n"/>
      <c r="AO8616" s="48" t="n"/>
    </row>
    <row r="8617">
      <c r="M8617" s="25" t="n"/>
      <c r="Q8617" s="25" t="n"/>
      <c r="U8617" s="194" t="n"/>
      <c r="AA8617" s="25" t="n"/>
      <c r="AB8617" s="25" t="n"/>
      <c r="AC8617" s="195" t="n"/>
      <c r="AD8617" s="25" t="n"/>
      <c r="AE8617" s="25" t="n"/>
      <c r="AG8617" s="25" t="n"/>
      <c r="AH8617" s="25" t="n"/>
      <c r="AI8617" s="394" t="n"/>
      <c r="AM8617" s="48" t="n"/>
      <c r="AN8617" s="48" t="n"/>
      <c r="AO8617" s="48" t="n"/>
    </row>
    <row r="8618">
      <c r="M8618" s="25" t="n"/>
      <c r="Q8618" s="25" t="n"/>
      <c r="U8618" s="194" t="n"/>
      <c r="AA8618" s="25" t="n"/>
      <c r="AB8618" s="25" t="n"/>
      <c r="AC8618" s="195" t="n"/>
      <c r="AD8618" s="25" t="n"/>
      <c r="AE8618" s="25" t="n"/>
      <c r="AG8618" s="25" t="n"/>
      <c r="AH8618" s="25" t="n"/>
      <c r="AI8618" s="394" t="n"/>
      <c r="AM8618" s="48" t="n"/>
      <c r="AN8618" s="48" t="n"/>
      <c r="AO8618" s="48" t="n"/>
    </row>
    <row r="8619">
      <c r="M8619" s="25" t="n"/>
      <c r="Q8619" s="25" t="n"/>
      <c r="U8619" s="194" t="n"/>
      <c r="AA8619" s="25" t="n"/>
      <c r="AB8619" s="25" t="n"/>
      <c r="AC8619" s="195" t="n"/>
      <c r="AD8619" s="25" t="n"/>
      <c r="AE8619" s="25" t="n"/>
      <c r="AG8619" s="25" t="n"/>
      <c r="AH8619" s="25" t="n"/>
      <c r="AI8619" s="394" t="n"/>
      <c r="AM8619" s="48" t="n"/>
      <c r="AN8619" s="48" t="n"/>
      <c r="AO8619" s="48" t="n"/>
    </row>
    <row r="8620">
      <c r="M8620" s="25" t="n"/>
      <c r="Q8620" s="25" t="n"/>
      <c r="U8620" s="194" t="n"/>
      <c r="AA8620" s="25" t="n"/>
      <c r="AB8620" s="25" t="n"/>
      <c r="AC8620" s="195" t="n"/>
      <c r="AD8620" s="25" t="n"/>
      <c r="AE8620" s="25" t="n"/>
      <c r="AG8620" s="25" t="n"/>
      <c r="AH8620" s="25" t="n"/>
      <c r="AI8620" s="394" t="n"/>
      <c r="AM8620" s="48" t="n"/>
      <c r="AN8620" s="48" t="n"/>
      <c r="AO8620" s="48" t="n"/>
    </row>
    <row r="8621">
      <c r="M8621" s="25" t="n"/>
      <c r="Q8621" s="25" t="n"/>
      <c r="U8621" s="194" t="n"/>
      <c r="AA8621" s="25" t="n"/>
      <c r="AB8621" s="25" t="n"/>
      <c r="AC8621" s="195" t="n"/>
      <c r="AD8621" s="25" t="n"/>
      <c r="AE8621" s="25" t="n"/>
      <c r="AG8621" s="25" t="n"/>
      <c r="AH8621" s="25" t="n"/>
      <c r="AI8621" s="394" t="n"/>
      <c r="AM8621" s="48" t="n"/>
      <c r="AN8621" s="48" t="n"/>
      <c r="AO8621" s="48" t="n"/>
    </row>
    <row r="8622">
      <c r="M8622" s="25" t="n"/>
      <c r="Q8622" s="25" t="n"/>
      <c r="U8622" s="194" t="n"/>
      <c r="AA8622" s="25" t="n"/>
      <c r="AB8622" s="25" t="n"/>
      <c r="AC8622" s="195" t="n"/>
      <c r="AD8622" s="25" t="n"/>
      <c r="AE8622" s="25" t="n"/>
      <c r="AG8622" s="25" t="n"/>
      <c r="AH8622" s="25" t="n"/>
      <c r="AI8622" s="394" t="n"/>
      <c r="AM8622" s="48" t="n"/>
      <c r="AN8622" s="48" t="n"/>
      <c r="AO8622" s="48" t="n"/>
    </row>
    <row r="8623">
      <c r="M8623" s="25" t="n"/>
      <c r="Q8623" s="25" t="n"/>
      <c r="U8623" s="194" t="n"/>
      <c r="AA8623" s="25" t="n"/>
      <c r="AB8623" s="25" t="n"/>
      <c r="AC8623" s="195" t="n"/>
      <c r="AD8623" s="25" t="n"/>
      <c r="AE8623" s="25" t="n"/>
      <c r="AG8623" s="25" t="n"/>
      <c r="AH8623" s="25" t="n"/>
      <c r="AI8623" s="394" t="n"/>
      <c r="AM8623" s="48" t="n"/>
      <c r="AN8623" s="48" t="n"/>
      <c r="AO8623" s="48" t="n"/>
    </row>
    <row r="8624">
      <c r="M8624" s="25" t="n"/>
      <c r="Q8624" s="25" t="n"/>
      <c r="U8624" s="194" t="n"/>
      <c r="AA8624" s="25" t="n"/>
      <c r="AB8624" s="25" t="n"/>
      <c r="AC8624" s="195" t="n"/>
      <c r="AD8624" s="25" t="n"/>
      <c r="AE8624" s="25" t="n"/>
      <c r="AG8624" s="25" t="n"/>
      <c r="AH8624" s="25" t="n"/>
      <c r="AI8624" s="394" t="n"/>
      <c r="AM8624" s="48" t="n"/>
      <c r="AN8624" s="48" t="n"/>
      <c r="AO8624" s="48" t="n"/>
    </row>
    <row r="8625">
      <c r="M8625" s="25" t="n"/>
      <c r="Q8625" s="25" t="n"/>
      <c r="U8625" s="194" t="n"/>
      <c r="AA8625" s="25" t="n"/>
      <c r="AB8625" s="25" t="n"/>
      <c r="AC8625" s="195" t="n"/>
      <c r="AD8625" s="25" t="n"/>
      <c r="AE8625" s="25" t="n"/>
      <c r="AG8625" s="25" t="n"/>
      <c r="AH8625" s="25" t="n"/>
      <c r="AI8625" s="394" t="n"/>
      <c r="AM8625" s="48" t="n"/>
      <c r="AN8625" s="48" t="n"/>
      <c r="AO8625" s="48" t="n"/>
    </row>
    <row r="8626">
      <c r="M8626" s="25" t="n"/>
      <c r="Q8626" s="25" t="n"/>
      <c r="U8626" s="194" t="n"/>
      <c r="AA8626" s="25" t="n"/>
      <c r="AB8626" s="25" t="n"/>
      <c r="AC8626" s="195" t="n"/>
      <c r="AD8626" s="25" t="n"/>
      <c r="AE8626" s="25" t="n"/>
      <c r="AG8626" s="25" t="n"/>
      <c r="AH8626" s="25" t="n"/>
      <c r="AI8626" s="394" t="n"/>
      <c r="AM8626" s="48" t="n"/>
      <c r="AN8626" s="48" t="n"/>
      <c r="AO8626" s="48" t="n"/>
    </row>
    <row r="8627">
      <c r="M8627" s="25" t="n"/>
      <c r="Q8627" s="25" t="n"/>
      <c r="U8627" s="194" t="n"/>
      <c r="AA8627" s="25" t="n"/>
      <c r="AB8627" s="25" t="n"/>
      <c r="AC8627" s="195" t="n"/>
      <c r="AD8627" s="25" t="n"/>
      <c r="AE8627" s="25" t="n"/>
      <c r="AG8627" s="25" t="n"/>
      <c r="AH8627" s="25" t="n"/>
      <c r="AI8627" s="394" t="n"/>
      <c r="AM8627" s="48" t="n"/>
      <c r="AN8627" s="48" t="n"/>
      <c r="AO8627" s="48" t="n"/>
    </row>
    <row r="8628">
      <c r="M8628" s="25" t="n"/>
      <c r="Q8628" s="25" t="n"/>
      <c r="U8628" s="194" t="n"/>
      <c r="AA8628" s="25" t="n"/>
      <c r="AB8628" s="25" t="n"/>
      <c r="AC8628" s="195" t="n"/>
      <c r="AD8628" s="25" t="n"/>
      <c r="AE8628" s="25" t="n"/>
      <c r="AG8628" s="25" t="n"/>
      <c r="AH8628" s="25" t="n"/>
      <c r="AI8628" s="394" t="n"/>
      <c r="AM8628" s="48" t="n"/>
      <c r="AN8628" s="48" t="n"/>
      <c r="AO8628" s="48" t="n"/>
    </row>
    <row r="8629">
      <c r="M8629" s="25" t="n"/>
      <c r="Q8629" s="25" t="n"/>
      <c r="U8629" s="194" t="n"/>
      <c r="AA8629" s="25" t="n"/>
      <c r="AB8629" s="25" t="n"/>
      <c r="AC8629" s="195" t="n"/>
      <c r="AD8629" s="25" t="n"/>
      <c r="AE8629" s="25" t="n"/>
      <c r="AG8629" s="25" t="n"/>
      <c r="AH8629" s="25" t="n"/>
      <c r="AI8629" s="394" t="n"/>
      <c r="AM8629" s="48" t="n"/>
      <c r="AN8629" s="48" t="n"/>
      <c r="AO8629" s="48" t="n"/>
    </row>
    <row r="8630">
      <c r="M8630" s="25" t="n"/>
      <c r="Q8630" s="25" t="n"/>
      <c r="U8630" s="194" t="n"/>
      <c r="AA8630" s="25" t="n"/>
      <c r="AB8630" s="25" t="n"/>
      <c r="AC8630" s="195" t="n"/>
      <c r="AD8630" s="25" t="n"/>
      <c r="AE8630" s="25" t="n"/>
      <c r="AG8630" s="25" t="n"/>
      <c r="AH8630" s="25" t="n"/>
      <c r="AI8630" s="394" t="n"/>
      <c r="AM8630" s="48" t="n"/>
      <c r="AN8630" s="48" t="n"/>
      <c r="AO8630" s="48" t="n"/>
    </row>
    <row r="8631">
      <c r="M8631" s="25" t="n"/>
      <c r="Q8631" s="25" t="n"/>
      <c r="U8631" s="194" t="n"/>
      <c r="AA8631" s="25" t="n"/>
      <c r="AB8631" s="25" t="n"/>
      <c r="AC8631" s="195" t="n"/>
      <c r="AD8631" s="25" t="n"/>
      <c r="AE8631" s="25" t="n"/>
      <c r="AG8631" s="25" t="n"/>
      <c r="AH8631" s="25" t="n"/>
      <c r="AI8631" s="394" t="n"/>
      <c r="AM8631" s="48" t="n"/>
      <c r="AN8631" s="48" t="n"/>
      <c r="AO8631" s="48" t="n"/>
    </row>
    <row r="8632">
      <c r="M8632" s="25" t="n"/>
      <c r="Q8632" s="25" t="n"/>
      <c r="U8632" s="194" t="n"/>
      <c r="AA8632" s="25" t="n"/>
      <c r="AB8632" s="25" t="n"/>
      <c r="AC8632" s="195" t="n"/>
      <c r="AD8632" s="25" t="n"/>
      <c r="AE8632" s="25" t="n"/>
      <c r="AG8632" s="25" t="n"/>
      <c r="AH8632" s="25" t="n"/>
      <c r="AI8632" s="394" t="n"/>
      <c r="AM8632" s="48" t="n"/>
      <c r="AN8632" s="48" t="n"/>
      <c r="AO8632" s="48" t="n"/>
    </row>
    <row r="8633">
      <c r="M8633" s="25" t="n"/>
      <c r="Q8633" s="25" t="n"/>
      <c r="U8633" s="194" t="n"/>
      <c r="AA8633" s="25" t="n"/>
      <c r="AB8633" s="25" t="n"/>
      <c r="AC8633" s="195" t="n"/>
      <c r="AD8633" s="25" t="n"/>
      <c r="AE8633" s="25" t="n"/>
      <c r="AG8633" s="25" t="n"/>
      <c r="AH8633" s="25" t="n"/>
      <c r="AI8633" s="394" t="n"/>
      <c r="AM8633" s="48" t="n"/>
      <c r="AN8633" s="48" t="n"/>
      <c r="AO8633" s="48" t="n"/>
    </row>
    <row r="8634">
      <c r="M8634" s="25" t="n"/>
      <c r="Q8634" s="25" t="n"/>
      <c r="U8634" s="194" t="n"/>
      <c r="AA8634" s="25" t="n"/>
      <c r="AB8634" s="25" t="n"/>
      <c r="AC8634" s="195" t="n"/>
      <c r="AD8634" s="25" t="n"/>
      <c r="AE8634" s="25" t="n"/>
      <c r="AG8634" s="25" t="n"/>
      <c r="AH8634" s="25" t="n"/>
      <c r="AI8634" s="394" t="n"/>
      <c r="AM8634" s="48" t="n"/>
      <c r="AN8634" s="48" t="n"/>
      <c r="AO8634" s="48" t="n"/>
    </row>
    <row r="8635">
      <c r="M8635" s="25" t="n"/>
      <c r="Q8635" s="25" t="n"/>
      <c r="U8635" s="194" t="n"/>
      <c r="AA8635" s="25" t="n"/>
      <c r="AB8635" s="25" t="n"/>
      <c r="AC8635" s="195" t="n"/>
      <c r="AD8635" s="25" t="n"/>
      <c r="AE8635" s="25" t="n"/>
      <c r="AG8635" s="25" t="n"/>
      <c r="AH8635" s="25" t="n"/>
      <c r="AI8635" s="394" t="n"/>
      <c r="AM8635" s="48" t="n"/>
      <c r="AN8635" s="48" t="n"/>
      <c r="AO8635" s="48" t="n"/>
    </row>
    <row r="8636">
      <c r="M8636" s="25" t="n"/>
      <c r="Q8636" s="25" t="n"/>
      <c r="U8636" s="194" t="n"/>
      <c r="AA8636" s="25" t="n"/>
      <c r="AB8636" s="25" t="n"/>
      <c r="AC8636" s="195" t="n"/>
      <c r="AD8636" s="25" t="n"/>
      <c r="AE8636" s="25" t="n"/>
      <c r="AG8636" s="25" t="n"/>
      <c r="AH8636" s="25" t="n"/>
      <c r="AI8636" s="394" t="n"/>
      <c r="AM8636" s="48" t="n"/>
      <c r="AN8636" s="48" t="n"/>
      <c r="AO8636" s="48" t="n"/>
    </row>
    <row r="8637">
      <c r="M8637" s="25" t="n"/>
      <c r="Q8637" s="25" t="n"/>
      <c r="U8637" s="194" t="n"/>
      <c r="AA8637" s="25" t="n"/>
      <c r="AB8637" s="25" t="n"/>
      <c r="AC8637" s="195" t="n"/>
      <c r="AD8637" s="25" t="n"/>
      <c r="AE8637" s="25" t="n"/>
      <c r="AG8637" s="25" t="n"/>
      <c r="AH8637" s="25" t="n"/>
      <c r="AI8637" s="394" t="n"/>
      <c r="AM8637" s="48" t="n"/>
      <c r="AN8637" s="48" t="n"/>
      <c r="AO8637" s="48" t="n"/>
    </row>
    <row r="8638">
      <c r="M8638" s="25" t="n"/>
      <c r="Q8638" s="25" t="n"/>
      <c r="U8638" s="194" t="n"/>
      <c r="AA8638" s="25" t="n"/>
      <c r="AB8638" s="25" t="n"/>
      <c r="AC8638" s="195" t="n"/>
      <c r="AD8638" s="25" t="n"/>
      <c r="AE8638" s="25" t="n"/>
      <c r="AG8638" s="25" t="n"/>
      <c r="AH8638" s="25" t="n"/>
      <c r="AI8638" s="394" t="n"/>
      <c r="AM8638" s="48" t="n"/>
      <c r="AN8638" s="48" t="n"/>
      <c r="AO8638" s="48" t="n"/>
    </row>
    <row r="8639">
      <c r="M8639" s="25" t="n"/>
      <c r="Q8639" s="25" t="n"/>
      <c r="U8639" s="194" t="n"/>
      <c r="AA8639" s="25" t="n"/>
      <c r="AB8639" s="25" t="n"/>
      <c r="AC8639" s="195" t="n"/>
      <c r="AD8639" s="25" t="n"/>
      <c r="AE8639" s="25" t="n"/>
      <c r="AG8639" s="25" t="n"/>
      <c r="AH8639" s="25" t="n"/>
      <c r="AI8639" s="394" t="n"/>
      <c r="AM8639" s="48" t="n"/>
      <c r="AN8639" s="48" t="n"/>
      <c r="AO8639" s="48" t="n"/>
    </row>
    <row r="8640">
      <c r="M8640" s="25" t="n"/>
      <c r="Q8640" s="25" t="n"/>
      <c r="U8640" s="194" t="n"/>
      <c r="AA8640" s="25" t="n"/>
      <c r="AB8640" s="25" t="n"/>
      <c r="AC8640" s="195" t="n"/>
      <c r="AD8640" s="25" t="n"/>
      <c r="AE8640" s="25" t="n"/>
      <c r="AG8640" s="25" t="n"/>
      <c r="AH8640" s="25" t="n"/>
      <c r="AI8640" s="394" t="n"/>
      <c r="AM8640" s="48" t="n"/>
      <c r="AN8640" s="48" t="n"/>
      <c r="AO8640" s="48" t="n"/>
    </row>
    <row r="8641">
      <c r="M8641" s="25" t="n"/>
      <c r="Q8641" s="25" t="n"/>
      <c r="U8641" s="194" t="n"/>
      <c r="AA8641" s="25" t="n"/>
      <c r="AB8641" s="25" t="n"/>
      <c r="AC8641" s="195" t="n"/>
      <c r="AD8641" s="25" t="n"/>
      <c r="AE8641" s="25" t="n"/>
      <c r="AG8641" s="25" t="n"/>
      <c r="AH8641" s="25" t="n"/>
      <c r="AI8641" s="394" t="n"/>
      <c r="AM8641" s="48" t="n"/>
      <c r="AN8641" s="48" t="n"/>
      <c r="AO8641" s="48" t="n"/>
    </row>
    <row r="8642">
      <c r="M8642" s="25" t="n"/>
      <c r="Q8642" s="25" t="n"/>
      <c r="U8642" s="194" t="n"/>
      <c r="AA8642" s="25" t="n"/>
      <c r="AB8642" s="25" t="n"/>
      <c r="AC8642" s="195" t="n"/>
      <c r="AD8642" s="25" t="n"/>
      <c r="AE8642" s="25" t="n"/>
      <c r="AG8642" s="25" t="n"/>
      <c r="AH8642" s="25" t="n"/>
      <c r="AI8642" s="394" t="n"/>
      <c r="AM8642" s="48" t="n"/>
      <c r="AN8642" s="48" t="n"/>
      <c r="AO8642" s="48" t="n"/>
    </row>
    <row r="8643">
      <c r="M8643" s="25" t="n"/>
      <c r="Q8643" s="25" t="n"/>
      <c r="U8643" s="194" t="n"/>
      <c r="AA8643" s="25" t="n"/>
      <c r="AB8643" s="25" t="n"/>
      <c r="AC8643" s="195" t="n"/>
      <c r="AD8643" s="25" t="n"/>
      <c r="AE8643" s="25" t="n"/>
      <c r="AG8643" s="25" t="n"/>
      <c r="AH8643" s="25" t="n"/>
      <c r="AI8643" s="394" t="n"/>
      <c r="AM8643" s="48" t="n"/>
      <c r="AN8643" s="48" t="n"/>
      <c r="AO8643" s="48" t="n"/>
    </row>
    <row r="8644">
      <c r="M8644" s="25" t="n"/>
      <c r="Q8644" s="25" t="n"/>
      <c r="U8644" s="194" t="n"/>
      <c r="AA8644" s="25" t="n"/>
      <c r="AB8644" s="25" t="n"/>
      <c r="AC8644" s="195" t="n"/>
      <c r="AD8644" s="25" t="n"/>
      <c r="AE8644" s="25" t="n"/>
      <c r="AG8644" s="25" t="n"/>
      <c r="AH8644" s="25" t="n"/>
      <c r="AI8644" s="394" t="n"/>
      <c r="AM8644" s="48" t="n"/>
      <c r="AN8644" s="48" t="n"/>
      <c r="AO8644" s="48" t="n"/>
    </row>
    <row r="8645">
      <c r="M8645" s="25" t="n"/>
      <c r="Q8645" s="25" t="n"/>
      <c r="U8645" s="194" t="n"/>
      <c r="AA8645" s="25" t="n"/>
      <c r="AB8645" s="25" t="n"/>
      <c r="AC8645" s="195" t="n"/>
      <c r="AD8645" s="25" t="n"/>
      <c r="AE8645" s="25" t="n"/>
      <c r="AG8645" s="25" t="n"/>
      <c r="AH8645" s="25" t="n"/>
      <c r="AI8645" s="394" t="n"/>
      <c r="AM8645" s="48" t="n"/>
      <c r="AN8645" s="48" t="n"/>
      <c r="AO8645" s="48" t="n"/>
    </row>
    <row r="8646">
      <c r="M8646" s="25" t="n"/>
      <c r="Q8646" s="25" t="n"/>
      <c r="U8646" s="194" t="n"/>
      <c r="AA8646" s="25" t="n"/>
      <c r="AB8646" s="25" t="n"/>
      <c r="AC8646" s="195" t="n"/>
      <c r="AD8646" s="25" t="n"/>
      <c r="AE8646" s="25" t="n"/>
      <c r="AG8646" s="25" t="n"/>
      <c r="AH8646" s="25" t="n"/>
      <c r="AI8646" s="394" t="n"/>
      <c r="AM8646" s="48" t="n"/>
      <c r="AN8646" s="48" t="n"/>
      <c r="AO8646" s="48" t="n"/>
    </row>
    <row r="8647">
      <c r="M8647" s="25" t="n"/>
      <c r="Q8647" s="25" t="n"/>
      <c r="U8647" s="194" t="n"/>
      <c r="AA8647" s="25" t="n"/>
      <c r="AB8647" s="25" t="n"/>
      <c r="AC8647" s="195" t="n"/>
      <c r="AD8647" s="25" t="n"/>
      <c r="AE8647" s="25" t="n"/>
      <c r="AG8647" s="25" t="n"/>
      <c r="AH8647" s="25" t="n"/>
      <c r="AI8647" s="394" t="n"/>
      <c r="AM8647" s="48" t="n"/>
      <c r="AN8647" s="48" t="n"/>
      <c r="AO8647" s="48" t="n"/>
    </row>
    <row r="8648">
      <c r="M8648" s="25" t="n"/>
      <c r="Q8648" s="25" t="n"/>
      <c r="U8648" s="194" t="n"/>
      <c r="AA8648" s="25" t="n"/>
      <c r="AB8648" s="25" t="n"/>
      <c r="AC8648" s="195" t="n"/>
      <c r="AD8648" s="25" t="n"/>
      <c r="AE8648" s="25" t="n"/>
      <c r="AG8648" s="25" t="n"/>
      <c r="AH8648" s="25" t="n"/>
      <c r="AI8648" s="394" t="n"/>
      <c r="AM8648" s="48" t="n"/>
      <c r="AN8648" s="48" t="n"/>
      <c r="AO8648" s="48" t="n"/>
    </row>
    <row r="8649">
      <c r="M8649" s="25" t="n"/>
      <c r="Q8649" s="25" t="n"/>
      <c r="U8649" s="194" t="n"/>
      <c r="AA8649" s="25" t="n"/>
      <c r="AB8649" s="25" t="n"/>
      <c r="AC8649" s="195" t="n"/>
      <c r="AD8649" s="25" t="n"/>
      <c r="AE8649" s="25" t="n"/>
      <c r="AG8649" s="25" t="n"/>
      <c r="AH8649" s="25" t="n"/>
      <c r="AI8649" s="394" t="n"/>
      <c r="AM8649" s="48" t="n"/>
      <c r="AN8649" s="48" t="n"/>
      <c r="AO8649" s="48" t="n"/>
    </row>
    <row r="8650">
      <c r="M8650" s="25" t="n"/>
      <c r="Q8650" s="25" t="n"/>
      <c r="U8650" s="194" t="n"/>
      <c r="AA8650" s="25" t="n"/>
      <c r="AB8650" s="25" t="n"/>
      <c r="AC8650" s="195" t="n"/>
      <c r="AD8650" s="25" t="n"/>
      <c r="AE8650" s="25" t="n"/>
      <c r="AG8650" s="25" t="n"/>
      <c r="AH8650" s="25" t="n"/>
      <c r="AI8650" s="394" t="n"/>
      <c r="AM8650" s="48" t="n"/>
      <c r="AN8650" s="48" t="n"/>
      <c r="AO8650" s="48" t="n"/>
    </row>
    <row r="8651">
      <c r="M8651" s="25" t="n"/>
      <c r="Q8651" s="25" t="n"/>
      <c r="U8651" s="194" t="n"/>
      <c r="AA8651" s="25" t="n"/>
      <c r="AB8651" s="25" t="n"/>
      <c r="AC8651" s="195" t="n"/>
      <c r="AD8651" s="25" t="n"/>
      <c r="AE8651" s="25" t="n"/>
      <c r="AG8651" s="25" t="n"/>
      <c r="AH8651" s="25" t="n"/>
      <c r="AI8651" s="394" t="n"/>
      <c r="AM8651" s="48" t="n"/>
      <c r="AN8651" s="48" t="n"/>
      <c r="AO8651" s="48" t="n"/>
    </row>
    <row r="8652">
      <c r="M8652" s="25" t="n"/>
      <c r="Q8652" s="25" t="n"/>
      <c r="U8652" s="194" t="n"/>
      <c r="AA8652" s="25" t="n"/>
      <c r="AB8652" s="25" t="n"/>
      <c r="AC8652" s="195" t="n"/>
      <c r="AD8652" s="25" t="n"/>
      <c r="AE8652" s="25" t="n"/>
      <c r="AG8652" s="25" t="n"/>
      <c r="AH8652" s="25" t="n"/>
      <c r="AI8652" s="394" t="n"/>
      <c r="AM8652" s="48" t="n"/>
      <c r="AN8652" s="48" t="n"/>
      <c r="AO8652" s="48" t="n"/>
    </row>
    <row r="8653">
      <c r="M8653" s="25" t="n"/>
      <c r="Q8653" s="25" t="n"/>
      <c r="U8653" s="194" t="n"/>
      <c r="AA8653" s="25" t="n"/>
      <c r="AB8653" s="25" t="n"/>
      <c r="AC8653" s="195" t="n"/>
      <c r="AD8653" s="25" t="n"/>
      <c r="AE8653" s="25" t="n"/>
      <c r="AG8653" s="25" t="n"/>
      <c r="AH8653" s="25" t="n"/>
      <c r="AI8653" s="394" t="n"/>
      <c r="AM8653" s="48" t="n"/>
      <c r="AN8653" s="48" t="n"/>
      <c r="AO8653" s="48" t="n"/>
    </row>
    <row r="8654">
      <c r="M8654" s="25" t="n"/>
      <c r="Q8654" s="25" t="n"/>
      <c r="U8654" s="194" t="n"/>
      <c r="AA8654" s="25" t="n"/>
      <c r="AB8654" s="25" t="n"/>
      <c r="AC8654" s="195" t="n"/>
      <c r="AD8654" s="25" t="n"/>
      <c r="AE8654" s="25" t="n"/>
      <c r="AG8654" s="25" t="n"/>
      <c r="AH8654" s="25" t="n"/>
      <c r="AI8654" s="394" t="n"/>
      <c r="AM8654" s="48" t="n"/>
      <c r="AN8654" s="48" t="n"/>
      <c r="AO8654" s="48" t="n"/>
    </row>
    <row r="8655">
      <c r="M8655" s="25" t="n"/>
      <c r="Q8655" s="25" t="n"/>
      <c r="U8655" s="194" t="n"/>
      <c r="AA8655" s="25" t="n"/>
      <c r="AB8655" s="25" t="n"/>
      <c r="AC8655" s="195" t="n"/>
      <c r="AD8655" s="25" t="n"/>
      <c r="AE8655" s="25" t="n"/>
      <c r="AG8655" s="25" t="n"/>
      <c r="AH8655" s="25" t="n"/>
      <c r="AI8655" s="394" t="n"/>
      <c r="AM8655" s="48" t="n"/>
      <c r="AN8655" s="48" t="n"/>
      <c r="AO8655" s="48" t="n"/>
    </row>
    <row r="8656">
      <c r="M8656" s="25" t="n"/>
      <c r="Q8656" s="25" t="n"/>
      <c r="U8656" s="194" t="n"/>
      <c r="AA8656" s="25" t="n"/>
      <c r="AB8656" s="25" t="n"/>
      <c r="AC8656" s="195" t="n"/>
      <c r="AD8656" s="25" t="n"/>
      <c r="AE8656" s="25" t="n"/>
      <c r="AG8656" s="25" t="n"/>
      <c r="AH8656" s="25" t="n"/>
      <c r="AI8656" s="394" t="n"/>
      <c r="AM8656" s="48" t="n"/>
      <c r="AN8656" s="48" t="n"/>
      <c r="AO8656" s="48" t="n"/>
    </row>
    <row r="8657">
      <c r="M8657" s="25" t="n"/>
      <c r="Q8657" s="25" t="n"/>
      <c r="U8657" s="194" t="n"/>
      <c r="AA8657" s="25" t="n"/>
      <c r="AB8657" s="25" t="n"/>
      <c r="AC8657" s="195" t="n"/>
      <c r="AD8657" s="25" t="n"/>
      <c r="AE8657" s="25" t="n"/>
      <c r="AG8657" s="25" t="n"/>
      <c r="AH8657" s="25" t="n"/>
      <c r="AI8657" s="394" t="n"/>
      <c r="AM8657" s="48" t="n"/>
      <c r="AN8657" s="48" t="n"/>
      <c r="AO8657" s="48" t="n"/>
    </row>
    <row r="8658">
      <c r="M8658" s="25" t="n"/>
      <c r="Q8658" s="25" t="n"/>
      <c r="U8658" s="194" t="n"/>
      <c r="AA8658" s="25" t="n"/>
      <c r="AB8658" s="25" t="n"/>
      <c r="AC8658" s="195" t="n"/>
      <c r="AD8658" s="25" t="n"/>
      <c r="AE8658" s="25" t="n"/>
      <c r="AG8658" s="25" t="n"/>
      <c r="AH8658" s="25" t="n"/>
      <c r="AI8658" s="394" t="n"/>
      <c r="AM8658" s="48" t="n"/>
      <c r="AN8658" s="48" t="n"/>
      <c r="AO8658" s="48" t="n"/>
    </row>
    <row r="8659">
      <c r="M8659" s="25" t="n"/>
      <c r="Q8659" s="25" t="n"/>
      <c r="U8659" s="194" t="n"/>
      <c r="AA8659" s="25" t="n"/>
      <c r="AB8659" s="25" t="n"/>
      <c r="AC8659" s="195" t="n"/>
      <c r="AD8659" s="25" t="n"/>
      <c r="AE8659" s="25" t="n"/>
      <c r="AG8659" s="25" t="n"/>
      <c r="AH8659" s="25" t="n"/>
      <c r="AI8659" s="394" t="n"/>
      <c r="AM8659" s="48" t="n"/>
      <c r="AN8659" s="48" t="n"/>
      <c r="AO8659" s="48" t="n"/>
    </row>
    <row r="8660">
      <c r="M8660" s="25" t="n"/>
      <c r="Q8660" s="25" t="n"/>
      <c r="U8660" s="194" t="n"/>
      <c r="AA8660" s="25" t="n"/>
      <c r="AB8660" s="25" t="n"/>
      <c r="AC8660" s="195" t="n"/>
      <c r="AD8660" s="25" t="n"/>
      <c r="AE8660" s="25" t="n"/>
      <c r="AG8660" s="25" t="n"/>
      <c r="AH8660" s="25" t="n"/>
      <c r="AI8660" s="394" t="n"/>
      <c r="AM8660" s="48" t="n"/>
      <c r="AN8660" s="48" t="n"/>
      <c r="AO8660" s="48" t="n"/>
    </row>
    <row r="8661">
      <c r="M8661" s="25" t="n"/>
      <c r="Q8661" s="25" t="n"/>
      <c r="U8661" s="194" t="n"/>
      <c r="AA8661" s="25" t="n"/>
      <c r="AB8661" s="25" t="n"/>
      <c r="AC8661" s="195" t="n"/>
      <c r="AD8661" s="25" t="n"/>
      <c r="AE8661" s="25" t="n"/>
      <c r="AG8661" s="25" t="n"/>
      <c r="AH8661" s="25" t="n"/>
      <c r="AI8661" s="394" t="n"/>
      <c r="AM8661" s="48" t="n"/>
      <c r="AN8661" s="48" t="n"/>
      <c r="AO8661" s="48" t="n"/>
    </row>
    <row r="8662">
      <c r="M8662" s="25" t="n"/>
      <c r="Q8662" s="25" t="n"/>
      <c r="U8662" s="194" t="n"/>
      <c r="AA8662" s="25" t="n"/>
      <c r="AB8662" s="25" t="n"/>
      <c r="AC8662" s="195" t="n"/>
      <c r="AD8662" s="25" t="n"/>
      <c r="AE8662" s="25" t="n"/>
      <c r="AG8662" s="25" t="n"/>
      <c r="AH8662" s="25" t="n"/>
      <c r="AI8662" s="394" t="n"/>
      <c r="AM8662" s="48" t="n"/>
      <c r="AN8662" s="48" t="n"/>
      <c r="AO8662" s="48" t="n"/>
    </row>
    <row r="8663">
      <c r="M8663" s="25" t="n"/>
      <c r="Q8663" s="25" t="n"/>
      <c r="U8663" s="194" t="n"/>
      <c r="AA8663" s="25" t="n"/>
      <c r="AB8663" s="25" t="n"/>
      <c r="AC8663" s="195" t="n"/>
      <c r="AD8663" s="25" t="n"/>
      <c r="AE8663" s="25" t="n"/>
      <c r="AG8663" s="25" t="n"/>
      <c r="AH8663" s="25" t="n"/>
      <c r="AI8663" s="394" t="n"/>
      <c r="AM8663" s="48" t="n"/>
      <c r="AN8663" s="48" t="n"/>
      <c r="AO8663" s="48" t="n"/>
    </row>
    <row r="8664">
      <c r="M8664" s="25" t="n"/>
      <c r="Q8664" s="25" t="n"/>
      <c r="U8664" s="194" t="n"/>
      <c r="AA8664" s="25" t="n"/>
      <c r="AB8664" s="25" t="n"/>
      <c r="AC8664" s="195" t="n"/>
      <c r="AD8664" s="25" t="n"/>
      <c r="AE8664" s="25" t="n"/>
      <c r="AG8664" s="25" t="n"/>
      <c r="AH8664" s="25" t="n"/>
      <c r="AI8664" s="394" t="n"/>
      <c r="AM8664" s="48" t="n"/>
      <c r="AN8664" s="48" t="n"/>
      <c r="AO8664" s="48" t="n"/>
    </row>
    <row r="8665">
      <c r="M8665" s="25" t="n"/>
      <c r="Q8665" s="25" t="n"/>
      <c r="U8665" s="194" t="n"/>
      <c r="AA8665" s="25" t="n"/>
      <c r="AB8665" s="25" t="n"/>
      <c r="AC8665" s="195" t="n"/>
      <c r="AD8665" s="25" t="n"/>
      <c r="AE8665" s="25" t="n"/>
      <c r="AG8665" s="25" t="n"/>
      <c r="AH8665" s="25" t="n"/>
      <c r="AI8665" s="394" t="n"/>
      <c r="AM8665" s="48" t="n"/>
      <c r="AN8665" s="48" t="n"/>
      <c r="AO8665" s="48" t="n"/>
    </row>
    <row r="8666">
      <c r="M8666" s="25" t="n"/>
      <c r="Q8666" s="25" t="n"/>
      <c r="U8666" s="194" t="n"/>
      <c r="AA8666" s="25" t="n"/>
      <c r="AB8666" s="25" t="n"/>
      <c r="AC8666" s="195" t="n"/>
      <c r="AD8666" s="25" t="n"/>
      <c r="AE8666" s="25" t="n"/>
      <c r="AG8666" s="25" t="n"/>
      <c r="AH8666" s="25" t="n"/>
      <c r="AI8666" s="394" t="n"/>
      <c r="AM8666" s="48" t="n"/>
      <c r="AN8666" s="48" t="n"/>
      <c r="AO8666" s="48" t="n"/>
    </row>
    <row r="8667">
      <c r="M8667" s="25" t="n"/>
      <c r="Q8667" s="25" t="n"/>
      <c r="U8667" s="194" t="n"/>
      <c r="AA8667" s="25" t="n"/>
      <c r="AB8667" s="25" t="n"/>
      <c r="AC8667" s="195" t="n"/>
      <c r="AD8667" s="25" t="n"/>
      <c r="AE8667" s="25" t="n"/>
      <c r="AG8667" s="25" t="n"/>
      <c r="AH8667" s="25" t="n"/>
      <c r="AI8667" s="394" t="n"/>
      <c r="AM8667" s="48" t="n"/>
      <c r="AN8667" s="48" t="n"/>
      <c r="AO8667" s="48" t="n"/>
    </row>
    <row r="8668">
      <c r="M8668" s="25" t="n"/>
      <c r="Q8668" s="25" t="n"/>
      <c r="U8668" s="194" t="n"/>
      <c r="AA8668" s="25" t="n"/>
      <c r="AB8668" s="25" t="n"/>
      <c r="AC8668" s="195" t="n"/>
      <c r="AD8668" s="25" t="n"/>
      <c r="AE8668" s="25" t="n"/>
      <c r="AG8668" s="25" t="n"/>
      <c r="AH8668" s="25" t="n"/>
      <c r="AI8668" s="394" t="n"/>
      <c r="AM8668" s="48" t="n"/>
      <c r="AN8668" s="48" t="n"/>
      <c r="AO8668" s="48" t="n"/>
    </row>
    <row r="8669">
      <c r="M8669" s="25" t="n"/>
      <c r="Q8669" s="25" t="n"/>
      <c r="U8669" s="194" t="n"/>
      <c r="AA8669" s="25" t="n"/>
      <c r="AB8669" s="25" t="n"/>
      <c r="AC8669" s="195" t="n"/>
      <c r="AD8669" s="25" t="n"/>
      <c r="AE8669" s="25" t="n"/>
      <c r="AG8669" s="25" t="n"/>
      <c r="AH8669" s="25" t="n"/>
      <c r="AI8669" s="394" t="n"/>
      <c r="AM8669" s="48" t="n"/>
      <c r="AN8669" s="48" t="n"/>
      <c r="AO8669" s="48" t="n"/>
    </row>
    <row r="8670">
      <c r="M8670" s="25" t="n"/>
      <c r="Q8670" s="25" t="n"/>
      <c r="U8670" s="194" t="n"/>
      <c r="AA8670" s="25" t="n"/>
      <c r="AB8670" s="25" t="n"/>
      <c r="AC8670" s="195" t="n"/>
      <c r="AD8670" s="25" t="n"/>
      <c r="AE8670" s="25" t="n"/>
      <c r="AG8670" s="25" t="n"/>
      <c r="AH8670" s="25" t="n"/>
      <c r="AI8670" s="394" t="n"/>
      <c r="AM8670" s="48" t="n"/>
      <c r="AN8670" s="48" t="n"/>
      <c r="AO8670" s="48" t="n"/>
    </row>
    <row r="8671">
      <c r="M8671" s="25" t="n"/>
      <c r="Q8671" s="25" t="n"/>
      <c r="U8671" s="194" t="n"/>
      <c r="AA8671" s="25" t="n"/>
      <c r="AB8671" s="25" t="n"/>
      <c r="AC8671" s="195" t="n"/>
      <c r="AD8671" s="25" t="n"/>
      <c r="AE8671" s="25" t="n"/>
      <c r="AG8671" s="25" t="n"/>
      <c r="AH8671" s="25" t="n"/>
      <c r="AI8671" s="394" t="n"/>
      <c r="AM8671" s="48" t="n"/>
      <c r="AN8671" s="48" t="n"/>
      <c r="AO8671" s="48" t="n"/>
    </row>
    <row r="8672">
      <c r="M8672" s="25" t="n"/>
      <c r="Q8672" s="25" t="n"/>
      <c r="U8672" s="194" t="n"/>
      <c r="AA8672" s="25" t="n"/>
      <c r="AB8672" s="25" t="n"/>
      <c r="AC8672" s="195" t="n"/>
      <c r="AD8672" s="25" t="n"/>
      <c r="AE8672" s="25" t="n"/>
      <c r="AG8672" s="25" t="n"/>
      <c r="AH8672" s="25" t="n"/>
      <c r="AI8672" s="394" t="n"/>
      <c r="AM8672" s="48" t="n"/>
      <c r="AN8672" s="48" t="n"/>
      <c r="AO8672" s="48" t="n"/>
    </row>
    <row r="8673">
      <c r="M8673" s="25" t="n"/>
      <c r="Q8673" s="25" t="n"/>
      <c r="U8673" s="194" t="n"/>
      <c r="AA8673" s="25" t="n"/>
      <c r="AB8673" s="25" t="n"/>
      <c r="AC8673" s="195" t="n"/>
      <c r="AD8673" s="25" t="n"/>
      <c r="AE8673" s="25" t="n"/>
      <c r="AG8673" s="25" t="n"/>
      <c r="AH8673" s="25" t="n"/>
      <c r="AI8673" s="394" t="n"/>
      <c r="AM8673" s="48" t="n"/>
      <c r="AN8673" s="48" t="n"/>
      <c r="AO8673" s="48" t="n"/>
    </row>
    <row r="8674">
      <c r="M8674" s="25" t="n"/>
      <c r="Q8674" s="25" t="n"/>
      <c r="U8674" s="194" t="n"/>
      <c r="AA8674" s="25" t="n"/>
      <c r="AB8674" s="25" t="n"/>
      <c r="AC8674" s="195" t="n"/>
      <c r="AD8674" s="25" t="n"/>
      <c r="AE8674" s="25" t="n"/>
      <c r="AG8674" s="25" t="n"/>
      <c r="AH8674" s="25" t="n"/>
      <c r="AI8674" s="394" t="n"/>
      <c r="AM8674" s="48" t="n"/>
      <c r="AN8674" s="48" t="n"/>
      <c r="AO8674" s="48" t="n"/>
    </row>
    <row r="8675">
      <c r="M8675" s="25" t="n"/>
      <c r="Q8675" s="25" t="n"/>
      <c r="U8675" s="194" t="n"/>
      <c r="AA8675" s="25" t="n"/>
      <c r="AB8675" s="25" t="n"/>
      <c r="AC8675" s="195" t="n"/>
      <c r="AD8675" s="25" t="n"/>
      <c r="AE8675" s="25" t="n"/>
      <c r="AG8675" s="25" t="n"/>
      <c r="AH8675" s="25" t="n"/>
      <c r="AI8675" s="394" t="n"/>
      <c r="AM8675" s="48" t="n"/>
      <c r="AN8675" s="48" t="n"/>
      <c r="AO8675" s="48" t="n"/>
    </row>
    <row r="8676">
      <c r="M8676" s="25" t="n"/>
      <c r="Q8676" s="25" t="n"/>
      <c r="U8676" s="194" t="n"/>
      <c r="AA8676" s="25" t="n"/>
      <c r="AB8676" s="25" t="n"/>
      <c r="AC8676" s="195" t="n"/>
      <c r="AD8676" s="25" t="n"/>
      <c r="AE8676" s="25" t="n"/>
      <c r="AG8676" s="25" t="n"/>
      <c r="AH8676" s="25" t="n"/>
      <c r="AI8676" s="394" t="n"/>
      <c r="AM8676" s="48" t="n"/>
      <c r="AN8676" s="48" t="n"/>
      <c r="AO8676" s="48" t="n"/>
    </row>
    <row r="8677">
      <c r="M8677" s="25" t="n"/>
      <c r="Q8677" s="25" t="n"/>
      <c r="U8677" s="194" t="n"/>
      <c r="AA8677" s="25" t="n"/>
      <c r="AB8677" s="25" t="n"/>
      <c r="AC8677" s="195" t="n"/>
      <c r="AD8677" s="25" t="n"/>
      <c r="AE8677" s="25" t="n"/>
      <c r="AG8677" s="25" t="n"/>
      <c r="AH8677" s="25" t="n"/>
      <c r="AI8677" s="394" t="n"/>
      <c r="AM8677" s="48" t="n"/>
      <c r="AN8677" s="48" t="n"/>
      <c r="AO8677" s="48" t="n"/>
    </row>
    <row r="8678">
      <c r="M8678" s="25" t="n"/>
      <c r="Q8678" s="25" t="n"/>
      <c r="U8678" s="194" t="n"/>
      <c r="AA8678" s="25" t="n"/>
      <c r="AB8678" s="25" t="n"/>
      <c r="AC8678" s="195" t="n"/>
      <c r="AD8678" s="25" t="n"/>
      <c r="AE8678" s="25" t="n"/>
      <c r="AG8678" s="25" t="n"/>
      <c r="AH8678" s="25" t="n"/>
      <c r="AI8678" s="394" t="n"/>
      <c r="AM8678" s="48" t="n"/>
      <c r="AN8678" s="48" t="n"/>
      <c r="AO8678" s="48" t="n"/>
    </row>
    <row r="8679">
      <c r="M8679" s="25" t="n"/>
      <c r="Q8679" s="25" t="n"/>
      <c r="U8679" s="194" t="n"/>
      <c r="AA8679" s="25" t="n"/>
      <c r="AB8679" s="25" t="n"/>
      <c r="AC8679" s="195" t="n"/>
      <c r="AD8679" s="25" t="n"/>
      <c r="AE8679" s="25" t="n"/>
      <c r="AG8679" s="25" t="n"/>
      <c r="AH8679" s="25" t="n"/>
      <c r="AI8679" s="394" t="n"/>
      <c r="AM8679" s="48" t="n"/>
      <c r="AN8679" s="48" t="n"/>
      <c r="AO8679" s="48" t="n"/>
    </row>
    <row r="8680">
      <c r="M8680" s="25" t="n"/>
      <c r="Q8680" s="25" t="n"/>
      <c r="U8680" s="194" t="n"/>
      <c r="AA8680" s="25" t="n"/>
      <c r="AB8680" s="25" t="n"/>
      <c r="AC8680" s="195" t="n"/>
      <c r="AD8680" s="25" t="n"/>
      <c r="AE8680" s="25" t="n"/>
      <c r="AG8680" s="25" t="n"/>
      <c r="AH8680" s="25" t="n"/>
      <c r="AI8680" s="394" t="n"/>
      <c r="AM8680" s="48" t="n"/>
      <c r="AN8680" s="48" t="n"/>
      <c r="AO8680" s="48" t="n"/>
    </row>
    <row r="8681">
      <c r="M8681" s="25" t="n"/>
      <c r="Q8681" s="25" t="n"/>
      <c r="U8681" s="194" t="n"/>
      <c r="AA8681" s="25" t="n"/>
      <c r="AB8681" s="25" t="n"/>
      <c r="AC8681" s="195" t="n"/>
      <c r="AD8681" s="25" t="n"/>
      <c r="AE8681" s="25" t="n"/>
      <c r="AG8681" s="25" t="n"/>
      <c r="AH8681" s="25" t="n"/>
      <c r="AI8681" s="394" t="n"/>
      <c r="AM8681" s="48" t="n"/>
      <c r="AN8681" s="48" t="n"/>
      <c r="AO8681" s="48" t="n"/>
    </row>
    <row r="8682">
      <c r="M8682" s="25" t="n"/>
      <c r="Q8682" s="25" t="n"/>
      <c r="U8682" s="194" t="n"/>
      <c r="AA8682" s="25" t="n"/>
      <c r="AB8682" s="25" t="n"/>
      <c r="AC8682" s="195" t="n"/>
      <c r="AD8682" s="25" t="n"/>
      <c r="AE8682" s="25" t="n"/>
      <c r="AG8682" s="25" t="n"/>
      <c r="AH8682" s="25" t="n"/>
      <c r="AI8682" s="394" t="n"/>
      <c r="AM8682" s="48" t="n"/>
      <c r="AN8682" s="48" t="n"/>
      <c r="AO8682" s="48" t="n"/>
    </row>
    <row r="8683">
      <c r="M8683" s="25" t="n"/>
      <c r="Q8683" s="25" t="n"/>
      <c r="U8683" s="194" t="n"/>
      <c r="AA8683" s="25" t="n"/>
      <c r="AB8683" s="25" t="n"/>
      <c r="AC8683" s="195" t="n"/>
      <c r="AD8683" s="25" t="n"/>
      <c r="AE8683" s="25" t="n"/>
      <c r="AG8683" s="25" t="n"/>
      <c r="AH8683" s="25" t="n"/>
      <c r="AI8683" s="394" t="n"/>
      <c r="AM8683" s="48" t="n"/>
      <c r="AN8683" s="48" t="n"/>
      <c r="AO8683" s="48" t="n"/>
    </row>
    <row r="8684">
      <c r="M8684" s="25" t="n"/>
      <c r="Q8684" s="25" t="n"/>
      <c r="U8684" s="194" t="n"/>
      <c r="AA8684" s="25" t="n"/>
      <c r="AB8684" s="25" t="n"/>
      <c r="AC8684" s="195" t="n"/>
      <c r="AD8684" s="25" t="n"/>
      <c r="AE8684" s="25" t="n"/>
      <c r="AG8684" s="25" t="n"/>
      <c r="AH8684" s="25" t="n"/>
      <c r="AI8684" s="394" t="n"/>
      <c r="AM8684" s="48" t="n"/>
      <c r="AN8684" s="48" t="n"/>
      <c r="AO8684" s="48" t="n"/>
    </row>
    <row r="8685">
      <c r="M8685" s="25" t="n"/>
      <c r="Q8685" s="25" t="n"/>
      <c r="U8685" s="194" t="n"/>
      <c r="AA8685" s="25" t="n"/>
      <c r="AB8685" s="25" t="n"/>
      <c r="AC8685" s="195" t="n"/>
      <c r="AD8685" s="25" t="n"/>
      <c r="AE8685" s="25" t="n"/>
      <c r="AG8685" s="25" t="n"/>
      <c r="AH8685" s="25" t="n"/>
      <c r="AI8685" s="394" t="n"/>
      <c r="AM8685" s="48" t="n"/>
      <c r="AN8685" s="48" t="n"/>
      <c r="AO8685" s="48" t="n"/>
    </row>
    <row r="8686">
      <c r="M8686" s="25" t="n"/>
      <c r="Q8686" s="25" t="n"/>
      <c r="U8686" s="194" t="n"/>
      <c r="AA8686" s="25" t="n"/>
      <c r="AB8686" s="25" t="n"/>
      <c r="AC8686" s="195" t="n"/>
      <c r="AD8686" s="25" t="n"/>
      <c r="AE8686" s="25" t="n"/>
      <c r="AG8686" s="25" t="n"/>
      <c r="AH8686" s="25" t="n"/>
      <c r="AI8686" s="394" t="n"/>
      <c r="AM8686" s="48" t="n"/>
      <c r="AN8686" s="48" t="n"/>
      <c r="AO8686" s="48" t="n"/>
    </row>
    <row r="8687">
      <c r="M8687" s="25" t="n"/>
      <c r="Q8687" s="25" t="n"/>
      <c r="U8687" s="194" t="n"/>
      <c r="AA8687" s="25" t="n"/>
      <c r="AB8687" s="25" t="n"/>
      <c r="AC8687" s="195" t="n"/>
      <c r="AD8687" s="25" t="n"/>
      <c r="AE8687" s="25" t="n"/>
      <c r="AG8687" s="25" t="n"/>
      <c r="AH8687" s="25" t="n"/>
      <c r="AI8687" s="394" t="n"/>
      <c r="AM8687" s="48" t="n"/>
      <c r="AN8687" s="48" t="n"/>
      <c r="AO8687" s="48" t="n"/>
    </row>
    <row r="8688">
      <c r="M8688" s="25" t="n"/>
      <c r="Q8688" s="25" t="n"/>
      <c r="U8688" s="194" t="n"/>
      <c r="AA8688" s="25" t="n"/>
      <c r="AB8688" s="25" t="n"/>
      <c r="AC8688" s="195" t="n"/>
      <c r="AD8688" s="25" t="n"/>
      <c r="AE8688" s="25" t="n"/>
      <c r="AG8688" s="25" t="n"/>
      <c r="AH8688" s="25" t="n"/>
      <c r="AI8688" s="394" t="n"/>
      <c r="AM8688" s="48" t="n"/>
      <c r="AN8688" s="48" t="n"/>
      <c r="AO8688" s="48" t="n"/>
    </row>
    <row r="8689">
      <c r="M8689" s="25" t="n"/>
      <c r="Q8689" s="25" t="n"/>
      <c r="U8689" s="194" t="n"/>
      <c r="AA8689" s="25" t="n"/>
      <c r="AB8689" s="25" t="n"/>
      <c r="AC8689" s="195" t="n"/>
      <c r="AD8689" s="25" t="n"/>
      <c r="AE8689" s="25" t="n"/>
      <c r="AG8689" s="25" t="n"/>
      <c r="AH8689" s="25" t="n"/>
      <c r="AI8689" s="394" t="n"/>
      <c r="AM8689" s="48" t="n"/>
      <c r="AN8689" s="48" t="n"/>
      <c r="AO8689" s="48" t="n"/>
    </row>
    <row r="8690">
      <c r="M8690" s="25" t="n"/>
      <c r="Q8690" s="25" t="n"/>
      <c r="U8690" s="194" t="n"/>
      <c r="AA8690" s="25" t="n"/>
      <c r="AB8690" s="25" t="n"/>
      <c r="AC8690" s="195" t="n"/>
      <c r="AD8690" s="25" t="n"/>
      <c r="AE8690" s="25" t="n"/>
      <c r="AG8690" s="25" t="n"/>
      <c r="AH8690" s="25" t="n"/>
      <c r="AI8690" s="394" t="n"/>
      <c r="AM8690" s="48" t="n"/>
      <c r="AN8690" s="48" t="n"/>
      <c r="AO8690" s="48" t="n"/>
    </row>
    <row r="8691">
      <c r="M8691" s="25" t="n"/>
      <c r="Q8691" s="25" t="n"/>
      <c r="U8691" s="194" t="n"/>
      <c r="AA8691" s="25" t="n"/>
      <c r="AB8691" s="25" t="n"/>
      <c r="AC8691" s="195" t="n"/>
      <c r="AD8691" s="25" t="n"/>
      <c r="AE8691" s="25" t="n"/>
      <c r="AG8691" s="25" t="n"/>
      <c r="AH8691" s="25" t="n"/>
      <c r="AI8691" s="394" t="n"/>
      <c r="AM8691" s="48" t="n"/>
      <c r="AN8691" s="48" t="n"/>
      <c r="AO8691" s="48" t="n"/>
    </row>
    <row r="8692">
      <c r="M8692" s="25" t="n"/>
      <c r="Q8692" s="25" t="n"/>
      <c r="U8692" s="194" t="n"/>
      <c r="AA8692" s="25" t="n"/>
      <c r="AB8692" s="25" t="n"/>
      <c r="AC8692" s="195" t="n"/>
      <c r="AD8692" s="25" t="n"/>
      <c r="AE8692" s="25" t="n"/>
      <c r="AG8692" s="25" t="n"/>
      <c r="AH8692" s="25" t="n"/>
      <c r="AI8692" s="394" t="n"/>
      <c r="AM8692" s="48" t="n"/>
      <c r="AN8692" s="48" t="n"/>
      <c r="AO8692" s="48" t="n"/>
    </row>
    <row r="8693">
      <c r="M8693" s="25" t="n"/>
      <c r="Q8693" s="25" t="n"/>
      <c r="U8693" s="194" t="n"/>
      <c r="AA8693" s="25" t="n"/>
      <c r="AB8693" s="25" t="n"/>
      <c r="AC8693" s="195" t="n"/>
      <c r="AD8693" s="25" t="n"/>
      <c r="AE8693" s="25" t="n"/>
      <c r="AG8693" s="25" t="n"/>
      <c r="AH8693" s="25" t="n"/>
      <c r="AI8693" s="394" t="n"/>
      <c r="AM8693" s="48" t="n"/>
      <c r="AN8693" s="48" t="n"/>
      <c r="AO8693" s="48" t="n"/>
    </row>
    <row r="8694">
      <c r="M8694" s="25" t="n"/>
      <c r="Q8694" s="25" t="n"/>
      <c r="U8694" s="194" t="n"/>
      <c r="AA8694" s="25" t="n"/>
      <c r="AB8694" s="25" t="n"/>
      <c r="AC8694" s="195" t="n"/>
      <c r="AD8694" s="25" t="n"/>
      <c r="AE8694" s="25" t="n"/>
      <c r="AG8694" s="25" t="n"/>
      <c r="AH8694" s="25" t="n"/>
      <c r="AI8694" s="394" t="n"/>
      <c r="AM8694" s="48" t="n"/>
      <c r="AN8694" s="48" t="n"/>
      <c r="AO8694" s="48" t="n"/>
    </row>
    <row r="8695">
      <c r="M8695" s="25" t="n"/>
      <c r="Q8695" s="25" t="n"/>
      <c r="U8695" s="194" t="n"/>
      <c r="AA8695" s="25" t="n"/>
      <c r="AB8695" s="25" t="n"/>
      <c r="AC8695" s="195" t="n"/>
      <c r="AD8695" s="25" t="n"/>
      <c r="AE8695" s="25" t="n"/>
      <c r="AG8695" s="25" t="n"/>
      <c r="AH8695" s="25" t="n"/>
      <c r="AI8695" s="394" t="n"/>
      <c r="AM8695" s="48" t="n"/>
      <c r="AN8695" s="48" t="n"/>
      <c r="AO8695" s="48" t="n"/>
    </row>
    <row r="8696">
      <c r="M8696" s="25" t="n"/>
      <c r="Q8696" s="25" t="n"/>
      <c r="U8696" s="194" t="n"/>
      <c r="AA8696" s="25" t="n"/>
      <c r="AB8696" s="25" t="n"/>
      <c r="AC8696" s="195" t="n"/>
      <c r="AD8696" s="25" t="n"/>
      <c r="AE8696" s="25" t="n"/>
      <c r="AG8696" s="25" t="n"/>
      <c r="AH8696" s="25" t="n"/>
      <c r="AI8696" s="394" t="n"/>
      <c r="AM8696" s="48" t="n"/>
      <c r="AN8696" s="48" t="n"/>
      <c r="AO8696" s="48" t="n"/>
    </row>
    <row r="8697">
      <c r="M8697" s="25" t="n"/>
      <c r="Q8697" s="25" t="n"/>
      <c r="U8697" s="194" t="n"/>
      <c r="AA8697" s="25" t="n"/>
      <c r="AB8697" s="25" t="n"/>
      <c r="AC8697" s="195" t="n"/>
      <c r="AD8697" s="25" t="n"/>
      <c r="AE8697" s="25" t="n"/>
      <c r="AG8697" s="25" t="n"/>
      <c r="AH8697" s="25" t="n"/>
      <c r="AI8697" s="394" t="n"/>
      <c r="AM8697" s="48" t="n"/>
      <c r="AN8697" s="48" t="n"/>
      <c r="AO8697" s="48" t="n"/>
    </row>
    <row r="8698">
      <c r="M8698" s="25" t="n"/>
      <c r="Q8698" s="25" t="n"/>
      <c r="U8698" s="194" t="n"/>
      <c r="AA8698" s="25" t="n"/>
      <c r="AB8698" s="25" t="n"/>
      <c r="AC8698" s="195" t="n"/>
      <c r="AD8698" s="25" t="n"/>
      <c r="AE8698" s="25" t="n"/>
      <c r="AG8698" s="25" t="n"/>
      <c r="AH8698" s="25" t="n"/>
      <c r="AI8698" s="394" t="n"/>
      <c r="AM8698" s="48" t="n"/>
      <c r="AN8698" s="48" t="n"/>
      <c r="AO8698" s="48" t="n"/>
    </row>
    <row r="8699">
      <c r="M8699" s="25" t="n"/>
      <c r="Q8699" s="25" t="n"/>
      <c r="U8699" s="194" t="n"/>
      <c r="AA8699" s="25" t="n"/>
      <c r="AB8699" s="25" t="n"/>
      <c r="AC8699" s="195" t="n"/>
      <c r="AD8699" s="25" t="n"/>
      <c r="AE8699" s="25" t="n"/>
      <c r="AG8699" s="25" t="n"/>
      <c r="AH8699" s="25" t="n"/>
      <c r="AI8699" s="394" t="n"/>
      <c r="AM8699" s="48" t="n"/>
      <c r="AN8699" s="48" t="n"/>
      <c r="AO8699" s="48" t="n"/>
    </row>
    <row r="8700">
      <c r="M8700" s="25" t="n"/>
      <c r="Q8700" s="25" t="n"/>
      <c r="U8700" s="194" t="n"/>
      <c r="AA8700" s="25" t="n"/>
      <c r="AB8700" s="25" t="n"/>
      <c r="AC8700" s="195" t="n"/>
      <c r="AD8700" s="25" t="n"/>
      <c r="AE8700" s="25" t="n"/>
      <c r="AG8700" s="25" t="n"/>
      <c r="AH8700" s="25" t="n"/>
      <c r="AI8700" s="394" t="n"/>
      <c r="AM8700" s="48" t="n"/>
      <c r="AN8700" s="48" t="n"/>
      <c r="AO8700" s="48" t="n"/>
    </row>
    <row r="8701">
      <c r="M8701" s="25" t="n"/>
      <c r="Q8701" s="25" t="n"/>
      <c r="U8701" s="194" t="n"/>
      <c r="AA8701" s="25" t="n"/>
      <c r="AB8701" s="25" t="n"/>
      <c r="AC8701" s="195" t="n"/>
      <c r="AD8701" s="25" t="n"/>
      <c r="AE8701" s="25" t="n"/>
      <c r="AG8701" s="25" t="n"/>
      <c r="AH8701" s="25" t="n"/>
      <c r="AI8701" s="394" t="n"/>
      <c r="AM8701" s="48" t="n"/>
      <c r="AN8701" s="48" t="n"/>
      <c r="AO8701" s="48" t="n"/>
    </row>
    <row r="8702">
      <c r="M8702" s="25" t="n"/>
      <c r="Q8702" s="25" t="n"/>
      <c r="U8702" s="194" t="n"/>
      <c r="AA8702" s="25" t="n"/>
      <c r="AB8702" s="25" t="n"/>
      <c r="AC8702" s="195" t="n"/>
      <c r="AD8702" s="25" t="n"/>
      <c r="AE8702" s="25" t="n"/>
      <c r="AG8702" s="25" t="n"/>
      <c r="AH8702" s="25" t="n"/>
      <c r="AI8702" s="394" t="n"/>
      <c r="AM8702" s="48" t="n"/>
      <c r="AN8702" s="48" t="n"/>
      <c r="AO8702" s="48" t="n"/>
    </row>
    <row r="8703">
      <c r="M8703" s="25" t="n"/>
      <c r="Q8703" s="25" t="n"/>
      <c r="U8703" s="194" t="n"/>
      <c r="AA8703" s="25" t="n"/>
      <c r="AB8703" s="25" t="n"/>
      <c r="AC8703" s="195" t="n"/>
      <c r="AD8703" s="25" t="n"/>
      <c r="AE8703" s="25" t="n"/>
      <c r="AG8703" s="25" t="n"/>
      <c r="AH8703" s="25" t="n"/>
      <c r="AI8703" s="394" t="n"/>
      <c r="AM8703" s="48" t="n"/>
      <c r="AN8703" s="48" t="n"/>
      <c r="AO8703" s="48" t="n"/>
    </row>
    <row r="8704">
      <c r="M8704" s="25" t="n"/>
      <c r="Q8704" s="25" t="n"/>
      <c r="U8704" s="194" t="n"/>
      <c r="AA8704" s="25" t="n"/>
      <c r="AB8704" s="25" t="n"/>
      <c r="AC8704" s="195" t="n"/>
      <c r="AD8704" s="25" t="n"/>
      <c r="AE8704" s="25" t="n"/>
      <c r="AG8704" s="25" t="n"/>
      <c r="AH8704" s="25" t="n"/>
      <c r="AI8704" s="394" t="n"/>
      <c r="AM8704" s="48" t="n"/>
      <c r="AN8704" s="48" t="n"/>
      <c r="AO8704" s="48" t="n"/>
    </row>
    <row r="8705">
      <c r="M8705" s="25" t="n"/>
      <c r="Q8705" s="25" t="n"/>
      <c r="U8705" s="194" t="n"/>
      <c r="AA8705" s="25" t="n"/>
      <c r="AB8705" s="25" t="n"/>
      <c r="AC8705" s="195" t="n"/>
      <c r="AD8705" s="25" t="n"/>
      <c r="AE8705" s="25" t="n"/>
      <c r="AG8705" s="25" t="n"/>
      <c r="AH8705" s="25" t="n"/>
      <c r="AI8705" s="394" t="n"/>
      <c r="AM8705" s="48" t="n"/>
      <c r="AN8705" s="48" t="n"/>
      <c r="AO8705" s="48" t="n"/>
    </row>
    <row r="8706">
      <c r="M8706" s="25" t="n"/>
      <c r="Q8706" s="25" t="n"/>
      <c r="U8706" s="194" t="n"/>
      <c r="AA8706" s="25" t="n"/>
      <c r="AB8706" s="25" t="n"/>
      <c r="AC8706" s="195" t="n"/>
      <c r="AD8706" s="25" t="n"/>
      <c r="AE8706" s="25" t="n"/>
      <c r="AG8706" s="25" t="n"/>
      <c r="AH8706" s="25" t="n"/>
      <c r="AI8706" s="394" t="n"/>
      <c r="AM8706" s="48" t="n"/>
      <c r="AN8706" s="48" t="n"/>
      <c r="AO8706" s="48" t="n"/>
    </row>
    <row r="8707">
      <c r="M8707" s="25" t="n"/>
      <c r="Q8707" s="25" t="n"/>
      <c r="U8707" s="194" t="n"/>
      <c r="AA8707" s="25" t="n"/>
      <c r="AB8707" s="25" t="n"/>
      <c r="AC8707" s="195" t="n"/>
      <c r="AD8707" s="25" t="n"/>
      <c r="AE8707" s="25" t="n"/>
      <c r="AG8707" s="25" t="n"/>
      <c r="AH8707" s="25" t="n"/>
      <c r="AI8707" s="394" t="n"/>
      <c r="AM8707" s="48" t="n"/>
      <c r="AN8707" s="48" t="n"/>
      <c r="AO8707" s="48" t="n"/>
    </row>
    <row r="8708">
      <c r="M8708" s="25" t="n"/>
      <c r="Q8708" s="25" t="n"/>
      <c r="U8708" s="194" t="n"/>
      <c r="AA8708" s="25" t="n"/>
      <c r="AB8708" s="25" t="n"/>
      <c r="AC8708" s="195" t="n"/>
      <c r="AD8708" s="25" t="n"/>
      <c r="AE8708" s="25" t="n"/>
      <c r="AG8708" s="25" t="n"/>
      <c r="AH8708" s="25" t="n"/>
      <c r="AI8708" s="394" t="n"/>
      <c r="AM8708" s="48" t="n"/>
      <c r="AN8708" s="48" t="n"/>
      <c r="AO8708" s="48" t="n"/>
    </row>
    <row r="8709">
      <c r="M8709" s="25" t="n"/>
      <c r="Q8709" s="25" t="n"/>
      <c r="U8709" s="194" t="n"/>
      <c r="AA8709" s="25" t="n"/>
      <c r="AB8709" s="25" t="n"/>
      <c r="AC8709" s="195" t="n"/>
      <c r="AD8709" s="25" t="n"/>
      <c r="AE8709" s="25" t="n"/>
      <c r="AG8709" s="25" t="n"/>
      <c r="AH8709" s="25" t="n"/>
      <c r="AI8709" s="394" t="n"/>
      <c r="AM8709" s="48" t="n"/>
      <c r="AN8709" s="48" t="n"/>
      <c r="AO8709" s="48" t="n"/>
    </row>
    <row r="8710">
      <c r="M8710" s="25" t="n"/>
      <c r="Q8710" s="25" t="n"/>
      <c r="U8710" s="194" t="n"/>
      <c r="AA8710" s="25" t="n"/>
      <c r="AB8710" s="25" t="n"/>
      <c r="AC8710" s="195" t="n"/>
      <c r="AD8710" s="25" t="n"/>
      <c r="AE8710" s="25" t="n"/>
      <c r="AG8710" s="25" t="n"/>
      <c r="AH8710" s="25" t="n"/>
      <c r="AI8710" s="394" t="n"/>
      <c r="AM8710" s="48" t="n"/>
      <c r="AN8710" s="48" t="n"/>
      <c r="AO8710" s="48" t="n"/>
    </row>
    <row r="8711">
      <c r="M8711" s="25" t="n"/>
      <c r="Q8711" s="25" t="n"/>
      <c r="U8711" s="194" t="n"/>
      <c r="AA8711" s="25" t="n"/>
      <c r="AB8711" s="25" t="n"/>
      <c r="AC8711" s="195" t="n"/>
      <c r="AD8711" s="25" t="n"/>
      <c r="AE8711" s="25" t="n"/>
      <c r="AG8711" s="25" t="n"/>
      <c r="AH8711" s="25" t="n"/>
      <c r="AI8711" s="394" t="n"/>
      <c r="AM8711" s="48" t="n"/>
      <c r="AN8711" s="48" t="n"/>
      <c r="AO8711" s="48" t="n"/>
    </row>
    <row r="8712">
      <c r="M8712" s="25" t="n"/>
      <c r="Q8712" s="25" t="n"/>
      <c r="U8712" s="194" t="n"/>
      <c r="AA8712" s="25" t="n"/>
      <c r="AB8712" s="25" t="n"/>
      <c r="AC8712" s="195" t="n"/>
      <c r="AD8712" s="25" t="n"/>
      <c r="AE8712" s="25" t="n"/>
      <c r="AG8712" s="25" t="n"/>
      <c r="AH8712" s="25" t="n"/>
      <c r="AI8712" s="394" t="n"/>
      <c r="AM8712" s="48" t="n"/>
      <c r="AN8712" s="48" t="n"/>
      <c r="AO8712" s="48" t="n"/>
    </row>
    <row r="8713">
      <c r="M8713" s="25" t="n"/>
      <c r="Q8713" s="25" t="n"/>
      <c r="U8713" s="194" t="n"/>
      <c r="AA8713" s="25" t="n"/>
      <c r="AB8713" s="25" t="n"/>
      <c r="AC8713" s="195" t="n"/>
      <c r="AD8713" s="25" t="n"/>
      <c r="AE8713" s="25" t="n"/>
      <c r="AG8713" s="25" t="n"/>
      <c r="AH8713" s="25" t="n"/>
      <c r="AI8713" s="394" t="n"/>
      <c r="AM8713" s="48" t="n"/>
      <c r="AN8713" s="48" t="n"/>
      <c r="AO8713" s="48" t="n"/>
    </row>
    <row r="8714">
      <c r="M8714" s="25" t="n"/>
      <c r="Q8714" s="25" t="n"/>
      <c r="U8714" s="194" t="n"/>
      <c r="AA8714" s="25" t="n"/>
      <c r="AB8714" s="25" t="n"/>
      <c r="AC8714" s="195" t="n"/>
      <c r="AD8714" s="25" t="n"/>
      <c r="AE8714" s="25" t="n"/>
      <c r="AG8714" s="25" t="n"/>
      <c r="AH8714" s="25" t="n"/>
      <c r="AI8714" s="394" t="n"/>
      <c r="AM8714" s="48" t="n"/>
      <c r="AN8714" s="48" t="n"/>
      <c r="AO8714" s="48" t="n"/>
    </row>
    <row r="8715">
      <c r="M8715" s="25" t="n"/>
      <c r="Q8715" s="25" t="n"/>
      <c r="U8715" s="194" t="n"/>
      <c r="AA8715" s="25" t="n"/>
      <c r="AB8715" s="25" t="n"/>
      <c r="AC8715" s="195" t="n"/>
      <c r="AD8715" s="25" t="n"/>
      <c r="AE8715" s="25" t="n"/>
      <c r="AG8715" s="25" t="n"/>
      <c r="AH8715" s="25" t="n"/>
      <c r="AI8715" s="394" t="n"/>
      <c r="AM8715" s="48" t="n"/>
      <c r="AN8715" s="48" t="n"/>
      <c r="AO8715" s="48" t="n"/>
    </row>
    <row r="8716">
      <c r="M8716" s="25" t="n"/>
      <c r="Q8716" s="25" t="n"/>
      <c r="U8716" s="194" t="n"/>
      <c r="AA8716" s="25" t="n"/>
      <c r="AB8716" s="25" t="n"/>
      <c r="AC8716" s="195" t="n"/>
      <c r="AD8716" s="25" t="n"/>
      <c r="AE8716" s="25" t="n"/>
      <c r="AG8716" s="25" t="n"/>
      <c r="AH8716" s="25" t="n"/>
      <c r="AI8716" s="394" t="n"/>
      <c r="AM8716" s="48" t="n"/>
      <c r="AN8716" s="48" t="n"/>
      <c r="AO8716" s="48" t="n"/>
    </row>
    <row r="8717">
      <c r="M8717" s="25" t="n"/>
      <c r="Q8717" s="25" t="n"/>
      <c r="U8717" s="194" t="n"/>
      <c r="AA8717" s="25" t="n"/>
      <c r="AB8717" s="25" t="n"/>
      <c r="AC8717" s="195" t="n"/>
      <c r="AD8717" s="25" t="n"/>
      <c r="AE8717" s="25" t="n"/>
      <c r="AG8717" s="25" t="n"/>
      <c r="AH8717" s="25" t="n"/>
      <c r="AI8717" s="394" t="n"/>
      <c r="AM8717" s="48" t="n"/>
      <c r="AN8717" s="48" t="n"/>
      <c r="AO8717" s="48" t="n"/>
    </row>
    <row r="8718">
      <c r="M8718" s="25" t="n"/>
      <c r="Q8718" s="25" t="n"/>
      <c r="U8718" s="194" t="n"/>
      <c r="AA8718" s="25" t="n"/>
      <c r="AB8718" s="25" t="n"/>
      <c r="AC8718" s="195" t="n"/>
      <c r="AD8718" s="25" t="n"/>
      <c r="AE8718" s="25" t="n"/>
      <c r="AG8718" s="25" t="n"/>
      <c r="AH8718" s="25" t="n"/>
      <c r="AI8718" s="394" t="n"/>
      <c r="AM8718" s="48" t="n"/>
      <c r="AN8718" s="48" t="n"/>
      <c r="AO8718" s="48" t="n"/>
    </row>
    <row r="8719">
      <c r="M8719" s="25" t="n"/>
      <c r="Q8719" s="25" t="n"/>
      <c r="U8719" s="194" t="n"/>
      <c r="AA8719" s="25" t="n"/>
      <c r="AB8719" s="25" t="n"/>
      <c r="AC8719" s="195" t="n"/>
      <c r="AD8719" s="25" t="n"/>
      <c r="AE8719" s="25" t="n"/>
      <c r="AG8719" s="25" t="n"/>
      <c r="AH8719" s="25" t="n"/>
      <c r="AI8719" s="394" t="n"/>
      <c r="AM8719" s="48" t="n"/>
      <c r="AN8719" s="48" t="n"/>
      <c r="AO8719" s="48" t="n"/>
    </row>
    <row r="8720">
      <c r="M8720" s="25" t="n"/>
      <c r="Q8720" s="25" t="n"/>
      <c r="U8720" s="194" t="n"/>
      <c r="AA8720" s="25" t="n"/>
      <c r="AB8720" s="25" t="n"/>
      <c r="AC8720" s="195" t="n"/>
      <c r="AD8720" s="25" t="n"/>
      <c r="AE8720" s="25" t="n"/>
      <c r="AG8720" s="25" t="n"/>
      <c r="AH8720" s="25" t="n"/>
      <c r="AI8720" s="394" t="n"/>
      <c r="AM8720" s="48" t="n"/>
      <c r="AN8720" s="48" t="n"/>
      <c r="AO8720" s="48" t="n"/>
    </row>
    <row r="8721">
      <c r="M8721" s="25" t="n"/>
      <c r="Q8721" s="25" t="n"/>
      <c r="U8721" s="194" t="n"/>
      <c r="AA8721" s="25" t="n"/>
      <c r="AB8721" s="25" t="n"/>
      <c r="AC8721" s="195" t="n"/>
      <c r="AD8721" s="25" t="n"/>
      <c r="AE8721" s="25" t="n"/>
      <c r="AG8721" s="25" t="n"/>
      <c r="AH8721" s="25" t="n"/>
      <c r="AI8721" s="394" t="n"/>
      <c r="AM8721" s="48" t="n"/>
      <c r="AN8721" s="48" t="n"/>
      <c r="AO8721" s="48" t="n"/>
    </row>
    <row r="8722">
      <c r="M8722" s="25" t="n"/>
      <c r="Q8722" s="25" t="n"/>
      <c r="U8722" s="194" t="n"/>
      <c r="AA8722" s="25" t="n"/>
      <c r="AB8722" s="25" t="n"/>
      <c r="AC8722" s="195" t="n"/>
      <c r="AD8722" s="25" t="n"/>
      <c r="AE8722" s="25" t="n"/>
      <c r="AG8722" s="25" t="n"/>
      <c r="AH8722" s="25" t="n"/>
      <c r="AI8722" s="394" t="n"/>
      <c r="AM8722" s="48" t="n"/>
      <c r="AN8722" s="48" t="n"/>
      <c r="AO8722" s="48" t="n"/>
    </row>
    <row r="8723">
      <c r="M8723" s="25" t="n"/>
      <c r="Q8723" s="25" t="n"/>
      <c r="U8723" s="194" t="n"/>
      <c r="AA8723" s="25" t="n"/>
      <c r="AB8723" s="25" t="n"/>
      <c r="AC8723" s="195" t="n"/>
      <c r="AD8723" s="25" t="n"/>
      <c r="AE8723" s="25" t="n"/>
      <c r="AG8723" s="25" t="n"/>
      <c r="AH8723" s="25" t="n"/>
      <c r="AI8723" s="394" t="n"/>
      <c r="AM8723" s="48" t="n"/>
      <c r="AN8723" s="48" t="n"/>
      <c r="AO8723" s="48" t="n"/>
    </row>
    <row r="8724">
      <c r="M8724" s="25" t="n"/>
      <c r="Q8724" s="25" t="n"/>
      <c r="U8724" s="194" t="n"/>
      <c r="AA8724" s="25" t="n"/>
      <c r="AB8724" s="25" t="n"/>
      <c r="AC8724" s="195" t="n"/>
      <c r="AD8724" s="25" t="n"/>
      <c r="AE8724" s="25" t="n"/>
      <c r="AG8724" s="25" t="n"/>
      <c r="AH8724" s="25" t="n"/>
      <c r="AI8724" s="394" t="n"/>
      <c r="AM8724" s="48" t="n"/>
      <c r="AN8724" s="48" t="n"/>
      <c r="AO8724" s="48" t="n"/>
    </row>
    <row r="8725">
      <c r="M8725" s="25" t="n"/>
      <c r="Q8725" s="25" t="n"/>
      <c r="U8725" s="194" t="n"/>
      <c r="AA8725" s="25" t="n"/>
      <c r="AB8725" s="25" t="n"/>
      <c r="AC8725" s="195" t="n"/>
      <c r="AD8725" s="25" t="n"/>
      <c r="AE8725" s="25" t="n"/>
      <c r="AG8725" s="25" t="n"/>
      <c r="AH8725" s="25" t="n"/>
      <c r="AI8725" s="394" t="n"/>
      <c r="AM8725" s="48" t="n"/>
      <c r="AN8725" s="48" t="n"/>
      <c r="AO8725" s="48" t="n"/>
    </row>
    <row r="8726">
      <c r="M8726" s="25" t="n"/>
      <c r="Q8726" s="25" t="n"/>
      <c r="U8726" s="194" t="n"/>
      <c r="AA8726" s="25" t="n"/>
      <c r="AB8726" s="25" t="n"/>
      <c r="AC8726" s="195" t="n"/>
      <c r="AD8726" s="25" t="n"/>
      <c r="AE8726" s="25" t="n"/>
      <c r="AG8726" s="25" t="n"/>
      <c r="AH8726" s="25" t="n"/>
      <c r="AI8726" s="394" t="n"/>
      <c r="AM8726" s="48" t="n"/>
      <c r="AN8726" s="48" t="n"/>
      <c r="AO8726" s="48" t="n"/>
    </row>
    <row r="8727">
      <c r="M8727" s="25" t="n"/>
      <c r="Q8727" s="25" t="n"/>
      <c r="U8727" s="194" t="n"/>
      <c r="AA8727" s="25" t="n"/>
      <c r="AB8727" s="25" t="n"/>
      <c r="AC8727" s="195" t="n"/>
      <c r="AD8727" s="25" t="n"/>
      <c r="AE8727" s="25" t="n"/>
      <c r="AG8727" s="25" t="n"/>
      <c r="AH8727" s="25" t="n"/>
      <c r="AI8727" s="394" t="n"/>
      <c r="AM8727" s="48" t="n"/>
      <c r="AN8727" s="48" t="n"/>
      <c r="AO8727" s="48" t="n"/>
    </row>
    <row r="8728">
      <c r="M8728" s="25" t="n"/>
      <c r="Q8728" s="25" t="n"/>
      <c r="U8728" s="194" t="n"/>
      <c r="AA8728" s="25" t="n"/>
      <c r="AB8728" s="25" t="n"/>
      <c r="AC8728" s="195" t="n"/>
      <c r="AD8728" s="25" t="n"/>
      <c r="AE8728" s="25" t="n"/>
      <c r="AG8728" s="25" t="n"/>
      <c r="AH8728" s="25" t="n"/>
      <c r="AI8728" s="394" t="n"/>
      <c r="AM8728" s="48" t="n"/>
      <c r="AN8728" s="48" t="n"/>
      <c r="AO8728" s="48" t="n"/>
    </row>
    <row r="8729">
      <c r="M8729" s="25" t="n"/>
      <c r="Q8729" s="25" t="n"/>
      <c r="U8729" s="194" t="n"/>
      <c r="AA8729" s="25" t="n"/>
      <c r="AB8729" s="25" t="n"/>
      <c r="AC8729" s="195" t="n"/>
      <c r="AD8729" s="25" t="n"/>
      <c r="AE8729" s="25" t="n"/>
      <c r="AG8729" s="25" t="n"/>
      <c r="AH8729" s="25" t="n"/>
      <c r="AI8729" s="394" t="n"/>
      <c r="AM8729" s="48" t="n"/>
      <c r="AN8729" s="48" t="n"/>
      <c r="AO8729" s="48" t="n"/>
    </row>
    <row r="8730">
      <c r="M8730" s="25" t="n"/>
      <c r="Q8730" s="25" t="n"/>
      <c r="U8730" s="194" t="n"/>
      <c r="AA8730" s="25" t="n"/>
      <c r="AB8730" s="25" t="n"/>
      <c r="AC8730" s="195" t="n"/>
      <c r="AD8730" s="25" t="n"/>
      <c r="AE8730" s="25" t="n"/>
      <c r="AG8730" s="25" t="n"/>
      <c r="AH8730" s="25" t="n"/>
      <c r="AI8730" s="394" t="n"/>
      <c r="AM8730" s="48" t="n"/>
      <c r="AN8730" s="48" t="n"/>
      <c r="AO8730" s="48" t="n"/>
    </row>
    <row r="8731">
      <c r="M8731" s="25" t="n"/>
      <c r="Q8731" s="25" t="n"/>
      <c r="U8731" s="194" t="n"/>
      <c r="AA8731" s="25" t="n"/>
      <c r="AB8731" s="25" t="n"/>
      <c r="AC8731" s="195" t="n"/>
      <c r="AD8731" s="25" t="n"/>
      <c r="AE8731" s="25" t="n"/>
      <c r="AG8731" s="25" t="n"/>
      <c r="AH8731" s="25" t="n"/>
      <c r="AI8731" s="394" t="n"/>
      <c r="AM8731" s="48" t="n"/>
      <c r="AN8731" s="48" t="n"/>
      <c r="AO8731" s="48" t="n"/>
    </row>
    <row r="8732">
      <c r="M8732" s="25" t="n"/>
      <c r="Q8732" s="25" t="n"/>
      <c r="U8732" s="194" t="n"/>
      <c r="AA8732" s="25" t="n"/>
      <c r="AB8732" s="25" t="n"/>
      <c r="AC8732" s="195" t="n"/>
      <c r="AD8732" s="25" t="n"/>
      <c r="AE8732" s="25" t="n"/>
      <c r="AG8732" s="25" t="n"/>
      <c r="AH8732" s="25" t="n"/>
      <c r="AI8732" s="394" t="n"/>
      <c r="AM8732" s="48" t="n"/>
      <c r="AN8732" s="48" t="n"/>
      <c r="AO8732" s="48" t="n"/>
    </row>
    <row r="8733">
      <c r="M8733" s="25" t="n"/>
      <c r="Q8733" s="25" t="n"/>
      <c r="U8733" s="194" t="n"/>
      <c r="AA8733" s="25" t="n"/>
      <c r="AB8733" s="25" t="n"/>
      <c r="AC8733" s="195" t="n"/>
      <c r="AD8733" s="25" t="n"/>
      <c r="AE8733" s="25" t="n"/>
      <c r="AG8733" s="25" t="n"/>
      <c r="AH8733" s="25" t="n"/>
      <c r="AI8733" s="394" t="n"/>
      <c r="AM8733" s="48" t="n"/>
      <c r="AN8733" s="48" t="n"/>
      <c r="AO8733" s="48" t="n"/>
    </row>
    <row r="8734">
      <c r="M8734" s="25" t="n"/>
      <c r="Q8734" s="25" t="n"/>
      <c r="U8734" s="194" t="n"/>
      <c r="AA8734" s="25" t="n"/>
      <c r="AB8734" s="25" t="n"/>
      <c r="AC8734" s="195" t="n"/>
      <c r="AD8734" s="25" t="n"/>
      <c r="AE8734" s="25" t="n"/>
      <c r="AG8734" s="25" t="n"/>
      <c r="AH8734" s="25" t="n"/>
      <c r="AI8734" s="394" t="n"/>
      <c r="AM8734" s="48" t="n"/>
      <c r="AN8734" s="48" t="n"/>
      <c r="AO8734" s="48" t="n"/>
    </row>
    <row r="8735">
      <c r="M8735" s="25" t="n"/>
      <c r="Q8735" s="25" t="n"/>
      <c r="U8735" s="194" t="n"/>
      <c r="AA8735" s="25" t="n"/>
      <c r="AB8735" s="25" t="n"/>
      <c r="AC8735" s="195" t="n"/>
      <c r="AD8735" s="25" t="n"/>
      <c r="AE8735" s="25" t="n"/>
      <c r="AG8735" s="25" t="n"/>
      <c r="AH8735" s="25" t="n"/>
      <c r="AI8735" s="394" t="n"/>
      <c r="AM8735" s="48" t="n"/>
      <c r="AN8735" s="48" t="n"/>
      <c r="AO8735" s="48" t="n"/>
    </row>
    <row r="8736">
      <c r="M8736" s="25" t="n"/>
      <c r="Q8736" s="25" t="n"/>
      <c r="U8736" s="194" t="n"/>
      <c r="AA8736" s="25" t="n"/>
      <c r="AB8736" s="25" t="n"/>
      <c r="AC8736" s="195" t="n"/>
      <c r="AD8736" s="25" t="n"/>
      <c r="AE8736" s="25" t="n"/>
      <c r="AG8736" s="25" t="n"/>
      <c r="AH8736" s="25" t="n"/>
      <c r="AI8736" s="394" t="n"/>
      <c r="AM8736" s="48" t="n"/>
      <c r="AN8736" s="48" t="n"/>
      <c r="AO8736" s="48" t="n"/>
    </row>
    <row r="8737">
      <c r="M8737" s="25" t="n"/>
      <c r="Q8737" s="25" t="n"/>
      <c r="U8737" s="194" t="n"/>
      <c r="AA8737" s="25" t="n"/>
      <c r="AB8737" s="25" t="n"/>
      <c r="AC8737" s="195" t="n"/>
      <c r="AD8737" s="25" t="n"/>
      <c r="AE8737" s="25" t="n"/>
      <c r="AG8737" s="25" t="n"/>
      <c r="AH8737" s="25" t="n"/>
      <c r="AI8737" s="394" t="n"/>
      <c r="AM8737" s="48" t="n"/>
      <c r="AN8737" s="48" t="n"/>
      <c r="AO8737" s="48" t="n"/>
    </row>
    <row r="8738">
      <c r="M8738" s="25" t="n"/>
      <c r="Q8738" s="25" t="n"/>
      <c r="U8738" s="194" t="n"/>
      <c r="AA8738" s="25" t="n"/>
      <c r="AB8738" s="25" t="n"/>
      <c r="AC8738" s="195" t="n"/>
      <c r="AD8738" s="25" t="n"/>
      <c r="AE8738" s="25" t="n"/>
      <c r="AG8738" s="25" t="n"/>
      <c r="AH8738" s="25" t="n"/>
      <c r="AI8738" s="394" t="n"/>
      <c r="AM8738" s="48" t="n"/>
      <c r="AN8738" s="48" t="n"/>
      <c r="AO8738" s="48" t="n"/>
    </row>
    <row r="8739">
      <c r="M8739" s="25" t="n"/>
      <c r="Q8739" s="25" t="n"/>
      <c r="U8739" s="194" t="n"/>
      <c r="AA8739" s="25" t="n"/>
      <c r="AB8739" s="25" t="n"/>
      <c r="AC8739" s="195" t="n"/>
      <c r="AD8739" s="25" t="n"/>
      <c r="AE8739" s="25" t="n"/>
      <c r="AG8739" s="25" t="n"/>
      <c r="AH8739" s="25" t="n"/>
      <c r="AI8739" s="394" t="n"/>
      <c r="AM8739" s="48" t="n"/>
      <c r="AN8739" s="48" t="n"/>
      <c r="AO8739" s="48" t="n"/>
    </row>
    <row r="8740">
      <c r="M8740" s="25" t="n"/>
      <c r="Q8740" s="25" t="n"/>
      <c r="U8740" s="194" t="n"/>
      <c r="AA8740" s="25" t="n"/>
      <c r="AB8740" s="25" t="n"/>
      <c r="AC8740" s="195" t="n"/>
      <c r="AD8740" s="25" t="n"/>
      <c r="AE8740" s="25" t="n"/>
      <c r="AG8740" s="25" t="n"/>
      <c r="AH8740" s="25" t="n"/>
      <c r="AI8740" s="394" t="n"/>
      <c r="AM8740" s="48" t="n"/>
      <c r="AN8740" s="48" t="n"/>
      <c r="AO8740" s="48" t="n"/>
    </row>
    <row r="8741">
      <c r="M8741" s="25" t="n"/>
      <c r="Q8741" s="25" t="n"/>
      <c r="U8741" s="194" t="n"/>
      <c r="AA8741" s="25" t="n"/>
      <c r="AB8741" s="25" t="n"/>
      <c r="AC8741" s="195" t="n"/>
      <c r="AD8741" s="25" t="n"/>
      <c r="AE8741" s="25" t="n"/>
      <c r="AG8741" s="25" t="n"/>
      <c r="AH8741" s="25" t="n"/>
      <c r="AI8741" s="394" t="n"/>
      <c r="AM8741" s="48" t="n"/>
      <c r="AN8741" s="48" t="n"/>
      <c r="AO8741" s="48" t="n"/>
    </row>
    <row r="8742">
      <c r="M8742" s="25" t="n"/>
      <c r="Q8742" s="25" t="n"/>
      <c r="U8742" s="194" t="n"/>
      <c r="AA8742" s="25" t="n"/>
      <c r="AB8742" s="25" t="n"/>
      <c r="AC8742" s="195" t="n"/>
      <c r="AD8742" s="25" t="n"/>
      <c r="AE8742" s="25" t="n"/>
      <c r="AG8742" s="25" t="n"/>
      <c r="AH8742" s="25" t="n"/>
      <c r="AI8742" s="394" t="n"/>
      <c r="AM8742" s="48" t="n"/>
      <c r="AN8742" s="48" t="n"/>
      <c r="AO8742" s="48" t="n"/>
    </row>
    <row r="8743">
      <c r="M8743" s="25" t="n"/>
      <c r="Q8743" s="25" t="n"/>
      <c r="U8743" s="194" t="n"/>
      <c r="AA8743" s="25" t="n"/>
      <c r="AB8743" s="25" t="n"/>
      <c r="AC8743" s="195" t="n"/>
      <c r="AD8743" s="25" t="n"/>
      <c r="AE8743" s="25" t="n"/>
      <c r="AG8743" s="25" t="n"/>
      <c r="AH8743" s="25" t="n"/>
      <c r="AI8743" s="394" t="n"/>
      <c r="AM8743" s="48" t="n"/>
      <c r="AN8743" s="48" t="n"/>
      <c r="AO8743" s="48" t="n"/>
    </row>
    <row r="8744">
      <c r="M8744" s="25" t="n"/>
      <c r="Q8744" s="25" t="n"/>
      <c r="U8744" s="194" t="n"/>
      <c r="AA8744" s="25" t="n"/>
      <c r="AB8744" s="25" t="n"/>
      <c r="AC8744" s="195" t="n"/>
      <c r="AD8744" s="25" t="n"/>
      <c r="AE8744" s="25" t="n"/>
      <c r="AG8744" s="25" t="n"/>
      <c r="AH8744" s="25" t="n"/>
      <c r="AI8744" s="394" t="n"/>
      <c r="AM8744" s="48" t="n"/>
      <c r="AN8744" s="48" t="n"/>
      <c r="AO8744" s="48" t="n"/>
    </row>
    <row r="8745">
      <c r="M8745" s="25" t="n"/>
      <c r="Q8745" s="25" t="n"/>
      <c r="U8745" s="194" t="n"/>
      <c r="AA8745" s="25" t="n"/>
      <c r="AB8745" s="25" t="n"/>
      <c r="AC8745" s="195" t="n"/>
      <c r="AD8745" s="25" t="n"/>
      <c r="AE8745" s="25" t="n"/>
      <c r="AG8745" s="25" t="n"/>
      <c r="AH8745" s="25" t="n"/>
      <c r="AI8745" s="394" t="n"/>
      <c r="AM8745" s="48" t="n"/>
      <c r="AN8745" s="48" t="n"/>
      <c r="AO8745" s="48" t="n"/>
    </row>
    <row r="8746">
      <c r="M8746" s="25" t="n"/>
      <c r="Q8746" s="25" t="n"/>
      <c r="U8746" s="194" t="n"/>
      <c r="AA8746" s="25" t="n"/>
      <c r="AB8746" s="25" t="n"/>
      <c r="AC8746" s="195" t="n"/>
      <c r="AD8746" s="25" t="n"/>
      <c r="AE8746" s="25" t="n"/>
      <c r="AG8746" s="25" t="n"/>
      <c r="AH8746" s="25" t="n"/>
      <c r="AI8746" s="394" t="n"/>
      <c r="AM8746" s="48" t="n"/>
      <c r="AN8746" s="48" t="n"/>
      <c r="AO8746" s="48" t="n"/>
    </row>
    <row r="8747">
      <c r="M8747" s="25" t="n"/>
      <c r="Q8747" s="25" t="n"/>
      <c r="U8747" s="194" t="n"/>
      <c r="AA8747" s="25" t="n"/>
      <c r="AB8747" s="25" t="n"/>
      <c r="AC8747" s="195" t="n"/>
      <c r="AD8747" s="25" t="n"/>
      <c r="AE8747" s="25" t="n"/>
      <c r="AG8747" s="25" t="n"/>
      <c r="AH8747" s="25" t="n"/>
      <c r="AI8747" s="394" t="n"/>
      <c r="AM8747" s="48" t="n"/>
      <c r="AN8747" s="48" t="n"/>
      <c r="AO8747" s="48" t="n"/>
    </row>
    <row r="8748">
      <c r="M8748" s="25" t="n"/>
      <c r="Q8748" s="25" t="n"/>
      <c r="U8748" s="194" t="n"/>
      <c r="AA8748" s="25" t="n"/>
      <c r="AB8748" s="25" t="n"/>
      <c r="AC8748" s="195" t="n"/>
      <c r="AD8748" s="25" t="n"/>
      <c r="AE8748" s="25" t="n"/>
      <c r="AG8748" s="25" t="n"/>
      <c r="AH8748" s="25" t="n"/>
      <c r="AI8748" s="394" t="n"/>
      <c r="AM8748" s="48" t="n"/>
      <c r="AN8748" s="48" t="n"/>
      <c r="AO8748" s="48" t="n"/>
    </row>
    <row r="8749">
      <c r="M8749" s="25" t="n"/>
      <c r="Q8749" s="25" t="n"/>
      <c r="U8749" s="194" t="n"/>
      <c r="AA8749" s="25" t="n"/>
      <c r="AB8749" s="25" t="n"/>
      <c r="AC8749" s="195" t="n"/>
      <c r="AD8749" s="25" t="n"/>
      <c r="AE8749" s="25" t="n"/>
      <c r="AG8749" s="25" t="n"/>
      <c r="AH8749" s="25" t="n"/>
      <c r="AI8749" s="394" t="n"/>
      <c r="AM8749" s="48" t="n"/>
      <c r="AN8749" s="48" t="n"/>
      <c r="AO8749" s="48" t="n"/>
    </row>
    <row r="8750">
      <c r="M8750" s="25" t="n"/>
      <c r="Q8750" s="25" t="n"/>
      <c r="U8750" s="194" t="n"/>
      <c r="AA8750" s="25" t="n"/>
      <c r="AB8750" s="25" t="n"/>
      <c r="AC8750" s="195" t="n"/>
      <c r="AD8750" s="25" t="n"/>
      <c r="AE8750" s="25" t="n"/>
      <c r="AG8750" s="25" t="n"/>
      <c r="AH8750" s="25" t="n"/>
      <c r="AI8750" s="394" t="n"/>
      <c r="AM8750" s="48" t="n"/>
      <c r="AN8750" s="48" t="n"/>
      <c r="AO8750" s="48" t="n"/>
    </row>
    <row r="8751">
      <c r="M8751" s="25" t="n"/>
      <c r="Q8751" s="25" t="n"/>
      <c r="U8751" s="194" t="n"/>
      <c r="AA8751" s="25" t="n"/>
      <c r="AB8751" s="25" t="n"/>
      <c r="AC8751" s="195" t="n"/>
      <c r="AD8751" s="25" t="n"/>
      <c r="AE8751" s="25" t="n"/>
      <c r="AG8751" s="25" t="n"/>
      <c r="AH8751" s="25" t="n"/>
      <c r="AI8751" s="394" t="n"/>
      <c r="AM8751" s="48" t="n"/>
      <c r="AN8751" s="48" t="n"/>
      <c r="AO8751" s="48" t="n"/>
    </row>
    <row r="8752">
      <c r="M8752" s="25" t="n"/>
      <c r="Q8752" s="25" t="n"/>
      <c r="U8752" s="194" t="n"/>
      <c r="AA8752" s="25" t="n"/>
      <c r="AB8752" s="25" t="n"/>
      <c r="AC8752" s="195" t="n"/>
      <c r="AD8752" s="25" t="n"/>
      <c r="AE8752" s="25" t="n"/>
      <c r="AG8752" s="25" t="n"/>
      <c r="AH8752" s="25" t="n"/>
      <c r="AI8752" s="394" t="n"/>
      <c r="AM8752" s="48" t="n"/>
      <c r="AN8752" s="48" t="n"/>
      <c r="AO8752" s="48" t="n"/>
    </row>
    <row r="8753">
      <c r="M8753" s="25" t="n"/>
      <c r="Q8753" s="25" t="n"/>
      <c r="U8753" s="194" t="n"/>
      <c r="AA8753" s="25" t="n"/>
      <c r="AB8753" s="25" t="n"/>
      <c r="AC8753" s="195" t="n"/>
      <c r="AD8753" s="25" t="n"/>
      <c r="AE8753" s="25" t="n"/>
      <c r="AG8753" s="25" t="n"/>
      <c r="AH8753" s="25" t="n"/>
      <c r="AI8753" s="394" t="n"/>
      <c r="AM8753" s="48" t="n"/>
      <c r="AN8753" s="48" t="n"/>
      <c r="AO8753" s="48" t="n"/>
    </row>
    <row r="8754">
      <c r="M8754" s="25" t="n"/>
      <c r="Q8754" s="25" t="n"/>
      <c r="U8754" s="194" t="n"/>
      <c r="AA8754" s="25" t="n"/>
      <c r="AB8754" s="25" t="n"/>
      <c r="AC8754" s="195" t="n"/>
      <c r="AD8754" s="25" t="n"/>
      <c r="AE8754" s="25" t="n"/>
      <c r="AG8754" s="25" t="n"/>
      <c r="AH8754" s="25" t="n"/>
      <c r="AI8754" s="394" t="n"/>
      <c r="AM8754" s="48" t="n"/>
      <c r="AN8754" s="48" t="n"/>
      <c r="AO8754" s="48" t="n"/>
    </row>
    <row r="8755">
      <c r="M8755" s="25" t="n"/>
      <c r="Q8755" s="25" t="n"/>
      <c r="U8755" s="194" t="n"/>
      <c r="AA8755" s="25" t="n"/>
      <c r="AB8755" s="25" t="n"/>
      <c r="AC8755" s="195" t="n"/>
      <c r="AD8755" s="25" t="n"/>
      <c r="AE8755" s="25" t="n"/>
      <c r="AG8755" s="25" t="n"/>
      <c r="AH8755" s="25" t="n"/>
      <c r="AI8755" s="394" t="n"/>
      <c r="AM8755" s="48" t="n"/>
      <c r="AN8755" s="48" t="n"/>
      <c r="AO8755" s="48" t="n"/>
    </row>
    <row r="8756">
      <c r="M8756" s="25" t="n"/>
      <c r="Q8756" s="25" t="n"/>
      <c r="U8756" s="194" t="n"/>
      <c r="AA8756" s="25" t="n"/>
      <c r="AB8756" s="25" t="n"/>
      <c r="AC8756" s="195" t="n"/>
      <c r="AD8756" s="25" t="n"/>
      <c r="AE8756" s="25" t="n"/>
      <c r="AG8756" s="25" t="n"/>
      <c r="AH8756" s="25" t="n"/>
      <c r="AI8756" s="394" t="n"/>
      <c r="AM8756" s="48" t="n"/>
      <c r="AN8756" s="48" t="n"/>
      <c r="AO8756" s="48" t="n"/>
    </row>
    <row r="8757">
      <c r="M8757" s="25" t="n"/>
      <c r="Q8757" s="25" t="n"/>
      <c r="U8757" s="194" t="n"/>
      <c r="AA8757" s="25" t="n"/>
      <c r="AB8757" s="25" t="n"/>
      <c r="AC8757" s="195" t="n"/>
      <c r="AD8757" s="25" t="n"/>
      <c r="AE8757" s="25" t="n"/>
      <c r="AG8757" s="25" t="n"/>
      <c r="AH8757" s="25" t="n"/>
      <c r="AI8757" s="394" t="n"/>
      <c r="AM8757" s="48" t="n"/>
      <c r="AN8757" s="48" t="n"/>
      <c r="AO8757" s="48" t="n"/>
    </row>
    <row r="8758">
      <c r="M8758" s="25" t="n"/>
      <c r="Q8758" s="25" t="n"/>
      <c r="U8758" s="194" t="n"/>
      <c r="AA8758" s="25" t="n"/>
      <c r="AB8758" s="25" t="n"/>
      <c r="AC8758" s="195" t="n"/>
      <c r="AD8758" s="25" t="n"/>
      <c r="AE8758" s="25" t="n"/>
      <c r="AG8758" s="25" t="n"/>
      <c r="AH8758" s="25" t="n"/>
      <c r="AI8758" s="394" t="n"/>
      <c r="AM8758" s="48" t="n"/>
      <c r="AN8758" s="48" t="n"/>
      <c r="AO8758" s="48" t="n"/>
    </row>
    <row r="8759">
      <c r="M8759" s="25" t="n"/>
      <c r="Q8759" s="25" t="n"/>
      <c r="U8759" s="194" t="n"/>
      <c r="AA8759" s="25" t="n"/>
      <c r="AB8759" s="25" t="n"/>
      <c r="AC8759" s="195" t="n"/>
      <c r="AD8759" s="25" t="n"/>
      <c r="AE8759" s="25" t="n"/>
      <c r="AG8759" s="25" t="n"/>
      <c r="AH8759" s="25" t="n"/>
      <c r="AI8759" s="394" t="n"/>
      <c r="AM8759" s="48" t="n"/>
      <c r="AN8759" s="48" t="n"/>
      <c r="AO8759" s="48" t="n"/>
    </row>
    <row r="8760">
      <c r="M8760" s="25" t="n"/>
      <c r="Q8760" s="25" t="n"/>
      <c r="U8760" s="194" t="n"/>
      <c r="AA8760" s="25" t="n"/>
      <c r="AB8760" s="25" t="n"/>
      <c r="AC8760" s="195" t="n"/>
      <c r="AD8760" s="25" t="n"/>
      <c r="AE8760" s="25" t="n"/>
      <c r="AG8760" s="25" t="n"/>
      <c r="AH8760" s="25" t="n"/>
      <c r="AI8760" s="394" t="n"/>
      <c r="AM8760" s="48" t="n"/>
      <c r="AN8760" s="48" t="n"/>
      <c r="AO8760" s="48" t="n"/>
    </row>
    <row r="8761">
      <c r="M8761" s="25" t="n"/>
      <c r="Q8761" s="25" t="n"/>
      <c r="U8761" s="194" t="n"/>
      <c r="AA8761" s="25" t="n"/>
      <c r="AB8761" s="25" t="n"/>
      <c r="AC8761" s="195" t="n"/>
      <c r="AD8761" s="25" t="n"/>
      <c r="AE8761" s="25" t="n"/>
      <c r="AG8761" s="25" t="n"/>
      <c r="AH8761" s="25" t="n"/>
      <c r="AI8761" s="394" t="n"/>
      <c r="AM8761" s="48" t="n"/>
      <c r="AN8761" s="48" t="n"/>
      <c r="AO8761" s="48" t="n"/>
    </row>
    <row r="8762">
      <c r="M8762" s="25" t="n"/>
      <c r="Q8762" s="25" t="n"/>
      <c r="U8762" s="194" t="n"/>
      <c r="AA8762" s="25" t="n"/>
      <c r="AB8762" s="25" t="n"/>
      <c r="AC8762" s="195" t="n"/>
      <c r="AD8762" s="25" t="n"/>
      <c r="AE8762" s="25" t="n"/>
      <c r="AG8762" s="25" t="n"/>
      <c r="AH8762" s="25" t="n"/>
      <c r="AI8762" s="394" t="n"/>
      <c r="AM8762" s="48" t="n"/>
      <c r="AN8762" s="48" t="n"/>
      <c r="AO8762" s="48" t="n"/>
    </row>
    <row r="8763">
      <c r="M8763" s="25" t="n"/>
      <c r="Q8763" s="25" t="n"/>
      <c r="U8763" s="194" t="n"/>
      <c r="AA8763" s="25" t="n"/>
      <c r="AB8763" s="25" t="n"/>
      <c r="AC8763" s="195" t="n"/>
      <c r="AD8763" s="25" t="n"/>
      <c r="AE8763" s="25" t="n"/>
      <c r="AG8763" s="25" t="n"/>
      <c r="AH8763" s="25" t="n"/>
      <c r="AI8763" s="394" t="n"/>
      <c r="AM8763" s="48" t="n"/>
      <c r="AN8763" s="48" t="n"/>
      <c r="AO8763" s="48" t="n"/>
    </row>
    <row r="8764">
      <c r="M8764" s="25" t="n"/>
      <c r="Q8764" s="25" t="n"/>
      <c r="U8764" s="194" t="n"/>
      <c r="AA8764" s="25" t="n"/>
      <c r="AB8764" s="25" t="n"/>
      <c r="AC8764" s="195" t="n"/>
      <c r="AD8764" s="25" t="n"/>
      <c r="AE8764" s="25" t="n"/>
      <c r="AG8764" s="25" t="n"/>
      <c r="AH8764" s="25" t="n"/>
      <c r="AI8764" s="394" t="n"/>
      <c r="AM8764" s="48" t="n"/>
      <c r="AN8764" s="48" t="n"/>
      <c r="AO8764" s="48" t="n"/>
    </row>
    <row r="8765">
      <c r="M8765" s="25" t="n"/>
      <c r="Q8765" s="25" t="n"/>
      <c r="U8765" s="194" t="n"/>
      <c r="AA8765" s="25" t="n"/>
      <c r="AB8765" s="25" t="n"/>
      <c r="AC8765" s="195" t="n"/>
      <c r="AD8765" s="25" t="n"/>
      <c r="AE8765" s="25" t="n"/>
      <c r="AG8765" s="25" t="n"/>
      <c r="AH8765" s="25" t="n"/>
      <c r="AI8765" s="394" t="n"/>
      <c r="AM8765" s="48" t="n"/>
      <c r="AN8765" s="48" t="n"/>
      <c r="AO8765" s="48" t="n"/>
    </row>
    <row r="8766">
      <c r="M8766" s="25" t="n"/>
      <c r="Q8766" s="25" t="n"/>
      <c r="U8766" s="194" t="n"/>
      <c r="AA8766" s="25" t="n"/>
      <c r="AB8766" s="25" t="n"/>
      <c r="AC8766" s="195" t="n"/>
      <c r="AD8766" s="25" t="n"/>
      <c r="AE8766" s="25" t="n"/>
      <c r="AG8766" s="25" t="n"/>
      <c r="AH8766" s="25" t="n"/>
      <c r="AI8766" s="394" t="n"/>
      <c r="AM8766" s="48" t="n"/>
      <c r="AN8766" s="48" t="n"/>
      <c r="AO8766" s="48" t="n"/>
    </row>
    <row r="8767">
      <c r="M8767" s="25" t="n"/>
      <c r="Q8767" s="25" t="n"/>
      <c r="U8767" s="194" t="n"/>
      <c r="AA8767" s="25" t="n"/>
      <c r="AB8767" s="25" t="n"/>
      <c r="AC8767" s="195" t="n"/>
      <c r="AD8767" s="25" t="n"/>
      <c r="AE8767" s="25" t="n"/>
      <c r="AG8767" s="25" t="n"/>
      <c r="AH8767" s="25" t="n"/>
      <c r="AI8767" s="394" t="n"/>
      <c r="AM8767" s="48" t="n"/>
      <c r="AN8767" s="48" t="n"/>
      <c r="AO8767" s="48" t="n"/>
    </row>
    <row r="8768">
      <c r="M8768" s="25" t="n"/>
      <c r="Q8768" s="25" t="n"/>
      <c r="U8768" s="194" t="n"/>
      <c r="AA8768" s="25" t="n"/>
      <c r="AB8768" s="25" t="n"/>
      <c r="AC8768" s="195" t="n"/>
      <c r="AD8768" s="25" t="n"/>
      <c r="AE8768" s="25" t="n"/>
      <c r="AG8768" s="25" t="n"/>
      <c r="AH8768" s="25" t="n"/>
      <c r="AI8768" s="394" t="n"/>
      <c r="AM8768" s="48" t="n"/>
      <c r="AN8768" s="48" t="n"/>
      <c r="AO8768" s="48" t="n"/>
    </row>
    <row r="8769">
      <c r="M8769" s="25" t="n"/>
      <c r="Q8769" s="25" t="n"/>
      <c r="U8769" s="194" t="n"/>
      <c r="AA8769" s="25" t="n"/>
      <c r="AB8769" s="25" t="n"/>
      <c r="AC8769" s="195" t="n"/>
      <c r="AD8769" s="25" t="n"/>
      <c r="AE8769" s="25" t="n"/>
      <c r="AG8769" s="25" t="n"/>
      <c r="AH8769" s="25" t="n"/>
      <c r="AI8769" s="394" t="n"/>
      <c r="AM8769" s="48" t="n"/>
      <c r="AN8769" s="48" t="n"/>
      <c r="AO8769" s="48" t="n"/>
    </row>
    <row r="8770">
      <c r="M8770" s="25" t="n"/>
      <c r="Q8770" s="25" t="n"/>
      <c r="U8770" s="194" t="n"/>
      <c r="AA8770" s="25" t="n"/>
      <c r="AB8770" s="25" t="n"/>
      <c r="AC8770" s="195" t="n"/>
      <c r="AD8770" s="25" t="n"/>
      <c r="AE8770" s="25" t="n"/>
      <c r="AG8770" s="25" t="n"/>
      <c r="AH8770" s="25" t="n"/>
      <c r="AI8770" s="394" t="n"/>
      <c r="AM8770" s="48" t="n"/>
      <c r="AN8770" s="48" t="n"/>
      <c r="AO8770" s="48" t="n"/>
    </row>
    <row r="8771">
      <c r="M8771" s="25" t="n"/>
      <c r="Q8771" s="25" t="n"/>
      <c r="U8771" s="194" t="n"/>
      <c r="AA8771" s="25" t="n"/>
      <c r="AB8771" s="25" t="n"/>
      <c r="AC8771" s="195" t="n"/>
      <c r="AD8771" s="25" t="n"/>
      <c r="AE8771" s="25" t="n"/>
      <c r="AG8771" s="25" t="n"/>
      <c r="AH8771" s="25" t="n"/>
      <c r="AI8771" s="394" t="n"/>
      <c r="AM8771" s="48" t="n"/>
      <c r="AN8771" s="48" t="n"/>
      <c r="AO8771" s="48" t="n"/>
    </row>
    <row r="8772">
      <c r="M8772" s="25" t="n"/>
      <c r="Q8772" s="25" t="n"/>
      <c r="U8772" s="194" t="n"/>
      <c r="AA8772" s="25" t="n"/>
      <c r="AB8772" s="25" t="n"/>
      <c r="AC8772" s="195" t="n"/>
      <c r="AD8772" s="25" t="n"/>
      <c r="AE8772" s="25" t="n"/>
      <c r="AG8772" s="25" t="n"/>
      <c r="AH8772" s="25" t="n"/>
      <c r="AI8772" s="394" t="n"/>
      <c r="AM8772" s="48" t="n"/>
      <c r="AN8772" s="48" t="n"/>
      <c r="AO8772" s="48" t="n"/>
    </row>
    <row r="8773">
      <c r="M8773" s="25" t="n"/>
      <c r="Q8773" s="25" t="n"/>
      <c r="U8773" s="194" t="n"/>
      <c r="AA8773" s="25" t="n"/>
      <c r="AB8773" s="25" t="n"/>
      <c r="AC8773" s="195" t="n"/>
      <c r="AD8773" s="25" t="n"/>
      <c r="AE8773" s="25" t="n"/>
      <c r="AG8773" s="25" t="n"/>
      <c r="AH8773" s="25" t="n"/>
      <c r="AI8773" s="394" t="n"/>
      <c r="AM8773" s="48" t="n"/>
      <c r="AN8773" s="48" t="n"/>
      <c r="AO8773" s="48" t="n"/>
    </row>
    <row r="8774">
      <c r="M8774" s="25" t="n"/>
      <c r="Q8774" s="25" t="n"/>
      <c r="U8774" s="194" t="n"/>
      <c r="AA8774" s="25" t="n"/>
      <c r="AB8774" s="25" t="n"/>
      <c r="AC8774" s="195" t="n"/>
      <c r="AD8774" s="25" t="n"/>
      <c r="AE8774" s="25" t="n"/>
      <c r="AG8774" s="25" t="n"/>
      <c r="AH8774" s="25" t="n"/>
      <c r="AI8774" s="394" t="n"/>
      <c r="AM8774" s="48" t="n"/>
      <c r="AN8774" s="48" t="n"/>
      <c r="AO8774" s="48" t="n"/>
    </row>
    <row r="8775">
      <c r="M8775" s="25" t="n"/>
      <c r="Q8775" s="25" t="n"/>
      <c r="U8775" s="194" t="n"/>
      <c r="AA8775" s="25" t="n"/>
      <c r="AB8775" s="25" t="n"/>
      <c r="AC8775" s="195" t="n"/>
      <c r="AD8775" s="25" t="n"/>
      <c r="AE8775" s="25" t="n"/>
      <c r="AG8775" s="25" t="n"/>
      <c r="AH8775" s="25" t="n"/>
      <c r="AI8775" s="394" t="n"/>
      <c r="AM8775" s="48" t="n"/>
      <c r="AN8775" s="48" t="n"/>
      <c r="AO8775" s="48" t="n"/>
    </row>
    <row r="8776">
      <c r="M8776" s="25" t="n"/>
      <c r="Q8776" s="25" t="n"/>
      <c r="U8776" s="194" t="n"/>
      <c r="AA8776" s="25" t="n"/>
      <c r="AB8776" s="25" t="n"/>
      <c r="AC8776" s="195" t="n"/>
      <c r="AD8776" s="25" t="n"/>
      <c r="AE8776" s="25" t="n"/>
      <c r="AG8776" s="25" t="n"/>
      <c r="AH8776" s="25" t="n"/>
      <c r="AI8776" s="394" t="n"/>
      <c r="AM8776" s="48" t="n"/>
      <c r="AN8776" s="48" t="n"/>
      <c r="AO8776" s="48" t="n"/>
    </row>
    <row r="8777">
      <c r="M8777" s="25" t="n"/>
      <c r="Q8777" s="25" t="n"/>
      <c r="U8777" s="194" t="n"/>
      <c r="AA8777" s="25" t="n"/>
      <c r="AB8777" s="25" t="n"/>
      <c r="AC8777" s="195" t="n"/>
      <c r="AD8777" s="25" t="n"/>
      <c r="AE8777" s="25" t="n"/>
      <c r="AG8777" s="25" t="n"/>
      <c r="AH8777" s="25" t="n"/>
      <c r="AI8777" s="394" t="n"/>
      <c r="AM8777" s="48" t="n"/>
      <c r="AN8777" s="48" t="n"/>
      <c r="AO8777" s="48" t="n"/>
    </row>
    <row r="8778">
      <c r="M8778" s="25" t="n"/>
      <c r="Q8778" s="25" t="n"/>
      <c r="U8778" s="194" t="n"/>
      <c r="AA8778" s="25" t="n"/>
      <c r="AB8778" s="25" t="n"/>
      <c r="AC8778" s="195" t="n"/>
      <c r="AD8778" s="25" t="n"/>
      <c r="AE8778" s="25" t="n"/>
      <c r="AG8778" s="25" t="n"/>
      <c r="AH8778" s="25" t="n"/>
      <c r="AI8778" s="394" t="n"/>
      <c r="AM8778" s="48" t="n"/>
      <c r="AN8778" s="48" t="n"/>
      <c r="AO8778" s="48" t="n"/>
    </row>
    <row r="8779">
      <c r="M8779" s="25" t="n"/>
      <c r="Q8779" s="25" t="n"/>
      <c r="U8779" s="194" t="n"/>
      <c r="AA8779" s="25" t="n"/>
      <c r="AB8779" s="25" t="n"/>
      <c r="AC8779" s="195" t="n"/>
      <c r="AD8779" s="25" t="n"/>
      <c r="AE8779" s="25" t="n"/>
      <c r="AG8779" s="25" t="n"/>
      <c r="AH8779" s="25" t="n"/>
      <c r="AI8779" s="394" t="n"/>
      <c r="AM8779" s="48" t="n"/>
      <c r="AN8779" s="48" t="n"/>
      <c r="AO8779" s="48" t="n"/>
    </row>
    <row r="8780">
      <c r="M8780" s="25" t="n"/>
      <c r="Q8780" s="25" t="n"/>
      <c r="U8780" s="194" t="n"/>
      <c r="AA8780" s="25" t="n"/>
      <c r="AB8780" s="25" t="n"/>
      <c r="AC8780" s="195" t="n"/>
      <c r="AD8780" s="25" t="n"/>
      <c r="AE8780" s="25" t="n"/>
      <c r="AG8780" s="25" t="n"/>
      <c r="AH8780" s="25" t="n"/>
      <c r="AI8780" s="394" t="n"/>
      <c r="AM8780" s="48" t="n"/>
      <c r="AN8780" s="48" t="n"/>
      <c r="AO8780" s="48" t="n"/>
    </row>
    <row r="8781">
      <c r="M8781" s="25" t="n"/>
      <c r="Q8781" s="25" t="n"/>
      <c r="U8781" s="194" t="n"/>
      <c r="AA8781" s="25" t="n"/>
      <c r="AB8781" s="25" t="n"/>
      <c r="AC8781" s="195" t="n"/>
      <c r="AD8781" s="25" t="n"/>
      <c r="AE8781" s="25" t="n"/>
      <c r="AG8781" s="25" t="n"/>
      <c r="AH8781" s="25" t="n"/>
      <c r="AI8781" s="394" t="n"/>
      <c r="AM8781" s="48" t="n"/>
      <c r="AN8781" s="48" t="n"/>
      <c r="AO8781" s="48" t="n"/>
    </row>
    <row r="8782">
      <c r="M8782" s="25" t="n"/>
      <c r="Q8782" s="25" t="n"/>
      <c r="U8782" s="194" t="n"/>
      <c r="AA8782" s="25" t="n"/>
      <c r="AB8782" s="25" t="n"/>
      <c r="AC8782" s="195" t="n"/>
      <c r="AD8782" s="25" t="n"/>
      <c r="AE8782" s="25" t="n"/>
      <c r="AG8782" s="25" t="n"/>
      <c r="AH8782" s="25" t="n"/>
      <c r="AI8782" s="394" t="n"/>
      <c r="AM8782" s="48" t="n"/>
      <c r="AN8782" s="48" t="n"/>
      <c r="AO8782" s="48" t="n"/>
    </row>
    <row r="8783">
      <c r="M8783" s="25" t="n"/>
      <c r="Q8783" s="25" t="n"/>
      <c r="U8783" s="194" t="n"/>
      <c r="AA8783" s="25" t="n"/>
      <c r="AB8783" s="25" t="n"/>
      <c r="AC8783" s="195" t="n"/>
      <c r="AD8783" s="25" t="n"/>
      <c r="AE8783" s="25" t="n"/>
      <c r="AG8783" s="25" t="n"/>
      <c r="AH8783" s="25" t="n"/>
      <c r="AI8783" s="394" t="n"/>
      <c r="AM8783" s="48" t="n"/>
      <c r="AN8783" s="48" t="n"/>
      <c r="AO8783" s="48" t="n"/>
    </row>
    <row r="8784">
      <c r="M8784" s="25" t="n"/>
      <c r="Q8784" s="25" t="n"/>
      <c r="U8784" s="194" t="n"/>
      <c r="AA8784" s="25" t="n"/>
      <c r="AB8784" s="25" t="n"/>
      <c r="AC8784" s="195" t="n"/>
      <c r="AD8784" s="25" t="n"/>
      <c r="AE8784" s="25" t="n"/>
      <c r="AG8784" s="25" t="n"/>
      <c r="AH8784" s="25" t="n"/>
      <c r="AI8784" s="394" t="n"/>
      <c r="AM8784" s="48" t="n"/>
      <c r="AN8784" s="48" t="n"/>
      <c r="AO8784" s="48" t="n"/>
    </row>
    <row r="8785">
      <c r="M8785" s="25" t="n"/>
      <c r="Q8785" s="25" t="n"/>
      <c r="U8785" s="194" t="n"/>
      <c r="AA8785" s="25" t="n"/>
      <c r="AB8785" s="25" t="n"/>
      <c r="AC8785" s="195" t="n"/>
      <c r="AD8785" s="25" t="n"/>
      <c r="AE8785" s="25" t="n"/>
      <c r="AG8785" s="25" t="n"/>
      <c r="AH8785" s="25" t="n"/>
      <c r="AI8785" s="394" t="n"/>
      <c r="AM8785" s="48" t="n"/>
      <c r="AN8785" s="48" t="n"/>
      <c r="AO8785" s="48" t="n"/>
    </row>
    <row r="8786">
      <c r="M8786" s="25" t="n"/>
      <c r="Q8786" s="25" t="n"/>
      <c r="U8786" s="194" t="n"/>
      <c r="AA8786" s="25" t="n"/>
      <c r="AB8786" s="25" t="n"/>
      <c r="AC8786" s="195" t="n"/>
      <c r="AD8786" s="25" t="n"/>
      <c r="AE8786" s="25" t="n"/>
      <c r="AG8786" s="25" t="n"/>
      <c r="AH8786" s="25" t="n"/>
      <c r="AI8786" s="394" t="n"/>
      <c r="AM8786" s="48" t="n"/>
      <c r="AN8786" s="48" t="n"/>
      <c r="AO8786" s="48" t="n"/>
    </row>
    <row r="8787">
      <c r="M8787" s="25" t="n"/>
      <c r="Q8787" s="25" t="n"/>
      <c r="U8787" s="194" t="n"/>
      <c r="AA8787" s="25" t="n"/>
      <c r="AB8787" s="25" t="n"/>
      <c r="AC8787" s="195" t="n"/>
      <c r="AD8787" s="25" t="n"/>
      <c r="AE8787" s="25" t="n"/>
      <c r="AG8787" s="25" t="n"/>
      <c r="AH8787" s="25" t="n"/>
      <c r="AI8787" s="394" t="n"/>
      <c r="AM8787" s="48" t="n"/>
      <c r="AN8787" s="48" t="n"/>
      <c r="AO8787" s="48" t="n"/>
    </row>
    <row r="8788">
      <c r="M8788" s="25" t="n"/>
      <c r="Q8788" s="25" t="n"/>
      <c r="U8788" s="194" t="n"/>
      <c r="AA8788" s="25" t="n"/>
      <c r="AB8788" s="25" t="n"/>
      <c r="AC8788" s="195" t="n"/>
      <c r="AD8788" s="25" t="n"/>
      <c r="AE8788" s="25" t="n"/>
      <c r="AG8788" s="25" t="n"/>
      <c r="AH8788" s="25" t="n"/>
      <c r="AI8788" s="394" t="n"/>
      <c r="AM8788" s="48" t="n"/>
      <c r="AN8788" s="48" t="n"/>
      <c r="AO8788" s="48" t="n"/>
    </row>
    <row r="8789">
      <c r="M8789" s="25" t="n"/>
      <c r="Q8789" s="25" t="n"/>
      <c r="U8789" s="194" t="n"/>
      <c r="AA8789" s="25" t="n"/>
      <c r="AB8789" s="25" t="n"/>
      <c r="AC8789" s="195" t="n"/>
      <c r="AD8789" s="25" t="n"/>
      <c r="AE8789" s="25" t="n"/>
      <c r="AG8789" s="25" t="n"/>
      <c r="AH8789" s="25" t="n"/>
      <c r="AI8789" s="394" t="n"/>
      <c r="AM8789" s="48" t="n"/>
      <c r="AN8789" s="48" t="n"/>
      <c r="AO8789" s="48" t="n"/>
    </row>
    <row r="8790">
      <c r="M8790" s="25" t="n"/>
      <c r="Q8790" s="25" t="n"/>
      <c r="U8790" s="194" t="n"/>
      <c r="AA8790" s="25" t="n"/>
      <c r="AB8790" s="25" t="n"/>
      <c r="AC8790" s="195" t="n"/>
      <c r="AD8790" s="25" t="n"/>
      <c r="AE8790" s="25" t="n"/>
      <c r="AG8790" s="25" t="n"/>
      <c r="AH8790" s="25" t="n"/>
      <c r="AI8790" s="394" t="n"/>
      <c r="AM8790" s="48" t="n"/>
      <c r="AN8790" s="48" t="n"/>
      <c r="AO8790" s="48" t="n"/>
    </row>
    <row r="8791">
      <c r="M8791" s="25" t="n"/>
      <c r="Q8791" s="25" t="n"/>
      <c r="U8791" s="194" t="n"/>
      <c r="AA8791" s="25" t="n"/>
      <c r="AB8791" s="25" t="n"/>
      <c r="AC8791" s="195" t="n"/>
      <c r="AD8791" s="25" t="n"/>
      <c r="AE8791" s="25" t="n"/>
      <c r="AG8791" s="25" t="n"/>
      <c r="AH8791" s="25" t="n"/>
      <c r="AI8791" s="394" t="n"/>
      <c r="AM8791" s="48" t="n"/>
      <c r="AN8791" s="48" t="n"/>
      <c r="AO8791" s="48" t="n"/>
    </row>
    <row r="8792">
      <c r="M8792" s="25" t="n"/>
      <c r="Q8792" s="25" t="n"/>
      <c r="U8792" s="194" t="n"/>
      <c r="AA8792" s="25" t="n"/>
      <c r="AB8792" s="25" t="n"/>
      <c r="AC8792" s="195" t="n"/>
      <c r="AD8792" s="25" t="n"/>
      <c r="AE8792" s="25" t="n"/>
      <c r="AG8792" s="25" t="n"/>
      <c r="AH8792" s="25" t="n"/>
      <c r="AI8792" s="394" t="n"/>
      <c r="AM8792" s="48" t="n"/>
      <c r="AN8792" s="48" t="n"/>
      <c r="AO8792" s="48" t="n"/>
    </row>
    <row r="8793">
      <c r="M8793" s="25" t="n"/>
      <c r="Q8793" s="25" t="n"/>
      <c r="U8793" s="194" t="n"/>
      <c r="AA8793" s="25" t="n"/>
      <c r="AB8793" s="25" t="n"/>
      <c r="AC8793" s="195" t="n"/>
      <c r="AD8793" s="25" t="n"/>
      <c r="AE8793" s="25" t="n"/>
      <c r="AG8793" s="25" t="n"/>
      <c r="AH8793" s="25" t="n"/>
      <c r="AI8793" s="394" t="n"/>
      <c r="AM8793" s="48" t="n"/>
      <c r="AN8793" s="48" t="n"/>
      <c r="AO8793" s="48" t="n"/>
    </row>
    <row r="8794">
      <c r="M8794" s="25" t="n"/>
      <c r="Q8794" s="25" t="n"/>
      <c r="U8794" s="194" t="n"/>
      <c r="AA8794" s="25" t="n"/>
      <c r="AB8794" s="25" t="n"/>
      <c r="AC8794" s="195" t="n"/>
      <c r="AD8794" s="25" t="n"/>
      <c r="AE8794" s="25" t="n"/>
      <c r="AG8794" s="25" t="n"/>
      <c r="AH8794" s="25" t="n"/>
      <c r="AI8794" s="394" t="n"/>
      <c r="AM8794" s="48" t="n"/>
      <c r="AN8794" s="48" t="n"/>
      <c r="AO8794" s="48" t="n"/>
    </row>
    <row r="8795">
      <c r="M8795" s="25" t="n"/>
      <c r="Q8795" s="25" t="n"/>
      <c r="U8795" s="194" t="n"/>
      <c r="AA8795" s="25" t="n"/>
      <c r="AB8795" s="25" t="n"/>
      <c r="AC8795" s="195" t="n"/>
      <c r="AD8795" s="25" t="n"/>
      <c r="AE8795" s="25" t="n"/>
      <c r="AG8795" s="25" t="n"/>
      <c r="AH8795" s="25" t="n"/>
      <c r="AI8795" s="394" t="n"/>
      <c r="AM8795" s="48" t="n"/>
      <c r="AN8795" s="48" t="n"/>
      <c r="AO8795" s="48" t="n"/>
    </row>
    <row r="8796">
      <c r="M8796" s="25" t="n"/>
      <c r="Q8796" s="25" t="n"/>
      <c r="U8796" s="194" t="n"/>
      <c r="AA8796" s="25" t="n"/>
      <c r="AB8796" s="25" t="n"/>
      <c r="AC8796" s="195" t="n"/>
      <c r="AD8796" s="25" t="n"/>
      <c r="AE8796" s="25" t="n"/>
      <c r="AG8796" s="25" t="n"/>
      <c r="AH8796" s="25" t="n"/>
      <c r="AI8796" s="394" t="n"/>
      <c r="AM8796" s="48" t="n"/>
      <c r="AN8796" s="48" t="n"/>
      <c r="AO8796" s="48" t="n"/>
    </row>
    <row r="8797">
      <c r="M8797" s="25" t="n"/>
      <c r="Q8797" s="25" t="n"/>
      <c r="U8797" s="194" t="n"/>
      <c r="AA8797" s="25" t="n"/>
      <c r="AB8797" s="25" t="n"/>
      <c r="AC8797" s="195" t="n"/>
      <c r="AD8797" s="25" t="n"/>
      <c r="AE8797" s="25" t="n"/>
      <c r="AG8797" s="25" t="n"/>
      <c r="AH8797" s="25" t="n"/>
      <c r="AI8797" s="394" t="n"/>
      <c r="AM8797" s="48" t="n"/>
      <c r="AN8797" s="48" t="n"/>
      <c r="AO8797" s="48" t="n"/>
    </row>
    <row r="8798">
      <c r="M8798" s="25" t="n"/>
      <c r="Q8798" s="25" t="n"/>
      <c r="U8798" s="194" t="n"/>
      <c r="AA8798" s="25" t="n"/>
      <c r="AB8798" s="25" t="n"/>
      <c r="AC8798" s="195" t="n"/>
      <c r="AD8798" s="25" t="n"/>
      <c r="AE8798" s="25" t="n"/>
      <c r="AG8798" s="25" t="n"/>
      <c r="AH8798" s="25" t="n"/>
      <c r="AI8798" s="394" t="n"/>
      <c r="AM8798" s="48" t="n"/>
      <c r="AN8798" s="48" t="n"/>
      <c r="AO8798" s="48" t="n"/>
    </row>
    <row r="8799">
      <c r="M8799" s="25" t="n"/>
      <c r="Q8799" s="25" t="n"/>
      <c r="U8799" s="194" t="n"/>
      <c r="AA8799" s="25" t="n"/>
      <c r="AB8799" s="25" t="n"/>
      <c r="AC8799" s="195" t="n"/>
      <c r="AD8799" s="25" t="n"/>
      <c r="AE8799" s="25" t="n"/>
      <c r="AG8799" s="25" t="n"/>
      <c r="AH8799" s="25" t="n"/>
      <c r="AI8799" s="394" t="n"/>
      <c r="AM8799" s="48" t="n"/>
      <c r="AN8799" s="48" t="n"/>
      <c r="AO8799" s="48" t="n"/>
    </row>
    <row r="8800">
      <c r="M8800" s="25" t="n"/>
      <c r="Q8800" s="25" t="n"/>
      <c r="U8800" s="194" t="n"/>
      <c r="AA8800" s="25" t="n"/>
      <c r="AB8800" s="25" t="n"/>
      <c r="AC8800" s="195" t="n"/>
      <c r="AD8800" s="25" t="n"/>
      <c r="AE8800" s="25" t="n"/>
      <c r="AG8800" s="25" t="n"/>
      <c r="AH8800" s="25" t="n"/>
      <c r="AI8800" s="394" t="n"/>
      <c r="AM8800" s="48" t="n"/>
      <c r="AN8800" s="48" t="n"/>
      <c r="AO8800" s="48" t="n"/>
    </row>
    <row r="8801">
      <c r="M8801" s="25" t="n"/>
      <c r="Q8801" s="25" t="n"/>
      <c r="U8801" s="194" t="n"/>
      <c r="AA8801" s="25" t="n"/>
      <c r="AB8801" s="25" t="n"/>
      <c r="AC8801" s="195" t="n"/>
      <c r="AD8801" s="25" t="n"/>
      <c r="AE8801" s="25" t="n"/>
      <c r="AG8801" s="25" t="n"/>
      <c r="AH8801" s="25" t="n"/>
      <c r="AI8801" s="394" t="n"/>
      <c r="AM8801" s="48" t="n"/>
      <c r="AN8801" s="48" t="n"/>
      <c r="AO8801" s="48" t="n"/>
    </row>
    <row r="8802">
      <c r="M8802" s="25" t="n"/>
      <c r="Q8802" s="25" t="n"/>
      <c r="U8802" s="194" t="n"/>
      <c r="AA8802" s="25" t="n"/>
      <c r="AB8802" s="25" t="n"/>
      <c r="AC8802" s="195" t="n"/>
      <c r="AD8802" s="25" t="n"/>
      <c r="AE8802" s="25" t="n"/>
      <c r="AG8802" s="25" t="n"/>
      <c r="AH8802" s="25" t="n"/>
      <c r="AI8802" s="394" t="n"/>
      <c r="AM8802" s="48" t="n"/>
      <c r="AN8802" s="48" t="n"/>
      <c r="AO8802" s="48" t="n"/>
    </row>
    <row r="8803">
      <c r="M8803" s="25" t="n"/>
      <c r="Q8803" s="25" t="n"/>
      <c r="U8803" s="194" t="n"/>
      <c r="AA8803" s="25" t="n"/>
      <c r="AB8803" s="25" t="n"/>
      <c r="AC8803" s="195" t="n"/>
      <c r="AD8803" s="25" t="n"/>
      <c r="AE8803" s="25" t="n"/>
      <c r="AG8803" s="25" t="n"/>
      <c r="AH8803" s="25" t="n"/>
      <c r="AI8803" s="394" t="n"/>
      <c r="AM8803" s="48" t="n"/>
      <c r="AN8803" s="48" t="n"/>
      <c r="AO8803" s="48" t="n"/>
    </row>
    <row r="8804">
      <c r="M8804" s="25" t="n"/>
      <c r="Q8804" s="25" t="n"/>
      <c r="U8804" s="194" t="n"/>
      <c r="AA8804" s="25" t="n"/>
      <c r="AB8804" s="25" t="n"/>
      <c r="AC8804" s="195" t="n"/>
      <c r="AD8804" s="25" t="n"/>
      <c r="AE8804" s="25" t="n"/>
      <c r="AG8804" s="25" t="n"/>
      <c r="AH8804" s="25" t="n"/>
      <c r="AI8804" s="394" t="n"/>
      <c r="AM8804" s="48" t="n"/>
      <c r="AN8804" s="48" t="n"/>
      <c r="AO8804" s="48" t="n"/>
    </row>
    <row r="8805">
      <c r="M8805" s="25" t="n"/>
      <c r="Q8805" s="25" t="n"/>
      <c r="U8805" s="194" t="n"/>
      <c r="AA8805" s="25" t="n"/>
      <c r="AB8805" s="25" t="n"/>
      <c r="AC8805" s="195" t="n"/>
      <c r="AD8805" s="25" t="n"/>
      <c r="AE8805" s="25" t="n"/>
      <c r="AG8805" s="25" t="n"/>
      <c r="AH8805" s="25" t="n"/>
      <c r="AI8805" s="394" t="n"/>
      <c r="AM8805" s="48" t="n"/>
      <c r="AN8805" s="48" t="n"/>
      <c r="AO8805" s="48" t="n"/>
    </row>
    <row r="8806">
      <c r="M8806" s="25" t="n"/>
      <c r="Q8806" s="25" t="n"/>
      <c r="U8806" s="194" t="n"/>
      <c r="AA8806" s="25" t="n"/>
      <c r="AB8806" s="25" t="n"/>
      <c r="AC8806" s="195" t="n"/>
      <c r="AD8806" s="25" t="n"/>
      <c r="AE8806" s="25" t="n"/>
      <c r="AG8806" s="25" t="n"/>
      <c r="AH8806" s="25" t="n"/>
      <c r="AI8806" s="394" t="n"/>
      <c r="AM8806" s="48" t="n"/>
      <c r="AN8806" s="48" t="n"/>
      <c r="AO8806" s="48" t="n"/>
    </row>
    <row r="8807">
      <c r="M8807" s="25" t="n"/>
      <c r="Q8807" s="25" t="n"/>
      <c r="U8807" s="194" t="n"/>
      <c r="AA8807" s="25" t="n"/>
      <c r="AB8807" s="25" t="n"/>
      <c r="AC8807" s="195" t="n"/>
      <c r="AD8807" s="25" t="n"/>
      <c r="AE8807" s="25" t="n"/>
      <c r="AG8807" s="25" t="n"/>
      <c r="AH8807" s="25" t="n"/>
      <c r="AI8807" s="394" t="n"/>
      <c r="AM8807" s="48" t="n"/>
      <c r="AN8807" s="48" t="n"/>
      <c r="AO8807" s="48" t="n"/>
    </row>
    <row r="8808">
      <c r="M8808" s="25" t="n"/>
      <c r="Q8808" s="25" t="n"/>
      <c r="U8808" s="194" t="n"/>
      <c r="AA8808" s="25" t="n"/>
      <c r="AB8808" s="25" t="n"/>
      <c r="AC8808" s="195" t="n"/>
      <c r="AD8808" s="25" t="n"/>
      <c r="AE8808" s="25" t="n"/>
      <c r="AG8808" s="25" t="n"/>
      <c r="AH8808" s="25" t="n"/>
      <c r="AI8808" s="394" t="n"/>
      <c r="AM8808" s="48" t="n"/>
      <c r="AN8808" s="48" t="n"/>
      <c r="AO8808" s="48" t="n"/>
    </row>
    <row r="8809">
      <c r="M8809" s="25" t="n"/>
      <c r="Q8809" s="25" t="n"/>
      <c r="U8809" s="194" t="n"/>
      <c r="AA8809" s="25" t="n"/>
      <c r="AB8809" s="25" t="n"/>
      <c r="AC8809" s="195" t="n"/>
      <c r="AD8809" s="25" t="n"/>
      <c r="AE8809" s="25" t="n"/>
      <c r="AG8809" s="25" t="n"/>
      <c r="AH8809" s="25" t="n"/>
      <c r="AI8809" s="394" t="n"/>
      <c r="AM8809" s="48" t="n"/>
      <c r="AN8809" s="48" t="n"/>
      <c r="AO8809" s="48" t="n"/>
    </row>
    <row r="8810">
      <c r="M8810" s="25" t="n"/>
      <c r="Q8810" s="25" t="n"/>
      <c r="U8810" s="194" t="n"/>
      <c r="AA8810" s="25" t="n"/>
      <c r="AB8810" s="25" t="n"/>
      <c r="AC8810" s="195" t="n"/>
      <c r="AD8810" s="25" t="n"/>
      <c r="AE8810" s="25" t="n"/>
      <c r="AG8810" s="25" t="n"/>
      <c r="AH8810" s="25" t="n"/>
      <c r="AI8810" s="394" t="n"/>
      <c r="AM8810" s="48" t="n"/>
      <c r="AN8810" s="48" t="n"/>
      <c r="AO8810" s="48" t="n"/>
    </row>
    <row r="8811">
      <c r="M8811" s="25" t="n"/>
      <c r="Q8811" s="25" t="n"/>
      <c r="U8811" s="194" t="n"/>
      <c r="AA8811" s="25" t="n"/>
      <c r="AB8811" s="25" t="n"/>
      <c r="AC8811" s="195" t="n"/>
      <c r="AD8811" s="25" t="n"/>
      <c r="AE8811" s="25" t="n"/>
      <c r="AG8811" s="25" t="n"/>
      <c r="AH8811" s="25" t="n"/>
      <c r="AI8811" s="394" t="n"/>
      <c r="AM8811" s="48" t="n"/>
      <c r="AN8811" s="48" t="n"/>
      <c r="AO8811" s="48" t="n"/>
    </row>
    <row r="8812">
      <c r="M8812" s="25" t="n"/>
      <c r="Q8812" s="25" t="n"/>
      <c r="U8812" s="194" t="n"/>
      <c r="AA8812" s="25" t="n"/>
      <c r="AB8812" s="25" t="n"/>
      <c r="AC8812" s="195" t="n"/>
      <c r="AD8812" s="25" t="n"/>
      <c r="AE8812" s="25" t="n"/>
      <c r="AG8812" s="25" t="n"/>
      <c r="AH8812" s="25" t="n"/>
      <c r="AI8812" s="394" t="n"/>
      <c r="AM8812" s="48" t="n"/>
      <c r="AN8812" s="48" t="n"/>
      <c r="AO8812" s="48" t="n"/>
    </row>
    <row r="8813">
      <c r="M8813" s="25" t="n"/>
      <c r="Q8813" s="25" t="n"/>
      <c r="U8813" s="194" t="n"/>
      <c r="AA8813" s="25" t="n"/>
      <c r="AB8813" s="25" t="n"/>
      <c r="AC8813" s="195" t="n"/>
      <c r="AD8813" s="25" t="n"/>
      <c r="AE8813" s="25" t="n"/>
      <c r="AG8813" s="25" t="n"/>
      <c r="AH8813" s="25" t="n"/>
      <c r="AI8813" s="394" t="n"/>
      <c r="AM8813" s="48" t="n"/>
      <c r="AN8813" s="48" t="n"/>
      <c r="AO8813" s="48" t="n"/>
    </row>
    <row r="8814">
      <c r="M8814" s="25" t="n"/>
      <c r="Q8814" s="25" t="n"/>
      <c r="U8814" s="194" t="n"/>
      <c r="AA8814" s="25" t="n"/>
      <c r="AB8814" s="25" t="n"/>
      <c r="AC8814" s="195" t="n"/>
      <c r="AD8814" s="25" t="n"/>
      <c r="AE8814" s="25" t="n"/>
      <c r="AG8814" s="25" t="n"/>
      <c r="AH8814" s="25" t="n"/>
      <c r="AI8814" s="394" t="n"/>
      <c r="AM8814" s="48" t="n"/>
      <c r="AN8814" s="48" t="n"/>
      <c r="AO8814" s="48" t="n"/>
    </row>
    <row r="8815">
      <c r="M8815" s="25" t="n"/>
      <c r="Q8815" s="25" t="n"/>
      <c r="U8815" s="194" t="n"/>
      <c r="AA8815" s="25" t="n"/>
      <c r="AB8815" s="25" t="n"/>
      <c r="AC8815" s="195" t="n"/>
      <c r="AD8815" s="25" t="n"/>
      <c r="AE8815" s="25" t="n"/>
      <c r="AG8815" s="25" t="n"/>
      <c r="AH8815" s="25" t="n"/>
      <c r="AI8815" s="394" t="n"/>
      <c r="AM8815" s="48" t="n"/>
      <c r="AN8815" s="48" t="n"/>
      <c r="AO8815" s="48" t="n"/>
    </row>
    <row r="8816">
      <c r="M8816" s="25" t="n"/>
      <c r="Q8816" s="25" t="n"/>
      <c r="U8816" s="194" t="n"/>
      <c r="AA8816" s="25" t="n"/>
      <c r="AB8816" s="25" t="n"/>
      <c r="AC8816" s="195" t="n"/>
      <c r="AD8816" s="25" t="n"/>
      <c r="AE8816" s="25" t="n"/>
      <c r="AG8816" s="25" t="n"/>
      <c r="AH8816" s="25" t="n"/>
      <c r="AI8816" s="394" t="n"/>
      <c r="AM8816" s="48" t="n"/>
      <c r="AN8816" s="48" t="n"/>
      <c r="AO8816" s="48" t="n"/>
    </row>
    <row r="8817">
      <c r="M8817" s="25" t="n"/>
      <c r="Q8817" s="25" t="n"/>
      <c r="U8817" s="194" t="n"/>
      <c r="AA8817" s="25" t="n"/>
      <c r="AB8817" s="25" t="n"/>
      <c r="AC8817" s="195" t="n"/>
      <c r="AD8817" s="25" t="n"/>
      <c r="AE8817" s="25" t="n"/>
      <c r="AG8817" s="25" t="n"/>
      <c r="AH8817" s="25" t="n"/>
      <c r="AI8817" s="394" t="n"/>
      <c r="AM8817" s="48" t="n"/>
      <c r="AN8817" s="48" t="n"/>
      <c r="AO8817" s="48" t="n"/>
    </row>
    <row r="8818">
      <c r="M8818" s="25" t="n"/>
      <c r="Q8818" s="25" t="n"/>
      <c r="U8818" s="194" t="n"/>
      <c r="AA8818" s="25" t="n"/>
      <c r="AB8818" s="25" t="n"/>
      <c r="AC8818" s="195" t="n"/>
      <c r="AD8818" s="25" t="n"/>
      <c r="AE8818" s="25" t="n"/>
      <c r="AG8818" s="25" t="n"/>
      <c r="AH8818" s="25" t="n"/>
      <c r="AI8818" s="394" t="n"/>
      <c r="AM8818" s="48" t="n"/>
      <c r="AN8818" s="48" t="n"/>
      <c r="AO8818" s="48" t="n"/>
    </row>
    <row r="8819">
      <c r="M8819" s="25" t="n"/>
      <c r="Q8819" s="25" t="n"/>
      <c r="U8819" s="194" t="n"/>
      <c r="AA8819" s="25" t="n"/>
      <c r="AB8819" s="25" t="n"/>
      <c r="AC8819" s="195" t="n"/>
      <c r="AD8819" s="25" t="n"/>
      <c r="AE8819" s="25" t="n"/>
      <c r="AG8819" s="25" t="n"/>
      <c r="AH8819" s="25" t="n"/>
      <c r="AI8819" s="394" t="n"/>
      <c r="AM8819" s="48" t="n"/>
      <c r="AN8819" s="48" t="n"/>
      <c r="AO8819" s="48" t="n"/>
    </row>
    <row r="8820">
      <c r="M8820" s="25" t="n"/>
      <c r="Q8820" s="25" t="n"/>
      <c r="U8820" s="194" t="n"/>
      <c r="AA8820" s="25" t="n"/>
      <c r="AB8820" s="25" t="n"/>
      <c r="AC8820" s="195" t="n"/>
      <c r="AD8820" s="25" t="n"/>
      <c r="AE8820" s="25" t="n"/>
      <c r="AG8820" s="25" t="n"/>
      <c r="AH8820" s="25" t="n"/>
      <c r="AI8820" s="394" t="n"/>
      <c r="AM8820" s="48" t="n"/>
      <c r="AN8820" s="48" t="n"/>
      <c r="AO8820" s="48" t="n"/>
    </row>
    <row r="8821">
      <c r="M8821" s="25" t="n"/>
      <c r="Q8821" s="25" t="n"/>
      <c r="U8821" s="194" t="n"/>
      <c r="AA8821" s="25" t="n"/>
      <c r="AB8821" s="25" t="n"/>
      <c r="AC8821" s="195" t="n"/>
      <c r="AD8821" s="25" t="n"/>
      <c r="AE8821" s="25" t="n"/>
      <c r="AG8821" s="25" t="n"/>
      <c r="AH8821" s="25" t="n"/>
      <c r="AI8821" s="394" t="n"/>
      <c r="AM8821" s="48" t="n"/>
      <c r="AN8821" s="48" t="n"/>
      <c r="AO8821" s="48" t="n"/>
    </row>
    <row r="8822">
      <c r="M8822" s="25" t="n"/>
      <c r="Q8822" s="25" t="n"/>
      <c r="U8822" s="194" t="n"/>
      <c r="AA8822" s="25" t="n"/>
      <c r="AB8822" s="25" t="n"/>
      <c r="AC8822" s="195" t="n"/>
      <c r="AD8822" s="25" t="n"/>
      <c r="AE8822" s="25" t="n"/>
      <c r="AG8822" s="25" t="n"/>
      <c r="AH8822" s="25" t="n"/>
      <c r="AI8822" s="394" t="n"/>
      <c r="AM8822" s="48" t="n"/>
      <c r="AN8822" s="48" t="n"/>
      <c r="AO8822" s="48" t="n"/>
    </row>
    <row r="8823">
      <c r="M8823" s="25" t="n"/>
      <c r="Q8823" s="25" t="n"/>
      <c r="U8823" s="194" t="n"/>
      <c r="AA8823" s="25" t="n"/>
      <c r="AB8823" s="25" t="n"/>
      <c r="AC8823" s="195" t="n"/>
      <c r="AD8823" s="25" t="n"/>
      <c r="AE8823" s="25" t="n"/>
      <c r="AG8823" s="25" t="n"/>
      <c r="AH8823" s="25" t="n"/>
      <c r="AI8823" s="394" t="n"/>
      <c r="AM8823" s="48" t="n"/>
      <c r="AN8823" s="48" t="n"/>
      <c r="AO8823" s="48" t="n"/>
    </row>
    <row r="8824">
      <c r="M8824" s="25" t="n"/>
      <c r="Q8824" s="25" t="n"/>
      <c r="U8824" s="194" t="n"/>
      <c r="AA8824" s="25" t="n"/>
      <c r="AB8824" s="25" t="n"/>
      <c r="AC8824" s="195" t="n"/>
      <c r="AD8824" s="25" t="n"/>
      <c r="AE8824" s="25" t="n"/>
      <c r="AG8824" s="25" t="n"/>
      <c r="AH8824" s="25" t="n"/>
      <c r="AI8824" s="394" t="n"/>
      <c r="AM8824" s="48" t="n"/>
      <c r="AN8824" s="48" t="n"/>
      <c r="AO8824" s="48" t="n"/>
    </row>
    <row r="8825">
      <c r="M8825" s="25" t="n"/>
      <c r="Q8825" s="25" t="n"/>
      <c r="U8825" s="194" t="n"/>
      <c r="AA8825" s="25" t="n"/>
      <c r="AB8825" s="25" t="n"/>
      <c r="AC8825" s="195" t="n"/>
      <c r="AD8825" s="25" t="n"/>
      <c r="AE8825" s="25" t="n"/>
      <c r="AG8825" s="25" t="n"/>
      <c r="AH8825" s="25" t="n"/>
      <c r="AI8825" s="394" t="n"/>
      <c r="AM8825" s="48" t="n"/>
      <c r="AN8825" s="48" t="n"/>
      <c r="AO8825" s="48" t="n"/>
    </row>
    <row r="8826">
      <c r="M8826" s="25" t="n"/>
      <c r="Q8826" s="25" t="n"/>
      <c r="U8826" s="194" t="n"/>
      <c r="AA8826" s="25" t="n"/>
      <c r="AB8826" s="25" t="n"/>
      <c r="AC8826" s="195" t="n"/>
      <c r="AD8826" s="25" t="n"/>
      <c r="AE8826" s="25" t="n"/>
      <c r="AG8826" s="25" t="n"/>
      <c r="AH8826" s="25" t="n"/>
      <c r="AI8826" s="394" t="n"/>
      <c r="AM8826" s="48" t="n"/>
      <c r="AN8826" s="48" t="n"/>
      <c r="AO8826" s="48" t="n"/>
    </row>
    <row r="8827">
      <c r="M8827" s="25" t="n"/>
      <c r="Q8827" s="25" t="n"/>
      <c r="U8827" s="194" t="n"/>
      <c r="AA8827" s="25" t="n"/>
      <c r="AB8827" s="25" t="n"/>
      <c r="AC8827" s="195" t="n"/>
      <c r="AD8827" s="25" t="n"/>
      <c r="AE8827" s="25" t="n"/>
      <c r="AG8827" s="25" t="n"/>
      <c r="AH8827" s="25" t="n"/>
      <c r="AI8827" s="394" t="n"/>
      <c r="AM8827" s="48" t="n"/>
      <c r="AN8827" s="48" t="n"/>
      <c r="AO8827" s="48" t="n"/>
    </row>
    <row r="8828">
      <c r="M8828" s="25" t="n"/>
      <c r="Q8828" s="25" t="n"/>
      <c r="U8828" s="194" t="n"/>
      <c r="AA8828" s="25" t="n"/>
      <c r="AB8828" s="25" t="n"/>
      <c r="AC8828" s="195" t="n"/>
      <c r="AD8828" s="25" t="n"/>
      <c r="AE8828" s="25" t="n"/>
      <c r="AG8828" s="25" t="n"/>
      <c r="AH8828" s="25" t="n"/>
      <c r="AI8828" s="394" t="n"/>
      <c r="AM8828" s="48" t="n"/>
      <c r="AN8828" s="48" t="n"/>
      <c r="AO8828" s="48" t="n"/>
    </row>
    <row r="8829">
      <c r="M8829" s="25" t="n"/>
      <c r="Q8829" s="25" t="n"/>
      <c r="U8829" s="194" t="n"/>
      <c r="AA8829" s="25" t="n"/>
      <c r="AB8829" s="25" t="n"/>
      <c r="AC8829" s="195" t="n"/>
      <c r="AD8829" s="25" t="n"/>
      <c r="AE8829" s="25" t="n"/>
      <c r="AG8829" s="25" t="n"/>
      <c r="AH8829" s="25" t="n"/>
      <c r="AI8829" s="394" t="n"/>
      <c r="AM8829" s="48" t="n"/>
      <c r="AN8829" s="48" t="n"/>
      <c r="AO8829" s="48" t="n"/>
    </row>
    <row r="8830">
      <c r="M8830" s="25" t="n"/>
      <c r="Q8830" s="25" t="n"/>
      <c r="U8830" s="194" t="n"/>
      <c r="AA8830" s="25" t="n"/>
      <c r="AB8830" s="25" t="n"/>
      <c r="AC8830" s="195" t="n"/>
      <c r="AD8830" s="25" t="n"/>
      <c r="AE8830" s="25" t="n"/>
      <c r="AG8830" s="25" t="n"/>
      <c r="AH8830" s="25" t="n"/>
      <c r="AI8830" s="394" t="n"/>
      <c r="AM8830" s="48" t="n"/>
      <c r="AN8830" s="48" t="n"/>
      <c r="AO8830" s="48" t="n"/>
    </row>
    <row r="8831">
      <c r="M8831" s="25" t="n"/>
      <c r="Q8831" s="25" t="n"/>
      <c r="U8831" s="194" t="n"/>
      <c r="AA8831" s="25" t="n"/>
      <c r="AB8831" s="25" t="n"/>
      <c r="AC8831" s="195" t="n"/>
      <c r="AD8831" s="25" t="n"/>
      <c r="AE8831" s="25" t="n"/>
      <c r="AG8831" s="25" t="n"/>
      <c r="AH8831" s="25" t="n"/>
      <c r="AI8831" s="394" t="n"/>
      <c r="AM8831" s="48" t="n"/>
      <c r="AN8831" s="48" t="n"/>
      <c r="AO8831" s="48" t="n"/>
    </row>
    <row r="8832">
      <c r="M8832" s="25" t="n"/>
      <c r="Q8832" s="25" t="n"/>
      <c r="U8832" s="194" t="n"/>
      <c r="AA8832" s="25" t="n"/>
      <c r="AB8832" s="25" t="n"/>
      <c r="AC8832" s="195" t="n"/>
      <c r="AD8832" s="25" t="n"/>
      <c r="AE8832" s="25" t="n"/>
      <c r="AG8832" s="25" t="n"/>
      <c r="AH8832" s="25" t="n"/>
      <c r="AI8832" s="394" t="n"/>
      <c r="AM8832" s="48" t="n"/>
      <c r="AN8832" s="48" t="n"/>
      <c r="AO8832" s="48" t="n"/>
    </row>
    <row r="8833">
      <c r="M8833" s="25" t="n"/>
      <c r="Q8833" s="25" t="n"/>
      <c r="U8833" s="194" t="n"/>
      <c r="AA8833" s="25" t="n"/>
      <c r="AB8833" s="25" t="n"/>
      <c r="AC8833" s="195" t="n"/>
      <c r="AD8833" s="25" t="n"/>
      <c r="AE8833" s="25" t="n"/>
      <c r="AG8833" s="25" t="n"/>
      <c r="AH8833" s="25" t="n"/>
      <c r="AI8833" s="394" t="n"/>
      <c r="AM8833" s="48" t="n"/>
      <c r="AN8833" s="48" t="n"/>
      <c r="AO8833" s="48" t="n"/>
    </row>
    <row r="8834">
      <c r="M8834" s="25" t="n"/>
      <c r="Q8834" s="25" t="n"/>
      <c r="U8834" s="194" t="n"/>
      <c r="AA8834" s="25" t="n"/>
      <c r="AB8834" s="25" t="n"/>
      <c r="AC8834" s="195" t="n"/>
      <c r="AD8834" s="25" t="n"/>
      <c r="AE8834" s="25" t="n"/>
      <c r="AG8834" s="25" t="n"/>
      <c r="AH8834" s="25" t="n"/>
      <c r="AI8834" s="394" t="n"/>
      <c r="AM8834" s="48" t="n"/>
      <c r="AN8834" s="48" t="n"/>
      <c r="AO8834" s="48" t="n"/>
    </row>
    <row r="8835">
      <c r="M8835" s="25" t="n"/>
      <c r="Q8835" s="25" t="n"/>
      <c r="U8835" s="194" t="n"/>
      <c r="AA8835" s="25" t="n"/>
      <c r="AB8835" s="25" t="n"/>
      <c r="AC8835" s="195" t="n"/>
      <c r="AD8835" s="25" t="n"/>
      <c r="AE8835" s="25" t="n"/>
      <c r="AG8835" s="25" t="n"/>
      <c r="AH8835" s="25" t="n"/>
      <c r="AI8835" s="394" t="n"/>
      <c r="AM8835" s="48" t="n"/>
      <c r="AN8835" s="48" t="n"/>
      <c r="AO8835" s="48" t="n"/>
    </row>
    <row r="8836">
      <c r="M8836" s="25" t="n"/>
      <c r="Q8836" s="25" t="n"/>
      <c r="U8836" s="194" t="n"/>
      <c r="AA8836" s="25" t="n"/>
      <c r="AB8836" s="25" t="n"/>
      <c r="AC8836" s="195" t="n"/>
      <c r="AD8836" s="25" t="n"/>
      <c r="AE8836" s="25" t="n"/>
      <c r="AG8836" s="25" t="n"/>
      <c r="AH8836" s="25" t="n"/>
      <c r="AI8836" s="394" t="n"/>
      <c r="AM8836" s="48" t="n"/>
      <c r="AN8836" s="48" t="n"/>
      <c r="AO8836" s="48" t="n"/>
    </row>
    <row r="8837">
      <c r="M8837" s="25" t="n"/>
      <c r="Q8837" s="25" t="n"/>
      <c r="U8837" s="194" t="n"/>
      <c r="AA8837" s="25" t="n"/>
      <c r="AB8837" s="25" t="n"/>
      <c r="AC8837" s="195" t="n"/>
      <c r="AD8837" s="25" t="n"/>
      <c r="AE8837" s="25" t="n"/>
      <c r="AG8837" s="25" t="n"/>
      <c r="AH8837" s="25" t="n"/>
      <c r="AI8837" s="394" t="n"/>
      <c r="AM8837" s="48" t="n"/>
      <c r="AN8837" s="48" t="n"/>
      <c r="AO8837" s="48" t="n"/>
    </row>
    <row r="8838">
      <c r="M8838" s="25" t="n"/>
      <c r="Q8838" s="25" t="n"/>
      <c r="U8838" s="194" t="n"/>
      <c r="AA8838" s="25" t="n"/>
      <c r="AB8838" s="25" t="n"/>
      <c r="AC8838" s="195" t="n"/>
      <c r="AD8838" s="25" t="n"/>
      <c r="AE8838" s="25" t="n"/>
      <c r="AG8838" s="25" t="n"/>
      <c r="AH8838" s="25" t="n"/>
      <c r="AI8838" s="394" t="n"/>
      <c r="AM8838" s="48" t="n"/>
      <c r="AN8838" s="48" t="n"/>
      <c r="AO8838" s="48" t="n"/>
    </row>
    <row r="8839">
      <c r="M8839" s="25" t="n"/>
      <c r="Q8839" s="25" t="n"/>
      <c r="U8839" s="194" t="n"/>
      <c r="AA8839" s="25" t="n"/>
      <c r="AB8839" s="25" t="n"/>
      <c r="AC8839" s="195" t="n"/>
      <c r="AD8839" s="25" t="n"/>
      <c r="AE8839" s="25" t="n"/>
      <c r="AG8839" s="25" t="n"/>
      <c r="AH8839" s="25" t="n"/>
      <c r="AI8839" s="394" t="n"/>
      <c r="AM8839" s="48" t="n"/>
      <c r="AN8839" s="48" t="n"/>
      <c r="AO8839" s="48" t="n"/>
    </row>
    <row r="8840">
      <c r="M8840" s="25" t="n"/>
      <c r="Q8840" s="25" t="n"/>
      <c r="U8840" s="194" t="n"/>
      <c r="AA8840" s="25" t="n"/>
      <c r="AB8840" s="25" t="n"/>
      <c r="AC8840" s="195" t="n"/>
      <c r="AD8840" s="25" t="n"/>
      <c r="AE8840" s="25" t="n"/>
      <c r="AG8840" s="25" t="n"/>
      <c r="AH8840" s="25" t="n"/>
      <c r="AI8840" s="394" t="n"/>
      <c r="AM8840" s="48" t="n"/>
      <c r="AN8840" s="48" t="n"/>
      <c r="AO8840" s="48" t="n"/>
    </row>
    <row r="8841">
      <c r="M8841" s="25" t="n"/>
      <c r="Q8841" s="25" t="n"/>
      <c r="U8841" s="194" t="n"/>
      <c r="AA8841" s="25" t="n"/>
      <c r="AB8841" s="25" t="n"/>
      <c r="AC8841" s="195" t="n"/>
      <c r="AD8841" s="25" t="n"/>
      <c r="AE8841" s="25" t="n"/>
      <c r="AG8841" s="25" t="n"/>
      <c r="AH8841" s="25" t="n"/>
      <c r="AI8841" s="394" t="n"/>
      <c r="AM8841" s="48" t="n"/>
      <c r="AN8841" s="48" t="n"/>
      <c r="AO8841" s="48" t="n"/>
    </row>
    <row r="8842">
      <c r="M8842" s="25" t="n"/>
      <c r="Q8842" s="25" t="n"/>
      <c r="U8842" s="194" t="n"/>
      <c r="AA8842" s="25" t="n"/>
      <c r="AB8842" s="25" t="n"/>
      <c r="AC8842" s="195" t="n"/>
      <c r="AD8842" s="25" t="n"/>
      <c r="AE8842" s="25" t="n"/>
      <c r="AG8842" s="25" t="n"/>
      <c r="AH8842" s="25" t="n"/>
      <c r="AI8842" s="394" t="n"/>
      <c r="AM8842" s="48" t="n"/>
      <c r="AN8842" s="48" t="n"/>
      <c r="AO8842" s="48" t="n"/>
    </row>
    <row r="8843">
      <c r="M8843" s="25" t="n"/>
      <c r="Q8843" s="25" t="n"/>
      <c r="U8843" s="194" t="n"/>
      <c r="AA8843" s="25" t="n"/>
      <c r="AB8843" s="25" t="n"/>
      <c r="AC8843" s="195" t="n"/>
      <c r="AD8843" s="25" t="n"/>
      <c r="AE8843" s="25" t="n"/>
      <c r="AG8843" s="25" t="n"/>
      <c r="AH8843" s="25" t="n"/>
      <c r="AI8843" s="394" t="n"/>
      <c r="AM8843" s="48" t="n"/>
      <c r="AN8843" s="48" t="n"/>
      <c r="AO8843" s="48" t="n"/>
    </row>
    <row r="8844">
      <c r="M8844" s="25" t="n"/>
      <c r="Q8844" s="25" t="n"/>
      <c r="U8844" s="194" t="n"/>
      <c r="AA8844" s="25" t="n"/>
      <c r="AB8844" s="25" t="n"/>
      <c r="AC8844" s="195" t="n"/>
      <c r="AD8844" s="25" t="n"/>
      <c r="AE8844" s="25" t="n"/>
      <c r="AG8844" s="25" t="n"/>
      <c r="AH8844" s="25" t="n"/>
      <c r="AI8844" s="394" t="n"/>
      <c r="AM8844" s="48" t="n"/>
      <c r="AN8844" s="48" t="n"/>
      <c r="AO8844" s="48" t="n"/>
    </row>
    <row r="8845">
      <c r="M8845" s="25" t="n"/>
      <c r="Q8845" s="25" t="n"/>
      <c r="U8845" s="194" t="n"/>
      <c r="AA8845" s="25" t="n"/>
      <c r="AB8845" s="25" t="n"/>
      <c r="AC8845" s="195" t="n"/>
      <c r="AD8845" s="25" t="n"/>
      <c r="AE8845" s="25" t="n"/>
      <c r="AG8845" s="25" t="n"/>
      <c r="AH8845" s="25" t="n"/>
      <c r="AI8845" s="394" t="n"/>
      <c r="AM8845" s="48" t="n"/>
      <c r="AN8845" s="48" t="n"/>
      <c r="AO8845" s="48" t="n"/>
    </row>
    <row r="8846">
      <c r="M8846" s="25" t="n"/>
      <c r="Q8846" s="25" t="n"/>
      <c r="U8846" s="194" t="n"/>
      <c r="AA8846" s="25" t="n"/>
      <c r="AB8846" s="25" t="n"/>
      <c r="AC8846" s="195" t="n"/>
      <c r="AD8846" s="25" t="n"/>
      <c r="AE8846" s="25" t="n"/>
      <c r="AG8846" s="25" t="n"/>
      <c r="AH8846" s="25" t="n"/>
      <c r="AI8846" s="394" t="n"/>
      <c r="AM8846" s="48" t="n"/>
      <c r="AN8846" s="48" t="n"/>
      <c r="AO8846" s="48" t="n"/>
    </row>
    <row r="8847">
      <c r="M8847" s="25" t="n"/>
      <c r="Q8847" s="25" t="n"/>
      <c r="U8847" s="194" t="n"/>
      <c r="AA8847" s="25" t="n"/>
      <c r="AB8847" s="25" t="n"/>
      <c r="AC8847" s="195" t="n"/>
      <c r="AD8847" s="25" t="n"/>
      <c r="AE8847" s="25" t="n"/>
      <c r="AG8847" s="25" t="n"/>
      <c r="AH8847" s="25" t="n"/>
      <c r="AI8847" s="394" t="n"/>
      <c r="AM8847" s="48" t="n"/>
      <c r="AN8847" s="48" t="n"/>
      <c r="AO8847" s="48" t="n"/>
    </row>
    <row r="8848">
      <c r="M8848" s="25" t="n"/>
      <c r="Q8848" s="25" t="n"/>
      <c r="U8848" s="194" t="n"/>
      <c r="AA8848" s="25" t="n"/>
      <c r="AB8848" s="25" t="n"/>
      <c r="AC8848" s="195" t="n"/>
      <c r="AD8848" s="25" t="n"/>
      <c r="AE8848" s="25" t="n"/>
      <c r="AG8848" s="25" t="n"/>
      <c r="AH8848" s="25" t="n"/>
      <c r="AI8848" s="394" t="n"/>
      <c r="AM8848" s="48" t="n"/>
      <c r="AN8848" s="48" t="n"/>
      <c r="AO8848" s="48" t="n"/>
    </row>
    <row r="8849">
      <c r="M8849" s="25" t="n"/>
      <c r="Q8849" s="25" t="n"/>
      <c r="U8849" s="194" t="n"/>
      <c r="AA8849" s="25" t="n"/>
      <c r="AB8849" s="25" t="n"/>
      <c r="AC8849" s="195" t="n"/>
      <c r="AD8849" s="25" t="n"/>
      <c r="AE8849" s="25" t="n"/>
      <c r="AG8849" s="25" t="n"/>
      <c r="AH8849" s="25" t="n"/>
      <c r="AI8849" s="394" t="n"/>
      <c r="AM8849" s="48" t="n"/>
      <c r="AN8849" s="48" t="n"/>
      <c r="AO8849" s="48" t="n"/>
    </row>
    <row r="8850">
      <c r="M8850" s="25" t="n"/>
      <c r="Q8850" s="25" t="n"/>
      <c r="U8850" s="194" t="n"/>
      <c r="AA8850" s="25" t="n"/>
      <c r="AB8850" s="25" t="n"/>
      <c r="AC8850" s="195" t="n"/>
      <c r="AD8850" s="25" t="n"/>
      <c r="AE8850" s="25" t="n"/>
      <c r="AG8850" s="25" t="n"/>
      <c r="AH8850" s="25" t="n"/>
      <c r="AI8850" s="394" t="n"/>
      <c r="AM8850" s="48" t="n"/>
      <c r="AN8850" s="48" t="n"/>
      <c r="AO8850" s="48" t="n"/>
    </row>
    <row r="8851">
      <c r="M8851" s="25" t="n"/>
      <c r="Q8851" s="25" t="n"/>
      <c r="U8851" s="194" t="n"/>
      <c r="AA8851" s="25" t="n"/>
      <c r="AB8851" s="25" t="n"/>
      <c r="AC8851" s="195" t="n"/>
      <c r="AD8851" s="25" t="n"/>
      <c r="AE8851" s="25" t="n"/>
      <c r="AG8851" s="25" t="n"/>
      <c r="AH8851" s="25" t="n"/>
      <c r="AI8851" s="394" t="n"/>
      <c r="AM8851" s="48" t="n"/>
      <c r="AN8851" s="48" t="n"/>
      <c r="AO8851" s="48" t="n"/>
    </row>
    <row r="8852">
      <c r="M8852" s="25" t="n"/>
      <c r="Q8852" s="25" t="n"/>
      <c r="U8852" s="194" t="n"/>
      <c r="AA8852" s="25" t="n"/>
      <c r="AB8852" s="25" t="n"/>
      <c r="AC8852" s="195" t="n"/>
      <c r="AD8852" s="25" t="n"/>
      <c r="AE8852" s="25" t="n"/>
      <c r="AG8852" s="25" t="n"/>
      <c r="AH8852" s="25" t="n"/>
      <c r="AI8852" s="394" t="n"/>
      <c r="AM8852" s="48" t="n"/>
      <c r="AN8852" s="48" t="n"/>
      <c r="AO8852" s="48" t="n"/>
    </row>
    <row r="8853">
      <c r="M8853" s="25" t="n"/>
      <c r="Q8853" s="25" t="n"/>
      <c r="U8853" s="194" t="n"/>
      <c r="AA8853" s="25" t="n"/>
      <c r="AB8853" s="25" t="n"/>
      <c r="AC8853" s="195" t="n"/>
      <c r="AD8853" s="25" t="n"/>
      <c r="AE8853" s="25" t="n"/>
      <c r="AG8853" s="25" t="n"/>
      <c r="AH8853" s="25" t="n"/>
      <c r="AI8853" s="394" t="n"/>
      <c r="AM8853" s="48" t="n"/>
      <c r="AN8853" s="48" t="n"/>
      <c r="AO8853" s="48" t="n"/>
    </row>
    <row r="8854">
      <c r="M8854" s="25" t="n"/>
      <c r="Q8854" s="25" t="n"/>
      <c r="U8854" s="194" t="n"/>
      <c r="AA8854" s="25" t="n"/>
      <c r="AB8854" s="25" t="n"/>
      <c r="AC8854" s="195" t="n"/>
      <c r="AD8854" s="25" t="n"/>
      <c r="AE8854" s="25" t="n"/>
      <c r="AG8854" s="25" t="n"/>
      <c r="AH8854" s="25" t="n"/>
      <c r="AI8854" s="394" t="n"/>
      <c r="AM8854" s="48" t="n"/>
      <c r="AN8854" s="48" t="n"/>
      <c r="AO8854" s="48" t="n"/>
    </row>
    <row r="8855">
      <c r="M8855" s="25" t="n"/>
      <c r="Q8855" s="25" t="n"/>
      <c r="U8855" s="194" t="n"/>
      <c r="AA8855" s="25" t="n"/>
      <c r="AB8855" s="25" t="n"/>
      <c r="AC8855" s="195" t="n"/>
      <c r="AD8855" s="25" t="n"/>
      <c r="AE8855" s="25" t="n"/>
      <c r="AG8855" s="25" t="n"/>
      <c r="AH8855" s="25" t="n"/>
      <c r="AI8855" s="394" t="n"/>
      <c r="AM8855" s="48" t="n"/>
      <c r="AN8855" s="48" t="n"/>
      <c r="AO8855" s="48" t="n"/>
    </row>
    <row r="8856">
      <c r="M8856" s="25" t="n"/>
      <c r="Q8856" s="25" t="n"/>
      <c r="U8856" s="194" t="n"/>
      <c r="AA8856" s="25" t="n"/>
      <c r="AB8856" s="25" t="n"/>
      <c r="AC8856" s="195" t="n"/>
      <c r="AD8856" s="25" t="n"/>
      <c r="AE8856" s="25" t="n"/>
      <c r="AG8856" s="25" t="n"/>
      <c r="AH8856" s="25" t="n"/>
      <c r="AI8856" s="394" t="n"/>
      <c r="AM8856" s="48" t="n"/>
      <c r="AN8856" s="48" t="n"/>
      <c r="AO8856" s="48" t="n"/>
    </row>
    <row r="8857">
      <c r="M8857" s="25" t="n"/>
      <c r="Q8857" s="25" t="n"/>
      <c r="U8857" s="194" t="n"/>
      <c r="AA8857" s="25" t="n"/>
      <c r="AB8857" s="25" t="n"/>
      <c r="AC8857" s="195" t="n"/>
      <c r="AD8857" s="25" t="n"/>
      <c r="AE8857" s="25" t="n"/>
      <c r="AG8857" s="25" t="n"/>
      <c r="AH8857" s="25" t="n"/>
      <c r="AI8857" s="394" t="n"/>
      <c r="AM8857" s="48" t="n"/>
      <c r="AN8857" s="48" t="n"/>
      <c r="AO8857" s="48" t="n"/>
    </row>
    <row r="8858">
      <c r="M8858" s="25" t="n"/>
      <c r="Q8858" s="25" t="n"/>
      <c r="U8858" s="194" t="n"/>
      <c r="AA8858" s="25" t="n"/>
      <c r="AB8858" s="25" t="n"/>
      <c r="AC8858" s="195" t="n"/>
      <c r="AD8858" s="25" t="n"/>
      <c r="AE8858" s="25" t="n"/>
      <c r="AG8858" s="25" t="n"/>
      <c r="AH8858" s="25" t="n"/>
      <c r="AI8858" s="394" t="n"/>
      <c r="AM8858" s="48" t="n"/>
      <c r="AN8858" s="48" t="n"/>
      <c r="AO8858" s="48" t="n"/>
    </row>
    <row r="8859">
      <c r="M8859" s="25" t="n"/>
      <c r="Q8859" s="25" t="n"/>
      <c r="U8859" s="194" t="n"/>
      <c r="AA8859" s="25" t="n"/>
      <c r="AB8859" s="25" t="n"/>
      <c r="AC8859" s="195" t="n"/>
      <c r="AD8859" s="25" t="n"/>
      <c r="AE8859" s="25" t="n"/>
      <c r="AG8859" s="25" t="n"/>
      <c r="AH8859" s="25" t="n"/>
      <c r="AI8859" s="394" t="n"/>
      <c r="AM8859" s="48" t="n"/>
      <c r="AN8859" s="48" t="n"/>
      <c r="AO8859" s="48" t="n"/>
    </row>
    <row r="8860">
      <c r="M8860" s="25" t="n"/>
      <c r="Q8860" s="25" t="n"/>
      <c r="U8860" s="194" t="n"/>
      <c r="AA8860" s="25" t="n"/>
      <c r="AB8860" s="25" t="n"/>
      <c r="AC8860" s="195" t="n"/>
      <c r="AD8860" s="25" t="n"/>
      <c r="AE8860" s="25" t="n"/>
      <c r="AG8860" s="25" t="n"/>
      <c r="AH8860" s="25" t="n"/>
      <c r="AI8860" s="394" t="n"/>
      <c r="AM8860" s="48" t="n"/>
      <c r="AN8860" s="48" t="n"/>
      <c r="AO8860" s="48" t="n"/>
    </row>
    <row r="8861">
      <c r="M8861" s="25" t="n"/>
      <c r="Q8861" s="25" t="n"/>
      <c r="U8861" s="194" t="n"/>
      <c r="AA8861" s="25" t="n"/>
      <c r="AB8861" s="25" t="n"/>
      <c r="AC8861" s="195" t="n"/>
      <c r="AD8861" s="25" t="n"/>
      <c r="AE8861" s="25" t="n"/>
      <c r="AG8861" s="25" t="n"/>
      <c r="AH8861" s="25" t="n"/>
      <c r="AI8861" s="394" t="n"/>
      <c r="AM8861" s="48" t="n"/>
      <c r="AN8861" s="48" t="n"/>
      <c r="AO8861" s="48" t="n"/>
    </row>
    <row r="8862">
      <c r="M8862" s="25" t="n"/>
      <c r="Q8862" s="25" t="n"/>
      <c r="U8862" s="194" t="n"/>
      <c r="AA8862" s="25" t="n"/>
      <c r="AB8862" s="25" t="n"/>
      <c r="AC8862" s="195" t="n"/>
      <c r="AD8862" s="25" t="n"/>
      <c r="AE8862" s="25" t="n"/>
      <c r="AG8862" s="25" t="n"/>
      <c r="AH8862" s="25" t="n"/>
      <c r="AI8862" s="394" t="n"/>
      <c r="AM8862" s="48" t="n"/>
      <c r="AN8862" s="48" t="n"/>
      <c r="AO8862" s="48" t="n"/>
    </row>
    <row r="8863">
      <c r="M8863" s="25" t="n"/>
      <c r="Q8863" s="25" t="n"/>
      <c r="U8863" s="194" t="n"/>
      <c r="AA8863" s="25" t="n"/>
      <c r="AB8863" s="25" t="n"/>
      <c r="AC8863" s="195" t="n"/>
      <c r="AD8863" s="25" t="n"/>
      <c r="AE8863" s="25" t="n"/>
      <c r="AG8863" s="25" t="n"/>
      <c r="AH8863" s="25" t="n"/>
      <c r="AI8863" s="394" t="n"/>
      <c r="AM8863" s="48" t="n"/>
      <c r="AN8863" s="48" t="n"/>
      <c r="AO8863" s="48" t="n"/>
    </row>
    <row r="8864">
      <c r="M8864" s="25" t="n"/>
      <c r="Q8864" s="25" t="n"/>
      <c r="U8864" s="194" t="n"/>
      <c r="AA8864" s="25" t="n"/>
      <c r="AB8864" s="25" t="n"/>
      <c r="AC8864" s="195" t="n"/>
      <c r="AD8864" s="25" t="n"/>
      <c r="AE8864" s="25" t="n"/>
      <c r="AG8864" s="25" t="n"/>
      <c r="AH8864" s="25" t="n"/>
      <c r="AI8864" s="394" t="n"/>
      <c r="AM8864" s="48" t="n"/>
      <c r="AN8864" s="48" t="n"/>
      <c r="AO8864" s="48" t="n"/>
    </row>
    <row r="8865">
      <c r="M8865" s="25" t="n"/>
      <c r="Q8865" s="25" t="n"/>
      <c r="U8865" s="194" t="n"/>
      <c r="AA8865" s="25" t="n"/>
      <c r="AB8865" s="25" t="n"/>
      <c r="AC8865" s="195" t="n"/>
      <c r="AD8865" s="25" t="n"/>
      <c r="AE8865" s="25" t="n"/>
      <c r="AG8865" s="25" t="n"/>
      <c r="AH8865" s="25" t="n"/>
      <c r="AI8865" s="394" t="n"/>
      <c r="AM8865" s="48" t="n"/>
      <c r="AN8865" s="48" t="n"/>
      <c r="AO8865" s="48" t="n"/>
    </row>
    <row r="8866">
      <c r="M8866" s="25" t="n"/>
      <c r="Q8866" s="25" t="n"/>
      <c r="U8866" s="194" t="n"/>
      <c r="AA8866" s="25" t="n"/>
      <c r="AB8866" s="25" t="n"/>
      <c r="AC8866" s="195" t="n"/>
      <c r="AD8866" s="25" t="n"/>
      <c r="AE8866" s="25" t="n"/>
      <c r="AG8866" s="25" t="n"/>
      <c r="AH8866" s="25" t="n"/>
      <c r="AI8866" s="394" t="n"/>
      <c r="AM8866" s="48" t="n"/>
      <c r="AN8866" s="48" t="n"/>
      <c r="AO8866" s="48" t="n"/>
    </row>
    <row r="8867">
      <c r="M8867" s="25" t="n"/>
      <c r="Q8867" s="25" t="n"/>
      <c r="U8867" s="194" t="n"/>
      <c r="AA8867" s="25" t="n"/>
      <c r="AB8867" s="25" t="n"/>
      <c r="AC8867" s="195" t="n"/>
      <c r="AD8867" s="25" t="n"/>
      <c r="AE8867" s="25" t="n"/>
      <c r="AG8867" s="25" t="n"/>
      <c r="AH8867" s="25" t="n"/>
      <c r="AI8867" s="394" t="n"/>
      <c r="AM8867" s="48" t="n"/>
      <c r="AN8867" s="48" t="n"/>
      <c r="AO8867" s="48" t="n"/>
    </row>
    <row r="8868">
      <c r="M8868" s="25" t="n"/>
      <c r="Q8868" s="25" t="n"/>
      <c r="U8868" s="194" t="n"/>
      <c r="AA8868" s="25" t="n"/>
      <c r="AB8868" s="25" t="n"/>
      <c r="AC8868" s="195" t="n"/>
      <c r="AD8868" s="25" t="n"/>
      <c r="AE8868" s="25" t="n"/>
      <c r="AG8868" s="25" t="n"/>
      <c r="AH8868" s="25" t="n"/>
      <c r="AI8868" s="394" t="n"/>
      <c r="AM8868" s="48" t="n"/>
      <c r="AN8868" s="48" t="n"/>
      <c r="AO8868" s="48" t="n"/>
    </row>
    <row r="8869">
      <c r="M8869" s="25" t="n"/>
      <c r="Q8869" s="25" t="n"/>
      <c r="U8869" s="194" t="n"/>
      <c r="AA8869" s="25" t="n"/>
      <c r="AB8869" s="25" t="n"/>
      <c r="AC8869" s="195" t="n"/>
      <c r="AD8869" s="25" t="n"/>
      <c r="AE8869" s="25" t="n"/>
      <c r="AG8869" s="25" t="n"/>
      <c r="AH8869" s="25" t="n"/>
      <c r="AI8869" s="394" t="n"/>
      <c r="AM8869" s="48" t="n"/>
      <c r="AN8869" s="48" t="n"/>
      <c r="AO8869" s="48" t="n"/>
    </row>
    <row r="8870">
      <c r="M8870" s="25" t="n"/>
      <c r="Q8870" s="25" t="n"/>
      <c r="U8870" s="194" t="n"/>
      <c r="AA8870" s="25" t="n"/>
      <c r="AB8870" s="25" t="n"/>
      <c r="AC8870" s="195" t="n"/>
      <c r="AD8870" s="25" t="n"/>
      <c r="AE8870" s="25" t="n"/>
      <c r="AG8870" s="25" t="n"/>
      <c r="AH8870" s="25" t="n"/>
      <c r="AI8870" s="394" t="n"/>
      <c r="AM8870" s="48" t="n"/>
      <c r="AN8870" s="48" t="n"/>
      <c r="AO8870" s="48" t="n"/>
    </row>
    <row r="8871">
      <c r="M8871" s="25" t="n"/>
      <c r="Q8871" s="25" t="n"/>
      <c r="U8871" s="194" t="n"/>
      <c r="AA8871" s="25" t="n"/>
      <c r="AB8871" s="25" t="n"/>
      <c r="AC8871" s="195" t="n"/>
      <c r="AD8871" s="25" t="n"/>
      <c r="AE8871" s="25" t="n"/>
      <c r="AG8871" s="25" t="n"/>
      <c r="AH8871" s="25" t="n"/>
      <c r="AI8871" s="394" t="n"/>
      <c r="AM8871" s="48" t="n"/>
      <c r="AN8871" s="48" t="n"/>
      <c r="AO8871" s="48" t="n"/>
    </row>
    <row r="8872">
      <c r="M8872" s="25" t="n"/>
      <c r="Q8872" s="25" t="n"/>
      <c r="U8872" s="194" t="n"/>
      <c r="AA8872" s="25" t="n"/>
      <c r="AB8872" s="25" t="n"/>
      <c r="AC8872" s="195" t="n"/>
      <c r="AD8872" s="25" t="n"/>
      <c r="AE8872" s="25" t="n"/>
      <c r="AG8872" s="25" t="n"/>
      <c r="AH8872" s="25" t="n"/>
      <c r="AI8872" s="394" t="n"/>
      <c r="AM8872" s="48" t="n"/>
      <c r="AN8872" s="48" t="n"/>
      <c r="AO8872" s="48" t="n"/>
    </row>
    <row r="8873">
      <c r="M8873" s="25" t="n"/>
      <c r="Q8873" s="25" t="n"/>
      <c r="U8873" s="194" t="n"/>
      <c r="AA8873" s="25" t="n"/>
      <c r="AB8873" s="25" t="n"/>
      <c r="AC8873" s="195" t="n"/>
      <c r="AD8873" s="25" t="n"/>
      <c r="AE8873" s="25" t="n"/>
      <c r="AG8873" s="25" t="n"/>
      <c r="AH8873" s="25" t="n"/>
      <c r="AI8873" s="394" t="n"/>
      <c r="AM8873" s="48" t="n"/>
      <c r="AN8873" s="48" t="n"/>
      <c r="AO8873" s="48" t="n"/>
    </row>
    <row r="8874">
      <c r="M8874" s="25" t="n"/>
      <c r="Q8874" s="25" t="n"/>
      <c r="U8874" s="194" t="n"/>
      <c r="AA8874" s="25" t="n"/>
      <c r="AB8874" s="25" t="n"/>
      <c r="AC8874" s="195" t="n"/>
      <c r="AD8874" s="25" t="n"/>
      <c r="AE8874" s="25" t="n"/>
      <c r="AG8874" s="25" t="n"/>
      <c r="AH8874" s="25" t="n"/>
      <c r="AI8874" s="394" t="n"/>
      <c r="AM8874" s="48" t="n"/>
      <c r="AN8874" s="48" t="n"/>
      <c r="AO8874" s="48" t="n"/>
    </row>
    <row r="8875">
      <c r="M8875" s="25" t="n"/>
      <c r="Q8875" s="25" t="n"/>
      <c r="U8875" s="194" t="n"/>
      <c r="AA8875" s="25" t="n"/>
      <c r="AB8875" s="25" t="n"/>
      <c r="AC8875" s="195" t="n"/>
      <c r="AD8875" s="25" t="n"/>
      <c r="AE8875" s="25" t="n"/>
      <c r="AG8875" s="25" t="n"/>
      <c r="AH8875" s="25" t="n"/>
      <c r="AI8875" s="394" t="n"/>
      <c r="AM8875" s="48" t="n"/>
      <c r="AN8875" s="48" t="n"/>
      <c r="AO8875" s="48" t="n"/>
    </row>
    <row r="8876">
      <c r="M8876" s="25" t="n"/>
      <c r="Q8876" s="25" t="n"/>
      <c r="U8876" s="194" t="n"/>
      <c r="AA8876" s="25" t="n"/>
      <c r="AB8876" s="25" t="n"/>
      <c r="AC8876" s="195" t="n"/>
      <c r="AD8876" s="25" t="n"/>
      <c r="AE8876" s="25" t="n"/>
      <c r="AG8876" s="25" t="n"/>
      <c r="AH8876" s="25" t="n"/>
      <c r="AI8876" s="394" t="n"/>
      <c r="AM8876" s="48" t="n"/>
      <c r="AN8876" s="48" t="n"/>
      <c r="AO8876" s="48" t="n"/>
    </row>
    <row r="8877">
      <c r="M8877" s="25" t="n"/>
      <c r="Q8877" s="25" t="n"/>
      <c r="U8877" s="194" t="n"/>
      <c r="AA8877" s="25" t="n"/>
      <c r="AB8877" s="25" t="n"/>
      <c r="AC8877" s="195" t="n"/>
      <c r="AD8877" s="25" t="n"/>
      <c r="AE8877" s="25" t="n"/>
      <c r="AG8877" s="25" t="n"/>
      <c r="AH8877" s="25" t="n"/>
      <c r="AI8877" s="394" t="n"/>
      <c r="AM8877" s="48" t="n"/>
      <c r="AN8877" s="48" t="n"/>
      <c r="AO8877" s="48" t="n"/>
    </row>
    <row r="8878">
      <c r="M8878" s="25" t="n"/>
      <c r="Q8878" s="25" t="n"/>
      <c r="U8878" s="194" t="n"/>
      <c r="AA8878" s="25" t="n"/>
      <c r="AB8878" s="25" t="n"/>
      <c r="AC8878" s="195" t="n"/>
      <c r="AD8878" s="25" t="n"/>
      <c r="AE8878" s="25" t="n"/>
      <c r="AG8878" s="25" t="n"/>
      <c r="AH8878" s="25" t="n"/>
      <c r="AI8878" s="394" t="n"/>
      <c r="AM8878" s="48" t="n"/>
      <c r="AN8878" s="48" t="n"/>
      <c r="AO8878" s="48" t="n"/>
    </row>
    <row r="8879">
      <c r="M8879" s="25" t="n"/>
      <c r="Q8879" s="25" t="n"/>
      <c r="U8879" s="194" t="n"/>
      <c r="AA8879" s="25" t="n"/>
      <c r="AB8879" s="25" t="n"/>
      <c r="AC8879" s="195" t="n"/>
      <c r="AD8879" s="25" t="n"/>
      <c r="AE8879" s="25" t="n"/>
      <c r="AG8879" s="25" t="n"/>
      <c r="AH8879" s="25" t="n"/>
      <c r="AI8879" s="394" t="n"/>
      <c r="AM8879" s="48" t="n"/>
      <c r="AN8879" s="48" t="n"/>
      <c r="AO8879" s="48" t="n"/>
    </row>
    <row r="8880">
      <c r="M8880" s="25" t="n"/>
      <c r="Q8880" s="25" t="n"/>
      <c r="U8880" s="194" t="n"/>
      <c r="AA8880" s="25" t="n"/>
      <c r="AB8880" s="25" t="n"/>
      <c r="AC8880" s="195" t="n"/>
      <c r="AD8880" s="25" t="n"/>
      <c r="AE8880" s="25" t="n"/>
      <c r="AG8880" s="25" t="n"/>
      <c r="AH8880" s="25" t="n"/>
      <c r="AI8880" s="394" t="n"/>
      <c r="AM8880" s="48" t="n"/>
      <c r="AN8880" s="48" t="n"/>
      <c r="AO8880" s="48" t="n"/>
    </row>
    <row r="8881">
      <c r="M8881" s="25" t="n"/>
      <c r="Q8881" s="25" t="n"/>
      <c r="U8881" s="194" t="n"/>
      <c r="AA8881" s="25" t="n"/>
      <c r="AB8881" s="25" t="n"/>
      <c r="AC8881" s="195" t="n"/>
      <c r="AD8881" s="25" t="n"/>
      <c r="AE8881" s="25" t="n"/>
      <c r="AG8881" s="25" t="n"/>
      <c r="AH8881" s="25" t="n"/>
      <c r="AI8881" s="394" t="n"/>
      <c r="AM8881" s="48" t="n"/>
      <c r="AN8881" s="48" t="n"/>
      <c r="AO8881" s="48" t="n"/>
    </row>
    <row r="8882">
      <c r="M8882" s="25" t="n"/>
      <c r="Q8882" s="25" t="n"/>
      <c r="U8882" s="194" t="n"/>
      <c r="AA8882" s="25" t="n"/>
      <c r="AB8882" s="25" t="n"/>
      <c r="AC8882" s="195" t="n"/>
      <c r="AD8882" s="25" t="n"/>
      <c r="AE8882" s="25" t="n"/>
      <c r="AG8882" s="25" t="n"/>
      <c r="AH8882" s="25" t="n"/>
      <c r="AI8882" s="394" t="n"/>
      <c r="AM8882" s="48" t="n"/>
      <c r="AN8882" s="48" t="n"/>
      <c r="AO8882" s="48" t="n"/>
    </row>
    <row r="8883">
      <c r="M8883" s="25" t="n"/>
      <c r="Q8883" s="25" t="n"/>
      <c r="U8883" s="194" t="n"/>
      <c r="AA8883" s="25" t="n"/>
      <c r="AB8883" s="25" t="n"/>
      <c r="AC8883" s="195" t="n"/>
      <c r="AD8883" s="25" t="n"/>
      <c r="AE8883" s="25" t="n"/>
      <c r="AG8883" s="25" t="n"/>
      <c r="AH8883" s="25" t="n"/>
      <c r="AI8883" s="394" t="n"/>
      <c r="AM8883" s="48" t="n"/>
      <c r="AN8883" s="48" t="n"/>
      <c r="AO8883" s="48" t="n"/>
    </row>
    <row r="8884">
      <c r="M8884" s="25" t="n"/>
      <c r="Q8884" s="25" t="n"/>
      <c r="U8884" s="194" t="n"/>
      <c r="AA8884" s="25" t="n"/>
      <c r="AB8884" s="25" t="n"/>
      <c r="AC8884" s="195" t="n"/>
      <c r="AD8884" s="25" t="n"/>
      <c r="AE8884" s="25" t="n"/>
      <c r="AG8884" s="25" t="n"/>
      <c r="AH8884" s="25" t="n"/>
      <c r="AI8884" s="394" t="n"/>
      <c r="AM8884" s="48" t="n"/>
      <c r="AN8884" s="48" t="n"/>
      <c r="AO8884" s="48" t="n"/>
    </row>
    <row r="8885">
      <c r="M8885" s="25" t="n"/>
      <c r="Q8885" s="25" t="n"/>
      <c r="U8885" s="194" t="n"/>
      <c r="AA8885" s="25" t="n"/>
      <c r="AB8885" s="25" t="n"/>
      <c r="AC8885" s="195" t="n"/>
      <c r="AD8885" s="25" t="n"/>
      <c r="AE8885" s="25" t="n"/>
      <c r="AG8885" s="25" t="n"/>
      <c r="AH8885" s="25" t="n"/>
      <c r="AI8885" s="394" t="n"/>
      <c r="AM8885" s="48" t="n"/>
      <c r="AN8885" s="48" t="n"/>
      <c r="AO8885" s="48" t="n"/>
    </row>
    <row r="8886">
      <c r="M8886" s="25" t="n"/>
      <c r="Q8886" s="25" t="n"/>
      <c r="U8886" s="194" t="n"/>
      <c r="AA8886" s="25" t="n"/>
      <c r="AB8886" s="25" t="n"/>
      <c r="AC8886" s="195" t="n"/>
      <c r="AD8886" s="25" t="n"/>
      <c r="AE8886" s="25" t="n"/>
      <c r="AG8886" s="25" t="n"/>
      <c r="AH8886" s="25" t="n"/>
      <c r="AI8886" s="394" t="n"/>
      <c r="AM8886" s="48" t="n"/>
      <c r="AN8886" s="48" t="n"/>
      <c r="AO8886" s="48" t="n"/>
    </row>
    <row r="8887">
      <c r="M8887" s="25" t="n"/>
      <c r="Q8887" s="25" t="n"/>
      <c r="U8887" s="194" t="n"/>
      <c r="AA8887" s="25" t="n"/>
      <c r="AB8887" s="25" t="n"/>
      <c r="AC8887" s="195" t="n"/>
      <c r="AD8887" s="25" t="n"/>
      <c r="AE8887" s="25" t="n"/>
      <c r="AG8887" s="25" t="n"/>
      <c r="AH8887" s="25" t="n"/>
      <c r="AI8887" s="394" t="n"/>
      <c r="AM8887" s="48" t="n"/>
      <c r="AN8887" s="48" t="n"/>
      <c r="AO8887" s="48" t="n"/>
    </row>
    <row r="8888">
      <c r="M8888" s="25" t="n"/>
      <c r="Q8888" s="25" t="n"/>
      <c r="U8888" s="194" t="n"/>
      <c r="AA8888" s="25" t="n"/>
      <c r="AB8888" s="25" t="n"/>
      <c r="AC8888" s="195" t="n"/>
      <c r="AD8888" s="25" t="n"/>
      <c r="AE8888" s="25" t="n"/>
      <c r="AG8888" s="25" t="n"/>
      <c r="AH8888" s="25" t="n"/>
      <c r="AI8888" s="394" t="n"/>
      <c r="AM8888" s="48" t="n"/>
      <c r="AN8888" s="48" t="n"/>
      <c r="AO8888" s="48" t="n"/>
    </row>
    <row r="8889">
      <c r="M8889" s="25" t="n"/>
      <c r="Q8889" s="25" t="n"/>
      <c r="U8889" s="194" t="n"/>
      <c r="AA8889" s="25" t="n"/>
      <c r="AB8889" s="25" t="n"/>
      <c r="AC8889" s="195" t="n"/>
      <c r="AD8889" s="25" t="n"/>
      <c r="AE8889" s="25" t="n"/>
      <c r="AG8889" s="25" t="n"/>
      <c r="AH8889" s="25" t="n"/>
      <c r="AI8889" s="394" t="n"/>
      <c r="AM8889" s="48" t="n"/>
      <c r="AN8889" s="48" t="n"/>
      <c r="AO8889" s="48" t="n"/>
    </row>
    <row r="8890">
      <c r="M8890" s="25" t="n"/>
      <c r="Q8890" s="25" t="n"/>
      <c r="U8890" s="194" t="n"/>
      <c r="AA8890" s="25" t="n"/>
      <c r="AB8890" s="25" t="n"/>
      <c r="AC8890" s="195" t="n"/>
      <c r="AD8890" s="25" t="n"/>
      <c r="AE8890" s="25" t="n"/>
      <c r="AG8890" s="25" t="n"/>
      <c r="AH8890" s="25" t="n"/>
      <c r="AI8890" s="394" t="n"/>
      <c r="AM8890" s="48" t="n"/>
      <c r="AN8890" s="48" t="n"/>
      <c r="AO8890" s="48" t="n"/>
    </row>
    <row r="8891">
      <c r="M8891" s="25" t="n"/>
      <c r="Q8891" s="25" t="n"/>
      <c r="U8891" s="194" t="n"/>
      <c r="AA8891" s="25" t="n"/>
      <c r="AB8891" s="25" t="n"/>
      <c r="AC8891" s="195" t="n"/>
      <c r="AD8891" s="25" t="n"/>
      <c r="AE8891" s="25" t="n"/>
      <c r="AG8891" s="25" t="n"/>
      <c r="AH8891" s="25" t="n"/>
      <c r="AI8891" s="394" t="n"/>
      <c r="AM8891" s="48" t="n"/>
      <c r="AN8891" s="48" t="n"/>
      <c r="AO8891" s="48" t="n"/>
    </row>
    <row r="8892">
      <c r="M8892" s="25" t="n"/>
      <c r="Q8892" s="25" t="n"/>
      <c r="U8892" s="194" t="n"/>
      <c r="AA8892" s="25" t="n"/>
      <c r="AB8892" s="25" t="n"/>
      <c r="AC8892" s="195" t="n"/>
      <c r="AD8892" s="25" t="n"/>
      <c r="AE8892" s="25" t="n"/>
      <c r="AG8892" s="25" t="n"/>
      <c r="AH8892" s="25" t="n"/>
      <c r="AI8892" s="394" t="n"/>
      <c r="AM8892" s="48" t="n"/>
      <c r="AN8892" s="48" t="n"/>
      <c r="AO8892" s="48" t="n"/>
    </row>
    <row r="8893">
      <c r="M8893" s="25" t="n"/>
      <c r="Q8893" s="25" t="n"/>
      <c r="U8893" s="194" t="n"/>
      <c r="AA8893" s="25" t="n"/>
      <c r="AB8893" s="25" t="n"/>
      <c r="AC8893" s="195" t="n"/>
      <c r="AD8893" s="25" t="n"/>
      <c r="AE8893" s="25" t="n"/>
      <c r="AG8893" s="25" t="n"/>
      <c r="AH8893" s="25" t="n"/>
      <c r="AI8893" s="394" t="n"/>
      <c r="AM8893" s="48" t="n"/>
      <c r="AN8893" s="48" t="n"/>
      <c r="AO8893" s="48" t="n"/>
    </row>
    <row r="8894">
      <c r="M8894" s="25" t="n"/>
      <c r="Q8894" s="25" t="n"/>
      <c r="U8894" s="194" t="n"/>
      <c r="AA8894" s="25" t="n"/>
      <c r="AB8894" s="25" t="n"/>
      <c r="AC8894" s="195" t="n"/>
      <c r="AD8894" s="25" t="n"/>
      <c r="AE8894" s="25" t="n"/>
      <c r="AG8894" s="25" t="n"/>
      <c r="AH8894" s="25" t="n"/>
      <c r="AI8894" s="394" t="n"/>
      <c r="AM8894" s="48" t="n"/>
      <c r="AN8894" s="48" t="n"/>
      <c r="AO8894" s="48" t="n"/>
    </row>
    <row r="8895">
      <c r="M8895" s="25" t="n"/>
      <c r="Q8895" s="25" t="n"/>
      <c r="U8895" s="194" t="n"/>
      <c r="AA8895" s="25" t="n"/>
      <c r="AB8895" s="25" t="n"/>
      <c r="AC8895" s="195" t="n"/>
      <c r="AD8895" s="25" t="n"/>
      <c r="AE8895" s="25" t="n"/>
      <c r="AG8895" s="25" t="n"/>
      <c r="AH8895" s="25" t="n"/>
      <c r="AI8895" s="394" t="n"/>
      <c r="AM8895" s="48" t="n"/>
      <c r="AN8895" s="48" t="n"/>
      <c r="AO8895" s="48" t="n"/>
    </row>
    <row r="8896">
      <c r="M8896" s="25" t="n"/>
      <c r="Q8896" s="25" t="n"/>
      <c r="U8896" s="194" t="n"/>
      <c r="AA8896" s="25" t="n"/>
      <c r="AB8896" s="25" t="n"/>
      <c r="AC8896" s="195" t="n"/>
      <c r="AD8896" s="25" t="n"/>
      <c r="AE8896" s="25" t="n"/>
      <c r="AG8896" s="25" t="n"/>
      <c r="AH8896" s="25" t="n"/>
      <c r="AI8896" s="394" t="n"/>
      <c r="AM8896" s="48" t="n"/>
      <c r="AN8896" s="48" t="n"/>
      <c r="AO8896" s="48" t="n"/>
    </row>
    <row r="8897">
      <c r="M8897" s="25" t="n"/>
      <c r="Q8897" s="25" t="n"/>
      <c r="U8897" s="194" t="n"/>
      <c r="AA8897" s="25" t="n"/>
      <c r="AB8897" s="25" t="n"/>
      <c r="AC8897" s="195" t="n"/>
      <c r="AD8897" s="25" t="n"/>
      <c r="AE8897" s="25" t="n"/>
      <c r="AG8897" s="25" t="n"/>
      <c r="AH8897" s="25" t="n"/>
      <c r="AI8897" s="394" t="n"/>
      <c r="AM8897" s="48" t="n"/>
      <c r="AN8897" s="48" t="n"/>
      <c r="AO8897" s="48" t="n"/>
    </row>
    <row r="8898">
      <c r="M8898" s="25" t="n"/>
      <c r="Q8898" s="25" t="n"/>
      <c r="U8898" s="194" t="n"/>
      <c r="AA8898" s="25" t="n"/>
      <c r="AB8898" s="25" t="n"/>
      <c r="AC8898" s="195" t="n"/>
      <c r="AD8898" s="25" t="n"/>
      <c r="AE8898" s="25" t="n"/>
      <c r="AG8898" s="25" t="n"/>
      <c r="AH8898" s="25" t="n"/>
      <c r="AI8898" s="394" t="n"/>
      <c r="AM8898" s="48" t="n"/>
      <c r="AN8898" s="48" t="n"/>
      <c r="AO8898" s="48" t="n"/>
    </row>
    <row r="8899">
      <c r="M8899" s="25" t="n"/>
      <c r="Q8899" s="25" t="n"/>
      <c r="U8899" s="194" t="n"/>
      <c r="AA8899" s="25" t="n"/>
      <c r="AB8899" s="25" t="n"/>
      <c r="AC8899" s="195" t="n"/>
      <c r="AD8899" s="25" t="n"/>
      <c r="AE8899" s="25" t="n"/>
      <c r="AG8899" s="25" t="n"/>
      <c r="AH8899" s="25" t="n"/>
      <c r="AI8899" s="394" t="n"/>
      <c r="AM8899" s="48" t="n"/>
      <c r="AN8899" s="48" t="n"/>
      <c r="AO8899" s="48" t="n"/>
    </row>
    <row r="8900">
      <c r="M8900" s="25" t="n"/>
      <c r="Q8900" s="25" t="n"/>
      <c r="U8900" s="194" t="n"/>
      <c r="AA8900" s="25" t="n"/>
      <c r="AB8900" s="25" t="n"/>
      <c r="AC8900" s="195" t="n"/>
      <c r="AD8900" s="25" t="n"/>
      <c r="AE8900" s="25" t="n"/>
      <c r="AG8900" s="25" t="n"/>
      <c r="AH8900" s="25" t="n"/>
      <c r="AI8900" s="394" t="n"/>
      <c r="AM8900" s="48" t="n"/>
      <c r="AN8900" s="48" t="n"/>
      <c r="AO8900" s="48" t="n"/>
    </row>
    <row r="8901">
      <c r="M8901" s="25" t="n"/>
      <c r="Q8901" s="25" t="n"/>
      <c r="U8901" s="194" t="n"/>
      <c r="AA8901" s="25" t="n"/>
      <c r="AB8901" s="25" t="n"/>
      <c r="AC8901" s="195" t="n"/>
      <c r="AD8901" s="25" t="n"/>
      <c r="AE8901" s="25" t="n"/>
      <c r="AG8901" s="25" t="n"/>
      <c r="AH8901" s="25" t="n"/>
      <c r="AI8901" s="394" t="n"/>
      <c r="AM8901" s="48" t="n"/>
      <c r="AN8901" s="48" t="n"/>
      <c r="AO8901" s="48" t="n"/>
    </row>
    <row r="8902">
      <c r="M8902" s="25" t="n"/>
      <c r="Q8902" s="25" t="n"/>
      <c r="U8902" s="194" t="n"/>
      <c r="AA8902" s="25" t="n"/>
      <c r="AB8902" s="25" t="n"/>
      <c r="AC8902" s="195" t="n"/>
      <c r="AD8902" s="25" t="n"/>
      <c r="AE8902" s="25" t="n"/>
      <c r="AG8902" s="25" t="n"/>
      <c r="AH8902" s="25" t="n"/>
      <c r="AI8902" s="394" t="n"/>
      <c r="AM8902" s="48" t="n"/>
      <c r="AN8902" s="48" t="n"/>
      <c r="AO8902" s="48" t="n"/>
    </row>
    <row r="8903">
      <c r="M8903" s="25" t="n"/>
      <c r="Q8903" s="25" t="n"/>
      <c r="U8903" s="194" t="n"/>
      <c r="AA8903" s="25" t="n"/>
      <c r="AB8903" s="25" t="n"/>
      <c r="AC8903" s="195" t="n"/>
      <c r="AD8903" s="25" t="n"/>
      <c r="AE8903" s="25" t="n"/>
      <c r="AG8903" s="25" t="n"/>
      <c r="AH8903" s="25" t="n"/>
      <c r="AI8903" s="394" t="n"/>
      <c r="AM8903" s="48" t="n"/>
      <c r="AN8903" s="48" t="n"/>
      <c r="AO8903" s="48" t="n"/>
    </row>
    <row r="8904">
      <c r="M8904" s="25" t="n"/>
      <c r="Q8904" s="25" t="n"/>
      <c r="U8904" s="194" t="n"/>
      <c r="AA8904" s="25" t="n"/>
      <c r="AB8904" s="25" t="n"/>
      <c r="AC8904" s="195" t="n"/>
      <c r="AD8904" s="25" t="n"/>
      <c r="AE8904" s="25" t="n"/>
      <c r="AG8904" s="25" t="n"/>
      <c r="AH8904" s="25" t="n"/>
      <c r="AI8904" s="394" t="n"/>
      <c r="AM8904" s="48" t="n"/>
      <c r="AN8904" s="48" t="n"/>
      <c r="AO8904" s="48" t="n"/>
    </row>
    <row r="8905">
      <c r="M8905" s="25" t="n"/>
      <c r="Q8905" s="25" t="n"/>
      <c r="U8905" s="194" t="n"/>
      <c r="AA8905" s="25" t="n"/>
      <c r="AB8905" s="25" t="n"/>
      <c r="AC8905" s="195" t="n"/>
      <c r="AD8905" s="25" t="n"/>
      <c r="AE8905" s="25" t="n"/>
      <c r="AG8905" s="25" t="n"/>
      <c r="AH8905" s="25" t="n"/>
      <c r="AI8905" s="394" t="n"/>
      <c r="AM8905" s="48" t="n"/>
      <c r="AN8905" s="48" t="n"/>
      <c r="AO8905" s="48" t="n"/>
    </row>
    <row r="8906">
      <c r="M8906" s="25" t="n"/>
      <c r="Q8906" s="25" t="n"/>
      <c r="U8906" s="194" t="n"/>
      <c r="AA8906" s="25" t="n"/>
      <c r="AB8906" s="25" t="n"/>
      <c r="AC8906" s="195" t="n"/>
      <c r="AD8906" s="25" t="n"/>
      <c r="AE8906" s="25" t="n"/>
      <c r="AG8906" s="25" t="n"/>
      <c r="AH8906" s="25" t="n"/>
      <c r="AI8906" s="394" t="n"/>
      <c r="AM8906" s="48" t="n"/>
      <c r="AN8906" s="48" t="n"/>
      <c r="AO8906" s="48" t="n"/>
    </row>
    <row r="8907">
      <c r="M8907" s="25" t="n"/>
      <c r="Q8907" s="25" t="n"/>
      <c r="U8907" s="194" t="n"/>
      <c r="AA8907" s="25" t="n"/>
      <c r="AB8907" s="25" t="n"/>
      <c r="AC8907" s="195" t="n"/>
      <c r="AD8907" s="25" t="n"/>
      <c r="AE8907" s="25" t="n"/>
      <c r="AG8907" s="25" t="n"/>
      <c r="AH8907" s="25" t="n"/>
      <c r="AI8907" s="394" t="n"/>
      <c r="AM8907" s="48" t="n"/>
      <c r="AN8907" s="48" t="n"/>
      <c r="AO8907" s="48" t="n"/>
    </row>
    <row r="8908">
      <c r="M8908" s="25" t="n"/>
      <c r="Q8908" s="25" t="n"/>
      <c r="U8908" s="194" t="n"/>
      <c r="AA8908" s="25" t="n"/>
      <c r="AB8908" s="25" t="n"/>
      <c r="AC8908" s="195" t="n"/>
      <c r="AD8908" s="25" t="n"/>
      <c r="AE8908" s="25" t="n"/>
      <c r="AG8908" s="25" t="n"/>
      <c r="AH8908" s="25" t="n"/>
      <c r="AI8908" s="394" t="n"/>
      <c r="AM8908" s="48" t="n"/>
      <c r="AN8908" s="48" t="n"/>
      <c r="AO8908" s="48" t="n"/>
    </row>
    <row r="8909">
      <c r="M8909" s="25" t="n"/>
      <c r="Q8909" s="25" t="n"/>
      <c r="U8909" s="194" t="n"/>
      <c r="AA8909" s="25" t="n"/>
      <c r="AB8909" s="25" t="n"/>
      <c r="AC8909" s="195" t="n"/>
      <c r="AD8909" s="25" t="n"/>
      <c r="AE8909" s="25" t="n"/>
      <c r="AG8909" s="25" t="n"/>
      <c r="AH8909" s="25" t="n"/>
      <c r="AI8909" s="394" t="n"/>
      <c r="AM8909" s="48" t="n"/>
      <c r="AN8909" s="48" t="n"/>
      <c r="AO8909" s="48" t="n"/>
    </row>
    <row r="8910">
      <c r="M8910" s="25" t="n"/>
      <c r="Q8910" s="25" t="n"/>
      <c r="U8910" s="194" t="n"/>
      <c r="AA8910" s="25" t="n"/>
      <c r="AB8910" s="25" t="n"/>
      <c r="AC8910" s="195" t="n"/>
      <c r="AD8910" s="25" t="n"/>
      <c r="AE8910" s="25" t="n"/>
      <c r="AG8910" s="25" t="n"/>
      <c r="AH8910" s="25" t="n"/>
      <c r="AI8910" s="394" t="n"/>
      <c r="AM8910" s="48" t="n"/>
      <c r="AN8910" s="48" t="n"/>
      <c r="AO8910" s="48" t="n"/>
    </row>
    <row r="8911">
      <c r="M8911" s="25" t="n"/>
      <c r="Q8911" s="25" t="n"/>
      <c r="U8911" s="194" t="n"/>
      <c r="AA8911" s="25" t="n"/>
      <c r="AB8911" s="25" t="n"/>
      <c r="AC8911" s="195" t="n"/>
      <c r="AD8911" s="25" t="n"/>
      <c r="AE8911" s="25" t="n"/>
      <c r="AG8911" s="25" t="n"/>
      <c r="AH8911" s="25" t="n"/>
      <c r="AI8911" s="394" t="n"/>
      <c r="AM8911" s="48" t="n"/>
      <c r="AN8911" s="48" t="n"/>
      <c r="AO8911" s="48" t="n"/>
    </row>
    <row r="8912">
      <c r="M8912" s="25" t="n"/>
      <c r="Q8912" s="25" t="n"/>
      <c r="U8912" s="194" t="n"/>
      <c r="AA8912" s="25" t="n"/>
      <c r="AB8912" s="25" t="n"/>
      <c r="AC8912" s="195" t="n"/>
      <c r="AD8912" s="25" t="n"/>
      <c r="AE8912" s="25" t="n"/>
      <c r="AG8912" s="25" t="n"/>
      <c r="AH8912" s="25" t="n"/>
      <c r="AI8912" s="394" t="n"/>
      <c r="AM8912" s="48" t="n"/>
      <c r="AN8912" s="48" t="n"/>
      <c r="AO8912" s="48" t="n"/>
    </row>
    <row r="8913">
      <c r="M8913" s="25" t="n"/>
      <c r="Q8913" s="25" t="n"/>
      <c r="U8913" s="194" t="n"/>
      <c r="AA8913" s="25" t="n"/>
      <c r="AB8913" s="25" t="n"/>
      <c r="AC8913" s="195" t="n"/>
      <c r="AD8913" s="25" t="n"/>
      <c r="AE8913" s="25" t="n"/>
      <c r="AG8913" s="25" t="n"/>
      <c r="AH8913" s="25" t="n"/>
      <c r="AI8913" s="394" t="n"/>
      <c r="AM8913" s="48" t="n"/>
      <c r="AN8913" s="48" t="n"/>
      <c r="AO8913" s="48" t="n"/>
    </row>
    <row r="8914">
      <c r="M8914" s="25" t="n"/>
      <c r="Q8914" s="25" t="n"/>
      <c r="U8914" s="194" t="n"/>
      <c r="AA8914" s="25" t="n"/>
      <c r="AB8914" s="25" t="n"/>
      <c r="AC8914" s="195" t="n"/>
      <c r="AD8914" s="25" t="n"/>
      <c r="AE8914" s="25" t="n"/>
      <c r="AG8914" s="25" t="n"/>
      <c r="AH8914" s="25" t="n"/>
      <c r="AI8914" s="394" t="n"/>
      <c r="AM8914" s="48" t="n"/>
      <c r="AN8914" s="48" t="n"/>
      <c r="AO8914" s="48" t="n"/>
    </row>
    <row r="8915">
      <c r="M8915" s="25" t="n"/>
      <c r="Q8915" s="25" t="n"/>
      <c r="U8915" s="194" t="n"/>
      <c r="AA8915" s="25" t="n"/>
      <c r="AB8915" s="25" t="n"/>
      <c r="AC8915" s="195" t="n"/>
      <c r="AD8915" s="25" t="n"/>
      <c r="AE8915" s="25" t="n"/>
      <c r="AG8915" s="25" t="n"/>
      <c r="AH8915" s="25" t="n"/>
      <c r="AI8915" s="394" t="n"/>
      <c r="AM8915" s="48" t="n"/>
      <c r="AN8915" s="48" t="n"/>
      <c r="AO8915" s="48" t="n"/>
    </row>
    <row r="8916">
      <c r="M8916" s="25" t="n"/>
      <c r="Q8916" s="25" t="n"/>
      <c r="U8916" s="194" t="n"/>
      <c r="AA8916" s="25" t="n"/>
      <c r="AB8916" s="25" t="n"/>
      <c r="AC8916" s="195" t="n"/>
      <c r="AD8916" s="25" t="n"/>
      <c r="AE8916" s="25" t="n"/>
      <c r="AG8916" s="25" t="n"/>
      <c r="AH8916" s="25" t="n"/>
      <c r="AI8916" s="394" t="n"/>
      <c r="AM8916" s="48" t="n"/>
      <c r="AN8916" s="48" t="n"/>
      <c r="AO8916" s="48" t="n"/>
    </row>
    <row r="8917">
      <c r="M8917" s="25" t="n"/>
      <c r="Q8917" s="25" t="n"/>
      <c r="U8917" s="194" t="n"/>
      <c r="AA8917" s="25" t="n"/>
      <c r="AB8917" s="25" t="n"/>
      <c r="AC8917" s="195" t="n"/>
      <c r="AD8917" s="25" t="n"/>
      <c r="AE8917" s="25" t="n"/>
      <c r="AG8917" s="25" t="n"/>
      <c r="AH8917" s="25" t="n"/>
      <c r="AI8917" s="394" t="n"/>
      <c r="AM8917" s="48" t="n"/>
      <c r="AN8917" s="48" t="n"/>
      <c r="AO8917" s="48" t="n"/>
    </row>
    <row r="8918">
      <c r="M8918" s="25" t="n"/>
      <c r="Q8918" s="25" t="n"/>
      <c r="U8918" s="194" t="n"/>
      <c r="AA8918" s="25" t="n"/>
      <c r="AB8918" s="25" t="n"/>
      <c r="AC8918" s="195" t="n"/>
      <c r="AD8918" s="25" t="n"/>
      <c r="AE8918" s="25" t="n"/>
      <c r="AG8918" s="25" t="n"/>
      <c r="AH8918" s="25" t="n"/>
      <c r="AI8918" s="394" t="n"/>
      <c r="AM8918" s="48" t="n"/>
      <c r="AN8918" s="48" t="n"/>
      <c r="AO8918" s="48" t="n"/>
    </row>
    <row r="8919">
      <c r="M8919" s="25" t="n"/>
      <c r="Q8919" s="25" t="n"/>
      <c r="U8919" s="194" t="n"/>
      <c r="AA8919" s="25" t="n"/>
      <c r="AB8919" s="25" t="n"/>
      <c r="AC8919" s="195" t="n"/>
      <c r="AD8919" s="25" t="n"/>
      <c r="AE8919" s="25" t="n"/>
      <c r="AG8919" s="25" t="n"/>
      <c r="AH8919" s="25" t="n"/>
      <c r="AI8919" s="394" t="n"/>
      <c r="AM8919" s="48" t="n"/>
      <c r="AN8919" s="48" t="n"/>
      <c r="AO8919" s="48" t="n"/>
    </row>
    <row r="8920">
      <c r="M8920" s="25" t="n"/>
      <c r="Q8920" s="25" t="n"/>
      <c r="U8920" s="194" t="n"/>
      <c r="AA8920" s="25" t="n"/>
      <c r="AB8920" s="25" t="n"/>
      <c r="AC8920" s="195" t="n"/>
      <c r="AD8920" s="25" t="n"/>
      <c r="AE8920" s="25" t="n"/>
      <c r="AG8920" s="25" t="n"/>
      <c r="AH8920" s="25" t="n"/>
      <c r="AI8920" s="394" t="n"/>
      <c r="AM8920" s="48" t="n"/>
      <c r="AN8920" s="48" t="n"/>
      <c r="AO8920" s="48" t="n"/>
    </row>
    <row r="8921">
      <c r="M8921" s="25" t="n"/>
      <c r="Q8921" s="25" t="n"/>
      <c r="U8921" s="194" t="n"/>
      <c r="AA8921" s="25" t="n"/>
      <c r="AB8921" s="25" t="n"/>
      <c r="AC8921" s="195" t="n"/>
      <c r="AD8921" s="25" t="n"/>
      <c r="AE8921" s="25" t="n"/>
      <c r="AG8921" s="25" t="n"/>
      <c r="AH8921" s="25" t="n"/>
      <c r="AI8921" s="394" t="n"/>
      <c r="AM8921" s="48" t="n"/>
      <c r="AN8921" s="48" t="n"/>
      <c r="AO8921" s="48" t="n"/>
    </row>
    <row r="8922">
      <c r="M8922" s="25" t="n"/>
      <c r="Q8922" s="25" t="n"/>
      <c r="U8922" s="194" t="n"/>
      <c r="AA8922" s="25" t="n"/>
      <c r="AB8922" s="25" t="n"/>
      <c r="AC8922" s="195" t="n"/>
      <c r="AD8922" s="25" t="n"/>
      <c r="AE8922" s="25" t="n"/>
      <c r="AG8922" s="25" t="n"/>
      <c r="AH8922" s="25" t="n"/>
      <c r="AI8922" s="394" t="n"/>
      <c r="AM8922" s="48" t="n"/>
      <c r="AN8922" s="48" t="n"/>
      <c r="AO8922" s="48" t="n"/>
    </row>
    <row r="8923">
      <c r="M8923" s="25" t="n"/>
      <c r="Q8923" s="25" t="n"/>
      <c r="U8923" s="194" t="n"/>
      <c r="AA8923" s="25" t="n"/>
      <c r="AB8923" s="25" t="n"/>
      <c r="AC8923" s="195" t="n"/>
      <c r="AD8923" s="25" t="n"/>
      <c r="AE8923" s="25" t="n"/>
      <c r="AG8923" s="25" t="n"/>
      <c r="AH8923" s="25" t="n"/>
      <c r="AI8923" s="394" t="n"/>
      <c r="AM8923" s="48" t="n"/>
      <c r="AN8923" s="48" t="n"/>
      <c r="AO8923" s="48" t="n"/>
    </row>
    <row r="8924">
      <c r="M8924" s="25" t="n"/>
      <c r="Q8924" s="25" t="n"/>
      <c r="U8924" s="194" t="n"/>
      <c r="AA8924" s="25" t="n"/>
      <c r="AB8924" s="25" t="n"/>
      <c r="AC8924" s="195" t="n"/>
      <c r="AD8924" s="25" t="n"/>
      <c r="AE8924" s="25" t="n"/>
      <c r="AG8924" s="25" t="n"/>
      <c r="AH8924" s="25" t="n"/>
      <c r="AI8924" s="394" t="n"/>
      <c r="AM8924" s="48" t="n"/>
      <c r="AN8924" s="48" t="n"/>
      <c r="AO8924" s="48" t="n"/>
    </row>
    <row r="8925">
      <c r="M8925" s="25" t="n"/>
      <c r="Q8925" s="25" t="n"/>
      <c r="U8925" s="194" t="n"/>
      <c r="AA8925" s="25" t="n"/>
      <c r="AB8925" s="25" t="n"/>
      <c r="AC8925" s="195" t="n"/>
      <c r="AD8925" s="25" t="n"/>
      <c r="AE8925" s="25" t="n"/>
      <c r="AG8925" s="25" t="n"/>
      <c r="AH8925" s="25" t="n"/>
      <c r="AI8925" s="394" t="n"/>
      <c r="AM8925" s="48" t="n"/>
      <c r="AN8925" s="48" t="n"/>
      <c r="AO8925" s="48" t="n"/>
    </row>
    <row r="8926">
      <c r="M8926" s="25" t="n"/>
      <c r="Q8926" s="25" t="n"/>
      <c r="U8926" s="194" t="n"/>
      <c r="AA8926" s="25" t="n"/>
      <c r="AB8926" s="25" t="n"/>
      <c r="AC8926" s="195" t="n"/>
      <c r="AD8926" s="25" t="n"/>
      <c r="AE8926" s="25" t="n"/>
      <c r="AG8926" s="25" t="n"/>
      <c r="AH8926" s="25" t="n"/>
      <c r="AI8926" s="394" t="n"/>
      <c r="AM8926" s="48" t="n"/>
      <c r="AN8926" s="48" t="n"/>
      <c r="AO8926" s="48" t="n"/>
    </row>
    <row r="8927">
      <c r="M8927" s="25" t="n"/>
      <c r="Q8927" s="25" t="n"/>
      <c r="U8927" s="194" t="n"/>
      <c r="AA8927" s="25" t="n"/>
      <c r="AB8927" s="25" t="n"/>
      <c r="AC8927" s="195" t="n"/>
      <c r="AD8927" s="25" t="n"/>
      <c r="AE8927" s="25" t="n"/>
      <c r="AG8927" s="25" t="n"/>
      <c r="AH8927" s="25" t="n"/>
      <c r="AI8927" s="394" t="n"/>
      <c r="AM8927" s="48" t="n"/>
      <c r="AN8927" s="48" t="n"/>
      <c r="AO8927" s="48" t="n"/>
    </row>
    <row r="8928">
      <c r="M8928" s="25" t="n"/>
      <c r="Q8928" s="25" t="n"/>
      <c r="U8928" s="194" t="n"/>
      <c r="AA8928" s="25" t="n"/>
      <c r="AB8928" s="25" t="n"/>
      <c r="AC8928" s="195" t="n"/>
      <c r="AD8928" s="25" t="n"/>
      <c r="AE8928" s="25" t="n"/>
      <c r="AG8928" s="25" t="n"/>
      <c r="AH8928" s="25" t="n"/>
      <c r="AI8928" s="394" t="n"/>
      <c r="AM8928" s="48" t="n"/>
      <c r="AN8928" s="48" t="n"/>
      <c r="AO8928" s="48" t="n"/>
    </row>
    <row r="8929">
      <c r="M8929" s="25" t="n"/>
      <c r="Q8929" s="25" t="n"/>
      <c r="U8929" s="194" t="n"/>
      <c r="AA8929" s="25" t="n"/>
      <c r="AB8929" s="25" t="n"/>
      <c r="AC8929" s="195" t="n"/>
      <c r="AD8929" s="25" t="n"/>
      <c r="AE8929" s="25" t="n"/>
      <c r="AG8929" s="25" t="n"/>
      <c r="AH8929" s="25" t="n"/>
      <c r="AI8929" s="394" t="n"/>
      <c r="AM8929" s="48" t="n"/>
      <c r="AN8929" s="48" t="n"/>
      <c r="AO8929" s="48" t="n"/>
    </row>
    <row r="8930">
      <c r="M8930" s="25" t="n"/>
      <c r="Q8930" s="25" t="n"/>
      <c r="U8930" s="194" t="n"/>
      <c r="AA8930" s="25" t="n"/>
      <c r="AB8930" s="25" t="n"/>
      <c r="AC8930" s="195" t="n"/>
      <c r="AD8930" s="25" t="n"/>
      <c r="AE8930" s="25" t="n"/>
      <c r="AG8930" s="25" t="n"/>
      <c r="AH8930" s="25" t="n"/>
      <c r="AI8930" s="394" t="n"/>
      <c r="AM8930" s="48" t="n"/>
      <c r="AN8930" s="48" t="n"/>
      <c r="AO8930" s="48" t="n"/>
    </row>
    <row r="8931">
      <c r="M8931" s="25" t="n"/>
      <c r="Q8931" s="25" t="n"/>
      <c r="U8931" s="194" t="n"/>
      <c r="AA8931" s="25" t="n"/>
      <c r="AB8931" s="25" t="n"/>
      <c r="AC8931" s="195" t="n"/>
      <c r="AD8931" s="25" t="n"/>
      <c r="AE8931" s="25" t="n"/>
      <c r="AG8931" s="25" t="n"/>
      <c r="AH8931" s="25" t="n"/>
      <c r="AI8931" s="394" t="n"/>
      <c r="AM8931" s="48" t="n"/>
      <c r="AN8931" s="48" t="n"/>
      <c r="AO8931" s="48" t="n"/>
    </row>
    <row r="8932">
      <c r="M8932" s="25" t="n"/>
      <c r="Q8932" s="25" t="n"/>
      <c r="U8932" s="194" t="n"/>
      <c r="AA8932" s="25" t="n"/>
      <c r="AB8932" s="25" t="n"/>
      <c r="AC8932" s="195" t="n"/>
      <c r="AD8932" s="25" t="n"/>
      <c r="AE8932" s="25" t="n"/>
      <c r="AG8932" s="25" t="n"/>
      <c r="AH8932" s="25" t="n"/>
      <c r="AI8932" s="394" t="n"/>
      <c r="AM8932" s="48" t="n"/>
      <c r="AN8932" s="48" t="n"/>
      <c r="AO8932" s="48" t="n"/>
    </row>
    <row r="8933">
      <c r="M8933" s="25" t="n"/>
      <c r="Q8933" s="25" t="n"/>
      <c r="U8933" s="194" t="n"/>
      <c r="AA8933" s="25" t="n"/>
      <c r="AB8933" s="25" t="n"/>
      <c r="AC8933" s="195" t="n"/>
      <c r="AD8933" s="25" t="n"/>
      <c r="AE8933" s="25" t="n"/>
      <c r="AG8933" s="25" t="n"/>
      <c r="AH8933" s="25" t="n"/>
      <c r="AI8933" s="394" t="n"/>
      <c r="AM8933" s="48" t="n"/>
      <c r="AN8933" s="48" t="n"/>
      <c r="AO8933" s="48" t="n"/>
    </row>
    <row r="8934">
      <c r="M8934" s="25" t="n"/>
      <c r="Q8934" s="25" t="n"/>
      <c r="U8934" s="194" t="n"/>
      <c r="AA8934" s="25" t="n"/>
      <c r="AB8934" s="25" t="n"/>
      <c r="AC8934" s="195" t="n"/>
      <c r="AD8934" s="25" t="n"/>
      <c r="AE8934" s="25" t="n"/>
      <c r="AG8934" s="25" t="n"/>
      <c r="AH8934" s="25" t="n"/>
      <c r="AI8934" s="394" t="n"/>
      <c r="AM8934" s="48" t="n"/>
      <c r="AN8934" s="48" t="n"/>
      <c r="AO8934" s="48" t="n"/>
    </row>
    <row r="8935">
      <c r="M8935" s="25" t="n"/>
      <c r="Q8935" s="25" t="n"/>
      <c r="U8935" s="194" t="n"/>
      <c r="AA8935" s="25" t="n"/>
      <c r="AB8935" s="25" t="n"/>
      <c r="AC8935" s="195" t="n"/>
      <c r="AD8935" s="25" t="n"/>
      <c r="AE8935" s="25" t="n"/>
      <c r="AG8935" s="25" t="n"/>
      <c r="AH8935" s="25" t="n"/>
      <c r="AI8935" s="394" t="n"/>
      <c r="AM8935" s="48" t="n"/>
      <c r="AN8935" s="48" t="n"/>
      <c r="AO8935" s="48" t="n"/>
    </row>
    <row r="8936">
      <c r="M8936" s="25" t="n"/>
      <c r="Q8936" s="25" t="n"/>
      <c r="U8936" s="194" t="n"/>
      <c r="AA8936" s="25" t="n"/>
      <c r="AB8936" s="25" t="n"/>
      <c r="AC8936" s="195" t="n"/>
      <c r="AD8936" s="25" t="n"/>
      <c r="AE8936" s="25" t="n"/>
      <c r="AG8936" s="25" t="n"/>
      <c r="AH8936" s="25" t="n"/>
      <c r="AI8936" s="394" t="n"/>
      <c r="AM8936" s="48" t="n"/>
      <c r="AN8936" s="48" t="n"/>
      <c r="AO8936" s="48" t="n"/>
    </row>
    <row r="8937">
      <c r="M8937" s="25" t="n"/>
      <c r="Q8937" s="25" t="n"/>
      <c r="U8937" s="194" t="n"/>
      <c r="AA8937" s="25" t="n"/>
      <c r="AB8937" s="25" t="n"/>
      <c r="AC8937" s="195" t="n"/>
      <c r="AD8937" s="25" t="n"/>
      <c r="AE8937" s="25" t="n"/>
      <c r="AG8937" s="25" t="n"/>
      <c r="AH8937" s="25" t="n"/>
      <c r="AI8937" s="394" t="n"/>
      <c r="AM8937" s="48" t="n"/>
      <c r="AN8937" s="48" t="n"/>
      <c r="AO8937" s="48" t="n"/>
    </row>
    <row r="8938">
      <c r="M8938" s="25" t="n"/>
      <c r="Q8938" s="25" t="n"/>
      <c r="U8938" s="194" t="n"/>
      <c r="AA8938" s="25" t="n"/>
      <c r="AB8938" s="25" t="n"/>
      <c r="AC8938" s="195" t="n"/>
      <c r="AD8938" s="25" t="n"/>
      <c r="AE8938" s="25" t="n"/>
      <c r="AG8938" s="25" t="n"/>
      <c r="AH8938" s="25" t="n"/>
      <c r="AI8938" s="394" t="n"/>
      <c r="AM8938" s="48" t="n"/>
      <c r="AN8938" s="48" t="n"/>
      <c r="AO8938" s="48" t="n"/>
    </row>
    <row r="8939">
      <c r="M8939" s="25" t="n"/>
      <c r="Q8939" s="25" t="n"/>
      <c r="U8939" s="194" t="n"/>
      <c r="AA8939" s="25" t="n"/>
      <c r="AB8939" s="25" t="n"/>
      <c r="AC8939" s="195" t="n"/>
      <c r="AD8939" s="25" t="n"/>
      <c r="AE8939" s="25" t="n"/>
      <c r="AG8939" s="25" t="n"/>
      <c r="AH8939" s="25" t="n"/>
      <c r="AI8939" s="394" t="n"/>
      <c r="AM8939" s="48" t="n"/>
      <c r="AN8939" s="48" t="n"/>
      <c r="AO8939" s="48" t="n"/>
    </row>
    <row r="8940">
      <c r="M8940" s="25" t="n"/>
      <c r="Q8940" s="25" t="n"/>
      <c r="U8940" s="194" t="n"/>
      <c r="AA8940" s="25" t="n"/>
      <c r="AB8940" s="25" t="n"/>
      <c r="AC8940" s="195" t="n"/>
      <c r="AD8940" s="25" t="n"/>
      <c r="AE8940" s="25" t="n"/>
      <c r="AG8940" s="25" t="n"/>
      <c r="AH8940" s="25" t="n"/>
      <c r="AI8940" s="394" t="n"/>
      <c r="AM8940" s="48" t="n"/>
      <c r="AN8940" s="48" t="n"/>
      <c r="AO8940" s="48" t="n"/>
    </row>
    <row r="8941">
      <c r="M8941" s="25" t="n"/>
      <c r="Q8941" s="25" t="n"/>
      <c r="U8941" s="194" t="n"/>
      <c r="AA8941" s="25" t="n"/>
      <c r="AB8941" s="25" t="n"/>
      <c r="AC8941" s="195" t="n"/>
      <c r="AD8941" s="25" t="n"/>
      <c r="AE8941" s="25" t="n"/>
      <c r="AG8941" s="25" t="n"/>
      <c r="AH8941" s="25" t="n"/>
      <c r="AI8941" s="394" t="n"/>
      <c r="AM8941" s="48" t="n"/>
      <c r="AN8941" s="48" t="n"/>
      <c r="AO8941" s="48" t="n"/>
    </row>
    <row r="8942">
      <c r="M8942" s="25" t="n"/>
      <c r="Q8942" s="25" t="n"/>
      <c r="U8942" s="194" t="n"/>
      <c r="AA8942" s="25" t="n"/>
      <c r="AB8942" s="25" t="n"/>
      <c r="AC8942" s="195" t="n"/>
      <c r="AD8942" s="25" t="n"/>
      <c r="AE8942" s="25" t="n"/>
      <c r="AG8942" s="25" t="n"/>
      <c r="AH8942" s="25" t="n"/>
      <c r="AI8942" s="394" t="n"/>
      <c r="AM8942" s="48" t="n"/>
      <c r="AN8942" s="48" t="n"/>
      <c r="AO8942" s="48" t="n"/>
    </row>
    <row r="8943">
      <c r="M8943" s="25" t="n"/>
      <c r="Q8943" s="25" t="n"/>
      <c r="U8943" s="194" t="n"/>
      <c r="AA8943" s="25" t="n"/>
      <c r="AB8943" s="25" t="n"/>
      <c r="AC8943" s="195" t="n"/>
      <c r="AD8943" s="25" t="n"/>
      <c r="AE8943" s="25" t="n"/>
      <c r="AG8943" s="25" t="n"/>
      <c r="AH8943" s="25" t="n"/>
      <c r="AI8943" s="394" t="n"/>
      <c r="AM8943" s="48" t="n"/>
      <c r="AN8943" s="48" t="n"/>
      <c r="AO8943" s="48" t="n"/>
    </row>
    <row r="8944">
      <c r="M8944" s="25" t="n"/>
      <c r="Q8944" s="25" t="n"/>
      <c r="U8944" s="194" t="n"/>
      <c r="AA8944" s="25" t="n"/>
      <c r="AB8944" s="25" t="n"/>
      <c r="AC8944" s="195" t="n"/>
      <c r="AD8944" s="25" t="n"/>
      <c r="AE8944" s="25" t="n"/>
      <c r="AG8944" s="25" t="n"/>
      <c r="AH8944" s="25" t="n"/>
      <c r="AI8944" s="394" t="n"/>
      <c r="AM8944" s="48" t="n"/>
      <c r="AN8944" s="48" t="n"/>
      <c r="AO8944" s="48" t="n"/>
    </row>
    <row r="8945">
      <c r="M8945" s="25" t="n"/>
      <c r="Q8945" s="25" t="n"/>
      <c r="U8945" s="194" t="n"/>
      <c r="AA8945" s="25" t="n"/>
      <c r="AB8945" s="25" t="n"/>
      <c r="AC8945" s="195" t="n"/>
      <c r="AD8945" s="25" t="n"/>
      <c r="AE8945" s="25" t="n"/>
      <c r="AG8945" s="25" t="n"/>
      <c r="AH8945" s="25" t="n"/>
      <c r="AI8945" s="394" t="n"/>
      <c r="AM8945" s="48" t="n"/>
      <c r="AN8945" s="48" t="n"/>
      <c r="AO8945" s="48" t="n"/>
    </row>
    <row r="8946">
      <c r="M8946" s="25" t="n"/>
      <c r="Q8946" s="25" t="n"/>
      <c r="U8946" s="194" t="n"/>
      <c r="AA8946" s="25" t="n"/>
      <c r="AB8946" s="25" t="n"/>
      <c r="AC8946" s="195" t="n"/>
      <c r="AD8946" s="25" t="n"/>
      <c r="AE8946" s="25" t="n"/>
      <c r="AG8946" s="25" t="n"/>
      <c r="AH8946" s="25" t="n"/>
      <c r="AI8946" s="394" t="n"/>
      <c r="AM8946" s="48" t="n"/>
      <c r="AN8946" s="48" t="n"/>
      <c r="AO8946" s="48" t="n"/>
    </row>
    <row r="8947">
      <c r="M8947" s="25" t="n"/>
      <c r="Q8947" s="25" t="n"/>
      <c r="U8947" s="194" t="n"/>
      <c r="AA8947" s="25" t="n"/>
      <c r="AB8947" s="25" t="n"/>
      <c r="AC8947" s="195" t="n"/>
      <c r="AD8947" s="25" t="n"/>
      <c r="AE8947" s="25" t="n"/>
      <c r="AG8947" s="25" t="n"/>
      <c r="AH8947" s="25" t="n"/>
      <c r="AI8947" s="394" t="n"/>
      <c r="AM8947" s="48" t="n"/>
      <c r="AN8947" s="48" t="n"/>
      <c r="AO8947" s="48" t="n"/>
    </row>
    <row r="8948">
      <c r="M8948" s="25" t="n"/>
      <c r="Q8948" s="25" t="n"/>
      <c r="U8948" s="194" t="n"/>
      <c r="AA8948" s="25" t="n"/>
      <c r="AB8948" s="25" t="n"/>
      <c r="AC8948" s="195" t="n"/>
      <c r="AD8948" s="25" t="n"/>
      <c r="AE8948" s="25" t="n"/>
      <c r="AG8948" s="25" t="n"/>
      <c r="AH8948" s="25" t="n"/>
      <c r="AI8948" s="394" t="n"/>
      <c r="AM8948" s="48" t="n"/>
      <c r="AN8948" s="48" t="n"/>
      <c r="AO8948" s="48" t="n"/>
    </row>
    <row r="8949">
      <c r="M8949" s="25" t="n"/>
      <c r="Q8949" s="25" t="n"/>
      <c r="U8949" s="194" t="n"/>
      <c r="AA8949" s="25" t="n"/>
      <c r="AB8949" s="25" t="n"/>
      <c r="AC8949" s="195" t="n"/>
      <c r="AD8949" s="25" t="n"/>
      <c r="AE8949" s="25" t="n"/>
      <c r="AG8949" s="25" t="n"/>
      <c r="AH8949" s="25" t="n"/>
      <c r="AI8949" s="394" t="n"/>
      <c r="AM8949" s="48" t="n"/>
      <c r="AN8949" s="48" t="n"/>
      <c r="AO8949" s="48" t="n"/>
    </row>
    <row r="8950">
      <c r="M8950" s="25" t="n"/>
      <c r="Q8950" s="25" t="n"/>
      <c r="U8950" s="194" t="n"/>
      <c r="AA8950" s="25" t="n"/>
      <c r="AB8950" s="25" t="n"/>
      <c r="AC8950" s="195" t="n"/>
      <c r="AD8950" s="25" t="n"/>
      <c r="AE8950" s="25" t="n"/>
      <c r="AG8950" s="25" t="n"/>
      <c r="AH8950" s="25" t="n"/>
      <c r="AI8950" s="394" t="n"/>
      <c r="AM8950" s="48" t="n"/>
      <c r="AN8950" s="48" t="n"/>
      <c r="AO8950" s="48" t="n"/>
    </row>
    <row r="8951">
      <c r="M8951" s="25" t="n"/>
      <c r="Q8951" s="25" t="n"/>
      <c r="U8951" s="194" t="n"/>
      <c r="AA8951" s="25" t="n"/>
      <c r="AB8951" s="25" t="n"/>
      <c r="AC8951" s="195" t="n"/>
      <c r="AD8951" s="25" t="n"/>
      <c r="AE8951" s="25" t="n"/>
      <c r="AG8951" s="25" t="n"/>
      <c r="AH8951" s="25" t="n"/>
      <c r="AI8951" s="394" t="n"/>
      <c r="AM8951" s="48" t="n"/>
      <c r="AN8951" s="48" t="n"/>
      <c r="AO8951" s="48" t="n"/>
    </row>
    <row r="8952">
      <c r="M8952" s="25" t="n"/>
      <c r="Q8952" s="25" t="n"/>
      <c r="U8952" s="194" t="n"/>
      <c r="AA8952" s="25" t="n"/>
      <c r="AB8952" s="25" t="n"/>
      <c r="AC8952" s="195" t="n"/>
      <c r="AD8952" s="25" t="n"/>
      <c r="AE8952" s="25" t="n"/>
      <c r="AG8952" s="25" t="n"/>
      <c r="AH8952" s="25" t="n"/>
      <c r="AI8952" s="394" t="n"/>
      <c r="AM8952" s="48" t="n"/>
      <c r="AN8952" s="48" t="n"/>
      <c r="AO8952" s="48" t="n"/>
    </row>
    <row r="8953">
      <c r="M8953" s="25" t="n"/>
      <c r="Q8953" s="25" t="n"/>
      <c r="U8953" s="194" t="n"/>
      <c r="AA8953" s="25" t="n"/>
      <c r="AB8953" s="25" t="n"/>
      <c r="AC8953" s="195" t="n"/>
      <c r="AD8953" s="25" t="n"/>
      <c r="AE8953" s="25" t="n"/>
      <c r="AG8953" s="25" t="n"/>
      <c r="AH8953" s="25" t="n"/>
      <c r="AI8953" s="394" t="n"/>
      <c r="AM8953" s="48" t="n"/>
      <c r="AN8953" s="48" t="n"/>
      <c r="AO8953" s="48" t="n"/>
    </row>
    <row r="8954">
      <c r="M8954" s="25" t="n"/>
      <c r="Q8954" s="25" t="n"/>
      <c r="U8954" s="194" t="n"/>
      <c r="AA8954" s="25" t="n"/>
      <c r="AB8954" s="25" t="n"/>
      <c r="AC8954" s="195" t="n"/>
      <c r="AD8954" s="25" t="n"/>
      <c r="AE8954" s="25" t="n"/>
      <c r="AG8954" s="25" t="n"/>
      <c r="AH8954" s="25" t="n"/>
      <c r="AI8954" s="394" t="n"/>
      <c r="AM8954" s="48" t="n"/>
      <c r="AN8954" s="48" t="n"/>
      <c r="AO8954" s="48" t="n"/>
    </row>
    <row r="8955">
      <c r="M8955" s="25" t="n"/>
      <c r="Q8955" s="25" t="n"/>
      <c r="U8955" s="194" t="n"/>
      <c r="AA8955" s="25" t="n"/>
      <c r="AB8955" s="25" t="n"/>
      <c r="AC8955" s="195" t="n"/>
      <c r="AD8955" s="25" t="n"/>
      <c r="AE8955" s="25" t="n"/>
      <c r="AG8955" s="25" t="n"/>
      <c r="AH8955" s="25" t="n"/>
      <c r="AI8955" s="394" t="n"/>
      <c r="AM8955" s="48" t="n"/>
      <c r="AN8955" s="48" t="n"/>
      <c r="AO8955" s="48" t="n"/>
    </row>
    <row r="8956">
      <c r="M8956" s="25" t="n"/>
      <c r="Q8956" s="25" t="n"/>
      <c r="U8956" s="194" t="n"/>
      <c r="AA8956" s="25" t="n"/>
      <c r="AB8956" s="25" t="n"/>
      <c r="AC8956" s="195" t="n"/>
      <c r="AD8956" s="25" t="n"/>
      <c r="AE8956" s="25" t="n"/>
      <c r="AG8956" s="25" t="n"/>
      <c r="AH8956" s="25" t="n"/>
      <c r="AI8956" s="394" t="n"/>
      <c r="AM8956" s="48" t="n"/>
      <c r="AN8956" s="48" t="n"/>
      <c r="AO8956" s="48" t="n"/>
    </row>
    <row r="8957">
      <c r="M8957" s="25" t="n"/>
      <c r="Q8957" s="25" t="n"/>
      <c r="U8957" s="194" t="n"/>
      <c r="AA8957" s="25" t="n"/>
      <c r="AB8957" s="25" t="n"/>
      <c r="AC8957" s="195" t="n"/>
      <c r="AD8957" s="25" t="n"/>
      <c r="AE8957" s="25" t="n"/>
      <c r="AG8957" s="25" t="n"/>
      <c r="AH8957" s="25" t="n"/>
      <c r="AI8957" s="394" t="n"/>
      <c r="AM8957" s="48" t="n"/>
      <c r="AN8957" s="48" t="n"/>
      <c r="AO8957" s="48" t="n"/>
    </row>
    <row r="8958">
      <c r="M8958" s="25" t="n"/>
      <c r="Q8958" s="25" t="n"/>
      <c r="U8958" s="194" t="n"/>
      <c r="AA8958" s="25" t="n"/>
      <c r="AB8958" s="25" t="n"/>
      <c r="AC8958" s="195" t="n"/>
      <c r="AD8958" s="25" t="n"/>
      <c r="AE8958" s="25" t="n"/>
      <c r="AG8958" s="25" t="n"/>
      <c r="AH8958" s="25" t="n"/>
      <c r="AI8958" s="394" t="n"/>
      <c r="AM8958" s="48" t="n"/>
      <c r="AN8958" s="48" t="n"/>
      <c r="AO8958" s="48" t="n"/>
    </row>
    <row r="8959">
      <c r="M8959" s="25" t="n"/>
      <c r="Q8959" s="25" t="n"/>
      <c r="U8959" s="194" t="n"/>
      <c r="AA8959" s="25" t="n"/>
      <c r="AB8959" s="25" t="n"/>
      <c r="AC8959" s="195" t="n"/>
      <c r="AD8959" s="25" t="n"/>
      <c r="AE8959" s="25" t="n"/>
      <c r="AG8959" s="25" t="n"/>
      <c r="AH8959" s="25" t="n"/>
      <c r="AI8959" s="394" t="n"/>
      <c r="AM8959" s="48" t="n"/>
      <c r="AN8959" s="48" t="n"/>
      <c r="AO8959" s="48" t="n"/>
    </row>
    <row r="8960">
      <c r="M8960" s="25" t="n"/>
      <c r="Q8960" s="25" t="n"/>
      <c r="U8960" s="194" t="n"/>
      <c r="AA8960" s="25" t="n"/>
      <c r="AB8960" s="25" t="n"/>
      <c r="AC8960" s="195" t="n"/>
      <c r="AD8960" s="25" t="n"/>
      <c r="AE8960" s="25" t="n"/>
      <c r="AG8960" s="25" t="n"/>
      <c r="AH8960" s="25" t="n"/>
      <c r="AI8960" s="394" t="n"/>
      <c r="AM8960" s="48" t="n"/>
      <c r="AN8960" s="48" t="n"/>
      <c r="AO8960" s="48" t="n"/>
    </row>
    <row r="8961">
      <c r="M8961" s="25" t="n"/>
      <c r="Q8961" s="25" t="n"/>
      <c r="U8961" s="194" t="n"/>
      <c r="AA8961" s="25" t="n"/>
      <c r="AB8961" s="25" t="n"/>
      <c r="AC8961" s="195" t="n"/>
      <c r="AD8961" s="25" t="n"/>
      <c r="AE8961" s="25" t="n"/>
      <c r="AG8961" s="25" t="n"/>
      <c r="AH8961" s="25" t="n"/>
      <c r="AI8961" s="394" t="n"/>
      <c r="AM8961" s="48" t="n"/>
      <c r="AN8961" s="48" t="n"/>
      <c r="AO8961" s="48" t="n"/>
    </row>
    <row r="8962">
      <c r="M8962" s="25" t="n"/>
      <c r="Q8962" s="25" t="n"/>
      <c r="U8962" s="194" t="n"/>
      <c r="AA8962" s="25" t="n"/>
      <c r="AB8962" s="25" t="n"/>
      <c r="AC8962" s="195" t="n"/>
      <c r="AD8962" s="25" t="n"/>
      <c r="AE8962" s="25" t="n"/>
      <c r="AG8962" s="25" t="n"/>
      <c r="AH8962" s="25" t="n"/>
      <c r="AI8962" s="394" t="n"/>
      <c r="AM8962" s="48" t="n"/>
      <c r="AN8962" s="48" t="n"/>
      <c r="AO8962" s="48" t="n"/>
    </row>
    <row r="8963">
      <c r="M8963" s="25" t="n"/>
      <c r="Q8963" s="25" t="n"/>
      <c r="U8963" s="194" t="n"/>
      <c r="AA8963" s="25" t="n"/>
      <c r="AB8963" s="25" t="n"/>
      <c r="AC8963" s="195" t="n"/>
      <c r="AD8963" s="25" t="n"/>
      <c r="AE8963" s="25" t="n"/>
      <c r="AG8963" s="25" t="n"/>
      <c r="AH8963" s="25" t="n"/>
      <c r="AI8963" s="394" t="n"/>
      <c r="AM8963" s="48" t="n"/>
      <c r="AN8963" s="48" t="n"/>
      <c r="AO8963" s="48" t="n"/>
    </row>
    <row r="8964">
      <c r="M8964" s="25" t="n"/>
      <c r="Q8964" s="25" t="n"/>
      <c r="U8964" s="194" t="n"/>
      <c r="AA8964" s="25" t="n"/>
      <c r="AB8964" s="25" t="n"/>
      <c r="AC8964" s="195" t="n"/>
      <c r="AD8964" s="25" t="n"/>
      <c r="AE8964" s="25" t="n"/>
      <c r="AG8964" s="25" t="n"/>
      <c r="AH8964" s="25" t="n"/>
      <c r="AI8964" s="394" t="n"/>
      <c r="AM8964" s="48" t="n"/>
      <c r="AN8964" s="48" t="n"/>
      <c r="AO8964" s="48" t="n"/>
    </row>
    <row r="8965">
      <c r="M8965" s="25" t="n"/>
      <c r="Q8965" s="25" t="n"/>
      <c r="U8965" s="194" t="n"/>
      <c r="AA8965" s="25" t="n"/>
      <c r="AB8965" s="25" t="n"/>
      <c r="AC8965" s="195" t="n"/>
      <c r="AD8965" s="25" t="n"/>
      <c r="AE8965" s="25" t="n"/>
      <c r="AG8965" s="25" t="n"/>
      <c r="AH8965" s="25" t="n"/>
      <c r="AI8965" s="394" t="n"/>
      <c r="AM8965" s="48" t="n"/>
      <c r="AN8965" s="48" t="n"/>
      <c r="AO8965" s="48" t="n"/>
    </row>
    <row r="8966">
      <c r="M8966" s="25" t="n"/>
      <c r="Q8966" s="25" t="n"/>
      <c r="U8966" s="194" t="n"/>
      <c r="AA8966" s="25" t="n"/>
      <c r="AB8966" s="25" t="n"/>
      <c r="AC8966" s="195" t="n"/>
      <c r="AD8966" s="25" t="n"/>
      <c r="AE8966" s="25" t="n"/>
      <c r="AG8966" s="25" t="n"/>
      <c r="AH8966" s="25" t="n"/>
      <c r="AI8966" s="394" t="n"/>
      <c r="AM8966" s="48" t="n"/>
      <c r="AN8966" s="48" t="n"/>
      <c r="AO8966" s="48" t="n"/>
    </row>
    <row r="8967">
      <c r="M8967" s="25" t="n"/>
      <c r="Q8967" s="25" t="n"/>
      <c r="U8967" s="194" t="n"/>
      <c r="AA8967" s="25" t="n"/>
      <c r="AB8967" s="25" t="n"/>
      <c r="AC8967" s="195" t="n"/>
      <c r="AD8967" s="25" t="n"/>
      <c r="AE8967" s="25" t="n"/>
      <c r="AG8967" s="25" t="n"/>
      <c r="AH8967" s="25" t="n"/>
      <c r="AI8967" s="394" t="n"/>
      <c r="AM8967" s="48" t="n"/>
      <c r="AN8967" s="48" t="n"/>
      <c r="AO8967" s="48" t="n"/>
    </row>
    <row r="8968">
      <c r="M8968" s="25" t="n"/>
      <c r="Q8968" s="25" t="n"/>
      <c r="U8968" s="194" t="n"/>
      <c r="AA8968" s="25" t="n"/>
      <c r="AB8968" s="25" t="n"/>
      <c r="AC8968" s="195" t="n"/>
      <c r="AD8968" s="25" t="n"/>
      <c r="AE8968" s="25" t="n"/>
      <c r="AG8968" s="25" t="n"/>
      <c r="AH8968" s="25" t="n"/>
      <c r="AI8968" s="394" t="n"/>
      <c r="AM8968" s="48" t="n"/>
      <c r="AN8968" s="48" t="n"/>
      <c r="AO8968" s="48" t="n"/>
    </row>
    <row r="8969">
      <c r="M8969" s="25" t="n"/>
      <c r="Q8969" s="25" t="n"/>
      <c r="U8969" s="194" t="n"/>
      <c r="AA8969" s="25" t="n"/>
      <c r="AB8969" s="25" t="n"/>
      <c r="AC8969" s="195" t="n"/>
      <c r="AD8969" s="25" t="n"/>
      <c r="AE8969" s="25" t="n"/>
      <c r="AG8969" s="25" t="n"/>
      <c r="AH8969" s="25" t="n"/>
      <c r="AI8969" s="394" t="n"/>
      <c r="AM8969" s="48" t="n"/>
      <c r="AN8969" s="48" t="n"/>
      <c r="AO8969" s="48" t="n"/>
    </row>
    <row r="8970">
      <c r="M8970" s="25" t="n"/>
      <c r="Q8970" s="25" t="n"/>
      <c r="U8970" s="194" t="n"/>
      <c r="AA8970" s="25" t="n"/>
      <c r="AB8970" s="25" t="n"/>
      <c r="AC8970" s="195" t="n"/>
      <c r="AD8970" s="25" t="n"/>
      <c r="AE8970" s="25" t="n"/>
      <c r="AG8970" s="25" t="n"/>
      <c r="AH8970" s="25" t="n"/>
      <c r="AI8970" s="394" t="n"/>
      <c r="AM8970" s="48" t="n"/>
      <c r="AN8970" s="48" t="n"/>
      <c r="AO8970" s="48" t="n"/>
    </row>
    <row r="8971">
      <c r="M8971" s="25" t="n"/>
      <c r="Q8971" s="25" t="n"/>
      <c r="U8971" s="194" t="n"/>
      <c r="AA8971" s="25" t="n"/>
      <c r="AB8971" s="25" t="n"/>
      <c r="AC8971" s="195" t="n"/>
      <c r="AD8971" s="25" t="n"/>
      <c r="AE8971" s="25" t="n"/>
      <c r="AG8971" s="25" t="n"/>
      <c r="AH8971" s="25" t="n"/>
      <c r="AI8971" s="394" t="n"/>
      <c r="AM8971" s="48" t="n"/>
      <c r="AN8971" s="48" t="n"/>
      <c r="AO8971" s="48" t="n"/>
    </row>
    <row r="8972">
      <c r="M8972" s="25" t="n"/>
      <c r="Q8972" s="25" t="n"/>
      <c r="U8972" s="194" t="n"/>
      <c r="AA8972" s="25" t="n"/>
      <c r="AB8972" s="25" t="n"/>
      <c r="AC8972" s="195" t="n"/>
      <c r="AD8972" s="25" t="n"/>
      <c r="AE8972" s="25" t="n"/>
      <c r="AG8972" s="25" t="n"/>
      <c r="AH8972" s="25" t="n"/>
      <c r="AI8972" s="394" t="n"/>
      <c r="AM8972" s="48" t="n"/>
      <c r="AN8972" s="48" t="n"/>
      <c r="AO8972" s="48" t="n"/>
    </row>
    <row r="8973">
      <c r="M8973" s="25" t="n"/>
      <c r="Q8973" s="25" t="n"/>
      <c r="U8973" s="194" t="n"/>
      <c r="AA8973" s="25" t="n"/>
      <c r="AB8973" s="25" t="n"/>
      <c r="AC8973" s="195" t="n"/>
      <c r="AD8973" s="25" t="n"/>
      <c r="AE8973" s="25" t="n"/>
      <c r="AG8973" s="25" t="n"/>
      <c r="AH8973" s="25" t="n"/>
      <c r="AI8973" s="394" t="n"/>
      <c r="AM8973" s="48" t="n"/>
      <c r="AN8973" s="48" t="n"/>
      <c r="AO8973" s="48" t="n"/>
    </row>
    <row r="8974">
      <c r="M8974" s="25" t="n"/>
      <c r="Q8974" s="25" t="n"/>
      <c r="U8974" s="194" t="n"/>
      <c r="AA8974" s="25" t="n"/>
      <c r="AB8974" s="25" t="n"/>
      <c r="AC8974" s="195" t="n"/>
      <c r="AD8974" s="25" t="n"/>
      <c r="AE8974" s="25" t="n"/>
      <c r="AG8974" s="25" t="n"/>
      <c r="AH8974" s="25" t="n"/>
      <c r="AI8974" s="394" t="n"/>
      <c r="AM8974" s="48" t="n"/>
      <c r="AN8974" s="48" t="n"/>
      <c r="AO8974" s="48" t="n"/>
    </row>
    <row r="8975">
      <c r="M8975" s="25" t="n"/>
      <c r="Q8975" s="25" t="n"/>
      <c r="U8975" s="194" t="n"/>
      <c r="AA8975" s="25" t="n"/>
      <c r="AB8975" s="25" t="n"/>
      <c r="AC8975" s="195" t="n"/>
      <c r="AD8975" s="25" t="n"/>
      <c r="AE8975" s="25" t="n"/>
      <c r="AG8975" s="25" t="n"/>
      <c r="AH8975" s="25" t="n"/>
      <c r="AI8975" s="394" t="n"/>
      <c r="AM8975" s="48" t="n"/>
      <c r="AN8975" s="48" t="n"/>
      <c r="AO8975" s="48" t="n"/>
    </row>
    <row r="8976">
      <c r="M8976" s="25" t="n"/>
      <c r="Q8976" s="25" t="n"/>
      <c r="U8976" s="194" t="n"/>
      <c r="AA8976" s="25" t="n"/>
      <c r="AB8976" s="25" t="n"/>
      <c r="AC8976" s="195" t="n"/>
      <c r="AD8976" s="25" t="n"/>
      <c r="AE8976" s="25" t="n"/>
      <c r="AG8976" s="25" t="n"/>
      <c r="AH8976" s="25" t="n"/>
      <c r="AI8976" s="394" t="n"/>
      <c r="AM8976" s="48" t="n"/>
      <c r="AN8976" s="48" t="n"/>
      <c r="AO8976" s="48" t="n"/>
    </row>
    <row r="8977">
      <c r="M8977" s="25" t="n"/>
      <c r="Q8977" s="25" t="n"/>
      <c r="U8977" s="194" t="n"/>
      <c r="AA8977" s="25" t="n"/>
      <c r="AB8977" s="25" t="n"/>
      <c r="AC8977" s="195" t="n"/>
      <c r="AD8977" s="25" t="n"/>
      <c r="AE8977" s="25" t="n"/>
      <c r="AG8977" s="25" t="n"/>
      <c r="AH8977" s="25" t="n"/>
      <c r="AI8977" s="394" t="n"/>
      <c r="AM8977" s="48" t="n"/>
      <c r="AN8977" s="48" t="n"/>
      <c r="AO8977" s="48" t="n"/>
    </row>
    <row r="8978">
      <c r="M8978" s="25" t="n"/>
      <c r="Q8978" s="25" t="n"/>
      <c r="U8978" s="194" t="n"/>
      <c r="AA8978" s="25" t="n"/>
      <c r="AB8978" s="25" t="n"/>
      <c r="AC8978" s="195" t="n"/>
      <c r="AD8978" s="25" t="n"/>
      <c r="AE8978" s="25" t="n"/>
      <c r="AG8978" s="25" t="n"/>
      <c r="AH8978" s="25" t="n"/>
      <c r="AI8978" s="394" t="n"/>
      <c r="AM8978" s="48" t="n"/>
      <c r="AN8978" s="48" t="n"/>
      <c r="AO8978" s="48" t="n"/>
    </row>
    <row r="8979">
      <c r="M8979" s="25" t="n"/>
      <c r="Q8979" s="25" t="n"/>
      <c r="U8979" s="194" t="n"/>
      <c r="AA8979" s="25" t="n"/>
      <c r="AB8979" s="25" t="n"/>
      <c r="AC8979" s="195" t="n"/>
      <c r="AD8979" s="25" t="n"/>
      <c r="AE8979" s="25" t="n"/>
      <c r="AG8979" s="25" t="n"/>
      <c r="AH8979" s="25" t="n"/>
      <c r="AI8979" s="394" t="n"/>
      <c r="AM8979" s="48" t="n"/>
      <c r="AN8979" s="48" t="n"/>
      <c r="AO8979" s="48" t="n"/>
    </row>
    <row r="8980">
      <c r="M8980" s="25" t="n"/>
      <c r="Q8980" s="25" t="n"/>
      <c r="U8980" s="194" t="n"/>
      <c r="AA8980" s="25" t="n"/>
      <c r="AB8980" s="25" t="n"/>
      <c r="AC8980" s="195" t="n"/>
      <c r="AD8980" s="25" t="n"/>
      <c r="AE8980" s="25" t="n"/>
      <c r="AG8980" s="25" t="n"/>
      <c r="AH8980" s="25" t="n"/>
      <c r="AI8980" s="394" t="n"/>
      <c r="AM8980" s="48" t="n"/>
      <c r="AN8980" s="48" t="n"/>
      <c r="AO8980" s="48" t="n"/>
    </row>
    <row r="8981">
      <c r="M8981" s="25" t="n"/>
      <c r="Q8981" s="25" t="n"/>
      <c r="U8981" s="194" t="n"/>
      <c r="AA8981" s="25" t="n"/>
      <c r="AB8981" s="25" t="n"/>
      <c r="AC8981" s="195" t="n"/>
      <c r="AD8981" s="25" t="n"/>
      <c r="AE8981" s="25" t="n"/>
      <c r="AG8981" s="25" t="n"/>
      <c r="AH8981" s="25" t="n"/>
      <c r="AI8981" s="394" t="n"/>
      <c r="AM8981" s="48" t="n"/>
      <c r="AN8981" s="48" t="n"/>
      <c r="AO8981" s="48" t="n"/>
    </row>
    <row r="8982">
      <c r="M8982" s="25" t="n"/>
      <c r="Q8982" s="25" t="n"/>
      <c r="U8982" s="194" t="n"/>
      <c r="AA8982" s="25" t="n"/>
      <c r="AB8982" s="25" t="n"/>
      <c r="AC8982" s="195" t="n"/>
      <c r="AD8982" s="25" t="n"/>
      <c r="AE8982" s="25" t="n"/>
      <c r="AG8982" s="25" t="n"/>
      <c r="AH8982" s="25" t="n"/>
      <c r="AI8982" s="394" t="n"/>
      <c r="AM8982" s="48" t="n"/>
      <c r="AN8982" s="48" t="n"/>
      <c r="AO8982" s="48" t="n"/>
    </row>
    <row r="8983">
      <c r="M8983" s="25" t="n"/>
      <c r="Q8983" s="25" t="n"/>
      <c r="U8983" s="194" t="n"/>
      <c r="AA8983" s="25" t="n"/>
      <c r="AB8983" s="25" t="n"/>
      <c r="AC8983" s="195" t="n"/>
      <c r="AD8983" s="25" t="n"/>
      <c r="AE8983" s="25" t="n"/>
      <c r="AG8983" s="25" t="n"/>
      <c r="AH8983" s="25" t="n"/>
      <c r="AI8983" s="394" t="n"/>
      <c r="AM8983" s="48" t="n"/>
      <c r="AN8983" s="48" t="n"/>
      <c r="AO8983" s="48" t="n"/>
    </row>
    <row r="8984">
      <c r="M8984" s="25" t="n"/>
      <c r="Q8984" s="25" t="n"/>
      <c r="U8984" s="194" t="n"/>
      <c r="AA8984" s="25" t="n"/>
      <c r="AB8984" s="25" t="n"/>
      <c r="AC8984" s="195" t="n"/>
      <c r="AD8984" s="25" t="n"/>
      <c r="AE8984" s="25" t="n"/>
      <c r="AG8984" s="25" t="n"/>
      <c r="AH8984" s="25" t="n"/>
      <c r="AI8984" s="394" t="n"/>
      <c r="AM8984" s="48" t="n"/>
      <c r="AN8984" s="48" t="n"/>
      <c r="AO8984" s="48" t="n"/>
    </row>
    <row r="8985">
      <c r="M8985" s="25" t="n"/>
      <c r="Q8985" s="25" t="n"/>
      <c r="U8985" s="194" t="n"/>
      <c r="AA8985" s="25" t="n"/>
      <c r="AB8985" s="25" t="n"/>
      <c r="AC8985" s="195" t="n"/>
      <c r="AD8985" s="25" t="n"/>
      <c r="AE8985" s="25" t="n"/>
      <c r="AG8985" s="25" t="n"/>
      <c r="AH8985" s="25" t="n"/>
      <c r="AI8985" s="394" t="n"/>
      <c r="AM8985" s="48" t="n"/>
      <c r="AN8985" s="48" t="n"/>
      <c r="AO8985" s="48" t="n"/>
    </row>
    <row r="8986">
      <c r="M8986" s="25" t="n"/>
      <c r="Q8986" s="25" t="n"/>
      <c r="U8986" s="194" t="n"/>
      <c r="AA8986" s="25" t="n"/>
      <c r="AB8986" s="25" t="n"/>
      <c r="AC8986" s="195" t="n"/>
      <c r="AD8986" s="25" t="n"/>
      <c r="AE8986" s="25" t="n"/>
      <c r="AG8986" s="25" t="n"/>
      <c r="AH8986" s="25" t="n"/>
      <c r="AI8986" s="394" t="n"/>
      <c r="AM8986" s="48" t="n"/>
      <c r="AN8986" s="48" t="n"/>
      <c r="AO8986" s="48" t="n"/>
    </row>
    <row r="8987">
      <c r="M8987" s="25" t="n"/>
      <c r="Q8987" s="25" t="n"/>
      <c r="U8987" s="194" t="n"/>
      <c r="AA8987" s="25" t="n"/>
      <c r="AB8987" s="25" t="n"/>
      <c r="AC8987" s="195" t="n"/>
      <c r="AD8987" s="25" t="n"/>
      <c r="AE8987" s="25" t="n"/>
      <c r="AG8987" s="25" t="n"/>
      <c r="AH8987" s="25" t="n"/>
      <c r="AI8987" s="394" t="n"/>
      <c r="AM8987" s="48" t="n"/>
      <c r="AN8987" s="48" t="n"/>
      <c r="AO8987" s="48" t="n"/>
    </row>
    <row r="8988">
      <c r="M8988" s="25" t="n"/>
      <c r="Q8988" s="25" t="n"/>
      <c r="U8988" s="194" t="n"/>
      <c r="AA8988" s="25" t="n"/>
      <c r="AB8988" s="25" t="n"/>
      <c r="AC8988" s="195" t="n"/>
      <c r="AD8988" s="25" t="n"/>
      <c r="AE8988" s="25" t="n"/>
      <c r="AG8988" s="25" t="n"/>
      <c r="AH8988" s="25" t="n"/>
      <c r="AI8988" s="394" t="n"/>
      <c r="AM8988" s="48" t="n"/>
      <c r="AN8988" s="48" t="n"/>
      <c r="AO8988" s="48" t="n"/>
    </row>
    <row r="8989">
      <c r="M8989" s="25" t="n"/>
      <c r="Q8989" s="25" t="n"/>
      <c r="U8989" s="194" t="n"/>
      <c r="AA8989" s="25" t="n"/>
      <c r="AB8989" s="25" t="n"/>
      <c r="AC8989" s="195" t="n"/>
      <c r="AD8989" s="25" t="n"/>
      <c r="AE8989" s="25" t="n"/>
      <c r="AG8989" s="25" t="n"/>
      <c r="AH8989" s="25" t="n"/>
      <c r="AI8989" s="394" t="n"/>
      <c r="AM8989" s="48" t="n"/>
      <c r="AN8989" s="48" t="n"/>
      <c r="AO8989" s="48" t="n"/>
    </row>
    <row r="8990">
      <c r="M8990" s="25" t="n"/>
      <c r="Q8990" s="25" t="n"/>
      <c r="U8990" s="194" t="n"/>
      <c r="AA8990" s="25" t="n"/>
      <c r="AB8990" s="25" t="n"/>
      <c r="AC8990" s="195" t="n"/>
      <c r="AD8990" s="25" t="n"/>
      <c r="AE8990" s="25" t="n"/>
      <c r="AG8990" s="25" t="n"/>
      <c r="AH8990" s="25" t="n"/>
      <c r="AI8990" s="394" t="n"/>
      <c r="AM8990" s="48" t="n"/>
      <c r="AN8990" s="48" t="n"/>
      <c r="AO8990" s="48" t="n"/>
    </row>
    <row r="8991">
      <c r="M8991" s="25" t="n"/>
      <c r="Q8991" s="25" t="n"/>
      <c r="U8991" s="194" t="n"/>
      <c r="AA8991" s="25" t="n"/>
      <c r="AB8991" s="25" t="n"/>
      <c r="AC8991" s="195" t="n"/>
      <c r="AD8991" s="25" t="n"/>
      <c r="AE8991" s="25" t="n"/>
      <c r="AG8991" s="25" t="n"/>
      <c r="AH8991" s="25" t="n"/>
      <c r="AI8991" s="394" t="n"/>
      <c r="AM8991" s="48" t="n"/>
      <c r="AN8991" s="48" t="n"/>
      <c r="AO8991" s="48" t="n"/>
    </row>
    <row r="8992">
      <c r="M8992" s="25" t="n"/>
      <c r="Q8992" s="25" t="n"/>
      <c r="U8992" s="194" t="n"/>
      <c r="AA8992" s="25" t="n"/>
      <c r="AB8992" s="25" t="n"/>
      <c r="AC8992" s="195" t="n"/>
      <c r="AD8992" s="25" t="n"/>
      <c r="AE8992" s="25" t="n"/>
      <c r="AG8992" s="25" t="n"/>
      <c r="AH8992" s="25" t="n"/>
      <c r="AI8992" s="394" t="n"/>
      <c r="AM8992" s="48" t="n"/>
      <c r="AN8992" s="48" t="n"/>
      <c r="AO8992" s="48" t="n"/>
    </row>
    <row r="8993">
      <c r="M8993" s="25" t="n"/>
      <c r="Q8993" s="25" t="n"/>
      <c r="U8993" s="194" t="n"/>
      <c r="AA8993" s="25" t="n"/>
      <c r="AB8993" s="25" t="n"/>
      <c r="AC8993" s="195" t="n"/>
      <c r="AD8993" s="25" t="n"/>
      <c r="AE8993" s="25" t="n"/>
      <c r="AG8993" s="25" t="n"/>
      <c r="AH8993" s="25" t="n"/>
      <c r="AI8993" s="394" t="n"/>
      <c r="AM8993" s="48" t="n"/>
      <c r="AN8993" s="48" t="n"/>
      <c r="AO8993" s="48" t="n"/>
    </row>
    <row r="8994">
      <c r="M8994" s="25" t="n"/>
      <c r="Q8994" s="25" t="n"/>
      <c r="U8994" s="194" t="n"/>
      <c r="AA8994" s="25" t="n"/>
      <c r="AB8994" s="25" t="n"/>
      <c r="AC8994" s="195" t="n"/>
      <c r="AD8994" s="25" t="n"/>
      <c r="AE8994" s="25" t="n"/>
      <c r="AG8994" s="25" t="n"/>
      <c r="AH8994" s="25" t="n"/>
      <c r="AI8994" s="394" t="n"/>
      <c r="AM8994" s="48" t="n"/>
      <c r="AN8994" s="48" t="n"/>
      <c r="AO8994" s="48" t="n"/>
    </row>
    <row r="8995">
      <c r="M8995" s="25" t="n"/>
      <c r="Q8995" s="25" t="n"/>
      <c r="U8995" s="194" t="n"/>
      <c r="AA8995" s="25" t="n"/>
      <c r="AB8995" s="25" t="n"/>
      <c r="AC8995" s="195" t="n"/>
      <c r="AD8995" s="25" t="n"/>
      <c r="AE8995" s="25" t="n"/>
      <c r="AG8995" s="25" t="n"/>
      <c r="AH8995" s="25" t="n"/>
      <c r="AI8995" s="394" t="n"/>
      <c r="AM8995" s="48" t="n"/>
      <c r="AN8995" s="48" t="n"/>
      <c r="AO8995" s="48" t="n"/>
    </row>
    <row r="8996">
      <c r="M8996" s="25" t="n"/>
      <c r="Q8996" s="25" t="n"/>
      <c r="U8996" s="194" t="n"/>
      <c r="AA8996" s="25" t="n"/>
      <c r="AB8996" s="25" t="n"/>
      <c r="AC8996" s="195" t="n"/>
      <c r="AD8996" s="25" t="n"/>
      <c r="AE8996" s="25" t="n"/>
      <c r="AG8996" s="25" t="n"/>
      <c r="AH8996" s="25" t="n"/>
      <c r="AI8996" s="394" t="n"/>
      <c r="AM8996" s="48" t="n"/>
      <c r="AN8996" s="48" t="n"/>
      <c r="AO8996" s="48" t="n"/>
    </row>
    <row r="8997">
      <c r="M8997" s="25" t="n"/>
      <c r="Q8997" s="25" t="n"/>
      <c r="U8997" s="194" t="n"/>
      <c r="AA8997" s="25" t="n"/>
      <c r="AB8997" s="25" t="n"/>
      <c r="AC8997" s="195" t="n"/>
      <c r="AD8997" s="25" t="n"/>
      <c r="AE8997" s="25" t="n"/>
      <c r="AG8997" s="25" t="n"/>
      <c r="AH8997" s="25" t="n"/>
      <c r="AI8997" s="394" t="n"/>
      <c r="AM8997" s="48" t="n"/>
      <c r="AN8997" s="48" t="n"/>
      <c r="AO8997" s="48" t="n"/>
    </row>
    <row r="8998">
      <c r="M8998" s="25" t="n"/>
      <c r="Q8998" s="25" t="n"/>
      <c r="U8998" s="194" t="n"/>
      <c r="AA8998" s="25" t="n"/>
      <c r="AB8998" s="25" t="n"/>
      <c r="AC8998" s="195" t="n"/>
      <c r="AD8998" s="25" t="n"/>
      <c r="AE8998" s="25" t="n"/>
      <c r="AG8998" s="25" t="n"/>
      <c r="AH8998" s="25" t="n"/>
      <c r="AI8998" s="394" t="n"/>
      <c r="AM8998" s="48" t="n"/>
      <c r="AN8998" s="48" t="n"/>
      <c r="AO8998" s="48" t="n"/>
    </row>
    <row r="8999">
      <c r="M8999" s="25" t="n"/>
      <c r="Q8999" s="25" t="n"/>
      <c r="U8999" s="194" t="n"/>
      <c r="AA8999" s="25" t="n"/>
      <c r="AB8999" s="25" t="n"/>
      <c r="AC8999" s="195" t="n"/>
      <c r="AD8999" s="25" t="n"/>
      <c r="AE8999" s="25" t="n"/>
      <c r="AG8999" s="25" t="n"/>
      <c r="AH8999" s="25" t="n"/>
      <c r="AI8999" s="394" t="n"/>
      <c r="AM8999" s="48" t="n"/>
      <c r="AN8999" s="48" t="n"/>
      <c r="AO8999" s="48" t="n"/>
    </row>
    <row r="9000">
      <c r="M9000" s="25" t="n"/>
      <c r="Q9000" s="25" t="n"/>
      <c r="U9000" s="194" t="n"/>
      <c r="AA9000" s="25" t="n"/>
      <c r="AB9000" s="25" t="n"/>
      <c r="AC9000" s="195" t="n"/>
      <c r="AD9000" s="25" t="n"/>
      <c r="AE9000" s="25" t="n"/>
      <c r="AG9000" s="25" t="n"/>
      <c r="AH9000" s="25" t="n"/>
      <c r="AI9000" s="394" t="n"/>
      <c r="AM9000" s="48" t="n"/>
      <c r="AN9000" s="48" t="n"/>
      <c r="AO9000" s="48" t="n"/>
    </row>
    <row r="9001">
      <c r="M9001" s="25" t="n"/>
      <c r="Q9001" s="25" t="n"/>
      <c r="U9001" s="194" t="n"/>
      <c r="AA9001" s="25" t="n"/>
      <c r="AB9001" s="25" t="n"/>
      <c r="AC9001" s="195" t="n"/>
      <c r="AD9001" s="25" t="n"/>
      <c r="AE9001" s="25" t="n"/>
      <c r="AG9001" s="25" t="n"/>
      <c r="AH9001" s="25" t="n"/>
      <c r="AI9001" s="394" t="n"/>
      <c r="AM9001" s="48" t="n"/>
      <c r="AN9001" s="48" t="n"/>
      <c r="AO9001" s="48" t="n"/>
    </row>
    <row r="9002">
      <c r="M9002" s="25" t="n"/>
      <c r="Q9002" s="25" t="n"/>
      <c r="U9002" s="194" t="n"/>
      <c r="AA9002" s="25" t="n"/>
      <c r="AB9002" s="25" t="n"/>
      <c r="AC9002" s="195" t="n"/>
      <c r="AD9002" s="25" t="n"/>
      <c r="AE9002" s="25" t="n"/>
      <c r="AG9002" s="25" t="n"/>
      <c r="AH9002" s="25" t="n"/>
      <c r="AI9002" s="394" t="n"/>
      <c r="AM9002" s="48" t="n"/>
      <c r="AN9002" s="48" t="n"/>
      <c r="AO9002" s="48" t="n"/>
    </row>
    <row r="9003">
      <c r="M9003" s="25" t="n"/>
      <c r="Q9003" s="25" t="n"/>
      <c r="U9003" s="194" t="n"/>
      <c r="AA9003" s="25" t="n"/>
      <c r="AB9003" s="25" t="n"/>
      <c r="AC9003" s="195" t="n"/>
      <c r="AD9003" s="25" t="n"/>
      <c r="AE9003" s="25" t="n"/>
      <c r="AG9003" s="25" t="n"/>
      <c r="AH9003" s="25" t="n"/>
      <c r="AI9003" s="394" t="n"/>
      <c r="AM9003" s="48" t="n"/>
      <c r="AN9003" s="48" t="n"/>
      <c r="AO9003" s="48" t="n"/>
    </row>
    <row r="9004">
      <c r="M9004" s="25" t="n"/>
      <c r="Q9004" s="25" t="n"/>
      <c r="U9004" s="194" t="n"/>
      <c r="AA9004" s="25" t="n"/>
      <c r="AB9004" s="25" t="n"/>
      <c r="AC9004" s="195" t="n"/>
      <c r="AD9004" s="25" t="n"/>
      <c r="AE9004" s="25" t="n"/>
      <c r="AG9004" s="25" t="n"/>
      <c r="AH9004" s="25" t="n"/>
      <c r="AI9004" s="394" t="n"/>
      <c r="AM9004" s="48" t="n"/>
      <c r="AN9004" s="48" t="n"/>
      <c r="AO9004" s="48" t="n"/>
    </row>
    <row r="9005">
      <c r="M9005" s="25" t="n"/>
      <c r="Q9005" s="25" t="n"/>
      <c r="U9005" s="194" t="n"/>
      <c r="AA9005" s="25" t="n"/>
      <c r="AB9005" s="25" t="n"/>
      <c r="AC9005" s="195" t="n"/>
      <c r="AD9005" s="25" t="n"/>
      <c r="AE9005" s="25" t="n"/>
      <c r="AG9005" s="25" t="n"/>
      <c r="AH9005" s="25" t="n"/>
      <c r="AI9005" s="394" t="n"/>
      <c r="AM9005" s="48" t="n"/>
      <c r="AN9005" s="48" t="n"/>
      <c r="AO9005" s="48" t="n"/>
    </row>
    <row r="9006">
      <c r="M9006" s="25" t="n"/>
      <c r="Q9006" s="25" t="n"/>
      <c r="U9006" s="194" t="n"/>
      <c r="AA9006" s="25" t="n"/>
      <c r="AB9006" s="25" t="n"/>
      <c r="AC9006" s="195" t="n"/>
      <c r="AD9006" s="25" t="n"/>
      <c r="AE9006" s="25" t="n"/>
      <c r="AG9006" s="25" t="n"/>
      <c r="AH9006" s="25" t="n"/>
      <c r="AI9006" s="394" t="n"/>
      <c r="AM9006" s="48" t="n"/>
      <c r="AN9006" s="48" t="n"/>
      <c r="AO9006" s="48" t="n"/>
    </row>
    <row r="9007">
      <c r="M9007" s="25" t="n"/>
      <c r="Q9007" s="25" t="n"/>
      <c r="U9007" s="194" t="n"/>
      <c r="AA9007" s="25" t="n"/>
      <c r="AB9007" s="25" t="n"/>
      <c r="AC9007" s="195" t="n"/>
      <c r="AD9007" s="25" t="n"/>
      <c r="AE9007" s="25" t="n"/>
      <c r="AG9007" s="25" t="n"/>
      <c r="AH9007" s="25" t="n"/>
      <c r="AI9007" s="394" t="n"/>
      <c r="AM9007" s="48" t="n"/>
      <c r="AN9007" s="48" t="n"/>
      <c r="AO9007" s="48" t="n"/>
    </row>
    <row r="9008">
      <c r="M9008" s="25" t="n"/>
      <c r="Q9008" s="25" t="n"/>
      <c r="U9008" s="194" t="n"/>
      <c r="AA9008" s="25" t="n"/>
      <c r="AB9008" s="25" t="n"/>
      <c r="AC9008" s="195" t="n"/>
      <c r="AD9008" s="25" t="n"/>
      <c r="AE9008" s="25" t="n"/>
      <c r="AG9008" s="25" t="n"/>
      <c r="AH9008" s="25" t="n"/>
      <c r="AI9008" s="394" t="n"/>
      <c r="AM9008" s="48" t="n"/>
      <c r="AN9008" s="48" t="n"/>
      <c r="AO9008" s="48" t="n"/>
    </row>
    <row r="9009">
      <c r="M9009" s="25" t="n"/>
      <c r="Q9009" s="25" t="n"/>
      <c r="U9009" s="194" t="n"/>
      <c r="AA9009" s="25" t="n"/>
      <c r="AB9009" s="25" t="n"/>
      <c r="AC9009" s="195" t="n"/>
      <c r="AD9009" s="25" t="n"/>
      <c r="AE9009" s="25" t="n"/>
      <c r="AG9009" s="25" t="n"/>
      <c r="AH9009" s="25" t="n"/>
      <c r="AI9009" s="394" t="n"/>
      <c r="AM9009" s="48" t="n"/>
      <c r="AN9009" s="48" t="n"/>
      <c r="AO9009" s="48" t="n"/>
    </row>
    <row r="9010">
      <c r="M9010" s="25" t="n"/>
      <c r="Q9010" s="25" t="n"/>
      <c r="U9010" s="194" t="n"/>
      <c r="AA9010" s="25" t="n"/>
      <c r="AB9010" s="25" t="n"/>
      <c r="AC9010" s="195" t="n"/>
      <c r="AD9010" s="25" t="n"/>
      <c r="AE9010" s="25" t="n"/>
      <c r="AG9010" s="25" t="n"/>
      <c r="AH9010" s="25" t="n"/>
      <c r="AI9010" s="394" t="n"/>
      <c r="AM9010" s="48" t="n"/>
      <c r="AN9010" s="48" t="n"/>
      <c r="AO9010" s="48" t="n"/>
    </row>
    <row r="9011">
      <c r="M9011" s="25" t="n"/>
      <c r="Q9011" s="25" t="n"/>
      <c r="U9011" s="194" t="n"/>
      <c r="AA9011" s="25" t="n"/>
      <c r="AB9011" s="25" t="n"/>
      <c r="AC9011" s="195" t="n"/>
      <c r="AD9011" s="25" t="n"/>
      <c r="AE9011" s="25" t="n"/>
      <c r="AG9011" s="25" t="n"/>
      <c r="AH9011" s="25" t="n"/>
      <c r="AI9011" s="394" t="n"/>
      <c r="AM9011" s="48" t="n"/>
      <c r="AN9011" s="48" t="n"/>
      <c r="AO9011" s="48" t="n"/>
    </row>
    <row r="9012">
      <c r="M9012" s="25" t="n"/>
      <c r="Q9012" s="25" t="n"/>
      <c r="U9012" s="194" t="n"/>
      <c r="AA9012" s="25" t="n"/>
      <c r="AB9012" s="25" t="n"/>
      <c r="AC9012" s="195" t="n"/>
      <c r="AD9012" s="25" t="n"/>
      <c r="AE9012" s="25" t="n"/>
      <c r="AG9012" s="25" t="n"/>
      <c r="AH9012" s="25" t="n"/>
      <c r="AI9012" s="394" t="n"/>
      <c r="AM9012" s="48" t="n"/>
      <c r="AN9012" s="48" t="n"/>
      <c r="AO9012" s="48" t="n"/>
    </row>
    <row r="9013">
      <c r="M9013" s="25" t="n"/>
      <c r="Q9013" s="25" t="n"/>
      <c r="U9013" s="194" t="n"/>
      <c r="AA9013" s="25" t="n"/>
      <c r="AB9013" s="25" t="n"/>
      <c r="AC9013" s="195" t="n"/>
      <c r="AD9013" s="25" t="n"/>
      <c r="AE9013" s="25" t="n"/>
      <c r="AG9013" s="25" t="n"/>
      <c r="AH9013" s="25" t="n"/>
      <c r="AI9013" s="394" t="n"/>
      <c r="AM9013" s="48" t="n"/>
      <c r="AN9013" s="48" t="n"/>
      <c r="AO9013" s="48" t="n"/>
    </row>
    <row r="9014">
      <c r="M9014" s="25" t="n"/>
      <c r="Q9014" s="25" t="n"/>
      <c r="U9014" s="194" t="n"/>
      <c r="AA9014" s="25" t="n"/>
      <c r="AB9014" s="25" t="n"/>
      <c r="AC9014" s="195" t="n"/>
      <c r="AD9014" s="25" t="n"/>
      <c r="AE9014" s="25" t="n"/>
      <c r="AG9014" s="25" t="n"/>
      <c r="AH9014" s="25" t="n"/>
      <c r="AI9014" s="394" t="n"/>
      <c r="AM9014" s="48" t="n"/>
      <c r="AN9014" s="48" t="n"/>
      <c r="AO9014" s="48" t="n"/>
    </row>
    <row r="9015">
      <c r="M9015" s="25" t="n"/>
      <c r="Q9015" s="25" t="n"/>
      <c r="U9015" s="194" t="n"/>
      <c r="AA9015" s="25" t="n"/>
      <c r="AB9015" s="25" t="n"/>
      <c r="AC9015" s="195" t="n"/>
      <c r="AD9015" s="25" t="n"/>
      <c r="AE9015" s="25" t="n"/>
      <c r="AG9015" s="25" t="n"/>
      <c r="AH9015" s="25" t="n"/>
      <c r="AI9015" s="394" t="n"/>
      <c r="AM9015" s="48" t="n"/>
      <c r="AN9015" s="48" t="n"/>
      <c r="AO9015" s="48" t="n"/>
    </row>
    <row r="9016">
      <c r="M9016" s="25" t="n"/>
      <c r="Q9016" s="25" t="n"/>
      <c r="U9016" s="194" t="n"/>
      <c r="AA9016" s="25" t="n"/>
      <c r="AB9016" s="25" t="n"/>
      <c r="AC9016" s="195" t="n"/>
      <c r="AD9016" s="25" t="n"/>
      <c r="AE9016" s="25" t="n"/>
      <c r="AG9016" s="25" t="n"/>
      <c r="AH9016" s="25" t="n"/>
      <c r="AI9016" s="394" t="n"/>
      <c r="AM9016" s="48" t="n"/>
      <c r="AN9016" s="48" t="n"/>
      <c r="AO9016" s="48" t="n"/>
    </row>
    <row r="9017">
      <c r="M9017" s="25" t="n"/>
      <c r="Q9017" s="25" t="n"/>
      <c r="U9017" s="194" t="n"/>
      <c r="AA9017" s="25" t="n"/>
      <c r="AB9017" s="25" t="n"/>
      <c r="AC9017" s="195" t="n"/>
      <c r="AD9017" s="25" t="n"/>
      <c r="AE9017" s="25" t="n"/>
      <c r="AG9017" s="25" t="n"/>
      <c r="AH9017" s="25" t="n"/>
      <c r="AI9017" s="394" t="n"/>
      <c r="AM9017" s="48" t="n"/>
      <c r="AN9017" s="48" t="n"/>
      <c r="AO9017" s="48" t="n"/>
    </row>
    <row r="9018">
      <c r="M9018" s="25" t="n"/>
      <c r="Q9018" s="25" t="n"/>
      <c r="U9018" s="194" t="n"/>
      <c r="AA9018" s="25" t="n"/>
      <c r="AB9018" s="25" t="n"/>
      <c r="AC9018" s="195" t="n"/>
      <c r="AD9018" s="25" t="n"/>
      <c r="AE9018" s="25" t="n"/>
      <c r="AG9018" s="25" t="n"/>
      <c r="AH9018" s="25" t="n"/>
      <c r="AI9018" s="394" t="n"/>
      <c r="AM9018" s="48" t="n"/>
      <c r="AN9018" s="48" t="n"/>
      <c r="AO9018" s="48" t="n"/>
    </row>
    <row r="9019">
      <c r="M9019" s="25" t="n"/>
      <c r="Q9019" s="25" t="n"/>
      <c r="U9019" s="194" t="n"/>
      <c r="AA9019" s="25" t="n"/>
      <c r="AB9019" s="25" t="n"/>
      <c r="AC9019" s="195" t="n"/>
      <c r="AD9019" s="25" t="n"/>
      <c r="AE9019" s="25" t="n"/>
      <c r="AG9019" s="25" t="n"/>
      <c r="AH9019" s="25" t="n"/>
      <c r="AI9019" s="394" t="n"/>
      <c r="AM9019" s="48" t="n"/>
      <c r="AN9019" s="48" t="n"/>
      <c r="AO9019" s="48" t="n"/>
    </row>
    <row r="9020">
      <c r="M9020" s="25" t="n"/>
      <c r="Q9020" s="25" t="n"/>
      <c r="U9020" s="194" t="n"/>
      <c r="AA9020" s="25" t="n"/>
      <c r="AB9020" s="25" t="n"/>
      <c r="AC9020" s="195" t="n"/>
      <c r="AD9020" s="25" t="n"/>
      <c r="AE9020" s="25" t="n"/>
      <c r="AG9020" s="25" t="n"/>
      <c r="AH9020" s="25" t="n"/>
      <c r="AI9020" s="394" t="n"/>
      <c r="AM9020" s="48" t="n"/>
      <c r="AN9020" s="48" t="n"/>
      <c r="AO9020" s="48" t="n"/>
    </row>
    <row r="9021">
      <c r="M9021" s="25" t="n"/>
      <c r="Q9021" s="25" t="n"/>
      <c r="U9021" s="194" t="n"/>
      <c r="AA9021" s="25" t="n"/>
      <c r="AB9021" s="25" t="n"/>
      <c r="AC9021" s="195" t="n"/>
      <c r="AD9021" s="25" t="n"/>
      <c r="AE9021" s="25" t="n"/>
      <c r="AG9021" s="25" t="n"/>
      <c r="AH9021" s="25" t="n"/>
      <c r="AI9021" s="394" t="n"/>
      <c r="AM9021" s="48" t="n"/>
      <c r="AN9021" s="48" t="n"/>
      <c r="AO9021" s="48" t="n"/>
    </row>
    <row r="9022">
      <c r="M9022" s="25" t="n"/>
      <c r="Q9022" s="25" t="n"/>
      <c r="U9022" s="194" t="n"/>
      <c r="AA9022" s="25" t="n"/>
      <c r="AB9022" s="25" t="n"/>
      <c r="AC9022" s="195" t="n"/>
      <c r="AD9022" s="25" t="n"/>
      <c r="AE9022" s="25" t="n"/>
      <c r="AG9022" s="25" t="n"/>
      <c r="AH9022" s="25" t="n"/>
      <c r="AI9022" s="394" t="n"/>
      <c r="AM9022" s="48" t="n"/>
      <c r="AN9022" s="48" t="n"/>
      <c r="AO9022" s="48" t="n"/>
    </row>
    <row r="9023">
      <c r="M9023" s="25" t="n"/>
      <c r="Q9023" s="25" t="n"/>
      <c r="U9023" s="194" t="n"/>
      <c r="AA9023" s="25" t="n"/>
      <c r="AB9023" s="25" t="n"/>
      <c r="AC9023" s="195" t="n"/>
      <c r="AD9023" s="25" t="n"/>
      <c r="AE9023" s="25" t="n"/>
      <c r="AG9023" s="25" t="n"/>
      <c r="AH9023" s="25" t="n"/>
      <c r="AI9023" s="394" t="n"/>
      <c r="AM9023" s="48" t="n"/>
      <c r="AN9023" s="48" t="n"/>
      <c r="AO9023" s="48" t="n"/>
    </row>
    <row r="9024">
      <c r="M9024" s="25" t="n"/>
      <c r="Q9024" s="25" t="n"/>
      <c r="U9024" s="194" t="n"/>
      <c r="AA9024" s="25" t="n"/>
      <c r="AB9024" s="25" t="n"/>
      <c r="AC9024" s="195" t="n"/>
      <c r="AD9024" s="25" t="n"/>
      <c r="AE9024" s="25" t="n"/>
      <c r="AG9024" s="25" t="n"/>
      <c r="AH9024" s="25" t="n"/>
      <c r="AI9024" s="394" t="n"/>
      <c r="AM9024" s="48" t="n"/>
      <c r="AN9024" s="48" t="n"/>
      <c r="AO9024" s="48" t="n"/>
    </row>
    <row r="9025">
      <c r="M9025" s="25" t="n"/>
      <c r="Q9025" s="25" t="n"/>
      <c r="U9025" s="194" t="n"/>
      <c r="AA9025" s="25" t="n"/>
      <c r="AB9025" s="25" t="n"/>
      <c r="AC9025" s="195" t="n"/>
      <c r="AD9025" s="25" t="n"/>
      <c r="AE9025" s="25" t="n"/>
      <c r="AG9025" s="25" t="n"/>
      <c r="AH9025" s="25" t="n"/>
      <c r="AI9025" s="394" t="n"/>
      <c r="AM9025" s="48" t="n"/>
      <c r="AN9025" s="48" t="n"/>
      <c r="AO9025" s="48" t="n"/>
    </row>
    <row r="9026">
      <c r="M9026" s="25" t="n"/>
      <c r="Q9026" s="25" t="n"/>
      <c r="U9026" s="194" t="n"/>
      <c r="AA9026" s="25" t="n"/>
      <c r="AB9026" s="25" t="n"/>
      <c r="AC9026" s="195" t="n"/>
      <c r="AD9026" s="25" t="n"/>
      <c r="AE9026" s="25" t="n"/>
      <c r="AG9026" s="25" t="n"/>
      <c r="AH9026" s="25" t="n"/>
      <c r="AI9026" s="394" t="n"/>
      <c r="AM9026" s="48" t="n"/>
      <c r="AN9026" s="48" t="n"/>
      <c r="AO9026" s="48" t="n"/>
    </row>
    <row r="9027">
      <c r="M9027" s="25" t="n"/>
      <c r="Q9027" s="25" t="n"/>
      <c r="U9027" s="194" t="n"/>
      <c r="AA9027" s="25" t="n"/>
      <c r="AB9027" s="25" t="n"/>
      <c r="AC9027" s="195" t="n"/>
      <c r="AD9027" s="25" t="n"/>
      <c r="AE9027" s="25" t="n"/>
      <c r="AG9027" s="25" t="n"/>
      <c r="AH9027" s="25" t="n"/>
      <c r="AI9027" s="394" t="n"/>
      <c r="AM9027" s="48" t="n"/>
      <c r="AN9027" s="48" t="n"/>
      <c r="AO9027" s="48" t="n"/>
    </row>
    <row r="9028">
      <c r="M9028" s="25" t="n"/>
      <c r="Q9028" s="25" t="n"/>
      <c r="U9028" s="194" t="n"/>
      <c r="AA9028" s="25" t="n"/>
      <c r="AB9028" s="25" t="n"/>
      <c r="AC9028" s="195" t="n"/>
      <c r="AD9028" s="25" t="n"/>
      <c r="AE9028" s="25" t="n"/>
      <c r="AG9028" s="25" t="n"/>
      <c r="AH9028" s="25" t="n"/>
      <c r="AI9028" s="394" t="n"/>
      <c r="AM9028" s="48" t="n"/>
      <c r="AN9028" s="48" t="n"/>
      <c r="AO9028" s="48" t="n"/>
    </row>
    <row r="9029">
      <c r="M9029" s="25" t="n"/>
      <c r="Q9029" s="25" t="n"/>
      <c r="U9029" s="194" t="n"/>
      <c r="AA9029" s="25" t="n"/>
      <c r="AB9029" s="25" t="n"/>
      <c r="AC9029" s="195" t="n"/>
      <c r="AD9029" s="25" t="n"/>
      <c r="AE9029" s="25" t="n"/>
      <c r="AG9029" s="25" t="n"/>
      <c r="AH9029" s="25" t="n"/>
      <c r="AI9029" s="394" t="n"/>
      <c r="AM9029" s="48" t="n"/>
      <c r="AN9029" s="48" t="n"/>
      <c r="AO9029" s="48" t="n"/>
    </row>
    <row r="9030">
      <c r="M9030" s="25" t="n"/>
      <c r="Q9030" s="25" t="n"/>
      <c r="U9030" s="194" t="n"/>
      <c r="AA9030" s="25" t="n"/>
      <c r="AB9030" s="25" t="n"/>
      <c r="AC9030" s="195" t="n"/>
      <c r="AD9030" s="25" t="n"/>
      <c r="AE9030" s="25" t="n"/>
      <c r="AG9030" s="25" t="n"/>
      <c r="AH9030" s="25" t="n"/>
      <c r="AI9030" s="394" t="n"/>
      <c r="AM9030" s="48" t="n"/>
      <c r="AN9030" s="48" t="n"/>
      <c r="AO9030" s="48" t="n"/>
    </row>
    <row r="9031">
      <c r="M9031" s="25" t="n"/>
      <c r="Q9031" s="25" t="n"/>
      <c r="U9031" s="194" t="n"/>
      <c r="AA9031" s="25" t="n"/>
      <c r="AB9031" s="25" t="n"/>
      <c r="AC9031" s="195" t="n"/>
      <c r="AD9031" s="25" t="n"/>
      <c r="AE9031" s="25" t="n"/>
      <c r="AG9031" s="25" t="n"/>
      <c r="AH9031" s="25" t="n"/>
      <c r="AI9031" s="394" t="n"/>
      <c r="AM9031" s="48" t="n"/>
      <c r="AN9031" s="48" t="n"/>
      <c r="AO9031" s="48" t="n"/>
    </row>
    <row r="9032">
      <c r="M9032" s="25" t="n"/>
      <c r="Q9032" s="25" t="n"/>
      <c r="U9032" s="194" t="n"/>
      <c r="AA9032" s="25" t="n"/>
      <c r="AB9032" s="25" t="n"/>
      <c r="AC9032" s="195" t="n"/>
      <c r="AD9032" s="25" t="n"/>
      <c r="AE9032" s="25" t="n"/>
      <c r="AG9032" s="25" t="n"/>
      <c r="AH9032" s="25" t="n"/>
      <c r="AI9032" s="394" t="n"/>
      <c r="AM9032" s="48" t="n"/>
      <c r="AN9032" s="48" t="n"/>
      <c r="AO9032" s="48" t="n"/>
    </row>
    <row r="9033">
      <c r="M9033" s="25" t="n"/>
      <c r="Q9033" s="25" t="n"/>
      <c r="U9033" s="194" t="n"/>
      <c r="AA9033" s="25" t="n"/>
      <c r="AB9033" s="25" t="n"/>
      <c r="AC9033" s="195" t="n"/>
      <c r="AD9033" s="25" t="n"/>
      <c r="AE9033" s="25" t="n"/>
      <c r="AG9033" s="25" t="n"/>
      <c r="AH9033" s="25" t="n"/>
      <c r="AI9033" s="394" t="n"/>
      <c r="AM9033" s="48" t="n"/>
      <c r="AN9033" s="48" t="n"/>
      <c r="AO9033" s="48" t="n"/>
    </row>
    <row r="9034">
      <c r="M9034" s="25" t="n"/>
      <c r="Q9034" s="25" t="n"/>
      <c r="U9034" s="194" t="n"/>
      <c r="AA9034" s="25" t="n"/>
      <c r="AB9034" s="25" t="n"/>
      <c r="AC9034" s="195" t="n"/>
      <c r="AD9034" s="25" t="n"/>
      <c r="AE9034" s="25" t="n"/>
      <c r="AG9034" s="25" t="n"/>
      <c r="AH9034" s="25" t="n"/>
      <c r="AI9034" s="394" t="n"/>
      <c r="AM9034" s="48" t="n"/>
      <c r="AN9034" s="48" t="n"/>
      <c r="AO9034" s="48" t="n"/>
    </row>
    <row r="9035">
      <c r="M9035" s="25" t="n"/>
      <c r="Q9035" s="25" t="n"/>
      <c r="U9035" s="194" t="n"/>
      <c r="AA9035" s="25" t="n"/>
      <c r="AB9035" s="25" t="n"/>
      <c r="AC9035" s="195" t="n"/>
      <c r="AD9035" s="25" t="n"/>
      <c r="AE9035" s="25" t="n"/>
      <c r="AG9035" s="25" t="n"/>
      <c r="AH9035" s="25" t="n"/>
      <c r="AI9035" s="394" t="n"/>
      <c r="AM9035" s="48" t="n"/>
      <c r="AN9035" s="48" t="n"/>
      <c r="AO9035" s="48" t="n"/>
    </row>
    <row r="9036">
      <c r="M9036" s="25" t="n"/>
      <c r="Q9036" s="25" t="n"/>
      <c r="U9036" s="194" t="n"/>
      <c r="AA9036" s="25" t="n"/>
      <c r="AB9036" s="25" t="n"/>
      <c r="AC9036" s="195" t="n"/>
      <c r="AD9036" s="25" t="n"/>
      <c r="AE9036" s="25" t="n"/>
      <c r="AG9036" s="25" t="n"/>
      <c r="AH9036" s="25" t="n"/>
      <c r="AI9036" s="394" t="n"/>
      <c r="AM9036" s="48" t="n"/>
      <c r="AN9036" s="48" t="n"/>
      <c r="AO9036" s="48" t="n"/>
    </row>
    <row r="9037">
      <c r="M9037" s="25" t="n"/>
      <c r="Q9037" s="25" t="n"/>
      <c r="U9037" s="194" t="n"/>
      <c r="AA9037" s="25" t="n"/>
      <c r="AB9037" s="25" t="n"/>
      <c r="AC9037" s="195" t="n"/>
      <c r="AD9037" s="25" t="n"/>
      <c r="AE9037" s="25" t="n"/>
      <c r="AG9037" s="25" t="n"/>
      <c r="AH9037" s="25" t="n"/>
      <c r="AI9037" s="394" t="n"/>
      <c r="AM9037" s="48" t="n"/>
      <c r="AN9037" s="48" t="n"/>
      <c r="AO9037" s="48" t="n"/>
    </row>
  </sheetData>
  <pageMargins left="0.7" right="0.7" top="0.787401575" bottom="0.787401575" header="0.3" footer="0.3"/>
  <pageSetup orientation="portrait" paperSize="9"/>
  <tableParts count="1">
    <tablePart xmlns:r="http://schemas.openxmlformats.org/officeDocument/2006/relationships" r:id="rId1"/>
  </tableParts>
</worksheet>
</file>

<file path=xl/worksheets/sheet13.xml><?xml version="1.0" encoding="utf-8"?>
<worksheet xmlns="http://schemas.openxmlformats.org/spreadsheetml/2006/main">
  <sheetPr codeName="Tabelle41">
    <tabColor theme="9" tint="0.5999938962981048"/>
    <outlinePr summaryBelow="1" summaryRight="1"/>
    <pageSetUpPr/>
  </sheetPr>
  <dimension ref="A1:N8"/>
  <sheetViews>
    <sheetView showGridLines="0" workbookViewId="0">
      <selection activeCell="N23" sqref="N23"/>
    </sheetView>
  </sheetViews>
  <sheetFormatPr baseColWidth="10" defaultColWidth="11.5" defaultRowHeight="15"/>
  <cols>
    <col width="28.33203125" bestFit="1" customWidth="1" min="1" max="1"/>
    <col width="10.1640625" bestFit="1" customWidth="1" min="2" max="5"/>
    <col width="21" bestFit="1" customWidth="1" min="13" max="13"/>
    <col width="6.1640625" bestFit="1" customWidth="1" min="14" max="14"/>
    <col width="11.6640625" bestFit="1" customWidth="1" min="15" max="17"/>
  </cols>
  <sheetData>
    <row r="1" ht="24" customHeight="1">
      <c r="A1" s="1" t="inlineStr">
        <is>
          <t>Item types</t>
        </is>
      </c>
    </row>
    <row r="2" ht="21" customHeight="1">
      <c r="A2" s="4">
        <f>Start!A2</f>
        <v/>
      </c>
    </row>
    <row r="4">
      <c r="M4" s="105" t="inlineStr">
        <is>
          <t>Zeilenbeschriftungen</t>
        </is>
      </c>
      <c r="N4" t="inlineStr">
        <is>
          <t>_Price</t>
        </is>
      </c>
    </row>
    <row r="5">
      <c r="M5" s="101" t="inlineStr">
        <is>
          <t>Task</t>
        </is>
      </c>
      <c r="N5" s="217" t="n">
        <v>0</v>
      </c>
    </row>
    <row r="6">
      <c r="M6" s="101" t="inlineStr">
        <is>
          <t>Travel time</t>
        </is>
      </c>
      <c r="N6" s="217" t="n">
        <v>0</v>
      </c>
    </row>
    <row r="7">
      <c r="M7" s="101" t="inlineStr">
        <is>
          <t>Warranty</t>
        </is>
      </c>
      <c r="N7" s="217" t="n">
        <v>0</v>
      </c>
    </row>
    <row r="8">
      <c r="M8" s="101" t="inlineStr">
        <is>
          <t>Gesamtergebnis</t>
        </is>
      </c>
      <c r="N8" s="217" t="n">
        <v>0</v>
      </c>
    </row>
  </sheetData>
  <pageMargins left="0.7" right="0.7" top="0.787401575" bottom="0.787401575" header="0.3" footer="0.3"/>
  <pageSetup orientation="portrait" paperSize="9"/>
</worksheet>
</file>

<file path=xl/worksheets/sheet14.xml><?xml version="1.0" encoding="utf-8"?>
<worksheet xmlns="http://schemas.openxmlformats.org/spreadsheetml/2006/main">
  <sheetPr codeName="Tabelle18">
    <tabColor theme="9" tint="0.5999938962981048"/>
    <outlinePr summaryBelow="1" summaryRight="1"/>
    <pageSetUpPr/>
  </sheetPr>
  <dimension ref="A1:H32"/>
  <sheetViews>
    <sheetView showGridLines="0" workbookViewId="0">
      <selection activeCell="I7" sqref="I7"/>
    </sheetView>
  </sheetViews>
  <sheetFormatPr baseColWidth="10" defaultColWidth="11.5" defaultRowHeight="15"/>
  <cols>
    <col width="39.33203125" bestFit="1" customWidth="1" style="101" min="1" max="1"/>
    <col width="35.5" customWidth="1" min="2" max="2"/>
    <col width="36.1640625" customWidth="1" style="54" min="3" max="3"/>
    <col width="22.1640625" customWidth="1" style="54" min="4" max="4"/>
    <col width="15.83203125" customWidth="1" style="54" min="5" max="5"/>
    <col width="11.5" bestFit="1" customWidth="1" min="6" max="6"/>
    <col width="11.83203125" bestFit="1" customWidth="1" min="7" max="10"/>
    <col width="14.83203125" bestFit="1" customWidth="1" min="11" max="11"/>
    <col width="15.5" bestFit="1" customWidth="1" min="12" max="12"/>
    <col width="15.83203125" bestFit="1" customWidth="1" min="13" max="13"/>
  </cols>
  <sheetData>
    <row r="1" ht="24" customHeight="1">
      <c r="A1" s="1" t="inlineStr">
        <is>
          <t>Project tasks</t>
        </is>
      </c>
    </row>
    <row r="2" ht="21" customHeight="1">
      <c r="A2" s="4">
        <f>Start!A2</f>
        <v/>
      </c>
    </row>
    <row r="4">
      <c r="A4" s="105" t="inlineStr">
        <is>
          <t>Task group</t>
        </is>
      </c>
      <c r="B4" s="105" t="inlineStr">
        <is>
          <t>Summary task</t>
        </is>
      </c>
      <c r="C4" s="105" t="inlineStr">
        <is>
          <t>Task</t>
        </is>
      </c>
      <c r="D4" t="inlineStr">
        <is>
          <t>Item type</t>
        </is>
      </c>
      <c r="E4" s="54" t="inlineStr">
        <is>
          <t>_Effort</t>
        </is>
      </c>
      <c r="F4" s="54" t="inlineStr">
        <is>
          <t>_Costs</t>
        </is>
      </c>
      <c r="G4" s="54" t="inlineStr">
        <is>
          <t>_Price</t>
        </is>
      </c>
      <c r="H4" s="54" t="inlineStr">
        <is>
          <t>_Margin</t>
        </is>
      </c>
    </row>
    <row r="5">
      <c r="A5" t="inlineStr">
        <is>
          <t>(Leer)</t>
        </is>
      </c>
      <c r="B5" t="inlineStr">
        <is>
          <t>Gewährleistung</t>
        </is>
      </c>
      <c r="C5" t="inlineStr">
        <is>
          <t>Gewährleistung</t>
        </is>
      </c>
      <c r="D5" t="inlineStr">
        <is>
          <t>Warranty</t>
        </is>
      </c>
      <c r="E5" s="523" t="n">
        <v>0</v>
      </c>
      <c r="F5" s="113" t="n">
        <v>0</v>
      </c>
      <c r="G5" s="113" t="n">
        <v>0</v>
      </c>
      <c r="H5" s="113" t="n">
        <v>0</v>
      </c>
    </row>
    <row r="6">
      <c r="B6" t="inlineStr">
        <is>
          <t>Implementierung</t>
        </is>
      </c>
      <c r="C6" t="inlineStr">
        <is>
          <t>Fehlerbearb. nach BzA</t>
        </is>
      </c>
      <c r="D6" t="inlineStr">
        <is>
          <t>Task</t>
        </is>
      </c>
      <c r="E6" s="523" t="n">
        <v>0</v>
      </c>
      <c r="F6" s="113" t="n">
        <v>0</v>
      </c>
      <c r="G6" s="113" t="n">
        <v>0</v>
      </c>
      <c r="H6" s="113" t="n">
        <v>0</v>
      </c>
    </row>
    <row r="7">
      <c r="C7" t="inlineStr">
        <is>
          <t>Performance Test</t>
        </is>
      </c>
      <c r="D7" t="inlineStr">
        <is>
          <t>Task</t>
        </is>
      </c>
      <c r="E7" s="523" t="n">
        <v>0</v>
      </c>
      <c r="F7" s="113" t="n">
        <v>0</v>
      </c>
      <c r="G7" s="113" t="n">
        <v>0</v>
      </c>
      <c r="H7" s="113" t="n">
        <v>0</v>
      </c>
    </row>
    <row r="8">
      <c r="C8" t="inlineStr">
        <is>
          <t>Software-entwicklung</t>
        </is>
      </c>
      <c r="D8" t="inlineStr">
        <is>
          <t>Task</t>
        </is>
      </c>
      <c r="E8" s="523" t="n">
        <v>0</v>
      </c>
      <c r="F8" s="113" t="n">
        <v>0</v>
      </c>
      <c r="G8" s="113" t="n">
        <v>0</v>
      </c>
      <c r="H8" s="113" t="n">
        <v>0</v>
      </c>
    </row>
    <row r="9">
      <c r="C9" t="inlineStr">
        <is>
          <t>Erstellung Anwenderhandbuch</t>
        </is>
      </c>
      <c r="D9" t="inlineStr">
        <is>
          <t>Task</t>
        </is>
      </c>
      <c r="E9" s="523" t="n">
        <v>0</v>
      </c>
      <c r="F9" s="113" t="n">
        <v>0</v>
      </c>
      <c r="G9" s="113" t="n">
        <v>0</v>
      </c>
      <c r="H9" s="113" t="n">
        <v>0</v>
      </c>
    </row>
    <row r="10">
      <c r="C10" t="inlineStr">
        <is>
          <t>Datenmigration</t>
        </is>
      </c>
      <c r="D10" t="inlineStr">
        <is>
          <t>Task</t>
        </is>
      </c>
      <c r="E10" s="523" t="n">
        <v>0</v>
      </c>
      <c r="F10" s="113" t="n">
        <v>0</v>
      </c>
      <c r="G10" s="113" t="n">
        <v>0</v>
      </c>
      <c r="H10" s="113" t="n">
        <v>0</v>
      </c>
    </row>
    <row r="11">
      <c r="C11" t="inlineStr">
        <is>
          <t>Softwaretest</t>
        </is>
      </c>
      <c r="D11" t="inlineStr">
        <is>
          <t>Task</t>
        </is>
      </c>
      <c r="E11" s="523" t="n">
        <v>0</v>
      </c>
      <c r="F11" s="113" t="n">
        <v>0</v>
      </c>
      <c r="G11" s="113" t="n">
        <v>0</v>
      </c>
      <c r="H11" s="113" t="n">
        <v>0</v>
      </c>
    </row>
    <row r="12">
      <c r="C12" t="inlineStr">
        <is>
          <t>Entwicklung und Wartung Testautomatisierung</t>
        </is>
      </c>
      <c r="D12" t="inlineStr">
        <is>
          <t>Task</t>
        </is>
      </c>
      <c r="E12" s="523" t="n">
        <v>0</v>
      </c>
      <c r="F12" s="113" t="n">
        <v>0</v>
      </c>
      <c r="G12" s="113" t="n">
        <v>0</v>
      </c>
      <c r="H12" s="113" t="n">
        <v>0</v>
      </c>
    </row>
    <row r="13">
      <c r="C13" t="inlineStr">
        <is>
          <t>Sicherheitsprüfung</t>
        </is>
      </c>
      <c r="D13" t="inlineStr">
        <is>
          <t>Task</t>
        </is>
      </c>
      <c r="E13" s="523" t="n">
        <v>0</v>
      </c>
      <c r="F13" s="113" t="n">
        <v>0</v>
      </c>
      <c r="G13" s="113" t="n">
        <v>0</v>
      </c>
      <c r="H13" s="113" t="n">
        <v>0</v>
      </c>
    </row>
    <row r="14">
      <c r="C14" t="inlineStr">
        <is>
          <t>Kundenschulung</t>
        </is>
      </c>
      <c r="D14" t="inlineStr">
        <is>
          <t>Task</t>
        </is>
      </c>
      <c r="E14" s="523" t="n">
        <v>0</v>
      </c>
      <c r="F14" s="113" t="n">
        <v>0</v>
      </c>
      <c r="G14" s="113" t="n">
        <v>0</v>
      </c>
      <c r="H14" s="113" t="n">
        <v>0</v>
      </c>
    </row>
    <row r="15">
      <c r="C15" t="inlineStr">
        <is>
          <t>Unterstützung des Kunden bei der Installation und Konfiguration der Software</t>
        </is>
      </c>
      <c r="D15" t="inlineStr">
        <is>
          <t>Task</t>
        </is>
      </c>
      <c r="E15" s="523" t="n">
        <v>0</v>
      </c>
      <c r="F15" s="113" t="n">
        <v>0</v>
      </c>
      <c r="G15" s="113" t="n">
        <v>0</v>
      </c>
      <c r="H15" s="113" t="n">
        <v>0</v>
      </c>
    </row>
    <row r="16">
      <c r="C16" t="inlineStr">
        <is>
          <t>Analyse &amp; Software Design</t>
        </is>
      </c>
      <c r="D16" t="inlineStr">
        <is>
          <t>Task</t>
        </is>
      </c>
      <c r="E16" s="523" t="n">
        <v>0</v>
      </c>
      <c r="F16" s="113" t="n">
        <v>0</v>
      </c>
      <c r="G16" s="113" t="n">
        <v>0</v>
      </c>
      <c r="H16" s="113" t="n">
        <v>0</v>
      </c>
    </row>
    <row r="17">
      <c r="B17" t="inlineStr">
        <is>
          <t>Übergreifende Aufgaben</t>
        </is>
      </c>
      <c r="C17" t="inlineStr">
        <is>
          <t>DevOps Support</t>
        </is>
      </c>
      <c r="D17" t="inlineStr">
        <is>
          <t>Task</t>
        </is>
      </c>
      <c r="E17" s="523" t="n">
        <v>0</v>
      </c>
      <c r="F17" s="113" t="n">
        <v>0</v>
      </c>
      <c r="G17" s="113" t="n">
        <v>0</v>
      </c>
      <c r="H17" s="113" t="n">
        <v>0</v>
      </c>
    </row>
    <row r="18">
      <c r="C18" t="inlineStr">
        <is>
          <t>Reisezeiten</t>
        </is>
      </c>
      <c r="D18" t="inlineStr">
        <is>
          <t>Travel time</t>
        </is>
      </c>
      <c r="E18" s="523" t="n">
        <v>0</v>
      </c>
      <c r="F18" s="113" t="n">
        <v>0</v>
      </c>
      <c r="G18" s="113" t="n">
        <v>0</v>
      </c>
      <c r="H18" s="113" t="n">
        <v>0</v>
      </c>
    </row>
    <row r="19">
      <c r="C19" t="inlineStr">
        <is>
          <t>Projektmanagement</t>
        </is>
      </c>
      <c r="D19" t="inlineStr">
        <is>
          <t>Task</t>
        </is>
      </c>
      <c r="E19" s="523" t="n">
        <v>0</v>
      </c>
      <c r="F19" s="113" t="n">
        <v>0</v>
      </c>
      <c r="G19" s="113" t="n">
        <v>0</v>
      </c>
      <c r="H19" s="113" t="n">
        <v>0</v>
      </c>
    </row>
    <row r="20">
      <c r="C20" t="inlineStr">
        <is>
          <t>Testmanagement</t>
        </is>
      </c>
      <c r="D20" t="inlineStr">
        <is>
          <t>Task</t>
        </is>
      </c>
      <c r="E20" s="523" t="n">
        <v>0</v>
      </c>
      <c r="F20" s="113" t="n">
        <v>0</v>
      </c>
      <c r="G20" s="113" t="n">
        <v>0</v>
      </c>
      <c r="H20" s="113" t="n">
        <v>0</v>
      </c>
    </row>
    <row r="21">
      <c r="C21" t="inlineStr">
        <is>
          <t>Projektmeetings</t>
        </is>
      </c>
      <c r="D21" t="inlineStr">
        <is>
          <t>Task</t>
        </is>
      </c>
      <c r="E21" s="523" t="n">
        <v>0</v>
      </c>
      <c r="F21" s="113" t="n">
        <v>0</v>
      </c>
      <c r="G21" s="113" t="n">
        <v>0</v>
      </c>
      <c r="H21" s="113" t="n">
        <v>0</v>
      </c>
    </row>
    <row r="22">
      <c r="C22" t="inlineStr">
        <is>
          <t>Architekturmanagement</t>
        </is>
      </c>
      <c r="D22" t="inlineStr">
        <is>
          <t>Task</t>
        </is>
      </c>
      <c r="E22" s="523" t="n">
        <v>0</v>
      </c>
      <c r="F22" s="113" t="n">
        <v>0</v>
      </c>
      <c r="G22" s="113" t="n">
        <v>0</v>
      </c>
      <c r="H22" s="113" t="n">
        <v>0</v>
      </c>
    </row>
    <row r="23">
      <c r="C23" t="inlineStr">
        <is>
          <t>Smartshoremanagement</t>
        </is>
      </c>
      <c r="D23" t="inlineStr">
        <is>
          <t>Task</t>
        </is>
      </c>
      <c r="E23" s="523" t="n">
        <v>0</v>
      </c>
      <c r="F23" s="113" t="n">
        <v>0</v>
      </c>
      <c r="G23" s="113" t="n">
        <v>0</v>
      </c>
      <c r="H23" s="113" t="n">
        <v>0</v>
      </c>
    </row>
    <row r="24">
      <c r="B24" t="inlineStr">
        <is>
          <t>Inititialisierung</t>
        </is>
      </c>
      <c r="C24" t="inlineStr">
        <is>
          <t>Projektinitialisierung und -planung</t>
        </is>
      </c>
      <c r="D24" t="inlineStr">
        <is>
          <t>Task</t>
        </is>
      </c>
      <c r="E24" s="523" t="n">
        <v>0</v>
      </c>
      <c r="F24" s="113" t="n">
        <v>0</v>
      </c>
      <c r="G24" s="113" t="n">
        <v>0</v>
      </c>
      <c r="H24" s="113" t="n">
        <v>0</v>
      </c>
    </row>
    <row r="25">
      <c r="C25" t="inlineStr">
        <is>
          <t>Erstellung Testkonzept</t>
        </is>
      </c>
      <c r="D25" t="inlineStr">
        <is>
          <t>Task</t>
        </is>
      </c>
      <c r="E25" s="523" t="n">
        <v>0</v>
      </c>
      <c r="F25" s="113" t="n">
        <v>0</v>
      </c>
      <c r="G25" s="113" t="n">
        <v>0</v>
      </c>
      <c r="H25" s="113" t="n">
        <v>0</v>
      </c>
    </row>
    <row r="26">
      <c r="C26" t="inlineStr">
        <is>
          <t>Planung und Durchführung Projekt Kick Off-Meeting</t>
        </is>
      </c>
      <c r="D26" t="inlineStr">
        <is>
          <t>Task</t>
        </is>
      </c>
      <c r="E26" s="523" t="n">
        <v>0</v>
      </c>
      <c r="F26" s="113" t="n">
        <v>0</v>
      </c>
      <c r="G26" s="113" t="n">
        <v>0</v>
      </c>
      <c r="H26" s="113" t="n">
        <v>0</v>
      </c>
    </row>
    <row r="27">
      <c r="C27" t="inlineStr">
        <is>
          <t>Erstellung Software Architekturkonzept</t>
        </is>
      </c>
      <c r="D27" t="inlineStr">
        <is>
          <t>Task</t>
        </is>
      </c>
      <c r="E27" s="523" t="n">
        <v>0</v>
      </c>
      <c r="F27" s="113" t="n">
        <v>0</v>
      </c>
      <c r="G27" s="113" t="n">
        <v>0</v>
      </c>
      <c r="H27" s="113" t="n">
        <v>0</v>
      </c>
    </row>
    <row r="28">
      <c r="C28" t="inlineStr">
        <is>
          <t>Aufbau Entwicklungsumgebung</t>
        </is>
      </c>
      <c r="D28" t="inlineStr">
        <is>
          <t>Task</t>
        </is>
      </c>
      <c r="E28" s="523" t="n">
        <v>0</v>
      </c>
      <c r="F28" s="113" t="n">
        <v>0</v>
      </c>
      <c r="G28" s="113" t="n">
        <v>0</v>
      </c>
      <c r="H28" s="113" t="n">
        <v>0</v>
      </c>
    </row>
    <row r="29">
      <c r="A29" t="inlineStr">
        <is>
          <t>(Leer) Ergebnis</t>
        </is>
      </c>
      <c r="E29" s="523" t="n">
        <v>0</v>
      </c>
      <c r="F29" s="113" t="n">
        <v>0</v>
      </c>
      <c r="G29" s="113" t="n">
        <v>0</v>
      </c>
      <c r="H29" s="113" t="n">
        <v>0</v>
      </c>
    </row>
    <row r="30">
      <c r="A30" s="101" t="inlineStr">
        <is>
          <t>Gesamtergebnis</t>
        </is>
      </c>
      <c r="B30" s="101" t="n"/>
      <c r="C30" s="101" t="n"/>
      <c r="D30" s="101" t="n"/>
      <c r="E30" s="523" t="n">
        <v>0</v>
      </c>
      <c r="F30" s="113" t="n">
        <v>0</v>
      </c>
      <c r="G30" s="113" t="n">
        <v>0</v>
      </c>
      <c r="H30" s="113" t="n">
        <v>0</v>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sheetData>
  <conditionalFormatting sqref="" pivot="1">
    <cfRule type="dataBar" priority="1">
      <dataBar>
        <cfvo type="min"/>
        <cfvo type="max"/>
        <color rgb="FF63C384"/>
      </dataBar>
    </cfRule>
  </conditionalFormatting>
  <pageMargins left="0.7" right="0.7" top="0.787401575" bottom="0.787401575" header="0.3" footer="0.3"/>
  <pageSetup orientation="portrait" paperSize="9"/>
</worksheet>
</file>

<file path=xl/worksheets/sheet15.xml><?xml version="1.0" encoding="utf-8"?>
<worksheet xmlns="http://schemas.openxmlformats.org/spreadsheetml/2006/main">
  <sheetPr codeName="Tabelle27">
    <tabColor theme="9" tint="0.5999938962981048"/>
    <outlinePr summaryBelow="1" summaryRight="1"/>
    <pageSetUpPr/>
  </sheetPr>
  <dimension ref="A1:G16"/>
  <sheetViews>
    <sheetView showGridLines="0" workbookViewId="0">
      <selection activeCell="C5" sqref="C5"/>
    </sheetView>
  </sheetViews>
  <sheetFormatPr baseColWidth="10" defaultColWidth="11.5" defaultRowHeight="15"/>
  <cols>
    <col width="34.5" bestFit="1" customWidth="1" style="101" min="1" max="1"/>
    <col width="24" bestFit="1" customWidth="1" min="2" max="2"/>
    <col width="36.5" bestFit="1" customWidth="1" style="54" min="3" max="3"/>
    <col width="11.33203125" bestFit="1" customWidth="1" style="54" min="4" max="4"/>
    <col width="12.83203125" bestFit="1" customWidth="1" style="54" min="5" max="7"/>
    <col width="12.83203125" bestFit="1" customWidth="1" min="8" max="9"/>
    <col width="14.5" bestFit="1" customWidth="1" min="10" max="11"/>
    <col width="12.83203125" bestFit="1" customWidth="1" min="12" max="52"/>
    <col width="14.5" bestFit="1" customWidth="1" min="53" max="53"/>
    <col width="12.83203125" bestFit="1" customWidth="1" min="54" max="73"/>
    <col width="14.5" bestFit="1" customWidth="1" min="74" max="74"/>
  </cols>
  <sheetData>
    <row r="1" ht="24" customHeight="1">
      <c r="A1" s="1" t="inlineStr">
        <is>
          <t>Project tasks over time</t>
        </is>
      </c>
    </row>
    <row r="2" ht="21" customHeight="1">
      <c r="A2" s="4">
        <f>Start!A2</f>
        <v/>
      </c>
    </row>
    <row r="4">
      <c r="A4" s="105" t="inlineStr">
        <is>
          <t>_Effort</t>
        </is>
      </c>
      <c r="E4" s="105" t="inlineStr">
        <is>
          <t>Period start</t>
        </is>
      </c>
    </row>
    <row r="5">
      <c r="A5" s="105" t="inlineStr">
        <is>
          <t>Task group</t>
        </is>
      </c>
      <c r="B5" s="105" t="inlineStr">
        <is>
          <t>Summary task</t>
        </is>
      </c>
      <c r="C5" s="105" t="inlineStr">
        <is>
          <t>Task</t>
        </is>
      </c>
      <c r="D5" t="inlineStr">
        <is>
          <t>Item type</t>
        </is>
      </c>
      <c r="E5" s="318" t="inlineStr">
        <is>
          <t>Gesamtergebnis</t>
        </is>
      </c>
    </row>
    <row r="6">
      <c r="A6" s="101" t="inlineStr">
        <is>
          <t>Gesamtergebnis</t>
        </is>
      </c>
      <c r="B6" s="101" t="n"/>
      <c r="C6" s="101" t="n"/>
      <c r="D6" s="101" t="n"/>
      <c r="E6" s="523" t="n"/>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sheetData>
  <pageMargins left="0.7" right="0.7" top="0.787401575" bottom="0.787401575" header="0.3" footer="0.3"/>
  <pageSetup orientation="portrait" paperSize="9"/>
</worksheet>
</file>

<file path=xl/worksheets/sheet16.xml><?xml version="1.0" encoding="utf-8"?>
<worksheet xmlns="http://schemas.openxmlformats.org/spreadsheetml/2006/main">
  <sheetPr codeName="Tabelle34">
    <tabColor theme="9" tint="0.5999938962981048"/>
    <outlinePr summaryBelow="1" summaryRight="1"/>
    <pageSetUpPr/>
  </sheetPr>
  <dimension ref="A1:G48"/>
  <sheetViews>
    <sheetView showGridLines="0" workbookViewId="0">
      <selection activeCell="L19" sqref="L19"/>
    </sheetView>
  </sheetViews>
  <sheetFormatPr baseColWidth="10" defaultColWidth="11.5" defaultRowHeight="15"/>
  <cols>
    <col width="14.5" bestFit="1" customWidth="1" style="101" min="1" max="1"/>
    <col width="14.5" bestFit="1" customWidth="1" min="2" max="2"/>
    <col width="25.33203125" bestFit="1" customWidth="1" style="54" min="3" max="7"/>
    <col width="14.5" bestFit="1" customWidth="1" min="8" max="8"/>
    <col width="23.83203125" bestFit="1" customWidth="1" min="9" max="9"/>
    <col width="14.5" bestFit="1" customWidth="1" min="10" max="10"/>
    <col width="28.5" bestFit="1" customWidth="1" min="11" max="15"/>
    <col width="14.5" bestFit="1" customWidth="1" min="16" max="17"/>
    <col width="32.5" bestFit="1" customWidth="1" min="18" max="23"/>
    <col width="12.1640625" bestFit="1" customWidth="1" min="24" max="24"/>
    <col width="15.5" bestFit="1" customWidth="1" min="25" max="25"/>
    <col width="12.83203125" bestFit="1" customWidth="1" min="26" max="58"/>
    <col width="14.5" bestFit="1" customWidth="1" min="59" max="59"/>
  </cols>
  <sheetData>
    <row r="1" ht="24" customHeight="1">
      <c r="A1" s="1" t="inlineStr">
        <is>
          <t>Project tasks over time</t>
        </is>
      </c>
    </row>
    <row r="2" ht="21" customHeight="1">
      <c r="A2" s="4">
        <f>Start!A2</f>
        <v/>
      </c>
    </row>
    <row r="31">
      <c r="A31" s="105" t="inlineStr">
        <is>
          <t>_Effort</t>
        </is>
      </c>
      <c r="B31" s="105" t="inlineStr">
        <is>
          <t>Task group</t>
        </is>
      </c>
    </row>
    <row r="32">
      <c r="A32" s="105" t="inlineStr">
        <is>
          <t>Period start</t>
        </is>
      </c>
      <c r="B32" s="54" t="inlineStr">
        <is>
          <t>Gesamtergebnis</t>
        </is>
      </c>
    </row>
    <row r="33">
      <c r="A33" s="319" t="inlineStr">
        <is>
          <t>Gesamtergebnis</t>
        </is>
      </c>
      <c r="B33" s="523" t="n"/>
    </row>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sheetData>
  <pageMargins left="0.7" right="0.7" top="0.787401575" bottom="0.787401575" header="0.3" footer="0.3"/>
  <pageSetup orientation="portrait" paperSize="9"/>
</worksheet>
</file>

<file path=xl/worksheets/sheet17.xml><?xml version="1.0" encoding="utf-8"?>
<worksheet xmlns="http://schemas.openxmlformats.org/spreadsheetml/2006/main">
  <sheetPr codeName="Tabelle12">
    <tabColor theme="9" tint="0.5999938962981048"/>
    <outlinePr summaryBelow="1" summaryRight="1"/>
    <pageSetUpPr/>
  </sheetPr>
  <dimension ref="A1:J16"/>
  <sheetViews>
    <sheetView showGridLines="0" workbookViewId="0">
      <selection activeCell="K7" sqref="K7"/>
    </sheetView>
  </sheetViews>
  <sheetFormatPr baseColWidth="10" defaultColWidth="11.5" defaultRowHeight="15"/>
  <cols>
    <col width="15.5" bestFit="1" customWidth="1" style="101" min="1" max="1"/>
    <col width="35.5" customWidth="1" min="2" max="2"/>
    <col width="23" bestFit="1" customWidth="1" style="54" min="3" max="3"/>
    <col width="15.5" bestFit="1" customWidth="1" style="54" min="4" max="4"/>
    <col width="15.83203125" customWidth="1" style="54" min="5" max="5"/>
    <col width="11.5" bestFit="1" customWidth="1" min="6" max="6"/>
    <col width="11.83203125" bestFit="1" customWidth="1" min="7" max="7"/>
    <col width="11.83203125" bestFit="1" customWidth="1" style="54" min="8" max="10"/>
    <col width="14.83203125" bestFit="1" customWidth="1" min="11" max="11"/>
    <col width="15.5" bestFit="1" customWidth="1" min="12" max="12"/>
    <col width="15.83203125" bestFit="1" customWidth="1" min="13" max="13"/>
  </cols>
  <sheetData>
    <row r="1" ht="24" customHeight="1">
      <c r="A1" s="1" t="inlineStr">
        <is>
          <t>Features</t>
        </is>
      </c>
    </row>
    <row r="2" ht="21" customHeight="1">
      <c r="A2" s="4">
        <f>Start!A2</f>
        <v/>
      </c>
    </row>
    <row r="4">
      <c r="A4" s="105" t="inlineStr">
        <is>
          <t>Feature group</t>
        </is>
      </c>
      <c r="B4" s="105" t="inlineStr">
        <is>
          <t>Feature sub group</t>
        </is>
      </c>
      <c r="C4" t="inlineStr">
        <is>
          <t>Feature</t>
        </is>
      </c>
      <c r="D4" s="105" t="inlineStr">
        <is>
          <t>Sub feature</t>
        </is>
      </c>
      <c r="E4" s="105" t="inlineStr">
        <is>
          <t>Feature id</t>
        </is>
      </c>
      <c r="F4" t="inlineStr">
        <is>
          <t>Item type</t>
        </is>
      </c>
      <c r="G4" s="54" t="inlineStr">
        <is>
          <t>_Effort</t>
        </is>
      </c>
      <c r="H4" s="54" t="inlineStr">
        <is>
          <t>_Costs</t>
        </is>
      </c>
      <c r="I4" s="54" t="inlineStr">
        <is>
          <t>_Price</t>
        </is>
      </c>
      <c r="J4" s="54" t="inlineStr">
        <is>
          <t>_Margin</t>
        </is>
      </c>
    </row>
    <row r="5">
      <c r="A5" s="101" t="inlineStr">
        <is>
          <t>Gesamtergebnis</t>
        </is>
      </c>
      <c r="B5" s="101" t="n"/>
      <c r="C5" s="101" t="n"/>
      <c r="D5" s="101" t="n"/>
      <c r="E5" s="101" t="n"/>
      <c r="F5" s="101" t="n"/>
      <c r="G5" s="523" t="n"/>
      <c r="H5" s="113" t="n"/>
      <c r="I5" s="113" t="n"/>
      <c r="J5" s="113" t="n"/>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sheetData>
  <conditionalFormatting sqref="" pivot="1">
    <cfRule type="dataBar" priority="1">
      <dataBar>
        <cfvo type="min"/>
        <cfvo type="max"/>
        <color rgb="FF63C384"/>
      </dataBar>
    </cfRule>
  </conditionalFormatting>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6">
    <tabColor theme="9" tint="0.5999938962981048"/>
    <outlinePr summaryBelow="1" summaryRight="1"/>
    <pageSetUpPr/>
  </sheetPr>
  <dimension ref="A1:I125"/>
  <sheetViews>
    <sheetView showGridLines="0" workbookViewId="0">
      <selection activeCell="A7" sqref="A7"/>
    </sheetView>
  </sheetViews>
  <sheetFormatPr baseColWidth="10" defaultColWidth="11.5" defaultRowHeight="15"/>
  <cols>
    <col width="38.5" customWidth="1" style="101" min="1" max="1"/>
    <col width="17.6640625" customWidth="1" style="54" min="2" max="2"/>
    <col width="15.83203125" customWidth="1" min="3" max="3"/>
    <col width="13.83203125" bestFit="1" customWidth="1" min="4" max="4"/>
    <col width="11.83203125" bestFit="1" customWidth="1" min="5" max="5"/>
    <col width="13.6640625" bestFit="1" customWidth="1" min="6" max="6"/>
    <col width="14.1640625" customWidth="1" min="7" max="7"/>
    <col width="15.5" customWidth="1" min="8" max="8"/>
    <col width="14.83203125" customWidth="1" min="9" max="9"/>
    <col width="15.83203125" customWidth="1" min="10" max="10"/>
    <col width="14.83203125" bestFit="1" customWidth="1" min="11" max="11"/>
    <col width="15.5" bestFit="1" customWidth="1" min="12" max="12"/>
    <col width="15.83203125" bestFit="1" customWidth="1" min="13" max="13"/>
  </cols>
  <sheetData>
    <row r="1" ht="24" customHeight="1">
      <c r="A1" s="1" t="inlineStr">
        <is>
          <t>Project roles</t>
        </is>
      </c>
    </row>
    <row r="2" ht="21" customHeight="1">
      <c r="A2" s="4">
        <f>Start!A2</f>
        <v/>
      </c>
    </row>
    <row r="3" ht="21" customHeight="1">
      <c r="A3" s="4" t="n"/>
    </row>
    <row r="4">
      <c r="A4" s="205" t="inlineStr">
        <is>
          <t>Item type</t>
        </is>
      </c>
      <c r="B4" t="inlineStr">
        <is>
          <t>(Alle)</t>
        </is>
      </c>
    </row>
    <row r="6">
      <c r="A6" s="105" t="inlineStr">
        <is>
          <t>Project Role</t>
        </is>
      </c>
      <c r="B6" s="105" t="inlineStr">
        <is>
          <t>Company</t>
        </is>
      </c>
      <c r="C6" s="105" t="inlineStr">
        <is>
          <t>Country</t>
        </is>
      </c>
      <c r="D6" s="105" t="inlineStr">
        <is>
          <t>Location</t>
        </is>
      </c>
      <c r="E6" s="105" t="inlineStr">
        <is>
          <t>Seniority Level</t>
        </is>
      </c>
      <c r="F6" s="54" t="inlineStr">
        <is>
          <t>_Effort</t>
        </is>
      </c>
      <c r="G6" s="54" t="inlineStr">
        <is>
          <t>_Costs</t>
        </is>
      </c>
      <c r="H6" s="54" t="inlineStr">
        <is>
          <t>_Price</t>
        </is>
      </c>
      <c r="I6" s="54" t="inlineStr">
        <is>
          <t>_Margin</t>
        </is>
      </c>
    </row>
    <row r="7">
      <c r="A7" t="inlineStr">
        <is>
          <t>Any role</t>
        </is>
      </c>
      <c r="B7" t="inlineStr">
        <is>
          <t>any</t>
        </is>
      </c>
      <c r="C7" t="inlineStr">
        <is>
          <t>any</t>
        </is>
      </c>
      <c r="D7" t="inlineStr">
        <is>
          <t>any</t>
        </is>
      </c>
      <c r="E7" t="inlineStr">
        <is>
          <t>any</t>
        </is>
      </c>
      <c r="F7" s="523" t="n">
        <v>0</v>
      </c>
      <c r="G7" s="113" t="n">
        <v>0</v>
      </c>
      <c r="H7" s="113" t="n">
        <v>0</v>
      </c>
      <c r="I7" s="113" t="n">
        <v>0</v>
      </c>
    </row>
    <row r="8">
      <c r="A8" s="101" t="inlineStr">
        <is>
          <t>Gesamtergebnis</t>
        </is>
      </c>
      <c r="B8" s="101" t="n"/>
      <c r="C8" s="101" t="n"/>
      <c r="D8" s="101" t="n"/>
      <c r="E8" s="101" t="n"/>
      <c r="F8" s="523" t="n">
        <v>0</v>
      </c>
      <c r="G8" s="113" t="n">
        <v>0</v>
      </c>
      <c r="H8" s="113" t="n">
        <v>0</v>
      </c>
      <c r="I8" s="113" t="n">
        <v>0</v>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sheetData>
  <conditionalFormatting sqref="" pivot="1">
    <cfRule type="dataBar" priority="1">
      <dataBar>
        <cfvo type="min"/>
        <cfvo type="max"/>
        <color rgb="FF63C384"/>
      </dataBar>
    </cfRule>
  </conditionalFormatting>
  <pageMargins left="0.7" right="0.7" top="0.787401575" bottom="0.787401575" header="0.3" footer="0.3"/>
  <pageSetup orientation="portrait" paperSize="9"/>
</worksheet>
</file>

<file path=xl/worksheets/sheet19.xml><?xml version="1.0" encoding="utf-8"?>
<worksheet xmlns="http://schemas.openxmlformats.org/spreadsheetml/2006/main">
  <sheetPr codeName="Tabelle36">
    <tabColor theme="9" tint="0.5999938962981048"/>
    <outlinePr summaryBelow="1" summaryRight="1"/>
    <pageSetUpPr/>
  </sheetPr>
  <dimension ref="A1:B230"/>
  <sheetViews>
    <sheetView showGridLines="0" workbookViewId="0">
      <selection activeCell="A1" sqref="A1"/>
    </sheetView>
  </sheetViews>
  <sheetFormatPr baseColWidth="10" defaultColWidth="11.5" defaultRowHeight="15"/>
  <cols>
    <col width="38.5" customWidth="1" style="101" min="1" max="1"/>
    <col width="18.5" customWidth="1" style="54" min="2" max="2"/>
    <col width="15.83203125" customWidth="1" min="3" max="3"/>
    <col width="13.83203125" bestFit="1" customWidth="1" min="4" max="4"/>
    <col width="11.83203125" bestFit="1" customWidth="1" min="5" max="5"/>
    <col width="13.6640625" customWidth="1" min="6" max="13"/>
  </cols>
  <sheetData>
    <row r="1" ht="24" customHeight="1">
      <c r="A1" s="1" t="inlineStr">
        <is>
          <t>Project roles over time</t>
        </is>
      </c>
    </row>
    <row r="2" ht="21" customHeight="1">
      <c r="A2" s="4">
        <f>Start!A2</f>
        <v/>
      </c>
    </row>
    <row r="3"/>
    <row r="4"/>
    <row r="5"/>
    <row r="6"/>
    <row r="7"/>
    <row r="8"/>
    <row r="9"/>
    <row r="10"/>
    <row r="11"/>
    <row r="12"/>
    <row r="13"/>
    <row r="14"/>
    <row r="15"/>
    <row r="16"/>
    <row r="17"/>
    <row r="18"/>
    <row r="19"/>
    <row r="20"/>
    <row r="21"/>
    <row r="22"/>
    <row r="23"/>
    <row r="24"/>
    <row r="25"/>
    <row r="26"/>
    <row r="27"/>
    <row r="28"/>
    <row r="29"/>
    <row r="30"/>
    <row r="31">
      <c r="A31" s="105" t="inlineStr">
        <is>
          <t>Company</t>
        </is>
      </c>
      <c r="B31" t="inlineStr">
        <is>
          <t>(Alle)</t>
        </is>
      </c>
    </row>
    <row r="32">
      <c r="A32" s="105" t="inlineStr">
        <is>
          <t>Country</t>
        </is>
      </c>
      <c r="B32" t="inlineStr">
        <is>
          <t>(Alle)</t>
        </is>
      </c>
    </row>
    <row r="33">
      <c r="A33" s="105" t="inlineStr">
        <is>
          <t>Location</t>
        </is>
      </c>
      <c r="B33" t="inlineStr">
        <is>
          <t>(Alle)</t>
        </is>
      </c>
    </row>
    <row r="34">
      <c r="A34" s="105" t="inlineStr">
        <is>
          <t>Seniority Level</t>
        </is>
      </c>
      <c r="B34" t="inlineStr">
        <is>
          <t>(Alle)</t>
        </is>
      </c>
    </row>
    <row r="36">
      <c r="A36" s="105" t="inlineStr">
        <is>
          <t>Project Role</t>
        </is>
      </c>
      <c r="B36" t="inlineStr">
        <is>
          <t>Summe von Effort</t>
        </is>
      </c>
    </row>
    <row r="37">
      <c r="A37" t="inlineStr">
        <is>
          <t>Any role</t>
        </is>
      </c>
      <c r="B37" s="523" t="n">
        <v>0</v>
      </c>
    </row>
    <row r="38">
      <c r="A38" s="101" t="inlineStr">
        <is>
          <t>Gesamtergebnis</t>
        </is>
      </c>
      <c r="B38" s="523" t="n">
        <v>0</v>
      </c>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sheetData>
  <pageMargins left="0.7" right="0.7" top="0.787401575" bottom="0.787401575" header="0.3" footer="0.3"/>
  <pageSetup orientation="portrait" paperSize="9"/>
</worksheet>
</file>

<file path=xl/worksheets/sheet20.xml><?xml version="1.0" encoding="utf-8"?>
<worksheet xmlns="http://schemas.openxmlformats.org/spreadsheetml/2006/main">
  <sheetPr codeName="Tabelle28">
    <tabColor theme="9" tint="0.5999938962981048"/>
    <outlinePr summaryBelow="1" summaryRight="1"/>
    <pageSetUpPr/>
  </sheetPr>
  <dimension ref="A1:G123"/>
  <sheetViews>
    <sheetView showGridLines="0" workbookViewId="0">
      <selection activeCell="C35" sqref="C35"/>
    </sheetView>
  </sheetViews>
  <sheetFormatPr baseColWidth="10" defaultColWidth="11.5" defaultRowHeight="15"/>
  <cols>
    <col width="38.5" customWidth="1" style="101" min="1" max="1"/>
    <col width="18.5" customWidth="1" style="54" min="2" max="2"/>
    <col width="15.83203125" customWidth="1" min="3" max="3"/>
    <col width="13.83203125" bestFit="1" customWidth="1" min="4" max="4"/>
    <col width="11.83203125" bestFit="1" customWidth="1" min="5" max="5"/>
    <col width="13.6640625" customWidth="1" min="6" max="13"/>
  </cols>
  <sheetData>
    <row r="1" ht="24" customHeight="1">
      <c r="A1" s="1" t="inlineStr">
        <is>
          <t>Project roles over time</t>
        </is>
      </c>
    </row>
    <row r="2" ht="21" customHeight="1">
      <c r="A2" s="4">
        <f>Start!A2</f>
        <v/>
      </c>
    </row>
    <row r="4">
      <c r="A4" s="105" t="inlineStr">
        <is>
          <t>Summe von Effort</t>
        </is>
      </c>
      <c r="F4" s="105" t="inlineStr">
        <is>
          <t>Period start</t>
        </is>
      </c>
    </row>
    <row r="5">
      <c r="A5" s="105" t="inlineStr">
        <is>
          <t>Project Role</t>
        </is>
      </c>
      <c r="B5" s="105" t="inlineStr">
        <is>
          <t>Company</t>
        </is>
      </c>
      <c r="C5" s="105" t="inlineStr">
        <is>
          <t>Country</t>
        </is>
      </c>
      <c r="D5" s="105" t="inlineStr">
        <is>
          <t>Location</t>
        </is>
      </c>
      <c r="E5" s="105" t="inlineStr">
        <is>
          <t>Seniority Level</t>
        </is>
      </c>
      <c r="F5" s="188" t="inlineStr">
        <is>
          <t>(Leer)</t>
        </is>
      </c>
      <c r="G5" s="188" t="inlineStr">
        <is>
          <t>Gesamtergebnis</t>
        </is>
      </c>
    </row>
    <row r="6">
      <c r="A6" t="inlineStr">
        <is>
          <t>Any role</t>
        </is>
      </c>
      <c r="B6" t="inlineStr">
        <is>
          <t>any</t>
        </is>
      </c>
      <c r="C6" t="inlineStr">
        <is>
          <t>any</t>
        </is>
      </c>
      <c r="D6" t="inlineStr">
        <is>
          <t>any</t>
        </is>
      </c>
      <c r="E6" t="inlineStr">
        <is>
          <t>any</t>
        </is>
      </c>
      <c r="F6" s="523" t="n">
        <v>0</v>
      </c>
      <c r="G6" s="523" t="n">
        <v>0</v>
      </c>
    </row>
    <row r="7">
      <c r="A7" s="101" t="inlineStr">
        <is>
          <t>Gesamtergebnis</t>
        </is>
      </c>
      <c r="B7" s="101" t="n"/>
      <c r="C7" s="101" t="n"/>
      <c r="D7" s="101" t="n"/>
      <c r="E7" s="101" t="n"/>
      <c r="F7" s="523" t="n">
        <v>0</v>
      </c>
      <c r="G7" s="523" t="n">
        <v>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c r="B49" s="54" t="n"/>
    </row>
    <row r="50">
      <c r="B50" s="54" t="n"/>
    </row>
    <row r="51">
      <c r="B51" s="54" t="n"/>
    </row>
    <row r="52">
      <c r="B52" s="54" t="n"/>
    </row>
    <row r="53">
      <c r="B53" s="54" t="n"/>
    </row>
    <row r="54">
      <c r="B54" s="54" t="n"/>
    </row>
    <row r="55">
      <c r="B55" s="54" t="n"/>
    </row>
    <row r="56">
      <c r="B56" s="54" t="n"/>
    </row>
    <row r="57">
      <c r="B57" s="54" t="n"/>
    </row>
    <row r="58">
      <c r="B58" s="54" t="n"/>
    </row>
    <row r="59">
      <c r="B59" s="54" t="n"/>
    </row>
    <row r="60">
      <c r="B60" s="54" t="n"/>
    </row>
    <row r="61">
      <c r="B61" s="54" t="n"/>
    </row>
    <row r="62">
      <c r="B62" s="54" t="n"/>
    </row>
    <row r="63">
      <c r="B63" s="54" t="n"/>
    </row>
    <row r="64">
      <c r="B64" s="54" t="n"/>
    </row>
    <row r="65">
      <c r="B65" s="54" t="n"/>
    </row>
    <row r="66">
      <c r="B66" s="54" t="n"/>
    </row>
    <row r="67">
      <c r="B67" s="54" t="n"/>
    </row>
    <row r="68">
      <c r="B68" s="54" t="n"/>
    </row>
    <row r="69">
      <c r="B69" s="54" t="n"/>
    </row>
    <row r="70">
      <c r="B70" s="54" t="n"/>
    </row>
    <row r="71">
      <c r="B71" s="54" t="n"/>
    </row>
    <row r="72">
      <c r="B72" s="54" t="n"/>
    </row>
    <row r="73">
      <c r="B73" s="54" t="n"/>
    </row>
    <row r="74">
      <c r="B74" s="54" t="n"/>
    </row>
    <row r="75">
      <c r="B75" s="54" t="n"/>
    </row>
    <row r="76">
      <c r="B76" s="54" t="n"/>
    </row>
    <row r="77">
      <c r="B77" s="54" t="n"/>
    </row>
    <row r="78">
      <c r="B78" s="54" t="n"/>
    </row>
    <row r="79">
      <c r="B79" s="54" t="n"/>
    </row>
    <row r="80">
      <c r="B80" s="54" t="n"/>
    </row>
    <row r="81">
      <c r="B81" s="54" t="n"/>
    </row>
    <row r="82">
      <c r="B82" s="54" t="n"/>
    </row>
    <row r="83">
      <c r="B83" s="54" t="n"/>
    </row>
    <row r="84">
      <c r="B84" s="54" t="n"/>
    </row>
    <row r="85">
      <c r="B85" s="54" t="n"/>
    </row>
    <row r="86">
      <c r="B86" s="54" t="n"/>
    </row>
    <row r="87">
      <c r="B87" s="54" t="n"/>
    </row>
    <row r="88">
      <c r="B88" s="54" t="n"/>
    </row>
    <row r="89">
      <c r="B89" s="54" t="n"/>
    </row>
    <row r="90">
      <c r="B90" s="54" t="n"/>
    </row>
    <row r="91">
      <c r="B91" s="54" t="n"/>
    </row>
    <row r="92">
      <c r="B92" s="54" t="n"/>
    </row>
    <row r="93">
      <c r="B93" s="54" t="n"/>
    </row>
    <row r="94">
      <c r="B94" s="54" t="n"/>
    </row>
    <row r="95">
      <c r="B95" s="54" t="n"/>
    </row>
    <row r="96">
      <c r="B96" s="54" t="n"/>
    </row>
    <row r="97">
      <c r="B97" s="54" t="n"/>
    </row>
    <row r="98">
      <c r="B98" s="54" t="n"/>
    </row>
    <row r="99">
      <c r="B99" s="54" t="n"/>
    </row>
    <row r="100">
      <c r="B100" s="54" t="n"/>
    </row>
    <row r="101">
      <c r="B101" s="54" t="n"/>
    </row>
    <row r="102">
      <c r="B102" s="54" t="n"/>
    </row>
    <row r="103">
      <c r="B103" s="54" t="n"/>
    </row>
    <row r="104">
      <c r="B104" s="54" t="n"/>
    </row>
    <row r="105">
      <c r="B105" s="54" t="n"/>
    </row>
    <row r="106">
      <c r="B106" s="54" t="n"/>
    </row>
    <row r="107">
      <c r="B107" s="54" t="n"/>
    </row>
    <row r="108">
      <c r="B108" s="54" t="n"/>
    </row>
    <row r="109">
      <c r="B109" s="54" t="n"/>
    </row>
    <row r="110">
      <c r="B110" s="54" t="n"/>
    </row>
    <row r="111">
      <c r="B111" s="54" t="n"/>
    </row>
    <row r="112">
      <c r="B112" s="54" t="n"/>
    </row>
    <row r="113">
      <c r="B113" s="54" t="n"/>
    </row>
    <row r="114">
      <c r="B114" s="54" t="n"/>
    </row>
    <row r="115">
      <c r="B115" s="54" t="n"/>
    </row>
    <row r="116">
      <c r="B116" s="54" t="n"/>
    </row>
    <row r="117">
      <c r="B117" s="54" t="n"/>
    </row>
    <row r="118">
      <c r="B118" s="54" t="n"/>
    </row>
    <row r="119">
      <c r="B119" s="54" t="n"/>
    </row>
    <row r="120">
      <c r="B120" s="54" t="n"/>
    </row>
    <row r="121">
      <c r="B121" s="54" t="n"/>
    </row>
    <row r="122">
      <c r="B122" s="54" t="n"/>
    </row>
    <row r="123">
      <c r="B123" s="54" t="n"/>
    </row>
  </sheetData>
  <pageMargins left="0.7" right="0.7" top="0.787401575" bottom="0.787401575" header="0.3" footer="0.3"/>
  <pageSetup orientation="portrait" paperSize="9"/>
</worksheet>
</file>

<file path=xl/worksheets/sheet21.xml><?xml version="1.0" encoding="utf-8"?>
<worksheet xmlns="http://schemas.openxmlformats.org/spreadsheetml/2006/main">
  <sheetPr codeName="Tabelle35">
    <tabColor theme="9" tint="0.5999938962981048"/>
    <outlinePr summaryBelow="1" summaryRight="1"/>
    <pageSetUpPr/>
  </sheetPr>
  <dimension ref="A1:B242"/>
  <sheetViews>
    <sheetView showGridLines="0" topLeftCell="A4" workbookViewId="0">
      <selection activeCell="N23" sqref="N23"/>
    </sheetView>
  </sheetViews>
  <sheetFormatPr baseColWidth="10" defaultColWidth="11.5" defaultRowHeight="15"/>
  <cols>
    <col width="38.5" customWidth="1" style="101" min="1" max="1"/>
    <col width="18.5" customWidth="1" style="54" min="2" max="2"/>
    <col width="15.83203125" customWidth="1" min="3" max="3"/>
    <col width="13.83203125" bestFit="1" customWidth="1" min="4" max="4"/>
    <col width="11.83203125" bestFit="1" customWidth="1" min="5" max="5"/>
    <col width="13.6640625" customWidth="1" min="6" max="13"/>
    <col width="14.5" bestFit="1" customWidth="1" min="15" max="15"/>
  </cols>
  <sheetData>
    <row r="1" ht="24" customHeight="1">
      <c r="A1" s="1" t="inlineStr">
        <is>
          <t>Project roles over time</t>
        </is>
      </c>
    </row>
    <row r="2" ht="21" customHeight="1">
      <c r="A2" s="4">
        <f>Start!A2</f>
        <v/>
      </c>
    </row>
    <row r="3"/>
    <row r="4"/>
    <row r="5"/>
    <row r="6"/>
    <row r="7"/>
    <row r="8"/>
    <row r="9"/>
    <row r="10"/>
    <row r="11"/>
    <row r="12"/>
    <row r="13"/>
    <row r="14"/>
    <row r="15"/>
    <row r="16"/>
    <row r="17"/>
    <row r="18"/>
    <row r="19"/>
    <row r="20"/>
    <row r="21"/>
    <row r="22"/>
    <row r="23"/>
    <row r="24"/>
    <row r="25"/>
    <row r="26"/>
    <row r="27"/>
    <row r="28"/>
    <row r="29"/>
    <row r="30"/>
    <row r="31">
      <c r="A31" s="105" t="inlineStr">
        <is>
          <t>Company</t>
        </is>
      </c>
      <c r="B31" t="inlineStr">
        <is>
          <t>(Alle)</t>
        </is>
      </c>
    </row>
    <row r="32">
      <c r="A32" s="105" t="inlineStr">
        <is>
          <t>Country</t>
        </is>
      </c>
      <c r="B32" t="inlineStr">
        <is>
          <t>(Alle)</t>
        </is>
      </c>
    </row>
    <row r="33">
      <c r="A33" s="105" t="inlineStr">
        <is>
          <t>Location</t>
        </is>
      </c>
      <c r="B33" t="inlineStr">
        <is>
          <t>(Alle)</t>
        </is>
      </c>
    </row>
    <row r="34">
      <c r="A34" s="105" t="inlineStr">
        <is>
          <t>Seniority Level</t>
        </is>
      </c>
      <c r="B34" t="inlineStr">
        <is>
          <t>(Alle)</t>
        </is>
      </c>
    </row>
    <row r="36">
      <c r="A36" s="105" t="inlineStr">
        <is>
          <t>Summe von Effort</t>
        </is>
      </c>
      <c r="B36" s="105" t="inlineStr">
        <is>
          <t>Project Role</t>
        </is>
      </c>
    </row>
    <row r="37">
      <c r="A37" s="105" t="inlineStr">
        <is>
          <t>Period start</t>
        </is>
      </c>
      <c r="B37" t="inlineStr">
        <is>
          <t>Gesamtergebnis</t>
        </is>
      </c>
    </row>
    <row r="38">
      <c r="A38" s="319" t="inlineStr">
        <is>
          <t>Gesamtergebnis</t>
        </is>
      </c>
      <c r="B38" s="523" t="n"/>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sheetData>
  <pageMargins left="0.7" right="0.7" top="0.787401575" bottom="0.787401575" header="0.3" footer="0.3"/>
  <pageSetup orientation="portrait" paperSize="9"/>
</worksheet>
</file>

<file path=xl/worksheets/sheet22.xml><?xml version="1.0" encoding="utf-8"?>
<worksheet xmlns="http://schemas.openxmlformats.org/spreadsheetml/2006/main">
  <sheetPr codeName="Tabelle26">
    <tabColor theme="9" tint="0.5999938962981048"/>
    <outlinePr summaryBelow="1" summaryRight="1"/>
    <pageSetUpPr/>
  </sheetPr>
  <dimension ref="A1:H16"/>
  <sheetViews>
    <sheetView showGridLines="0" workbookViewId="0">
      <selection activeCell="F19" sqref="F19"/>
    </sheetView>
  </sheetViews>
  <sheetFormatPr baseColWidth="10" defaultColWidth="11.5" defaultRowHeight="15"/>
  <cols>
    <col width="22" customWidth="1" min="1" max="1"/>
    <col width="45.6640625" customWidth="1" min="2" max="2"/>
    <col width="20" bestFit="1" customWidth="1" style="54" min="3" max="3"/>
    <col width="18.33203125" customWidth="1" style="54" min="4" max="4"/>
    <col width="21.5" customWidth="1" style="54" min="5" max="5"/>
    <col width="16.33203125" customWidth="1" style="54" min="6" max="6"/>
    <col width="13.5" customWidth="1" style="54" min="7" max="7"/>
    <col width="15" customWidth="1" style="54" min="8" max="8"/>
  </cols>
  <sheetData>
    <row r="1" ht="24" customHeight="1">
      <c r="A1" s="1" t="inlineStr">
        <is>
          <t>Project risks</t>
        </is>
      </c>
    </row>
    <row r="2" ht="21" customHeight="1">
      <c r="A2" s="4">
        <f>Start!A2</f>
        <v/>
      </c>
    </row>
    <row r="3" ht="21" customHeight="1">
      <c r="A3" s="4" t="n"/>
    </row>
    <row r="4">
      <c r="A4" s="105" t="inlineStr">
        <is>
          <t>Item type</t>
        </is>
      </c>
      <c r="B4" t="inlineStr">
        <is>
          <t>(Mehrere Elemente)</t>
        </is>
      </c>
    </row>
    <row r="6">
      <c r="A6" s="105" t="inlineStr">
        <is>
          <t>Risk id</t>
        </is>
      </c>
      <c r="B6" s="105" t="inlineStr">
        <is>
          <t>Risk title</t>
        </is>
      </c>
      <c r="C6" s="54" t="inlineStr">
        <is>
          <t>_Risk impact</t>
        </is>
      </c>
      <c r="D6" s="54" t="inlineStr">
        <is>
          <t>_Risk likelihood</t>
        </is>
      </c>
      <c r="E6" s="54" t="inlineStr">
        <is>
          <t>Weighted risk impact</t>
        </is>
      </c>
      <c r="F6" s="54" t="inlineStr">
        <is>
          <t>_Costs</t>
        </is>
      </c>
      <c r="G6" s="54" t="inlineStr">
        <is>
          <t>_Price</t>
        </is>
      </c>
      <c r="H6" s="54" t="inlineStr">
        <is>
          <t>_Margin</t>
        </is>
      </c>
    </row>
    <row r="7">
      <c r="A7" t="inlineStr">
        <is>
          <t>Gesamtergebnis</t>
        </is>
      </c>
      <c r="C7" s="523" t="n"/>
      <c r="D7" s="527" t="n"/>
      <c r="E7" s="523" t="n"/>
      <c r="F7" s="113" t="n"/>
      <c r="G7" s="113" t="n"/>
      <c r="H7" s="113" t="n"/>
    </row>
    <row r="8"/>
    <row r="9"/>
    <row r="10"/>
    <row r="11"/>
    <row r="12"/>
    <row r="13"/>
    <row r="14"/>
    <row r="15"/>
    <row r="16"/>
    <row r="17"/>
  </sheetData>
  <conditionalFormatting sqref="E7" pivot="1">
    <cfRule type="dataBar" priority="3">
      <dataBar>
        <cfvo type="min"/>
        <cfvo type="max"/>
        <color rgb="FFFF555A"/>
      </dataBar>
    </cfRule>
  </conditionalFormatting>
  <pageMargins left="0.7" right="0.7" top="0.787401575" bottom="0.787401575" header="0.3" footer="0.3"/>
  <pageSetup orientation="portrait" paperSize="9" horizontalDpi="1200" verticalDpi="1200"/>
</worksheet>
</file>

<file path=xl/worksheets/sheet23.xml><?xml version="1.0" encoding="utf-8"?>
<worksheet xmlns="http://schemas.openxmlformats.org/spreadsheetml/2006/main">
  <sheetPr codeName="Tabelle17">
    <tabColor theme="9" tint="0.5999938962981048"/>
    <outlinePr summaryBelow="1" summaryRight="1"/>
    <pageSetUpPr/>
  </sheetPr>
  <dimension ref="A1:F32"/>
  <sheetViews>
    <sheetView showGridLines="0" workbookViewId="0">
      <selection activeCell="L4" sqref="L4"/>
    </sheetView>
  </sheetViews>
  <sheetFormatPr baseColWidth="10" defaultColWidth="11.5" defaultRowHeight="15"/>
  <cols>
    <col width="38.5" customWidth="1" style="101" min="1" max="1"/>
    <col width="32.1640625" customWidth="1" style="54" min="2" max="2"/>
    <col width="9.33203125" bestFit="1" customWidth="1" style="54" min="3" max="3"/>
    <col width="24.5" bestFit="1" customWidth="1" style="54" min="4" max="4"/>
    <col width="21.5" bestFit="1" customWidth="1" min="5" max="5"/>
    <col width="24.5" bestFit="1" customWidth="1" min="6" max="6"/>
    <col width="11.83203125" bestFit="1" customWidth="1" min="7" max="10"/>
    <col width="14.83203125" bestFit="1" customWidth="1" min="11" max="11"/>
    <col width="15.5" bestFit="1" customWidth="1" min="12" max="12"/>
    <col width="15.83203125" bestFit="1" customWidth="1" min="13" max="13"/>
  </cols>
  <sheetData>
    <row r="1" ht="24" customHeight="1">
      <c r="A1" s="1" t="inlineStr">
        <is>
          <t>Calc teams efforts</t>
        </is>
      </c>
    </row>
    <row r="2" ht="21" customHeight="1">
      <c r="A2" s="4">
        <f>Start!A2</f>
        <v/>
      </c>
    </row>
    <row r="4">
      <c r="A4" t="inlineStr">
        <is>
          <t>Item type</t>
        </is>
      </c>
      <c r="B4" s="105" t="inlineStr">
        <is>
          <t>Task</t>
        </is>
      </c>
      <c r="C4" s="105" t="inlineStr">
        <is>
          <t>Task id</t>
        </is>
      </c>
      <c r="D4" s="54" t="inlineStr">
        <is>
          <t>Total Effort</t>
        </is>
      </c>
      <c r="E4" s="54" t="inlineStr">
        <is>
          <t>Total Effort (first team)</t>
        </is>
      </c>
      <c r="F4" s="54" t="inlineStr">
        <is>
          <t>Total effort (second team)</t>
        </is>
      </c>
    </row>
    <row r="5">
      <c r="A5" t="inlineStr">
        <is>
          <t>Task</t>
        </is>
      </c>
      <c r="B5" t="inlineStr">
        <is>
          <t>DevOps Support</t>
        </is>
      </c>
      <c r="C5" t="inlineStr">
        <is>
          <t>P-200</t>
        </is>
      </c>
      <c r="D5" s="523" t="n">
        <v>0</v>
      </c>
      <c r="E5" s="523" t="n">
        <v>0</v>
      </c>
      <c r="F5" s="523" t="n">
        <v>0</v>
      </c>
    </row>
    <row r="6">
      <c r="B6" t="inlineStr">
        <is>
          <t>Fehlerbearb. nach BzA</t>
        </is>
      </c>
      <c r="C6" t="inlineStr">
        <is>
          <t>P-140</t>
        </is>
      </c>
      <c r="D6" s="523" t="n">
        <v>0</v>
      </c>
      <c r="E6" s="523" t="n">
        <v>0</v>
      </c>
      <c r="F6" s="523" t="n">
        <v>0</v>
      </c>
    </row>
    <row r="7">
      <c r="B7" t="inlineStr">
        <is>
          <t>Performance Test</t>
        </is>
      </c>
      <c r="C7" t="inlineStr">
        <is>
          <t>P-100</t>
        </is>
      </c>
      <c r="D7" s="523" t="n">
        <v>0</v>
      </c>
      <c r="E7" s="523" t="n">
        <v>0</v>
      </c>
      <c r="F7" s="523" t="n">
        <v>0</v>
      </c>
    </row>
    <row r="8">
      <c r="B8" t="inlineStr">
        <is>
          <t>Projektinitialisierung und -planung</t>
        </is>
      </c>
      <c r="C8" t="inlineStr">
        <is>
          <t>P-10</t>
        </is>
      </c>
      <c r="D8" s="523" t="n">
        <v>0</v>
      </c>
      <c r="E8" s="523" t="n">
        <v>0</v>
      </c>
      <c r="F8" s="523" t="n">
        <v>0</v>
      </c>
    </row>
    <row r="9">
      <c r="B9" t="inlineStr">
        <is>
          <t>Erstellung Testkonzept</t>
        </is>
      </c>
      <c r="C9" t="inlineStr">
        <is>
          <t>P-40</t>
        </is>
      </c>
      <c r="D9" s="523" t="n">
        <v>0</v>
      </c>
      <c r="E9" s="523" t="n">
        <v>0</v>
      </c>
      <c r="F9" s="523" t="n">
        <v>0</v>
      </c>
    </row>
    <row r="10">
      <c r="B10" t="inlineStr">
        <is>
          <t>Software-entwicklung</t>
        </is>
      </c>
      <c r="C10" t="inlineStr">
        <is>
          <t>P-70</t>
        </is>
      </c>
      <c r="D10" s="523" t="n">
        <v>0</v>
      </c>
      <c r="E10" s="523" t="n">
        <v>0</v>
      </c>
      <c r="F10" s="523" t="n">
        <v>0</v>
      </c>
    </row>
    <row r="11">
      <c r="B11" t="inlineStr">
        <is>
          <t>Erstellung Anwenderhandbuch</t>
        </is>
      </c>
      <c r="C11" t="inlineStr">
        <is>
          <t>P-120</t>
        </is>
      </c>
      <c r="D11" s="523" t="n">
        <v>0</v>
      </c>
      <c r="E11" s="523" t="n">
        <v>0</v>
      </c>
      <c r="F11" s="523" t="n">
        <v>0</v>
      </c>
    </row>
    <row r="12">
      <c r="B12" t="inlineStr">
        <is>
          <t>Projektmanagement</t>
        </is>
      </c>
      <c r="C12" t="inlineStr">
        <is>
          <t>P-170</t>
        </is>
      </c>
      <c r="D12" s="523" t="n">
        <v>0</v>
      </c>
      <c r="E12" s="523" t="n">
        <v>0</v>
      </c>
      <c r="F12" s="523" t="n">
        <v>0</v>
      </c>
    </row>
    <row r="13">
      <c r="B13" t="inlineStr">
        <is>
          <t>Testmanagement</t>
        </is>
      </c>
      <c r="C13" t="inlineStr">
        <is>
          <t>P-180</t>
        </is>
      </c>
      <c r="D13" s="523" t="n">
        <v>0</v>
      </c>
      <c r="E13" s="523" t="n">
        <v>0</v>
      </c>
      <c r="F13" s="523" t="n">
        <v>0</v>
      </c>
    </row>
    <row r="14">
      <c r="B14" t="inlineStr">
        <is>
          <t>Planung und Durchführung Projekt Kick Off-Meeting</t>
        </is>
      </c>
      <c r="C14" t="inlineStr">
        <is>
          <t>P-20</t>
        </is>
      </c>
      <c r="D14" s="523" t="n">
        <v>0</v>
      </c>
      <c r="E14" s="523" t="n">
        <v>0</v>
      </c>
      <c r="F14" s="523" t="n">
        <v>0</v>
      </c>
    </row>
    <row r="15">
      <c r="B15" t="inlineStr">
        <is>
          <t>Erstellung Software Architekturkonzept</t>
        </is>
      </c>
      <c r="C15" t="inlineStr">
        <is>
          <t>P-30</t>
        </is>
      </c>
      <c r="D15" s="523" t="n">
        <v>0</v>
      </c>
      <c r="E15" s="523" t="n">
        <v>0</v>
      </c>
      <c r="F15" s="523" t="n">
        <v>0</v>
      </c>
    </row>
    <row r="16">
      <c r="B16" t="inlineStr">
        <is>
          <t>Aufbau Entwicklungsumgebung</t>
        </is>
      </c>
      <c r="C16" t="inlineStr">
        <is>
          <t>P-50</t>
        </is>
      </c>
      <c r="D16" s="523" t="n">
        <v>0</v>
      </c>
      <c r="E16" s="523" t="n">
        <v>0</v>
      </c>
      <c r="F16" s="523" t="n">
        <v>0</v>
      </c>
    </row>
    <row r="17">
      <c r="B17" t="inlineStr">
        <is>
          <t>Projektmeetings</t>
        </is>
      </c>
      <c r="C17" t="inlineStr">
        <is>
          <t>P-220</t>
        </is>
      </c>
      <c r="D17" s="523" t="n">
        <v>0</v>
      </c>
      <c r="E17" s="523" t="n">
        <v>0</v>
      </c>
      <c r="F17" s="523" t="n">
        <v>0</v>
      </c>
    </row>
    <row r="18">
      <c r="B18" t="inlineStr">
        <is>
          <t>Architekturmanagement</t>
        </is>
      </c>
      <c r="C18" t="inlineStr">
        <is>
          <t>P-190</t>
        </is>
      </c>
      <c r="D18" s="523" t="n">
        <v>0</v>
      </c>
      <c r="E18" s="523" t="n">
        <v>0</v>
      </c>
      <c r="F18" s="523" t="n">
        <v>0</v>
      </c>
    </row>
    <row r="19">
      <c r="B19" t="inlineStr">
        <is>
          <t>Datenmigration</t>
        </is>
      </c>
      <c r="C19" t="inlineStr">
        <is>
          <t>P-150</t>
        </is>
      </c>
      <c r="D19" s="523" t="n">
        <v>0</v>
      </c>
      <c r="E19" s="523" t="n">
        <v>0</v>
      </c>
      <c r="F19" s="523" t="n">
        <v>0</v>
      </c>
    </row>
    <row r="20">
      <c r="B20" t="inlineStr">
        <is>
          <t>Softwaretest</t>
        </is>
      </c>
      <c r="C20" t="inlineStr">
        <is>
          <t>P-80</t>
        </is>
      </c>
      <c r="D20" s="523" t="n">
        <v>0</v>
      </c>
      <c r="E20" s="523" t="n">
        <v>0</v>
      </c>
      <c r="F20" s="523" t="n">
        <v>0</v>
      </c>
    </row>
    <row r="21">
      <c r="B21" t="inlineStr">
        <is>
          <t>Entwicklung und Wartung Testautomatisierung</t>
        </is>
      </c>
      <c r="C21" t="inlineStr">
        <is>
          <t>P-90</t>
        </is>
      </c>
      <c r="D21" s="523" t="n">
        <v>0</v>
      </c>
      <c r="E21" s="523" t="n">
        <v>0</v>
      </c>
      <c r="F21" s="523" t="n">
        <v>0</v>
      </c>
    </row>
    <row r="22">
      <c r="B22" t="inlineStr">
        <is>
          <t>Sicherheitsprüfung</t>
        </is>
      </c>
      <c r="C22" t="inlineStr">
        <is>
          <t>P-110</t>
        </is>
      </c>
      <c r="D22" s="523" t="n">
        <v>0</v>
      </c>
      <c r="E22" s="523" t="n">
        <v>0</v>
      </c>
      <c r="F22" s="523" t="n">
        <v>0</v>
      </c>
    </row>
    <row r="23">
      <c r="B23" t="inlineStr">
        <is>
          <t>Kundenschulung</t>
        </is>
      </c>
      <c r="C23" t="inlineStr">
        <is>
          <t>P-130</t>
        </is>
      </c>
      <c r="D23" s="523" t="n">
        <v>0</v>
      </c>
      <c r="E23" s="523" t="n">
        <v>0</v>
      </c>
      <c r="F23" s="523" t="n">
        <v>0</v>
      </c>
    </row>
    <row r="24">
      <c r="B24" t="inlineStr">
        <is>
          <t>Unterstützung des Kunden bei der Installation und Konfiguration der Software</t>
        </is>
      </c>
      <c r="C24" t="inlineStr">
        <is>
          <t>P-160</t>
        </is>
      </c>
      <c r="D24" s="523" t="n">
        <v>0</v>
      </c>
      <c r="E24" s="523" t="n">
        <v>0</v>
      </c>
      <c r="F24" s="523" t="n">
        <v>0</v>
      </c>
    </row>
    <row r="25">
      <c r="B25" t="inlineStr">
        <is>
          <t>Smartshoremanagement</t>
        </is>
      </c>
      <c r="C25" t="inlineStr">
        <is>
          <t>P-210</t>
        </is>
      </c>
      <c r="D25" s="523" t="n">
        <v>0</v>
      </c>
      <c r="E25" s="523" t="n">
        <v>0</v>
      </c>
      <c r="F25" s="523" t="n">
        <v>0</v>
      </c>
    </row>
    <row r="26">
      <c r="B26" t="inlineStr">
        <is>
          <t>Analyse &amp; Software Design</t>
        </is>
      </c>
      <c r="C26" t="inlineStr">
        <is>
          <t>P-60</t>
        </is>
      </c>
      <c r="D26" s="523" t="n">
        <v>0</v>
      </c>
      <c r="E26" s="523" t="n">
        <v>0</v>
      </c>
      <c r="F26" s="523" t="n">
        <v>0</v>
      </c>
    </row>
    <row r="27">
      <c r="A27" t="inlineStr">
        <is>
          <t>Task Ergebnis</t>
        </is>
      </c>
      <c r="D27" s="523" t="n">
        <v>0</v>
      </c>
      <c r="E27" s="523" t="n">
        <v>0</v>
      </c>
      <c r="F27" s="523" t="n">
        <v>0</v>
      </c>
    </row>
    <row r="28">
      <c r="A28" t="inlineStr">
        <is>
          <t>Travel time</t>
        </is>
      </c>
      <c r="B28" t="inlineStr">
        <is>
          <t>Reisezeiten</t>
        </is>
      </c>
      <c r="C28" t="inlineStr">
        <is>
          <t>P-230</t>
        </is>
      </c>
      <c r="D28" s="523" t="n">
        <v>0</v>
      </c>
      <c r="E28" s="523" t="n">
        <v>0</v>
      </c>
      <c r="F28" s="523" t="n">
        <v>0</v>
      </c>
    </row>
    <row r="29">
      <c r="A29" t="inlineStr">
        <is>
          <t>Travel time Ergebnis</t>
        </is>
      </c>
      <c r="D29" s="523" t="n">
        <v>0</v>
      </c>
      <c r="E29" s="523" t="n">
        <v>0</v>
      </c>
      <c r="F29" s="523" t="n">
        <v>0</v>
      </c>
    </row>
    <row r="30">
      <c r="A30" t="inlineStr">
        <is>
          <t>Warranty</t>
        </is>
      </c>
      <c r="B30" t="inlineStr">
        <is>
          <t>Gewährleistung</t>
        </is>
      </c>
      <c r="C30" t="inlineStr">
        <is>
          <t>P-250</t>
        </is>
      </c>
      <c r="D30" s="523" t="n">
        <v>0</v>
      </c>
      <c r="E30" s="523" t="n">
        <v>0</v>
      </c>
      <c r="F30" s="523" t="n">
        <v>0</v>
      </c>
    </row>
    <row r="31">
      <c r="A31" t="inlineStr">
        <is>
          <t>Warranty Ergebnis</t>
        </is>
      </c>
      <c r="D31" s="523" t="n">
        <v>0</v>
      </c>
      <c r="E31" s="523" t="n">
        <v>0</v>
      </c>
      <c r="F31" s="523" t="n">
        <v>0</v>
      </c>
    </row>
    <row r="32">
      <c r="A32" s="101" t="inlineStr">
        <is>
          <t>Gesamtergebnis</t>
        </is>
      </c>
      <c r="B32" s="101" t="n"/>
      <c r="C32" s="101" t="n"/>
      <c r="D32" s="523" t="n">
        <v>0</v>
      </c>
      <c r="E32" s="523" t="n">
        <v>0</v>
      </c>
      <c r="F32" s="523" t="n">
        <v>0</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sheetData>
  <pageMargins left="0.7" right="0.7" top="0.787401575" bottom="0.787401575" header="0.3" footer="0.3"/>
  <pageSetup orientation="portrait" paperSize="9"/>
</worksheet>
</file>

<file path=xl/worksheets/sheet24.xml><?xml version="1.0" encoding="utf-8"?>
<worksheet xmlns="http://schemas.openxmlformats.org/spreadsheetml/2006/main">
  <sheetPr codeName="Tabelle29">
    <tabColor theme="4" tint="0.7999816888943144"/>
    <outlinePr summaryBelow="1" summaryRight="1"/>
    <pageSetUpPr/>
  </sheetPr>
  <dimension ref="A1:B20"/>
  <sheetViews>
    <sheetView workbookViewId="0">
      <selection activeCell="A1" sqref="A1"/>
    </sheetView>
  </sheetViews>
  <sheetFormatPr baseColWidth="10" defaultColWidth="11.5" defaultRowHeight="15"/>
  <cols>
    <col width="20.6640625" customWidth="1" min="1" max="1"/>
    <col width="20.5" customWidth="1" style="198" min="2" max="2"/>
  </cols>
  <sheetData>
    <row r="1" ht="24" customHeight="1">
      <c r="A1" s="1" t="inlineStr">
        <is>
          <t>Countries</t>
        </is>
      </c>
    </row>
    <row r="2" ht="10.5" customHeight="1">
      <c r="A2" s="1" t="n"/>
    </row>
    <row r="3" ht="11" customFormat="1" customHeight="1" s="175">
      <c r="A3" s="175" t="inlineStr">
        <is>
          <t>You can add your own entries. Please use the tabulator key in the last column of the last row for adding a new row.</t>
        </is>
      </c>
      <c r="B3" s="396" t="n"/>
    </row>
    <row r="4" ht="11" customFormat="1" customHeight="1" s="175">
      <c r="A4" s="175" t="inlineStr">
        <is>
          <t>First row should contain the entry "any".</t>
        </is>
      </c>
      <c r="B4" s="396" t="n"/>
    </row>
    <row r="5" ht="9" customHeight="1"/>
    <row r="6">
      <c r="A6" t="inlineStr">
        <is>
          <t>Country</t>
        </is>
      </c>
      <c r="B6" s="198" t="inlineStr">
        <is>
          <t>Inflation rate</t>
        </is>
      </c>
    </row>
    <row r="7">
      <c r="A7" s="290" t="inlineStr">
        <is>
          <t>any</t>
        </is>
      </c>
      <c r="B7" s="395" t="n">
        <v>0.02</v>
      </c>
    </row>
    <row r="8">
      <c r="A8" s="290" t="inlineStr">
        <is>
          <t>Germany</t>
        </is>
      </c>
      <c r="B8" s="395" t="n">
        <v>0.02</v>
      </c>
    </row>
    <row r="9">
      <c r="A9" s="290" t="inlineStr">
        <is>
          <t>Austria</t>
        </is>
      </c>
      <c r="B9" s="395" t="n">
        <v>0.035</v>
      </c>
    </row>
    <row r="10">
      <c r="A10" s="290" t="inlineStr">
        <is>
          <t>Bulgaria</t>
        </is>
      </c>
      <c r="B10" s="395" t="n">
        <v>0.03</v>
      </c>
    </row>
    <row r="11">
      <c r="A11" s="290" t="inlineStr">
        <is>
          <t>Finland</t>
        </is>
      </c>
      <c r="B11" s="395" t="n">
        <v>0.015</v>
      </c>
    </row>
    <row r="12">
      <c r="A12" s="290" t="inlineStr">
        <is>
          <t>Hungary</t>
        </is>
      </c>
      <c r="B12" s="395" t="n">
        <v>0.035</v>
      </c>
    </row>
    <row r="13">
      <c r="A13" s="290" t="inlineStr">
        <is>
          <t>India</t>
        </is>
      </c>
      <c r="B13" s="395" t="n">
        <v>0.055</v>
      </c>
    </row>
    <row r="14">
      <c r="A14" s="290" t="inlineStr">
        <is>
          <t>Italy</t>
        </is>
      </c>
      <c r="B14" s="395" t="n">
        <v>0.015</v>
      </c>
    </row>
    <row r="15">
      <c r="A15" s="290" t="inlineStr">
        <is>
          <t>Netherlands</t>
        </is>
      </c>
      <c r="B15" s="395" t="n">
        <v>0.025</v>
      </c>
    </row>
    <row r="16">
      <c r="A16" s="290" t="inlineStr">
        <is>
          <t>Romania</t>
        </is>
      </c>
      <c r="B16" s="395" t="n">
        <v>0.06</v>
      </c>
    </row>
    <row r="17">
      <c r="A17" s="290" t="inlineStr">
        <is>
          <t>Spain</t>
        </is>
      </c>
      <c r="B17" s="395" t="n">
        <v>0.025</v>
      </c>
    </row>
    <row r="18">
      <c r="A18" s="290" t="inlineStr">
        <is>
          <t>Sweden</t>
        </is>
      </c>
      <c r="B18" s="395" t="n">
        <v>0.025</v>
      </c>
    </row>
    <row r="19">
      <c r="A19" s="290" t="inlineStr">
        <is>
          <t>Switzerland</t>
        </is>
      </c>
      <c r="B19" s="395" t="n">
        <v>0.02</v>
      </c>
    </row>
    <row r="20">
      <c r="A20" s="290" t="inlineStr">
        <is>
          <t>Turkey</t>
        </is>
      </c>
      <c r="B20" s="395" t="n">
        <v>0.5</v>
      </c>
    </row>
  </sheetData>
  <pageMargins left="0.7" right="0.7" top="0.787401575" bottom="0.7874015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codeName="Tabelle30">
    <tabColor theme="4" tint="0.7999816888943144"/>
    <outlinePr summaryBelow="1" summaryRight="1"/>
    <pageSetUpPr/>
  </sheetPr>
  <dimension ref="A1:B38"/>
  <sheetViews>
    <sheetView topLeftCell="A3" workbookViewId="0">
      <selection activeCell="B22" sqref="B22"/>
    </sheetView>
  </sheetViews>
  <sheetFormatPr baseColWidth="10" defaultColWidth="11.5" defaultRowHeight="15"/>
  <cols>
    <col width="40.83203125" customWidth="1" min="1" max="1"/>
    <col width="29.33203125" customWidth="1" style="81" min="2" max="2"/>
  </cols>
  <sheetData>
    <row r="1" ht="24" customHeight="1">
      <c r="A1" s="1" t="inlineStr">
        <is>
          <t>Companies</t>
        </is>
      </c>
    </row>
    <row r="2" ht="10.5" customHeight="1">
      <c r="A2" s="1" t="n"/>
    </row>
    <row r="3" ht="10.5" customHeight="1">
      <c r="A3" s="175" t="inlineStr">
        <is>
          <t>You can add your own entries. Please use the tabulator key in the last column of the last row for adding a new row.</t>
        </is>
      </c>
    </row>
    <row r="4" ht="10.25" customHeight="1">
      <c r="A4" s="175" t="inlineStr">
        <is>
          <t>First row should contain the entry "any".</t>
        </is>
      </c>
    </row>
    <row r="5" ht="9" customHeight="1"/>
    <row r="6">
      <c r="A6" t="inlineStr">
        <is>
          <t>Company</t>
        </is>
      </c>
      <c r="B6" s="81" t="inlineStr">
        <is>
          <t>Accounting-related company</t>
        </is>
      </c>
    </row>
    <row r="7">
      <c r="A7" s="290" t="inlineStr">
        <is>
          <t>any</t>
        </is>
      </c>
      <c r="B7" s="292" t="inlineStr">
        <is>
          <t>no</t>
        </is>
      </c>
    </row>
    <row r="8">
      <c r="A8" s="290" t="inlineStr">
        <is>
          <t>adesso SE</t>
        </is>
      </c>
      <c r="B8" s="292" t="inlineStr">
        <is>
          <t>yes</t>
        </is>
      </c>
    </row>
    <row r="9">
      <c r="A9" s="290" t="inlineStr">
        <is>
          <t>adesso as a service</t>
        </is>
      </c>
      <c r="B9" s="292" t="inlineStr">
        <is>
          <t>no</t>
        </is>
      </c>
    </row>
    <row r="10">
      <c r="A10" s="290" t="inlineStr">
        <is>
          <t>adesso Austria</t>
        </is>
      </c>
      <c r="B10" s="292" t="inlineStr">
        <is>
          <t>no</t>
        </is>
      </c>
    </row>
    <row r="11">
      <c r="A11" s="290" t="inlineStr">
        <is>
          <t>adesso benefit solutions</t>
        </is>
      </c>
      <c r="B11" s="292" t="inlineStr">
        <is>
          <t>no</t>
        </is>
      </c>
    </row>
    <row r="12">
      <c r="A12" s="290" t="inlineStr">
        <is>
          <t>adesso Bulgaria</t>
        </is>
      </c>
      <c r="B12" s="292" t="inlineStr">
        <is>
          <t>no</t>
        </is>
      </c>
    </row>
    <row r="13">
      <c r="A13" s="290" t="inlineStr">
        <is>
          <t>adesso Finland</t>
        </is>
      </c>
      <c r="B13" s="292" t="inlineStr">
        <is>
          <t>no</t>
        </is>
      </c>
    </row>
    <row r="14">
      <c r="A14" s="290" t="inlineStr">
        <is>
          <t>adesso health solutions</t>
        </is>
      </c>
      <c r="B14" s="292" t="inlineStr">
        <is>
          <t>no</t>
        </is>
      </c>
    </row>
    <row r="15">
      <c r="A15" s="290" t="inlineStr">
        <is>
          <t>adesso Hungary</t>
        </is>
      </c>
      <c r="B15" s="292" t="inlineStr">
        <is>
          <t>no</t>
        </is>
      </c>
    </row>
    <row r="16">
      <c r="A16" s="290" t="inlineStr">
        <is>
          <t>adesso India</t>
        </is>
      </c>
      <c r="B16" s="292" t="inlineStr">
        <is>
          <t>no</t>
        </is>
      </c>
    </row>
    <row r="17">
      <c r="A17" s="290" t="inlineStr">
        <is>
          <t>adesso insurance solutions</t>
        </is>
      </c>
      <c r="B17" s="292" t="inlineStr">
        <is>
          <t>yes</t>
        </is>
      </c>
    </row>
    <row r="18">
      <c r="A18" s="290" t="inlineStr">
        <is>
          <t>adesso Italy</t>
        </is>
      </c>
      <c r="B18" s="292" t="inlineStr">
        <is>
          <t>no</t>
        </is>
      </c>
    </row>
    <row r="19">
      <c r="A19" s="290" t="inlineStr">
        <is>
          <t>adesso Lakes</t>
        </is>
      </c>
      <c r="B19" s="292" t="inlineStr">
        <is>
          <t>no</t>
        </is>
      </c>
    </row>
    <row r="20">
      <c r="A20" s="290" t="inlineStr">
        <is>
          <t>adesso mobile solutions</t>
        </is>
      </c>
      <c r="B20" s="292" t="inlineStr">
        <is>
          <t>yes</t>
        </is>
      </c>
    </row>
    <row r="21">
      <c r="A21" s="290" t="inlineStr">
        <is>
          <t>adesso Netherlands</t>
        </is>
      </c>
      <c r="B21" s="292" t="inlineStr">
        <is>
          <t>no</t>
        </is>
      </c>
    </row>
    <row r="22">
      <c r="A22" s="290" t="inlineStr">
        <is>
          <t>adesso orange</t>
        </is>
      </c>
      <c r="B22" s="292" t="inlineStr">
        <is>
          <t>yes</t>
        </is>
      </c>
    </row>
    <row r="23">
      <c r="A23" s="290" t="inlineStr">
        <is>
          <t>adesso partner trust</t>
        </is>
      </c>
      <c r="B23" s="292" t="inlineStr">
        <is>
          <t>no</t>
        </is>
      </c>
    </row>
    <row r="24">
      <c r="A24" s="290" t="inlineStr">
        <is>
          <t>adesso Romania</t>
        </is>
      </c>
      <c r="B24" s="292" t="inlineStr">
        <is>
          <t>no</t>
        </is>
      </c>
    </row>
    <row r="25">
      <c r="A25" s="290" t="inlineStr">
        <is>
          <t>adesso Spain</t>
        </is>
      </c>
      <c r="B25" s="292" t="inlineStr">
        <is>
          <t>no</t>
        </is>
      </c>
    </row>
    <row r="26">
      <c r="A26" s="290" t="inlineStr">
        <is>
          <t>adesso Sweden</t>
        </is>
      </c>
      <c r="B26" s="292" t="inlineStr">
        <is>
          <t>no</t>
        </is>
      </c>
    </row>
    <row r="27">
      <c r="A27" s="290" t="inlineStr">
        <is>
          <t>adesso Switzerland</t>
        </is>
      </c>
      <c r="B27" s="292" t="inlineStr">
        <is>
          <t>no</t>
        </is>
      </c>
    </row>
    <row r="28">
      <c r="A28" s="290" t="inlineStr">
        <is>
          <t>adesso Turkey</t>
        </is>
      </c>
      <c r="B28" s="292" t="inlineStr">
        <is>
          <t>no</t>
        </is>
      </c>
    </row>
    <row r="29">
      <c r="A29" s="290" t="inlineStr">
        <is>
          <t>Afida</t>
        </is>
      </c>
      <c r="B29" s="292" t="inlineStr">
        <is>
          <t>no</t>
        </is>
      </c>
    </row>
    <row r="30">
      <c r="A30" s="290" t="inlineStr">
        <is>
          <t>alleato adessekuranzmakler</t>
        </is>
      </c>
      <c r="B30" s="292" t="inlineStr">
        <is>
          <t>no</t>
        </is>
      </c>
    </row>
    <row r="31">
      <c r="A31" s="290" t="inlineStr">
        <is>
          <t>amis</t>
        </is>
      </c>
      <c r="B31" s="292" t="inlineStr">
        <is>
          <t>no</t>
        </is>
      </c>
    </row>
    <row r="32">
      <c r="A32" s="290" t="inlineStr">
        <is>
          <t>KIWI Consulting</t>
        </is>
      </c>
      <c r="B32" s="292" t="inlineStr">
        <is>
          <t>no</t>
        </is>
      </c>
    </row>
    <row r="33">
      <c r="A33" s="290" t="inlineStr">
        <is>
          <t>material.one</t>
        </is>
      </c>
      <c r="B33" s="292" t="inlineStr">
        <is>
          <t>no</t>
        </is>
      </c>
    </row>
    <row r="34">
      <c r="A34" s="290" t="inlineStr">
        <is>
          <t>medgineering</t>
        </is>
      </c>
      <c r="B34" s="292" t="inlineStr">
        <is>
          <t>no</t>
        </is>
      </c>
    </row>
    <row r="35">
      <c r="A35" s="290" t="inlineStr">
        <is>
          <t>percision</t>
        </is>
      </c>
      <c r="B35" s="292" t="inlineStr">
        <is>
          <t>no</t>
        </is>
      </c>
    </row>
    <row r="36">
      <c r="A36" s="290" t="inlineStr">
        <is>
          <t>Reachbird</t>
        </is>
      </c>
      <c r="B36" s="292" t="inlineStr">
        <is>
          <t>no</t>
        </is>
      </c>
    </row>
    <row r="37">
      <c r="A37" s="290" t="inlineStr">
        <is>
          <t>urban engergy</t>
        </is>
      </c>
      <c r="B37" s="292" t="inlineStr">
        <is>
          <t>no</t>
        </is>
      </c>
    </row>
    <row r="38">
      <c r="A38" s="290" t="inlineStr">
        <is>
          <t>WEPEX</t>
        </is>
      </c>
      <c r="B38" s="292" t="inlineStr">
        <is>
          <t>no</t>
        </is>
      </c>
    </row>
  </sheetData>
  <pageMargins left="0.7" right="0.7" top="0.787401575" bottom="0.787401575" header="0.3" footer="0.3"/>
  <pageSetup orientation="portrait" paperSize="9"/>
  <tableParts count="1">
    <tablePart xmlns:r="http://schemas.openxmlformats.org/officeDocument/2006/relationships" r:id="rId1"/>
  </tableParts>
</worksheet>
</file>

<file path=xl/worksheets/sheet26.xml><?xml version="1.0" encoding="utf-8"?>
<worksheet xmlns="http://schemas.openxmlformats.org/spreadsheetml/2006/main">
  <sheetPr codeName="Tabelle31">
    <tabColor theme="4" tint="0.7999816888943144"/>
    <outlinePr summaryBelow="1" summaryRight="1"/>
    <pageSetUpPr/>
  </sheetPr>
  <dimension ref="A1:B12"/>
  <sheetViews>
    <sheetView workbookViewId="0">
      <selection activeCell="A4" sqref="A4"/>
    </sheetView>
  </sheetViews>
  <sheetFormatPr baseColWidth="10" defaultColWidth="11.5" defaultRowHeight="15"/>
  <cols>
    <col width="23.6640625" customWidth="1" min="1" max="1"/>
  </cols>
  <sheetData>
    <row r="1" ht="24" customHeight="1">
      <c r="A1" s="1" t="inlineStr">
        <is>
          <t>Locations</t>
        </is>
      </c>
    </row>
    <row r="2" ht="10.5" customHeight="1">
      <c r="A2" s="1" t="n"/>
      <c r="B2" s="81" t="n"/>
    </row>
    <row r="3" ht="10.5" customHeight="1">
      <c r="A3" s="175" t="inlineStr">
        <is>
          <t>You can add your own entries. Please use the tabulator key in the last column of the last row for adding a new row.</t>
        </is>
      </c>
      <c r="B3" s="81" t="n"/>
    </row>
    <row r="4" ht="11" customHeight="1">
      <c r="A4" s="175" t="inlineStr">
        <is>
          <t>First row should contain the entry "any".</t>
        </is>
      </c>
      <c r="B4" s="81" t="n"/>
    </row>
    <row r="5" ht="9" customHeight="1">
      <c r="B5" s="81" t="n"/>
    </row>
    <row r="6">
      <c r="A6" t="inlineStr">
        <is>
          <t>Location</t>
        </is>
      </c>
    </row>
    <row r="7">
      <c r="A7" s="290" t="inlineStr">
        <is>
          <t>any</t>
        </is>
      </c>
    </row>
    <row r="8">
      <c r="A8" s="290" t="inlineStr">
        <is>
          <t>Onsite</t>
        </is>
      </c>
    </row>
    <row r="9">
      <c r="A9" s="290" t="inlineStr">
        <is>
          <t>Offsite</t>
        </is>
      </c>
    </row>
    <row r="10">
      <c r="A10" s="290" t="inlineStr">
        <is>
          <t>On-/Offsite</t>
        </is>
      </c>
    </row>
    <row r="11">
      <c r="A11" s="290" t="inlineStr">
        <is>
          <t>Nearshore</t>
        </is>
      </c>
    </row>
    <row r="12">
      <c r="A12" s="290" t="inlineStr">
        <is>
          <t>Offshore</t>
        </is>
      </c>
    </row>
  </sheetData>
  <pageMargins left="0.7" right="0.7" top="0.787401575" bottom="0.7874015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codeName="Tabelle32">
    <tabColor theme="4" tint="0.7999816888943144"/>
    <outlinePr summaryBelow="1" summaryRight="1"/>
    <pageSetUpPr/>
  </sheetPr>
  <dimension ref="A1:A12"/>
  <sheetViews>
    <sheetView workbookViewId="0">
      <selection activeCell="D10" sqref="D10"/>
    </sheetView>
  </sheetViews>
  <sheetFormatPr baseColWidth="10" defaultColWidth="11.5" defaultRowHeight="15"/>
  <cols>
    <col width="26" customWidth="1" min="1" max="1"/>
  </cols>
  <sheetData>
    <row r="1" ht="24" customHeight="1">
      <c r="A1" s="1" t="inlineStr">
        <is>
          <t>Seniority levels</t>
        </is>
      </c>
    </row>
    <row r="2" ht="10.5" customHeight="1">
      <c r="A2" s="1" t="n"/>
    </row>
    <row r="3" ht="10.5" customHeight="1">
      <c r="A3" s="175" t="inlineStr">
        <is>
          <t>You can add your own entries. Please use the tabulator key in the last column of the last row for adding a new row.</t>
        </is>
      </c>
    </row>
    <row r="4" ht="11" customHeight="1">
      <c r="A4" s="175" t="inlineStr">
        <is>
          <t>First row should contain the entry "any".</t>
        </is>
      </c>
    </row>
    <row r="5" ht="9" customHeight="1"/>
    <row r="6">
      <c r="A6" t="inlineStr">
        <is>
          <t>Seniority Level</t>
        </is>
      </c>
    </row>
    <row r="7">
      <c r="A7" s="290" t="inlineStr">
        <is>
          <t>any</t>
        </is>
      </c>
    </row>
    <row r="8">
      <c r="A8" s="290" t="inlineStr">
        <is>
          <t>very low</t>
        </is>
      </c>
    </row>
    <row r="9">
      <c r="A9" s="290" t="inlineStr">
        <is>
          <t>low</t>
        </is>
      </c>
    </row>
    <row r="10">
      <c r="A10" s="290" t="inlineStr">
        <is>
          <t>middle</t>
        </is>
      </c>
    </row>
    <row r="11">
      <c r="A11" s="290" t="inlineStr">
        <is>
          <t>high</t>
        </is>
      </c>
    </row>
    <row r="12">
      <c r="A12" s="290" t="inlineStr">
        <is>
          <t>very high</t>
        </is>
      </c>
    </row>
  </sheetData>
  <pageMargins left="0.7" right="0.7" top="0.787401575" bottom="0.7874015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codeName="Tabelle33">
    <tabColor theme="7" tint="0.7999816888943144"/>
    <outlinePr summaryBelow="1" summaryRight="1"/>
    <pageSetUpPr/>
  </sheetPr>
  <dimension ref="A1:C8"/>
  <sheetViews>
    <sheetView workbookViewId="0">
      <selection activeCell="C26" sqref="C26"/>
    </sheetView>
  </sheetViews>
  <sheetFormatPr baseColWidth="10" defaultColWidth="11.5" defaultRowHeight="15"/>
  <cols>
    <col width="25.6640625" customWidth="1" style="528" min="1" max="1"/>
    <col width="22.5" customWidth="1" min="2" max="2"/>
    <col width="163.1640625" customWidth="1" style="101" min="3" max="3"/>
  </cols>
  <sheetData>
    <row r="1" ht="24" customHeight="1">
      <c r="A1" s="529" t="inlineStr">
        <is>
          <t>Log</t>
        </is>
      </c>
    </row>
    <row r="3">
      <c r="A3" s="528" t="inlineStr">
        <is>
          <t>Number of infos logs:</t>
        </is>
      </c>
      <c r="B3" s="399">
        <f>COUNTIF(tblLog[Log type],"Info")</f>
        <v/>
      </c>
    </row>
    <row r="4">
      <c r="A4" s="528" t="inlineStr">
        <is>
          <t>Number of warning logs:</t>
        </is>
      </c>
      <c r="B4" s="399">
        <f>COUNTIF(tblLog[Log type],"Warning")</f>
        <v/>
      </c>
    </row>
    <row r="5">
      <c r="A5" s="528" t="inlineStr">
        <is>
          <t>Number of error logs:</t>
        </is>
      </c>
      <c r="B5" s="400">
        <f>COUNTIF(tblLog[Log type],"Error")</f>
        <v/>
      </c>
    </row>
    <row r="7">
      <c r="A7" s="530" t="inlineStr">
        <is>
          <t>Date/Time</t>
        </is>
      </c>
      <c r="B7" s="239" t="inlineStr">
        <is>
          <t>Log type</t>
        </is>
      </c>
      <c r="C7" s="366" t="inlineStr">
        <is>
          <t>Log description</t>
        </is>
      </c>
    </row>
    <row r="8">
      <c r="A8" s="531" t="n"/>
      <c r="B8" s="242" t="n"/>
      <c r="C8" s="187" t="n"/>
    </row>
  </sheetData>
  <pageMargins left="0.7" right="0.7" top="0.787401575" bottom="0.7874015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codeName="Tabelle43">
    <outlinePr summaryBelow="1" summaryRight="1"/>
    <pageSetUpPr/>
  </sheetPr>
  <dimension ref="A1:G12"/>
  <sheetViews>
    <sheetView workbookViewId="0">
      <selection activeCell="E8" sqref="E8"/>
    </sheetView>
  </sheetViews>
  <sheetFormatPr baseColWidth="10" defaultColWidth="11.5" defaultRowHeight="15"/>
  <cols>
    <col width="18.6640625" customWidth="1" style="3" min="1" max="1"/>
    <col width="57" customWidth="1" style="2" min="2" max="2"/>
    <col width="20.83203125" customWidth="1" style="13" min="3" max="3"/>
    <col width="22.1640625" customWidth="1" style="13" min="4" max="4"/>
    <col width="20.5" customWidth="1" style="13" min="5" max="5"/>
    <col width="26.5" customWidth="1" style="13" min="6" max="6"/>
    <col width="11.5" customWidth="1" style="13" min="7" max="7"/>
    <col width="11.5" customWidth="1" style="3" min="8" max="16384"/>
  </cols>
  <sheetData>
    <row r="1" ht="24" customHeight="1">
      <c r="A1" s="1" t="inlineStr">
        <is>
          <t>Templates</t>
        </is>
      </c>
    </row>
    <row r="3" ht="16" customHeight="1">
      <c r="A3" s="3" t="inlineStr">
        <is>
          <t>Template</t>
        </is>
      </c>
      <c r="B3" s="2" t="inlineStr">
        <is>
          <t>Description</t>
        </is>
      </c>
      <c r="C3" s="13" t="inlineStr">
        <is>
          <t>Created</t>
        </is>
      </c>
      <c r="D3" s="13" t="inlineStr">
        <is>
          <t>Last updated</t>
        </is>
      </c>
      <c r="E3" s="13" t="inlineStr">
        <is>
          <t>Company</t>
        </is>
      </c>
      <c r="F3" s="13" t="inlineStr">
        <is>
          <t>Business Area/Line</t>
        </is>
      </c>
      <c r="G3" s="3" t="n"/>
    </row>
    <row r="4" ht="16" customHeight="1">
      <c r="A4" s="3" t="inlineStr">
        <is>
          <t>general_dev_de</t>
        </is>
      </c>
      <c r="B4" s="2" t="inlineStr">
        <is>
          <t>Einfaches Entwicklungsprojekt (Ansprechpartner: Georg Wichert)</t>
        </is>
      </c>
      <c r="C4" s="242" t="n">
        <v>45658</v>
      </c>
      <c r="D4" s="242" t="n">
        <v>45664</v>
      </c>
      <c r="E4" s="13" t="inlineStr">
        <is>
          <t>any</t>
        </is>
      </c>
      <c r="F4" s="13" t="inlineStr">
        <is>
          <t>any</t>
        </is>
      </c>
      <c r="G4" s="3" t="n"/>
    </row>
    <row r="5" ht="16" customHeight="1">
      <c r="A5" s="3" t="inlineStr">
        <is>
          <t>general_dev_en</t>
        </is>
      </c>
      <c r="B5" s="2" t="inlineStr">
        <is>
          <t>A simple development project (contact: Georg Wichert)</t>
        </is>
      </c>
      <c r="C5" s="242" t="n">
        <v>45649</v>
      </c>
      <c r="D5" s="242" t="n">
        <v>45654</v>
      </c>
      <c r="E5" s="13" t="inlineStr">
        <is>
          <t>any</t>
        </is>
      </c>
      <c r="F5" s="13" t="inlineStr">
        <is>
          <t>any</t>
        </is>
      </c>
      <c r="G5" s="3" t="n"/>
    </row>
    <row r="6" ht="32" customHeight="1">
      <c r="A6" s="3" t="inlineStr">
        <is>
          <t>ams_appdev1_de</t>
        </is>
      </c>
      <c r="B6" s="2" t="inlineStr">
        <is>
          <t>Featurebasierte Kalkulation für die Entwicklung von mobilen Applikationen ohne Backend-Entwicklung (Ansprechpartner: Jana Pelz)</t>
        </is>
      </c>
      <c r="C6" s="242" t="n">
        <v>45658</v>
      </c>
      <c r="D6" s="242" t="n">
        <v>45663</v>
      </c>
      <c r="E6" s="13" t="inlineStr">
        <is>
          <t>adesso mobile solutions</t>
        </is>
      </c>
      <c r="F6" s="13" t="inlineStr">
        <is>
          <t>any</t>
        </is>
      </c>
      <c r="G6" s="3" t="n"/>
    </row>
    <row r="7" ht="32" customHeight="1">
      <c r="A7" s="3" t="inlineStr">
        <is>
          <t>ams_appdev1_en</t>
        </is>
      </c>
      <c r="B7" s="2" t="inlineStr">
        <is>
          <t>Feature-based calculation for the development of mobile applications without backend development (contact: Jana Pelz)</t>
        </is>
      </c>
      <c r="C7" s="242" t="n">
        <v>45663</v>
      </c>
      <c r="D7" s="242" t="n">
        <v>45663</v>
      </c>
      <c r="E7" s="13" t="inlineStr">
        <is>
          <t>adesso mobile solutions</t>
        </is>
      </c>
      <c r="F7" s="13" t="inlineStr">
        <is>
          <t>any</t>
        </is>
      </c>
      <c r="G7" s="3" t="n"/>
    </row>
    <row r="8" ht="48" customHeight="1">
      <c r="A8" s="3" t="inlineStr">
        <is>
          <t>ams_a11y_de</t>
        </is>
      </c>
      <c r="B8" s="2" t="inlineStr">
        <is>
          <t>Die Vorlage unterstützt die Kalkulation von Angeboten für Barrierefreiheitsprüfungen (a11y) in unterschiedlich starken Ausprägungen. (Ansprechpartner: Jana Pelz)</t>
        </is>
      </c>
      <c r="C8" s="242" t="n">
        <v>45664</v>
      </c>
      <c r="D8" s="242" t="n">
        <v>45664</v>
      </c>
      <c r="E8" s="13" t="inlineStr">
        <is>
          <t>adesso mobile solutions</t>
        </is>
      </c>
      <c r="F8" s="13" t="inlineStr">
        <is>
          <t>any</t>
        </is>
      </c>
      <c r="G8" s="3" t="n"/>
    </row>
    <row r="9" ht="240" customHeight="1">
      <c r="A9" s="3" t="inlineStr">
        <is>
          <t>bank_afp_de</t>
        </is>
      </c>
      <c r="B9" s="2" t="inlineStr">
        <is>
          <t>Implementierung und Erweiterung/Anpassung (Entwicklung) der adesso financial plattform (aFP). Diese Vorlage basiert auf einem Projekt basierend auf der adesso Financial Plattform von der LOB Banking (https://www.adesso.de/de/branchen/banken-finanzdienstleister/leistungen/adesso-financial-platform/index.jsp).
Planungsgrundlage ist hier eine typische B2B Web-Plattform, die als Microservice(s) mit Angular Frontend in einem Cluster (Kubernetes o.ä.) entweder on-prem oder in der Public Cloud betrieben wird. Hierbei werden die typischerweise anfallenden Bereitstellungsaufwände der benötigten aFP-Module, sowie aus der Erfahrung basierende DevOps Aufwände berücksichtigt. Die fachliche Umsetzung ist dann in Form von Features zu erfassen. Die Go-Live Phase geht von einer intensiven Begleitung des Projekts, sowie der Übergabe (Transition) an das Application Management aus. Das gesamte Projekt findet inhouse statt. (Ansprechpartner: Christopher Trampisch und Andrea Peiffer)</t>
        </is>
      </c>
      <c r="C9" s="242" t="n">
        <v>45663</v>
      </c>
      <c r="D9" s="242" t="n">
        <v>45663</v>
      </c>
      <c r="E9" s="13" t="inlineStr">
        <is>
          <t>adesso SE</t>
        </is>
      </c>
      <c r="F9" s="13" t="inlineStr">
        <is>
          <t>Banking</t>
        </is>
      </c>
      <c r="G9" s="3" t="n"/>
    </row>
    <row r="10" ht="256" customHeight="1">
      <c r="A10" s="3" t="inlineStr">
        <is>
          <t>at_devops_en</t>
        </is>
      </c>
      <c r="B10" s="2" t="inlineStr">
        <is>
          <t>Die Kalkulationsvorlage unterstützt Projektleiter und Angebotsmanager beim Schätzen von DevOps-Projekten (hier für den Kunden BMW).
Bei dieser Art von Projekten übernehmen wir Applikationen von einem Vor-Dienstleister (Transition IN) und entwickeln diese Applikationen weiter und übernehmen den Betrieb mit einem 24/7 Support. Die Beauftragung der Entwicklungsaufwände erfolgt über User Stories (Feature) im Festpreis. Alle Aufwände wie Development, Testing usw. bis hin zum Overhead (agile Meetings, PL, PMO, usw.) werden über diese User Stories finanziert und müssen deshalb in der Schätzung auf Feature-Ebene enthalten sein. Der Operationsbereich wird meist über ein festes Budget beauftragt und muss eventuell separat ausgewiesen werden. Die Aufwände sind aber im adesso calculator enthalten. Da diese Art von Projekten nur mit einem Smartshore Ansatz lukrativ für adesso sind, ist dieser Ansatz hier berücksichtigt. Es ist ein Verhältnis von 80% Onsite und 20% Smarthshore (Erfahrungswert) im Entwicklungs- und Testbereich im Template hinterlegt. (Ansprechpartner: Olaf Boczan)</t>
        </is>
      </c>
      <c r="C10" s="242" t="n">
        <v>45664</v>
      </c>
      <c r="D10" s="242" t="n">
        <v>45664</v>
      </c>
      <c r="E10" s="13" t="inlineStr">
        <is>
          <t>adesso SE</t>
        </is>
      </c>
      <c r="F10" s="13" t="inlineStr">
        <is>
          <t>Automotive/BMW</t>
        </is>
      </c>
      <c r="G10" s="3" t="n"/>
    </row>
    <row r="11" ht="16" customHeight="1">
      <c r="A11" s="3" t="inlineStr">
        <is>
          <t>test_simple_en</t>
        </is>
      </c>
      <c r="B11" s="2" t="inlineStr">
        <is>
          <t>Simple demo development project for testing and presentation</t>
        </is>
      </c>
      <c r="C11" s="242" t="n">
        <v>45654</v>
      </c>
      <c r="D11" s="242" t="n">
        <v>45654</v>
      </c>
      <c r="E11" s="13" t="inlineStr">
        <is>
          <t>any</t>
        </is>
      </c>
      <c r="F11" s="13" t="inlineStr">
        <is>
          <t>any</t>
        </is>
      </c>
    </row>
    <row r="12" ht="16" customHeight="1">
      <c r="A12" s="3" t="inlineStr">
        <is>
          <t>test_complex_en</t>
        </is>
      </c>
      <c r="B12" s="2" t="inlineStr">
        <is>
          <t>Complex demo development project for testing and presentation</t>
        </is>
      </c>
      <c r="C12" s="242" t="n">
        <v>45653</v>
      </c>
      <c r="D12" s="242" t="n">
        <v>45654</v>
      </c>
      <c r="E12" s="13" t="inlineStr">
        <is>
          <t>any</t>
        </is>
      </c>
      <c r="F12" s="13" t="inlineStr">
        <is>
          <t>any</t>
        </is>
      </c>
    </row>
  </sheetData>
  <dataValidations count="1">
    <dataValidation sqref="E4:E12" showDropDown="0" showInputMessage="1" showErrorMessage="1" allowBlank="1" type="list">
      <formula1>INDIRECT("tblCompanies[Company]")</formula1>
    </dataValidation>
  </dataValidations>
  <pageMargins left="0.7" right="0.7" top="0.787401575" bottom="0.7874015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codeName="Tabelle20">
    <tabColor theme="5" tint="0.7999816888943144"/>
    <outlinePr summaryBelow="1" summaryRight="1"/>
    <pageSetUpPr/>
  </sheetPr>
  <dimension ref="A1:AT146"/>
  <sheetViews>
    <sheetView topLeftCell="A115" workbookViewId="0">
      <selection activeCell="E151" sqref="E151"/>
    </sheetView>
  </sheetViews>
  <sheetFormatPr baseColWidth="10" defaultColWidth="11.5" defaultRowHeight="15"/>
  <sheetData>
    <row r="1">
      <c r="A1" t="inlineStr">
        <is>
          <t>Key</t>
        </is>
      </c>
      <c r="B1" t="inlineStr">
        <is>
          <t>Value</t>
        </is>
      </c>
    </row>
    <row r="2">
      <c r="A2" t="inlineStr">
        <is>
          <t>Proposal title</t>
        </is>
      </c>
      <c r="B2" t="inlineStr">
        <is>
          <t>&lt;title of proposal&gt;</t>
        </is>
      </c>
    </row>
    <row r="3">
      <c r="A3" t="inlineStr">
        <is>
          <t>Contract type</t>
        </is>
      </c>
      <c r="B3" t="inlineStr">
        <is>
          <t>Work contract (fixed price)</t>
        </is>
      </c>
    </row>
    <row r="4">
      <c r="A4" t="inlineStr">
        <is>
          <t>Customer</t>
        </is>
      </c>
      <c r="B4" t="inlineStr">
        <is>
          <t>&lt;name of customer&gt;</t>
        </is>
      </c>
    </row>
    <row r="5">
      <c r="A5" t="inlineStr">
        <is>
          <t>Contractor</t>
        </is>
      </c>
      <c r="B5" t="inlineStr">
        <is>
          <t>any</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20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Inititialisierung</t>
        </is>
      </c>
      <c r="D27" t="inlineStr">
        <is>
          <t>Projektinitialisierung und -planung</t>
        </is>
      </c>
      <c r="E27" t="inlineStr">
        <is>
          <t>Initialisierung und Planung des Projektes; Erstellung eines Projekthandbuchs, Beschaffung der Ressourcen, Aufsetzen des Projektcontrollings usw - Details siehe adesso-Intranet</t>
        </is>
      </c>
      <c r="I27" t="n">
        <v>0</v>
      </c>
      <c r="P27" t="inlineStr">
        <is>
          <t>no</t>
        </is>
      </c>
      <c r="R27" t="inlineStr">
        <is>
          <t>f100</t>
        </is>
      </c>
    </row>
    <row r="28">
      <c r="A28" t="inlineStr">
        <is>
          <t>P-20</t>
        </is>
      </c>
      <c r="C28" t="inlineStr">
        <is>
          <t>Inititialisierung</t>
        </is>
      </c>
      <c r="D28" t="inlineStr">
        <is>
          <t>Planung und Durchführung Projekt Kick Off-Meeting</t>
        </is>
      </c>
      <c r="E28" t="inlineStr">
        <is>
          <t>Internes und ggf. externes Meeting organisieren und durchführen</t>
        </is>
      </c>
      <c r="I28" t="n">
        <v>0</v>
      </c>
      <c r="P28" t="inlineStr">
        <is>
          <t>no</t>
        </is>
      </c>
      <c r="R28" t="inlineStr">
        <is>
          <t>f100</t>
        </is>
      </c>
    </row>
    <row r="29">
      <c r="A29" t="inlineStr">
        <is>
          <t>P-30</t>
        </is>
      </c>
      <c r="C29" t="inlineStr">
        <is>
          <t>Inititialisierung</t>
        </is>
      </c>
      <c r="D29" t="inlineStr">
        <is>
          <t>Erstellung Software Architekturkonzept</t>
        </is>
      </c>
      <c r="E29" t="inlineStr">
        <is>
          <t>Architekturkonzept erstellen</t>
        </is>
      </c>
      <c r="I29" t="n">
        <v>0</v>
      </c>
      <c r="P29" t="inlineStr">
        <is>
          <t>no</t>
        </is>
      </c>
      <c r="S29" t="inlineStr">
        <is>
          <t>f100</t>
        </is>
      </c>
    </row>
    <row r="30">
      <c r="A30" t="inlineStr">
        <is>
          <t>P-40</t>
        </is>
      </c>
      <c r="C30" t="inlineStr">
        <is>
          <t>Inititialisierung</t>
        </is>
      </c>
      <c r="D30" t="inlineStr">
        <is>
          <t>Erstellung Testkonzept</t>
        </is>
      </c>
      <c r="E30" t="inlineStr">
        <is>
          <t>Testkonzept erstellen</t>
        </is>
      </c>
      <c r="I30" t="n">
        <v>0</v>
      </c>
      <c r="P30" t="inlineStr">
        <is>
          <t>no</t>
        </is>
      </c>
      <c r="V30" t="inlineStr">
        <is>
          <t>f100</t>
        </is>
      </c>
    </row>
    <row r="31">
      <c r="A31" t="inlineStr">
        <is>
          <t>P-50</t>
        </is>
      </c>
      <c r="C31" t="inlineStr">
        <is>
          <t>Inititialisierung</t>
        </is>
      </c>
      <c r="D31" t="inlineStr">
        <is>
          <t>Aufbau Entwicklungsumgebung</t>
        </is>
      </c>
      <c r="E31" t="inlineStr">
        <is>
          <t>Aufbau Entwicklung-, Test- und Abnahmeumgebung</t>
        </is>
      </c>
      <c r="I31" t="n">
        <v>0</v>
      </c>
      <c r="P31" t="inlineStr">
        <is>
          <t>no</t>
        </is>
      </c>
      <c r="Y31" t="inlineStr">
        <is>
          <t>f100</t>
        </is>
      </c>
    </row>
    <row r="32">
      <c r="A32" t="inlineStr">
        <is>
          <t>P-60</t>
        </is>
      </c>
      <c r="C32" t="inlineStr">
        <is>
          <t>Implementierung</t>
        </is>
      </c>
      <c r="D32" t="inlineStr">
        <is>
          <t>Analyse und Software Design</t>
        </is>
      </c>
      <c r="E32" t="inlineStr">
        <is>
          <t>Feature task 'Analyse &amp; Software Design'</t>
        </is>
      </c>
      <c r="F32" t="inlineStr">
        <is>
          <t>FT#1</t>
        </is>
      </c>
      <c r="I32" t="n">
        <v>0</v>
      </c>
      <c r="J32" t="inlineStr">
        <is>
          <t>[design]</t>
        </is>
      </c>
      <c r="P32" t="inlineStr">
        <is>
          <t>no</t>
        </is>
      </c>
      <c r="S32" t="inlineStr">
        <is>
          <t>f20</t>
        </is>
      </c>
      <c r="T32" t="inlineStr">
        <is>
          <t>f80</t>
        </is>
      </c>
    </row>
    <row r="33">
      <c r="A33" t="inlineStr">
        <is>
          <t>P-70</t>
        </is>
      </c>
      <c r="C33" t="inlineStr">
        <is>
          <t>Implementierung</t>
        </is>
      </c>
      <c r="D33" t="inlineStr">
        <is>
          <t>Softwareentwicklung</t>
        </is>
      </c>
      <c r="E33" t="inlineStr">
        <is>
          <t>Feature task 'Software-entwicklung'</t>
        </is>
      </c>
      <c r="F33" t="inlineStr">
        <is>
          <t>FT#2</t>
        </is>
      </c>
      <c r="I33" t="n">
        <v>0</v>
      </c>
      <c r="J33" t="inlineStr">
        <is>
          <t>[dev]</t>
        </is>
      </c>
      <c r="P33" t="inlineStr">
        <is>
          <t>no</t>
        </is>
      </c>
      <c r="X33" t="inlineStr">
        <is>
          <t>f100</t>
        </is>
      </c>
    </row>
    <row r="34">
      <c r="A34" t="inlineStr">
        <is>
          <t>P-80</t>
        </is>
      </c>
      <c r="C34" t="inlineStr">
        <is>
          <t>Implementierung</t>
        </is>
      </c>
      <c r="D34" t="inlineStr">
        <is>
          <t>Softwaretest</t>
        </is>
      </c>
      <c r="E34" t="inlineStr">
        <is>
          <t>Feature task 'Softwaretest'</t>
        </is>
      </c>
      <c r="F34" t="inlineStr">
        <is>
          <t>FT#3</t>
        </is>
      </c>
      <c r="I34" t="n">
        <v>0</v>
      </c>
      <c r="J34" t="inlineStr">
        <is>
          <t>[test]</t>
        </is>
      </c>
      <c r="P34" t="inlineStr">
        <is>
          <t>no</t>
        </is>
      </c>
      <c r="W34" t="inlineStr">
        <is>
          <t>f100</t>
        </is>
      </c>
    </row>
    <row r="35">
      <c r="A35" t="inlineStr">
        <is>
          <t>P-90</t>
        </is>
      </c>
      <c r="C35" t="inlineStr">
        <is>
          <t>Implementierung</t>
        </is>
      </c>
      <c r="D35" t="inlineStr">
        <is>
          <t>Entwicklung und Wartung Testautomatisierung</t>
        </is>
      </c>
      <c r="E35" t="inlineStr">
        <is>
          <t>Entwicklung und Wartung Testautomatisierung</t>
        </is>
      </c>
      <c r="I35" t="n">
        <v>0</v>
      </c>
      <c r="P35" t="inlineStr">
        <is>
          <t>no</t>
        </is>
      </c>
      <c r="V35" t="inlineStr">
        <is>
          <t>f20</t>
        </is>
      </c>
      <c r="W35" t="inlineStr">
        <is>
          <t>f80</t>
        </is>
      </c>
    </row>
    <row r="36">
      <c r="A36" t="inlineStr">
        <is>
          <t>P-100</t>
        </is>
      </c>
      <c r="C36" t="inlineStr">
        <is>
          <t>Implementierung</t>
        </is>
      </c>
      <c r="D36" t="inlineStr">
        <is>
          <t>Performance Test</t>
        </is>
      </c>
      <c r="E36" t="inlineStr">
        <is>
          <t>Performance Test</t>
        </is>
      </c>
      <c r="I36" t="n">
        <v>0</v>
      </c>
      <c r="P36" t="inlineStr">
        <is>
          <t>no</t>
        </is>
      </c>
      <c r="S36" t="inlineStr">
        <is>
          <t>f20</t>
        </is>
      </c>
      <c r="Y36" t="inlineStr">
        <is>
          <t>f80</t>
        </is>
      </c>
    </row>
    <row r="37">
      <c r="A37" t="inlineStr">
        <is>
          <t>P-110</t>
        </is>
      </c>
      <c r="C37" t="inlineStr">
        <is>
          <t>Implementierung</t>
        </is>
      </c>
      <c r="D37" t="inlineStr">
        <is>
          <t>Sicherheitsprüfung</t>
        </is>
      </c>
      <c r="E37" t="inlineStr">
        <is>
          <t>Statische Codeanalyse, Bedrohungsmodell (Bedrohungsanalyse); weitere Informationen unter security-check@adesso.de</t>
        </is>
      </c>
      <c r="I37" t="n">
        <v>0</v>
      </c>
      <c r="P37" t="inlineStr">
        <is>
          <t>no</t>
        </is>
      </c>
      <c r="S37" t="inlineStr">
        <is>
          <t>f20</t>
        </is>
      </c>
      <c r="Y37" t="inlineStr">
        <is>
          <t>f80</t>
        </is>
      </c>
    </row>
    <row r="38">
      <c r="A38" t="inlineStr">
        <is>
          <t>P-120</t>
        </is>
      </c>
      <c r="C38" t="inlineStr">
        <is>
          <t>Implementierung</t>
        </is>
      </c>
      <c r="D38" t="inlineStr">
        <is>
          <t>Erstellung Anwenderhandbuch</t>
        </is>
      </c>
      <c r="E38" t="inlineStr">
        <is>
          <t>Erstellung, Korrektur und Übergabe eines Benutzerhandbuchs</t>
        </is>
      </c>
      <c r="I38" t="n">
        <v>0</v>
      </c>
      <c r="P38" t="inlineStr">
        <is>
          <t>no</t>
        </is>
      </c>
      <c r="T38" t="inlineStr">
        <is>
          <t>f100</t>
        </is>
      </c>
    </row>
    <row r="39">
      <c r="A39" t="inlineStr">
        <is>
          <t>P-130</t>
        </is>
      </c>
      <c r="C39" t="inlineStr">
        <is>
          <t>Implementierung</t>
        </is>
      </c>
      <c r="D39" t="inlineStr">
        <is>
          <t>Kundenschulung</t>
        </is>
      </c>
      <c r="E39" t="inlineStr">
        <is>
          <t>Vorbereitung und Durchführung von Kundenschulungen</t>
        </is>
      </c>
      <c r="I39" t="n">
        <v>0</v>
      </c>
      <c r="P39" t="inlineStr">
        <is>
          <t>no</t>
        </is>
      </c>
      <c r="T39" t="inlineStr">
        <is>
          <t>f100</t>
        </is>
      </c>
    </row>
    <row r="40">
      <c r="A40" t="inlineStr">
        <is>
          <t>P-140</t>
        </is>
      </c>
      <c r="C40" t="inlineStr">
        <is>
          <t>Implementierung</t>
        </is>
      </c>
      <c r="D40" t="inlineStr">
        <is>
          <t>Fehlerbearbeitung nach Bereitstellung zur Abnahme</t>
        </is>
      </c>
      <c r="E40" t="inlineStr">
        <is>
          <t>Feature task 'Fehlerbearb. nach BzA'</t>
        </is>
      </c>
      <c r="F40" t="inlineStr">
        <is>
          <t>FT#4</t>
        </is>
      </c>
      <c r="I40" t="n">
        <v>0</v>
      </c>
      <c r="J40" t="inlineStr">
        <is>
          <t>[bugfix]</t>
        </is>
      </c>
      <c r="P40" t="inlineStr">
        <is>
          <t>no</t>
        </is>
      </c>
      <c r="W40" t="inlineStr">
        <is>
          <t>f20</t>
        </is>
      </c>
      <c r="X40" t="inlineStr">
        <is>
          <t>f80</t>
        </is>
      </c>
    </row>
    <row r="41">
      <c r="A41" t="inlineStr">
        <is>
          <t>P-150</t>
        </is>
      </c>
      <c r="C41" t="inlineStr">
        <is>
          <t>Implementierung</t>
        </is>
      </c>
      <c r="D41" t="inlineStr">
        <is>
          <t>Datenmigration</t>
        </is>
      </c>
      <c r="E41" t="inlineStr">
        <is>
          <t>Datenmigration vom Altsystem in das neue System</t>
        </is>
      </c>
      <c r="I41" t="n">
        <v>0</v>
      </c>
      <c r="P41" t="inlineStr">
        <is>
          <t>no</t>
        </is>
      </c>
      <c r="T41" t="inlineStr">
        <is>
          <t>f50</t>
        </is>
      </c>
      <c r="X41" t="inlineStr">
        <is>
          <t>f50</t>
        </is>
      </c>
    </row>
    <row r="42">
      <c r="A42" t="inlineStr">
        <is>
          <t>P-160</t>
        </is>
      </c>
      <c r="C42" t="inlineStr">
        <is>
          <t>Implementierung</t>
        </is>
      </c>
      <c r="D42" t="inlineStr">
        <is>
          <t>Unterstützung des Kunden bei der Installation und Konfiguration der Software</t>
        </is>
      </c>
      <c r="E42" t="inlineStr">
        <is>
          <t>Unterstützung des Kunden bei der Installation und Konfiguration der Software</t>
        </is>
      </c>
      <c r="I42" t="n">
        <v>0</v>
      </c>
      <c r="P42" t="inlineStr">
        <is>
          <t>no</t>
        </is>
      </c>
      <c r="Y42" t="inlineStr">
        <is>
          <t>f100</t>
        </is>
      </c>
    </row>
    <row r="43">
      <c r="A43" t="inlineStr">
        <is>
          <t>P-170</t>
        </is>
      </c>
      <c r="C43" t="inlineStr">
        <is>
          <t>Übergreifende Aufgaben</t>
        </is>
      </c>
      <c r="D43" t="inlineStr">
        <is>
          <t>Projektmanagement</t>
        </is>
      </c>
      <c r="E43" t="inlineStr">
        <is>
          <t>Projektsteuerung, Ressourcen-, Stakeholder-, Risiko- und Eskalationsmanagement, Planungsaktualisierungen usw.</t>
        </is>
      </c>
      <c r="I43" t="n">
        <v>0</v>
      </c>
      <c r="K43" t="inlineStr">
        <is>
          <t>max([#projectlength]*ifs([#total1]&lt;200,0.5,[#total1]&lt;500,1,[#total1]&lt;1000,1.5,[#total1]&lt;2000,2,true,3),10%*[#total1])</t>
        </is>
      </c>
      <c r="P43" t="inlineStr">
        <is>
          <t>no</t>
        </is>
      </c>
      <c r="R43" t="inlineStr">
        <is>
          <t>f100</t>
        </is>
      </c>
    </row>
    <row r="44">
      <c r="A44" t="inlineStr">
        <is>
          <t>P-180</t>
        </is>
      </c>
      <c r="C44" t="inlineStr">
        <is>
          <t>Übergreifende Aufgaben</t>
        </is>
      </c>
      <c r="D44" t="inlineStr">
        <is>
          <t>Testmanagement</t>
        </is>
      </c>
      <c r="E44" t="inlineStr">
        <is>
          <t>Übergreifendes Test- und Qualitätsmanagement</t>
        </is>
      </c>
      <c r="I44" t="n">
        <v>0</v>
      </c>
      <c r="P44" t="inlineStr">
        <is>
          <t>no</t>
        </is>
      </c>
      <c r="V44" t="inlineStr">
        <is>
          <t>f100</t>
        </is>
      </c>
    </row>
    <row r="45">
      <c r="A45" t="inlineStr">
        <is>
          <t>P-190</t>
        </is>
      </c>
      <c r="C45" t="inlineStr">
        <is>
          <t>Übergreifende Aufgaben</t>
        </is>
      </c>
      <c r="D45" t="inlineStr">
        <is>
          <t>Architekturmanagement</t>
        </is>
      </c>
      <c r="E45" t="inlineStr">
        <is>
          <t>Übergreifendes Software-Architekturmanagement</t>
        </is>
      </c>
      <c r="I45" t="n">
        <v>0</v>
      </c>
      <c r="P45" t="inlineStr">
        <is>
          <t>no</t>
        </is>
      </c>
      <c r="S45" t="inlineStr">
        <is>
          <t>f100</t>
        </is>
      </c>
    </row>
    <row r="46">
      <c r="A46" t="inlineStr">
        <is>
          <t>P-200</t>
        </is>
      </c>
      <c r="C46" t="inlineStr">
        <is>
          <t>Übergreifende Aufgaben</t>
        </is>
      </c>
      <c r="D46" t="inlineStr">
        <is>
          <t>DevOps Support</t>
        </is>
      </c>
      <c r="E46" t="inlineStr">
        <is>
          <t>Übergreifender DevOps Support</t>
        </is>
      </c>
      <c r="I46" t="n">
        <v>0</v>
      </c>
      <c r="P46" t="inlineStr">
        <is>
          <t>no</t>
        </is>
      </c>
      <c r="Y46" t="inlineStr">
        <is>
          <t>f100</t>
        </is>
      </c>
    </row>
    <row r="47">
      <c r="A47" t="inlineStr">
        <is>
          <t>P-210</t>
        </is>
      </c>
      <c r="C47" t="inlineStr">
        <is>
          <t>Übergreifende Aufgaben</t>
        </is>
      </c>
      <c r="D47" t="inlineStr">
        <is>
          <t>Smartshoremanagement</t>
        </is>
      </c>
      <c r="E47" t="inlineStr">
        <is>
          <t>Übergreifende Steuerung der Smartshore-Ressourcen</t>
        </is>
      </c>
      <c r="I47" t="n">
        <v>0</v>
      </c>
      <c r="P47" t="inlineStr">
        <is>
          <t>no</t>
        </is>
      </c>
      <c r="R47" t="inlineStr">
        <is>
          <t>f100</t>
        </is>
      </c>
    </row>
    <row r="48">
      <c r="A48" t="inlineStr">
        <is>
          <t>P-220</t>
        </is>
      </c>
      <c r="C48" t="inlineStr">
        <is>
          <t>Übergreifende Aufgaben</t>
        </is>
      </c>
      <c r="D48" t="inlineStr">
        <is>
          <t>Projektmeetings</t>
        </is>
      </c>
      <c r="E48" t="inlineStr">
        <is>
          <t>Meetings &gt; 1 Stunde, z.B. für Scrum Ereignisse</t>
        </is>
      </c>
      <c r="I48" t="n">
        <v>0</v>
      </c>
      <c r="P48" t="inlineStr">
        <is>
          <t>no</t>
        </is>
      </c>
      <c r="Q48" t="inlineStr">
        <is>
          <t>f100</t>
        </is>
      </c>
    </row>
    <row r="49">
      <c r="A49" t="inlineStr">
        <is>
          <t>P-230</t>
        </is>
      </c>
      <c r="C49" t="inlineStr">
        <is>
          <t>Übergreifende Aufgaben</t>
        </is>
      </c>
      <c r="D49" t="inlineStr">
        <is>
          <t>Reisezeiten</t>
        </is>
      </c>
      <c r="E49" t="inlineStr">
        <is>
          <t>Reisezeiten</t>
        </is>
      </c>
      <c r="F49" t="inlineStr">
        <is>
          <t>TT</t>
        </is>
      </c>
      <c r="I49" t="n">
        <v>0</v>
      </c>
      <c r="J49" t="inlineStr">
        <is>
          <t>[traveltime]</t>
        </is>
      </c>
      <c r="P49" t="inlineStr">
        <is>
          <t>no</t>
        </is>
      </c>
      <c r="Q49" t="inlineStr">
        <is>
          <t>f100</t>
        </is>
      </c>
    </row>
    <row r="50">
      <c r="A50" t="inlineStr">
        <is>
          <t>P-240</t>
        </is>
      </c>
      <c r="C50" t="inlineStr">
        <is>
          <t>Übergreifende Aufgaben</t>
        </is>
      </c>
      <c r="D50" t="inlineStr">
        <is>
          <t>Risiken</t>
        </is>
      </c>
      <c r="E50" t="inlineStr">
        <is>
          <t>Risiken</t>
        </is>
      </c>
      <c r="F50" t="inlineStr">
        <is>
          <t>RIS</t>
        </is>
      </c>
      <c r="I50" t="n">
        <v>0</v>
      </c>
      <c r="J50" t="inlineStr">
        <is>
          <t>[risks]</t>
        </is>
      </c>
      <c r="P50" t="inlineStr">
        <is>
          <t>no</t>
        </is>
      </c>
      <c r="Q50" t="inlineStr">
        <is>
          <t>f100</t>
        </is>
      </c>
    </row>
    <row r="51">
      <c r="A51" t="inlineStr">
        <is>
          <t>P-250</t>
        </is>
      </c>
      <c r="C51" t="inlineStr">
        <is>
          <t>Gewährleistung</t>
        </is>
      </c>
      <c r="D51" t="inlineStr">
        <is>
          <t>Gewährleistung</t>
        </is>
      </c>
      <c r="E51" t="inlineStr">
        <is>
          <t>Gewährleistung</t>
        </is>
      </c>
      <c r="F51" t="inlineStr">
        <is>
          <t>WA</t>
        </is>
      </c>
      <c r="I51" t="n">
        <v>0</v>
      </c>
      <c r="J51" t="inlineStr">
        <is>
          <t>[warranty]</t>
        </is>
      </c>
      <c r="K51" t="inlineStr">
        <is>
          <t>10%*[#total1]</t>
        </is>
      </c>
      <c r="P51" t="inlineStr">
        <is>
          <t>no</t>
        </is>
      </c>
      <c r="Q51" t="inlineStr">
        <is>
          <t>f100</t>
        </is>
      </c>
    </row>
    <row r="53">
      <c r="A53" t="inlineStr">
        <is>
          <t>Seniority Level</t>
        </is>
      </c>
    </row>
    <row r="54">
      <c r="A54" s="290" t="inlineStr">
        <is>
          <t>any</t>
        </is>
      </c>
    </row>
    <row r="55">
      <c r="A55" s="290" t="inlineStr">
        <is>
          <t>very low</t>
        </is>
      </c>
    </row>
    <row r="56">
      <c r="A56" s="290" t="inlineStr">
        <is>
          <t>low</t>
        </is>
      </c>
    </row>
    <row r="57">
      <c r="A57" s="290" t="inlineStr">
        <is>
          <t>middle</t>
        </is>
      </c>
    </row>
    <row r="58">
      <c r="A58" s="290" t="inlineStr">
        <is>
          <t>high</t>
        </is>
      </c>
    </row>
    <row r="59">
      <c r="A59" s="290" t="inlineStr">
        <is>
          <t>very high</t>
        </is>
      </c>
    </row>
    <row r="61">
      <c r="A61" t="inlineStr">
        <is>
          <t>Location</t>
        </is>
      </c>
    </row>
    <row r="62">
      <c r="A62" s="290" t="inlineStr">
        <is>
          <t>any</t>
        </is>
      </c>
    </row>
    <row r="63">
      <c r="A63" s="290" t="inlineStr">
        <is>
          <t>Onsite</t>
        </is>
      </c>
    </row>
    <row r="64">
      <c r="A64" s="290" t="inlineStr">
        <is>
          <t>Offsite</t>
        </is>
      </c>
    </row>
    <row r="65">
      <c r="A65" s="290" t="inlineStr">
        <is>
          <t>On-/Offsite</t>
        </is>
      </c>
    </row>
    <row r="66">
      <c r="A66" s="290" t="inlineStr">
        <is>
          <t>Nearshore</t>
        </is>
      </c>
    </row>
    <row r="67">
      <c r="A67" s="290" t="inlineStr">
        <is>
          <t>Offshore</t>
        </is>
      </c>
    </row>
    <row r="69">
      <c r="A69" t="inlineStr">
        <is>
          <t>Company</t>
        </is>
      </c>
      <c r="B69" s="81" t="inlineStr">
        <is>
          <t>Accounting-related company</t>
        </is>
      </c>
    </row>
    <row r="70">
      <c r="A70" s="290" t="inlineStr">
        <is>
          <t>any</t>
        </is>
      </c>
      <c r="B70" s="292" t="inlineStr">
        <is>
          <t>no</t>
        </is>
      </c>
    </row>
    <row r="71">
      <c r="A71" s="290" t="inlineStr">
        <is>
          <t>adesso SE</t>
        </is>
      </c>
      <c r="B71" s="292" t="inlineStr">
        <is>
          <t>yes</t>
        </is>
      </c>
    </row>
    <row r="72">
      <c r="A72" s="290" t="inlineStr">
        <is>
          <t>adesso as a service</t>
        </is>
      </c>
      <c r="B72" s="292" t="inlineStr">
        <is>
          <t>no</t>
        </is>
      </c>
    </row>
    <row r="73">
      <c r="A73" s="290" t="inlineStr">
        <is>
          <t>adesso Austria</t>
        </is>
      </c>
      <c r="B73" s="292" t="inlineStr">
        <is>
          <t>no</t>
        </is>
      </c>
    </row>
    <row r="74">
      <c r="A74" s="290" t="inlineStr">
        <is>
          <t>adesso benefit solutions</t>
        </is>
      </c>
      <c r="B74" s="292" t="inlineStr">
        <is>
          <t>no</t>
        </is>
      </c>
    </row>
    <row r="75">
      <c r="A75" s="290" t="inlineStr">
        <is>
          <t>adesso Bulgaria</t>
        </is>
      </c>
      <c r="B75" s="292" t="inlineStr">
        <is>
          <t>no</t>
        </is>
      </c>
    </row>
    <row r="76">
      <c r="A76" s="290" t="inlineStr">
        <is>
          <t>adesso Finland</t>
        </is>
      </c>
      <c r="B76" s="292" t="inlineStr">
        <is>
          <t>no</t>
        </is>
      </c>
    </row>
    <row r="77">
      <c r="A77" s="290" t="inlineStr">
        <is>
          <t>adesso health solutions</t>
        </is>
      </c>
      <c r="B77" s="292" t="inlineStr">
        <is>
          <t>no</t>
        </is>
      </c>
    </row>
    <row r="78">
      <c r="A78" s="290" t="inlineStr">
        <is>
          <t>adesso Hungary</t>
        </is>
      </c>
      <c r="B78" s="292" t="inlineStr">
        <is>
          <t>no</t>
        </is>
      </c>
    </row>
    <row r="79">
      <c r="A79" s="290" t="inlineStr">
        <is>
          <t>adesso India</t>
        </is>
      </c>
      <c r="B79" s="292" t="inlineStr">
        <is>
          <t>no</t>
        </is>
      </c>
    </row>
    <row r="80">
      <c r="A80" s="290" t="inlineStr">
        <is>
          <t>adesso insurance solutions</t>
        </is>
      </c>
      <c r="B80" s="292" t="inlineStr">
        <is>
          <t>yes</t>
        </is>
      </c>
    </row>
    <row r="81">
      <c r="A81" s="290" t="inlineStr">
        <is>
          <t>adesso Italy</t>
        </is>
      </c>
      <c r="B81" s="292" t="inlineStr">
        <is>
          <t>no</t>
        </is>
      </c>
    </row>
    <row r="82">
      <c r="A82" s="290" t="inlineStr">
        <is>
          <t>adesso Lakes</t>
        </is>
      </c>
      <c r="B82" s="292" t="inlineStr">
        <is>
          <t>no</t>
        </is>
      </c>
    </row>
    <row r="83">
      <c r="A83" s="290" t="inlineStr">
        <is>
          <t>adesso mobile solutions</t>
        </is>
      </c>
      <c r="B83" s="292" t="inlineStr">
        <is>
          <t>yes</t>
        </is>
      </c>
    </row>
    <row r="84">
      <c r="A84" s="290" t="inlineStr">
        <is>
          <t>adesso Netherlands</t>
        </is>
      </c>
      <c r="B84" s="292" t="inlineStr">
        <is>
          <t>no</t>
        </is>
      </c>
    </row>
    <row r="85">
      <c r="A85" s="290" t="inlineStr">
        <is>
          <t>adesso orange</t>
        </is>
      </c>
      <c r="B85" s="292" t="inlineStr">
        <is>
          <t>yes</t>
        </is>
      </c>
    </row>
    <row r="86">
      <c r="A86" s="290" t="inlineStr">
        <is>
          <t>adesso partner trust</t>
        </is>
      </c>
      <c r="B86" s="292" t="inlineStr">
        <is>
          <t>no</t>
        </is>
      </c>
    </row>
    <row r="87">
      <c r="A87" s="290" t="inlineStr">
        <is>
          <t>adesso Romania</t>
        </is>
      </c>
      <c r="B87" s="292" t="inlineStr">
        <is>
          <t>no</t>
        </is>
      </c>
    </row>
    <row r="88">
      <c r="A88" s="290" t="inlineStr">
        <is>
          <t>adesso Spain</t>
        </is>
      </c>
      <c r="B88" s="292" t="inlineStr">
        <is>
          <t>no</t>
        </is>
      </c>
    </row>
    <row r="89">
      <c r="A89" s="290" t="inlineStr">
        <is>
          <t>adesso Sweden</t>
        </is>
      </c>
      <c r="B89" s="292" t="inlineStr">
        <is>
          <t>no</t>
        </is>
      </c>
    </row>
    <row r="90">
      <c r="A90" s="290" t="inlineStr">
        <is>
          <t>adesso Switzerland</t>
        </is>
      </c>
      <c r="B90" s="292" t="inlineStr">
        <is>
          <t>no</t>
        </is>
      </c>
    </row>
    <row r="91">
      <c r="A91" s="290" t="inlineStr">
        <is>
          <t>adesso Turkey</t>
        </is>
      </c>
      <c r="B91" s="292" t="inlineStr">
        <is>
          <t>no</t>
        </is>
      </c>
    </row>
    <row r="92">
      <c r="A92" s="290" t="inlineStr">
        <is>
          <t>Afida</t>
        </is>
      </c>
      <c r="B92" s="292" t="inlineStr">
        <is>
          <t>no</t>
        </is>
      </c>
    </row>
    <row r="93">
      <c r="A93" s="290" t="inlineStr">
        <is>
          <t>alleato adessekuranzmakler</t>
        </is>
      </c>
      <c r="B93" s="292" t="inlineStr">
        <is>
          <t>no</t>
        </is>
      </c>
    </row>
    <row r="94">
      <c r="A94" s="290" t="inlineStr">
        <is>
          <t>amis</t>
        </is>
      </c>
      <c r="B94" s="292" t="inlineStr">
        <is>
          <t>no</t>
        </is>
      </c>
    </row>
    <row r="95">
      <c r="A95" s="290" t="inlineStr">
        <is>
          <t>KIWI Consulting</t>
        </is>
      </c>
      <c r="B95" s="292" t="inlineStr">
        <is>
          <t>no</t>
        </is>
      </c>
    </row>
    <row r="96">
      <c r="A96" s="290" t="inlineStr">
        <is>
          <t>material.one</t>
        </is>
      </c>
      <c r="B96" s="292" t="inlineStr">
        <is>
          <t>no</t>
        </is>
      </c>
    </row>
    <row r="97">
      <c r="A97" s="290" t="inlineStr">
        <is>
          <t>medgineering</t>
        </is>
      </c>
      <c r="B97" s="292" t="inlineStr">
        <is>
          <t>no</t>
        </is>
      </c>
    </row>
    <row r="98">
      <c r="A98" s="290" t="inlineStr">
        <is>
          <t>percision</t>
        </is>
      </c>
      <c r="B98" s="292" t="inlineStr">
        <is>
          <t>no</t>
        </is>
      </c>
    </row>
    <row r="99">
      <c r="A99" s="290" t="inlineStr">
        <is>
          <t>Reachbird</t>
        </is>
      </c>
      <c r="B99" s="292" t="inlineStr">
        <is>
          <t>no</t>
        </is>
      </c>
    </row>
    <row r="100">
      <c r="A100" s="290" t="inlineStr">
        <is>
          <t>urban engergy</t>
        </is>
      </c>
      <c r="B100" s="292" t="inlineStr">
        <is>
          <t>no</t>
        </is>
      </c>
    </row>
    <row r="101">
      <c r="A101" s="290" t="inlineStr">
        <is>
          <t>WEPEX</t>
        </is>
      </c>
      <c r="B101" s="292" t="inlineStr">
        <is>
          <t>no</t>
        </is>
      </c>
    </row>
    <row r="103">
      <c r="A103" t="inlineStr">
        <is>
          <t>Country</t>
        </is>
      </c>
      <c r="B103" s="198" t="inlineStr">
        <is>
          <t>Inflation rate</t>
        </is>
      </c>
    </row>
    <row r="104">
      <c r="A104" s="290" t="inlineStr">
        <is>
          <t>any</t>
        </is>
      </c>
      <c r="B104" s="395" t="n">
        <v>0.02</v>
      </c>
    </row>
    <row r="105">
      <c r="A105" s="290" t="inlineStr">
        <is>
          <t>Germany</t>
        </is>
      </c>
      <c r="B105" s="395" t="n">
        <v>0.02</v>
      </c>
    </row>
    <row r="106">
      <c r="A106" s="290" t="inlineStr">
        <is>
          <t>Austria</t>
        </is>
      </c>
      <c r="B106" s="395" t="n">
        <v>0.035</v>
      </c>
    </row>
    <row r="107">
      <c r="A107" s="290" t="inlineStr">
        <is>
          <t>Bulgaria</t>
        </is>
      </c>
      <c r="B107" s="395" t="n">
        <v>0.03</v>
      </c>
    </row>
    <row r="108">
      <c r="A108" s="290" t="inlineStr">
        <is>
          <t>Finland</t>
        </is>
      </c>
      <c r="B108" s="395" t="n">
        <v>0.015</v>
      </c>
    </row>
    <row r="109">
      <c r="A109" s="290" t="inlineStr">
        <is>
          <t>Hungary</t>
        </is>
      </c>
      <c r="B109" s="395" t="n">
        <v>0.035</v>
      </c>
    </row>
    <row r="110">
      <c r="A110" s="290" t="inlineStr">
        <is>
          <t>India</t>
        </is>
      </c>
      <c r="B110" s="395" t="n">
        <v>0.055</v>
      </c>
    </row>
    <row r="111">
      <c r="A111" s="290" t="inlineStr">
        <is>
          <t>Italy</t>
        </is>
      </c>
      <c r="B111" s="395" t="n">
        <v>0.015</v>
      </c>
    </row>
    <row r="112">
      <c r="A112" s="290" t="inlineStr">
        <is>
          <t>Netherlands</t>
        </is>
      </c>
      <c r="B112" s="395" t="n">
        <v>0.025</v>
      </c>
    </row>
    <row r="113">
      <c r="A113" s="290" t="inlineStr">
        <is>
          <t>Romania</t>
        </is>
      </c>
      <c r="B113" s="395" t="n">
        <v>0.06</v>
      </c>
    </row>
    <row r="114">
      <c r="A114" s="290" t="inlineStr">
        <is>
          <t>Spain</t>
        </is>
      </c>
      <c r="B114" s="395" t="n">
        <v>0.025</v>
      </c>
    </row>
    <row r="115">
      <c r="A115" s="290" t="inlineStr">
        <is>
          <t>Sweden</t>
        </is>
      </c>
      <c r="B115" s="395" t="n">
        <v>0.025</v>
      </c>
    </row>
    <row r="116">
      <c r="A116" s="290" t="inlineStr">
        <is>
          <t>Switzerland</t>
        </is>
      </c>
      <c r="B116" s="395" t="n">
        <v>0.02</v>
      </c>
    </row>
    <row r="117">
      <c r="A117" s="290" t="inlineStr">
        <is>
          <t>Turkey</t>
        </is>
      </c>
      <c r="B117" s="395" t="n">
        <v>0.5</v>
      </c>
    </row>
    <row r="119">
      <c r="A119" t="inlineStr">
        <is>
          <t>Project role</t>
        </is>
      </c>
      <c r="B119" t="inlineStr">
        <is>
          <t>Sub role</t>
        </is>
      </c>
      <c r="C119" t="inlineStr">
        <is>
          <t>Percentage</t>
        </is>
      </c>
      <c r="D119" t="inlineStr">
        <is>
          <t>Company</t>
        </is>
      </c>
      <c r="E119" t="inlineStr">
        <is>
          <t>Country</t>
        </is>
      </c>
      <c r="F119" t="inlineStr">
        <is>
          <t>Location</t>
        </is>
      </c>
      <c r="G119" t="inlineStr">
        <is>
          <t>Seniority Level</t>
        </is>
      </c>
      <c r="H119" t="inlineStr">
        <is>
          <t>Daily costs</t>
        </is>
      </c>
      <c r="I119" t="inlineStr">
        <is>
          <t>Daily rate</t>
        </is>
      </c>
      <c r="J119" t="inlineStr">
        <is>
          <t>Daily costs (travel time)</t>
        </is>
      </c>
      <c r="K119" t="inlineStr">
        <is>
          <t>Daily rate (travel time)</t>
        </is>
      </c>
    </row>
    <row r="120">
      <c r="A120" t="inlineStr">
        <is>
          <t>Any role</t>
        </is>
      </c>
      <c r="B120" t="inlineStr">
        <is>
          <t>Any role</t>
        </is>
      </c>
      <c r="C120" t="n">
        <v>1</v>
      </c>
      <c r="D120" t="inlineStr">
        <is>
          <t>any</t>
        </is>
      </c>
      <c r="E120" t="inlineStr">
        <is>
          <t>any</t>
        </is>
      </c>
      <c r="F120" t="inlineStr">
        <is>
          <t>any</t>
        </is>
      </c>
      <c r="G120" t="inlineStr">
        <is>
          <t>any</t>
        </is>
      </c>
      <c r="H120" t="n">
        <v>500</v>
      </c>
      <c r="I120" t="n">
        <v>900</v>
      </c>
      <c r="J120" t="n">
        <v>500</v>
      </c>
      <c r="K120" t="n">
        <v>450</v>
      </c>
    </row>
    <row r="121">
      <c r="A121" t="inlineStr">
        <is>
          <t>Project manager</t>
        </is>
      </c>
      <c r="B121" t="inlineStr">
        <is>
          <t>Project manager</t>
        </is>
      </c>
      <c r="C121" t="n">
        <v>1</v>
      </c>
      <c r="D121" t="inlineStr">
        <is>
          <t>any</t>
        </is>
      </c>
      <c r="E121" t="inlineStr">
        <is>
          <t>any</t>
        </is>
      </c>
      <c r="F121" t="inlineStr">
        <is>
          <t>any</t>
        </is>
      </c>
      <c r="G121" t="inlineStr">
        <is>
          <t>high</t>
        </is>
      </c>
      <c r="H121" t="n">
        <v>500</v>
      </c>
      <c r="I121" t="n">
        <v>900</v>
      </c>
      <c r="J121" t="n">
        <v>500</v>
      </c>
      <c r="K121" t="n">
        <v>450</v>
      </c>
    </row>
    <row r="122">
      <c r="A122" t="inlineStr">
        <is>
          <t>Project manager</t>
        </is>
      </c>
      <c r="B122" t="inlineStr">
        <is>
          <t>Project Office</t>
        </is>
      </c>
      <c r="C122" t="n">
        <v>0</v>
      </c>
      <c r="D122" t="inlineStr">
        <is>
          <t>any</t>
        </is>
      </c>
      <c r="E122" t="inlineStr">
        <is>
          <t>any</t>
        </is>
      </c>
      <c r="F122" t="inlineStr">
        <is>
          <t>any</t>
        </is>
      </c>
      <c r="G122" t="inlineStr">
        <is>
          <t>middle</t>
        </is>
      </c>
      <c r="H122" t="n">
        <v>500</v>
      </c>
      <c r="I122" t="n">
        <v>900</v>
      </c>
      <c r="J122" t="n">
        <v>500</v>
      </c>
      <c r="K122" t="n">
        <v>450</v>
      </c>
    </row>
    <row r="123">
      <c r="A123" t="inlineStr">
        <is>
          <t>Software architect</t>
        </is>
      </c>
      <c r="B123" t="inlineStr">
        <is>
          <t>Software Architect</t>
        </is>
      </c>
      <c r="C123" t="n">
        <v>1</v>
      </c>
      <c r="D123" t="inlineStr">
        <is>
          <t>any</t>
        </is>
      </c>
      <c r="E123" t="inlineStr">
        <is>
          <t>any</t>
        </is>
      </c>
      <c r="F123" t="inlineStr">
        <is>
          <t>any</t>
        </is>
      </c>
      <c r="G123" t="inlineStr">
        <is>
          <t>high</t>
        </is>
      </c>
      <c r="H123" t="n">
        <v>500</v>
      </c>
      <c r="I123" t="n">
        <v>900</v>
      </c>
      <c r="J123" t="n">
        <v>500</v>
      </c>
      <c r="K123" t="n">
        <v>450</v>
      </c>
    </row>
    <row r="124">
      <c r="A124" t="inlineStr">
        <is>
          <t>Requirement Engineer</t>
        </is>
      </c>
      <c r="B124" t="inlineStr">
        <is>
          <t>Requirement Engineer (Junior)</t>
        </is>
      </c>
      <c r="C124" t="n">
        <v>0</v>
      </c>
      <c r="D124" t="inlineStr">
        <is>
          <t>any</t>
        </is>
      </c>
      <c r="E124" t="inlineStr">
        <is>
          <t>any</t>
        </is>
      </c>
      <c r="F124" t="inlineStr">
        <is>
          <t>any</t>
        </is>
      </c>
      <c r="G124" t="inlineStr">
        <is>
          <t>low</t>
        </is>
      </c>
      <c r="H124" t="n">
        <v>500</v>
      </c>
      <c r="I124" t="n">
        <v>900</v>
      </c>
      <c r="J124" t="n">
        <v>500</v>
      </c>
      <c r="K124" t="n">
        <v>450</v>
      </c>
    </row>
    <row r="125">
      <c r="A125" t="inlineStr">
        <is>
          <t>Requirement Engineer</t>
        </is>
      </c>
      <c r="B125" t="inlineStr">
        <is>
          <t>Requirement Engineer (Middle)</t>
        </is>
      </c>
      <c r="C125" t="n">
        <v>1</v>
      </c>
      <c r="D125" t="inlineStr">
        <is>
          <t>any</t>
        </is>
      </c>
      <c r="E125" t="inlineStr">
        <is>
          <t>any</t>
        </is>
      </c>
      <c r="F125" t="inlineStr">
        <is>
          <t>any</t>
        </is>
      </c>
      <c r="G125" t="inlineStr">
        <is>
          <t>middle</t>
        </is>
      </c>
      <c r="H125" t="n">
        <v>500</v>
      </c>
      <c r="I125" t="n">
        <v>900</v>
      </c>
      <c r="J125" t="n">
        <v>500</v>
      </c>
      <c r="K125" t="n">
        <v>450</v>
      </c>
    </row>
    <row r="126">
      <c r="A126" t="inlineStr">
        <is>
          <t>Requirement Engineer</t>
        </is>
      </c>
      <c r="B126" t="inlineStr">
        <is>
          <t>Requirement Engineer  (Senior)</t>
        </is>
      </c>
      <c r="C126" t="n">
        <v>0</v>
      </c>
      <c r="D126" t="inlineStr">
        <is>
          <t>any</t>
        </is>
      </c>
      <c r="E126" t="inlineStr">
        <is>
          <t>any</t>
        </is>
      </c>
      <c r="F126" t="inlineStr">
        <is>
          <t>any</t>
        </is>
      </c>
      <c r="G126" t="inlineStr">
        <is>
          <t>high</t>
        </is>
      </c>
      <c r="H126" t="n">
        <v>500</v>
      </c>
      <c r="I126" t="n">
        <v>900</v>
      </c>
      <c r="J126" t="n">
        <v>500</v>
      </c>
      <c r="K126" t="n">
        <v>450</v>
      </c>
    </row>
    <row r="127">
      <c r="A127" t="inlineStr">
        <is>
          <t>UI/UX Designer</t>
        </is>
      </c>
      <c r="B127" t="inlineStr">
        <is>
          <t>UI/UX Designer (Junior)</t>
        </is>
      </c>
      <c r="C127" t="n">
        <v>0</v>
      </c>
      <c r="D127" t="inlineStr">
        <is>
          <t>any</t>
        </is>
      </c>
      <c r="E127" t="inlineStr">
        <is>
          <t>any</t>
        </is>
      </c>
      <c r="F127" t="inlineStr">
        <is>
          <t>any</t>
        </is>
      </c>
      <c r="G127" t="inlineStr">
        <is>
          <t>low</t>
        </is>
      </c>
      <c r="H127" t="n">
        <v>500</v>
      </c>
      <c r="I127" t="n">
        <v>900</v>
      </c>
      <c r="J127" t="n">
        <v>500</v>
      </c>
      <c r="K127" t="n">
        <v>450</v>
      </c>
    </row>
    <row r="128">
      <c r="A128" t="inlineStr">
        <is>
          <t>UI/UX Designer</t>
        </is>
      </c>
      <c r="B128" t="inlineStr">
        <is>
          <t>UI/UX Designer (Middle)</t>
        </is>
      </c>
      <c r="C128" t="n">
        <v>1</v>
      </c>
      <c r="D128" t="inlineStr">
        <is>
          <t>any</t>
        </is>
      </c>
      <c r="E128" t="inlineStr">
        <is>
          <t>any</t>
        </is>
      </c>
      <c r="F128" t="inlineStr">
        <is>
          <t>any</t>
        </is>
      </c>
      <c r="G128" t="inlineStr">
        <is>
          <t>middle</t>
        </is>
      </c>
      <c r="H128" t="n">
        <v>500</v>
      </c>
      <c r="I128" t="n">
        <v>900</v>
      </c>
      <c r="J128" t="n">
        <v>500</v>
      </c>
      <c r="K128" t="n">
        <v>450</v>
      </c>
    </row>
    <row r="129">
      <c r="A129" t="inlineStr">
        <is>
          <t>UI/UX Designer</t>
        </is>
      </c>
      <c r="B129" t="inlineStr">
        <is>
          <t>UI/UX Designer (Senior)</t>
        </is>
      </c>
      <c r="C129" t="n">
        <v>0</v>
      </c>
      <c r="D129" t="inlineStr">
        <is>
          <t>any</t>
        </is>
      </c>
      <c r="E129" t="inlineStr">
        <is>
          <t>any</t>
        </is>
      </c>
      <c r="F129" t="inlineStr">
        <is>
          <t>any</t>
        </is>
      </c>
      <c r="G129" t="inlineStr">
        <is>
          <t>high</t>
        </is>
      </c>
      <c r="H129" t="n">
        <v>500</v>
      </c>
      <c r="I129" t="n">
        <v>900</v>
      </c>
      <c r="J129" t="n">
        <v>500</v>
      </c>
      <c r="K129" t="n">
        <v>450</v>
      </c>
    </row>
    <row r="130">
      <c r="A130" t="inlineStr">
        <is>
          <t>Test manager</t>
        </is>
      </c>
      <c r="B130" t="inlineStr">
        <is>
          <t>Test manager</t>
        </is>
      </c>
      <c r="C130" t="n">
        <v>1</v>
      </c>
      <c r="D130" t="inlineStr">
        <is>
          <t>any</t>
        </is>
      </c>
      <c r="E130" t="inlineStr">
        <is>
          <t>any</t>
        </is>
      </c>
      <c r="F130" t="inlineStr">
        <is>
          <t>any</t>
        </is>
      </c>
      <c r="G130" t="inlineStr">
        <is>
          <t>high</t>
        </is>
      </c>
      <c r="H130" t="n">
        <v>500</v>
      </c>
      <c r="I130" t="n">
        <v>900</v>
      </c>
      <c r="J130" t="n">
        <v>500</v>
      </c>
      <c r="K130" t="n">
        <v>450</v>
      </c>
    </row>
    <row r="131">
      <c r="A131" t="inlineStr">
        <is>
          <t>Test Engineer</t>
        </is>
      </c>
      <c r="B131" t="inlineStr">
        <is>
          <t>Test Engineer (Junior)</t>
        </is>
      </c>
      <c r="C131" t="n">
        <v>0</v>
      </c>
      <c r="D131" t="inlineStr">
        <is>
          <t>any</t>
        </is>
      </c>
      <c r="E131" t="inlineStr">
        <is>
          <t>any</t>
        </is>
      </c>
      <c r="F131" t="inlineStr">
        <is>
          <t>any</t>
        </is>
      </c>
      <c r="G131" t="inlineStr">
        <is>
          <t>low</t>
        </is>
      </c>
      <c r="H131" t="n">
        <v>500</v>
      </c>
      <c r="I131" t="n">
        <v>900</v>
      </c>
      <c r="J131" t="n">
        <v>500</v>
      </c>
      <c r="K131" t="n">
        <v>450</v>
      </c>
    </row>
    <row r="132">
      <c r="A132" t="inlineStr">
        <is>
          <t>Test Engineer</t>
        </is>
      </c>
      <c r="B132" t="inlineStr">
        <is>
          <t>Test engineer (Middle)</t>
        </is>
      </c>
      <c r="C132" t="n">
        <v>1</v>
      </c>
      <c r="D132" t="inlineStr">
        <is>
          <t>any</t>
        </is>
      </c>
      <c r="E132" t="inlineStr">
        <is>
          <t>any</t>
        </is>
      </c>
      <c r="F132" t="inlineStr">
        <is>
          <t>any</t>
        </is>
      </c>
      <c r="G132" t="inlineStr">
        <is>
          <t>middle</t>
        </is>
      </c>
      <c r="H132" t="n">
        <v>500</v>
      </c>
      <c r="I132" t="n">
        <v>900</v>
      </c>
      <c r="J132" t="n">
        <v>500</v>
      </c>
      <c r="K132" t="n">
        <v>450</v>
      </c>
    </row>
    <row r="133">
      <c r="A133" t="inlineStr">
        <is>
          <t>Test Engineer</t>
        </is>
      </c>
      <c r="B133" t="inlineStr">
        <is>
          <t>Test Engineer (Senior)</t>
        </is>
      </c>
      <c r="C133" t="n">
        <v>0</v>
      </c>
      <c r="D133" t="inlineStr">
        <is>
          <t>any</t>
        </is>
      </c>
      <c r="E133" t="inlineStr">
        <is>
          <t>any</t>
        </is>
      </c>
      <c r="F133" t="inlineStr">
        <is>
          <t>any</t>
        </is>
      </c>
      <c r="G133" t="inlineStr">
        <is>
          <t>high</t>
        </is>
      </c>
      <c r="H133" t="n">
        <v>500</v>
      </c>
      <c r="I133" t="n">
        <v>900</v>
      </c>
      <c r="J133" t="n">
        <v>500</v>
      </c>
      <c r="K133" t="n">
        <v>450</v>
      </c>
    </row>
    <row r="134">
      <c r="A134" t="inlineStr">
        <is>
          <t>Developer</t>
        </is>
      </c>
      <c r="B134" t="inlineStr">
        <is>
          <t>Developer (Junior)</t>
        </is>
      </c>
      <c r="C134" t="n">
        <v>0</v>
      </c>
      <c r="D134" t="inlineStr">
        <is>
          <t>any</t>
        </is>
      </c>
      <c r="E134" t="inlineStr">
        <is>
          <t>any</t>
        </is>
      </c>
      <c r="F134" t="inlineStr">
        <is>
          <t>any</t>
        </is>
      </c>
      <c r="G134" t="inlineStr">
        <is>
          <t>low</t>
        </is>
      </c>
      <c r="H134" t="n">
        <v>500</v>
      </c>
      <c r="I134" t="n">
        <v>900</v>
      </c>
      <c r="J134" t="n">
        <v>500</v>
      </c>
      <c r="K134" t="n">
        <v>450</v>
      </c>
    </row>
    <row r="135">
      <c r="A135" t="inlineStr">
        <is>
          <t>Developer</t>
        </is>
      </c>
      <c r="B135" t="inlineStr">
        <is>
          <t>Developer (Middle)</t>
        </is>
      </c>
      <c r="C135" t="n">
        <v>1</v>
      </c>
      <c r="D135" t="inlineStr">
        <is>
          <t>any</t>
        </is>
      </c>
      <c r="E135" t="inlineStr">
        <is>
          <t>any</t>
        </is>
      </c>
      <c r="F135" t="inlineStr">
        <is>
          <t>any</t>
        </is>
      </c>
      <c r="G135" t="inlineStr">
        <is>
          <t>middle</t>
        </is>
      </c>
      <c r="H135" t="n">
        <v>900</v>
      </c>
      <c r="I135" t="n">
        <v>900</v>
      </c>
      <c r="J135" t="n">
        <v>900</v>
      </c>
      <c r="K135" t="n">
        <v>450</v>
      </c>
    </row>
    <row r="136">
      <c r="A136" t="inlineStr">
        <is>
          <t>Developer</t>
        </is>
      </c>
      <c r="B136" t="inlineStr">
        <is>
          <t>Developer (Senior)</t>
        </is>
      </c>
      <c r="C136" t="n">
        <v>0</v>
      </c>
      <c r="D136" t="inlineStr">
        <is>
          <t>any</t>
        </is>
      </c>
      <c r="E136" t="inlineStr">
        <is>
          <t>any</t>
        </is>
      </c>
      <c r="F136" t="inlineStr">
        <is>
          <t>any</t>
        </is>
      </c>
      <c r="G136" t="inlineStr">
        <is>
          <t>high</t>
        </is>
      </c>
      <c r="H136" t="n">
        <v>500</v>
      </c>
      <c r="I136" t="n">
        <v>900</v>
      </c>
      <c r="J136" t="n">
        <v>500</v>
      </c>
      <c r="K136" t="n">
        <v>450</v>
      </c>
    </row>
    <row r="137">
      <c r="A137" t="inlineStr">
        <is>
          <t>DevOps Engineer</t>
        </is>
      </c>
      <c r="B137" t="inlineStr">
        <is>
          <t>DevOps Engineer</t>
        </is>
      </c>
      <c r="C137" t="n">
        <v>1</v>
      </c>
      <c r="D137" t="inlineStr">
        <is>
          <t>any</t>
        </is>
      </c>
      <c r="E137" t="inlineStr">
        <is>
          <t>any</t>
        </is>
      </c>
      <c r="F137" t="inlineStr">
        <is>
          <t>any</t>
        </is>
      </c>
      <c r="G137" t="inlineStr">
        <is>
          <t>middle</t>
        </is>
      </c>
      <c r="H137" t="n">
        <v>500</v>
      </c>
      <c r="I137" t="n">
        <v>900</v>
      </c>
      <c r="J137" t="n">
        <v>500</v>
      </c>
      <c r="K137" t="n">
        <v>450</v>
      </c>
    </row>
    <row r="139">
      <c r="A139" t="inlineStr">
        <is>
          <t>ID</t>
        </is>
      </c>
      <c r="B139" t="inlineStr">
        <is>
          <t>Range (for query)</t>
        </is>
      </c>
      <c r="C139" t="inlineStr">
        <is>
          <t>Feature group</t>
        </is>
      </c>
      <c r="D139" t="inlineStr">
        <is>
          <t>Feature sub group</t>
        </is>
      </c>
      <c r="E139" t="inlineStr">
        <is>
          <t>Feature</t>
        </is>
      </c>
      <c r="F139" t="inlineStr">
        <is>
          <t>Sub feature</t>
        </is>
      </c>
      <c r="G139" t="inlineStr">
        <is>
          <t>Description</t>
        </is>
      </c>
      <c r="H139" t="inlineStr">
        <is>
          <t>Assumptions</t>
        </is>
      </c>
      <c r="I139" t="inlineStr">
        <is>
          <t>Reference ID</t>
        </is>
      </c>
      <c r="J139" t="inlineStr">
        <is>
          <t>Feature task 1</t>
        </is>
      </c>
      <c r="K139" t="inlineStr">
        <is>
          <t>Feature task 2</t>
        </is>
      </c>
      <c r="L139" t="inlineStr">
        <is>
          <t>Feature task 3</t>
        </is>
      </c>
      <c r="M139" t="inlineStr">
        <is>
          <t>Feature task 4</t>
        </is>
      </c>
      <c r="N139" t="inlineStr">
        <is>
          <t>Feature task 5</t>
        </is>
      </c>
      <c r="O139" t="inlineStr">
        <is>
          <t>Feature task 6</t>
        </is>
      </c>
      <c r="P139" t="inlineStr">
        <is>
          <t>Feature task 7</t>
        </is>
      </c>
      <c r="Q139" t="inlineStr">
        <is>
          <t>Feature task 8</t>
        </is>
      </c>
      <c r="R139" t="inlineStr">
        <is>
          <t>Feature task 9</t>
        </is>
      </c>
      <c r="S139" t="inlineStr">
        <is>
          <t>Feature task 10</t>
        </is>
      </c>
    </row>
    <row r="142">
      <c r="A142" t="inlineStr">
        <is>
          <t>Feature task</t>
        </is>
      </c>
      <c r="B142" t="inlineStr">
        <is>
          <t>Description</t>
        </is>
      </c>
      <c r="C142" t="inlineStr">
        <is>
          <t>Average Percentage</t>
        </is>
      </c>
      <c r="D142" t="inlineStr">
        <is>
          <t>Key task</t>
        </is>
      </c>
    </row>
    <row r="143">
      <c r="A143" t="inlineStr">
        <is>
          <t>Analyse &amp; Software Design</t>
        </is>
      </c>
      <c r="B143" t="inlineStr">
        <is>
          <t>Aufnahme, Analyse und Spezifikation der Software-Anforderungen, Teilnahme an Meetings &lt; 1 Stunde</t>
        </is>
      </c>
      <c r="C143" t="n">
        <v>0.25</v>
      </c>
      <c r="D143" t="inlineStr">
        <is>
          <t>no</t>
        </is>
      </c>
    </row>
    <row r="144">
      <c r="A144" t="inlineStr">
        <is>
          <t>Software-entwicklung</t>
        </is>
      </c>
      <c r="B144" t="inlineStr">
        <is>
          <t>Softwareentwicklung und Entwicklertests, Fehlerbearbeitung vor Bereitstellung zur Abnahme (BzA), Teilnahme an Meetings &lt; 1 Stunde</t>
        </is>
      </c>
      <c r="C144" t="n">
        <v>0.5</v>
      </c>
      <c r="D144" t="inlineStr">
        <is>
          <t>yes</t>
        </is>
      </c>
    </row>
    <row r="145">
      <c r="A145" t="inlineStr">
        <is>
          <t>Softwaretest</t>
        </is>
      </c>
      <c r="B145" t="inlineStr">
        <is>
          <t>Testfallerstellung, System-, Integrations- und Benutzerakzeptanztests; Retest von Defects vor Bereitstellung zur Abnahme, Regressionstests bei mehreren Auslieferungen; Teilnahme an Meetings &lt; 1 Stunde</t>
        </is>
      </c>
      <c r="C145" t="n">
        <v>0.15</v>
      </c>
      <c r="D145" t="inlineStr">
        <is>
          <t>no</t>
        </is>
      </c>
    </row>
    <row r="146">
      <c r="A146" t="inlineStr">
        <is>
          <t>Fehlerbearb. nach BzA</t>
        </is>
      </c>
      <c r="B146" t="inlineStr">
        <is>
          <t>Fehlerbearbeitung nach Bereitstellung zur Abnahme inklusive Entwicklung und Retests</t>
        </is>
      </c>
      <c r="C146" t="n">
        <v>0.1</v>
      </c>
      <c r="D146"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1.xml><?xml version="1.0" encoding="utf-8"?>
<worksheet xmlns="http://schemas.openxmlformats.org/spreadsheetml/2006/main">
  <sheetPr codeName="Tabelle44">
    <tabColor theme="5" tint="0.7999816888943144"/>
    <outlinePr summaryBelow="1" summaryRight="1"/>
    <pageSetUpPr/>
  </sheetPr>
  <dimension ref="A1:AT146"/>
  <sheetViews>
    <sheetView workbookViewId="0">
      <selection activeCell="M53" sqref="M53"/>
    </sheetView>
  </sheetViews>
  <sheetFormatPr baseColWidth="10" defaultColWidth="11.5" defaultRowHeight="15"/>
  <sheetData>
    <row r="1">
      <c r="A1" t="inlineStr">
        <is>
          <t>Key</t>
        </is>
      </c>
      <c r="B1" t="inlineStr">
        <is>
          <t>Value</t>
        </is>
      </c>
    </row>
    <row r="2">
      <c r="A2" t="inlineStr">
        <is>
          <t>Proposal title</t>
        </is>
      </c>
      <c r="B2" t="inlineStr">
        <is>
          <t>&lt;title of proposal&gt;</t>
        </is>
      </c>
    </row>
    <row r="3">
      <c r="A3" t="inlineStr">
        <is>
          <t>Contract type</t>
        </is>
      </c>
      <c r="B3" t="inlineStr">
        <is>
          <t>Work contract (fixed price)</t>
        </is>
      </c>
    </row>
    <row r="4">
      <c r="A4" t="inlineStr">
        <is>
          <t>Customer</t>
        </is>
      </c>
      <c r="B4" t="inlineStr">
        <is>
          <t>&lt;name of customer&gt;</t>
        </is>
      </c>
    </row>
    <row r="5">
      <c r="A5" t="inlineStr">
        <is>
          <t>Contractor</t>
        </is>
      </c>
      <c r="B5" t="inlineStr">
        <is>
          <t>any</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20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Planning</t>
        </is>
      </c>
      <c r="D27" t="inlineStr">
        <is>
          <t>Project initialization and planning</t>
        </is>
      </c>
      <c r="E27" t="inlineStr">
        <is>
          <t>Initialization and planning of project; creation of a project manual, procurement of resources, setting up project controlling, etc.</t>
        </is>
      </c>
      <c r="I27" t="n">
        <v>0</v>
      </c>
      <c r="L27" s="374" t="n"/>
      <c r="M27" s="374" t="n"/>
      <c r="P27" t="inlineStr">
        <is>
          <t>no</t>
        </is>
      </c>
      <c r="R27" t="inlineStr">
        <is>
          <t>f100</t>
        </is>
      </c>
    </row>
    <row r="28">
      <c r="A28" t="inlineStr">
        <is>
          <t>P-20</t>
        </is>
      </c>
      <c r="C28" t="inlineStr">
        <is>
          <t>Planning</t>
        </is>
      </c>
      <c r="D28" t="inlineStr">
        <is>
          <t xml:space="preserve">Project kick-off meeting </t>
        </is>
      </c>
      <c r="E28" t="inlineStr">
        <is>
          <t>Internal and if necessary external meeting, participation, preparation and follow-up</t>
        </is>
      </c>
      <c r="I28" t="n">
        <v>0</v>
      </c>
      <c r="L28" s="374" t="n"/>
      <c r="M28" s="374" t="n"/>
      <c r="P28" t="inlineStr">
        <is>
          <t>no</t>
        </is>
      </c>
      <c r="R28" t="inlineStr">
        <is>
          <t>f100</t>
        </is>
      </c>
    </row>
    <row r="29">
      <c r="A29" t="inlineStr">
        <is>
          <t>P-30</t>
        </is>
      </c>
      <c r="C29" t="inlineStr">
        <is>
          <t>Planning</t>
        </is>
      </c>
      <c r="D29" t="inlineStr">
        <is>
          <t>Creation of software architecture concept</t>
        </is>
      </c>
      <c r="E29" t="inlineStr">
        <is>
          <t>Setting up a sustainable and stable architecture for the targeted application and documentation</t>
        </is>
      </c>
      <c r="I29" t="n">
        <v>0</v>
      </c>
      <c r="L29" s="374" t="n"/>
      <c r="M29" s="374" t="n"/>
      <c r="P29" t="inlineStr">
        <is>
          <t>no</t>
        </is>
      </c>
      <c r="S29" t="inlineStr">
        <is>
          <t>f100</t>
        </is>
      </c>
    </row>
    <row r="30">
      <c r="A30" t="inlineStr">
        <is>
          <t>P-40</t>
        </is>
      </c>
      <c r="C30" t="inlineStr">
        <is>
          <t>Planning</t>
        </is>
      </c>
      <c r="D30" t="inlineStr">
        <is>
          <t>Creation of test concept</t>
        </is>
      </c>
      <c r="E30" t="inlineStr">
        <is>
          <t>Creation of test concept, definition of test execution strategy and processes, preparation of test toolchain</t>
        </is>
      </c>
      <c r="I30" t="n">
        <v>0</v>
      </c>
      <c r="L30" s="374" t="n"/>
      <c r="M30" s="374" t="n"/>
      <c r="P30" t="inlineStr">
        <is>
          <t>no</t>
        </is>
      </c>
      <c r="V30" t="inlineStr">
        <is>
          <t>f100</t>
        </is>
      </c>
    </row>
    <row r="31">
      <c r="A31" t="inlineStr">
        <is>
          <t>P-50</t>
        </is>
      </c>
      <c r="C31" t="inlineStr">
        <is>
          <t>Planning</t>
        </is>
      </c>
      <c r="D31" t="inlineStr">
        <is>
          <t>Setup development environment</t>
        </is>
      </c>
      <c r="E31" t="inlineStr">
        <is>
          <t>Setup development, test and acceptance environment</t>
        </is>
      </c>
      <c r="I31" t="n">
        <v>0</v>
      </c>
      <c r="L31" s="374" t="n"/>
      <c r="M31" s="374" t="n"/>
      <c r="P31" t="inlineStr">
        <is>
          <t>no</t>
        </is>
      </c>
      <c r="Y31" t="inlineStr">
        <is>
          <t>f100</t>
        </is>
      </c>
    </row>
    <row r="32">
      <c r="A32" t="inlineStr">
        <is>
          <t>P-60</t>
        </is>
      </c>
      <c r="C32" t="inlineStr">
        <is>
          <t>Implementation</t>
        </is>
      </c>
      <c r="D32" t="inlineStr">
        <is>
          <t>Analysis &amp; software design</t>
        </is>
      </c>
      <c r="E32" t="inlineStr">
        <is>
          <t>Feature task 'Analysis &amp; software design'</t>
        </is>
      </c>
      <c r="F32" t="inlineStr">
        <is>
          <t>FT#1</t>
        </is>
      </c>
      <c r="I32" t="n">
        <v>0</v>
      </c>
      <c r="J32" t="inlineStr">
        <is>
          <t>[design]</t>
        </is>
      </c>
      <c r="L32" s="374" t="n"/>
      <c r="M32" s="374" t="n"/>
      <c r="P32" t="inlineStr">
        <is>
          <t>no</t>
        </is>
      </c>
      <c r="S32" t="inlineStr">
        <is>
          <t>f20</t>
        </is>
      </c>
      <c r="T32" t="inlineStr">
        <is>
          <t>f80</t>
        </is>
      </c>
    </row>
    <row r="33">
      <c r="A33" t="inlineStr">
        <is>
          <t>P-70</t>
        </is>
      </c>
      <c r="C33" t="inlineStr">
        <is>
          <t>Implementation</t>
        </is>
      </c>
      <c r="D33" t="inlineStr">
        <is>
          <t>Software development</t>
        </is>
      </c>
      <c r="E33" t="inlineStr">
        <is>
          <t>Feature task 'Software development'</t>
        </is>
      </c>
      <c r="F33" t="inlineStr">
        <is>
          <t>FT#2</t>
        </is>
      </c>
      <c r="I33" t="n">
        <v>0</v>
      </c>
      <c r="J33" t="inlineStr">
        <is>
          <t>[dev]</t>
        </is>
      </c>
      <c r="L33" s="374" t="n"/>
      <c r="M33" s="374" t="n"/>
      <c r="P33" t="inlineStr">
        <is>
          <t>no</t>
        </is>
      </c>
      <c r="X33" t="inlineStr">
        <is>
          <t>f100</t>
        </is>
      </c>
    </row>
    <row r="34">
      <c r="A34" t="inlineStr">
        <is>
          <t>P-80</t>
        </is>
      </c>
      <c r="C34" t="inlineStr">
        <is>
          <t>Implementation</t>
        </is>
      </c>
      <c r="D34" t="inlineStr">
        <is>
          <t>Software test</t>
        </is>
      </c>
      <c r="E34" t="inlineStr">
        <is>
          <t>Feature task 'Software test'</t>
        </is>
      </c>
      <c r="F34" t="inlineStr">
        <is>
          <t>FT#3</t>
        </is>
      </c>
      <c r="I34" t="n">
        <v>0</v>
      </c>
      <c r="J34" t="inlineStr">
        <is>
          <t>[test]</t>
        </is>
      </c>
      <c r="L34" s="374" t="n"/>
      <c r="M34" s="374" t="n"/>
      <c r="P34" t="inlineStr">
        <is>
          <t>no</t>
        </is>
      </c>
      <c r="W34" t="inlineStr">
        <is>
          <t>f100</t>
        </is>
      </c>
    </row>
    <row r="35">
      <c r="A35" t="inlineStr">
        <is>
          <t>P-90</t>
        </is>
      </c>
      <c r="C35" t="inlineStr">
        <is>
          <t>Implementation</t>
        </is>
      </c>
      <c r="D35" t="inlineStr">
        <is>
          <t>Development of test automation scripts</t>
        </is>
      </c>
      <c r="E35" t="inlineStr">
        <is>
          <t>Implementation and maintenance of test cases based on test concept and acceptance criteria</t>
        </is>
      </c>
      <c r="I35" t="n">
        <v>0</v>
      </c>
      <c r="L35" s="374" t="n"/>
      <c r="M35" s="374" t="n"/>
      <c r="P35" t="inlineStr">
        <is>
          <t>no</t>
        </is>
      </c>
      <c r="V35" t="inlineStr">
        <is>
          <t>f20</t>
        </is>
      </c>
      <c r="W35" t="inlineStr">
        <is>
          <t>f80</t>
        </is>
      </c>
    </row>
    <row r="36">
      <c r="A36" t="inlineStr">
        <is>
          <t>P-100</t>
        </is>
      </c>
      <c r="C36" t="inlineStr">
        <is>
          <t>Implementation</t>
        </is>
      </c>
      <c r="D36" t="inlineStr">
        <is>
          <t>Performance test</t>
        </is>
      </c>
      <c r="E36" t="inlineStr">
        <is>
          <t>Performance test</t>
        </is>
      </c>
      <c r="I36" t="n">
        <v>0</v>
      </c>
      <c r="L36" s="374" t="n"/>
      <c r="M36" s="374" t="n"/>
      <c r="P36" t="inlineStr">
        <is>
          <t>no</t>
        </is>
      </c>
      <c r="S36" t="inlineStr">
        <is>
          <t>f20</t>
        </is>
      </c>
      <c r="Y36" t="inlineStr">
        <is>
          <t>f80</t>
        </is>
      </c>
    </row>
    <row r="37">
      <c r="A37" t="inlineStr">
        <is>
          <t>P-110</t>
        </is>
      </c>
      <c r="C37" t="inlineStr">
        <is>
          <t>Implementation</t>
        </is>
      </c>
      <c r="D37" t="inlineStr">
        <is>
          <t>Security check</t>
        </is>
      </c>
      <c r="E37" t="inlineStr">
        <is>
          <t xml:space="preserve">Static code analysis, threat model (threat analysis); further information at security-check@adesso.de </t>
        </is>
      </c>
      <c r="I37" t="n">
        <v>0</v>
      </c>
      <c r="L37" s="374" t="n"/>
      <c r="M37" s="374" t="n"/>
      <c r="P37" t="inlineStr">
        <is>
          <t>no</t>
        </is>
      </c>
      <c r="S37" t="inlineStr">
        <is>
          <t>f20</t>
        </is>
      </c>
      <c r="Y37" t="inlineStr">
        <is>
          <t>f80</t>
        </is>
      </c>
    </row>
    <row r="38">
      <c r="A38" t="inlineStr">
        <is>
          <t>P-120</t>
        </is>
      </c>
      <c r="C38" t="inlineStr">
        <is>
          <t>Implementation</t>
        </is>
      </c>
      <c r="D38" t="inlineStr">
        <is>
          <t>Writing user manual</t>
        </is>
      </c>
      <c r="E38" t="inlineStr">
        <is>
          <t>Writing, correction and handover of a user manual</t>
        </is>
      </c>
      <c r="I38" t="n">
        <v>0</v>
      </c>
      <c r="L38" s="374" t="n"/>
      <c r="M38" s="374" t="n"/>
      <c r="P38" t="inlineStr">
        <is>
          <t>no</t>
        </is>
      </c>
      <c r="T38" t="inlineStr">
        <is>
          <t>f100</t>
        </is>
      </c>
    </row>
    <row r="39">
      <c r="A39" t="inlineStr">
        <is>
          <t>P-130</t>
        </is>
      </c>
      <c r="C39" t="inlineStr">
        <is>
          <t>Implementation</t>
        </is>
      </c>
      <c r="D39" t="inlineStr">
        <is>
          <t>Customer training</t>
        </is>
      </c>
      <c r="E39" t="inlineStr">
        <is>
          <t>Prepare and conduct customer training courses</t>
        </is>
      </c>
      <c r="I39" t="n">
        <v>0</v>
      </c>
      <c r="L39" s="374" t="n"/>
      <c r="M39" s="374" t="n"/>
      <c r="P39" t="inlineStr">
        <is>
          <t>no</t>
        </is>
      </c>
      <c r="T39" t="inlineStr">
        <is>
          <t>f100</t>
        </is>
      </c>
    </row>
    <row r="40">
      <c r="A40" t="inlineStr">
        <is>
          <t>P-140</t>
        </is>
      </c>
      <c r="C40" t="inlineStr">
        <is>
          <t>Implementation</t>
        </is>
      </c>
      <c r="D40" t="inlineStr">
        <is>
          <t>Bug fixing after delivery for acceptance</t>
        </is>
      </c>
      <c r="E40" t="inlineStr">
        <is>
          <t>Feature task 'Bug fixing after final acceptance'</t>
        </is>
      </c>
      <c r="F40" t="inlineStr">
        <is>
          <t>FT#4</t>
        </is>
      </c>
      <c r="I40" t="n">
        <v>0</v>
      </c>
      <c r="J40" t="inlineStr">
        <is>
          <t>[bugfix]</t>
        </is>
      </c>
      <c r="L40" s="374" t="n"/>
      <c r="M40" s="374" t="n"/>
      <c r="P40" t="inlineStr">
        <is>
          <t>no</t>
        </is>
      </c>
      <c r="W40" t="inlineStr">
        <is>
          <t>f20</t>
        </is>
      </c>
      <c r="X40" t="inlineStr">
        <is>
          <t>f80</t>
        </is>
      </c>
    </row>
    <row r="41">
      <c r="A41" t="inlineStr">
        <is>
          <t>P-150</t>
        </is>
      </c>
      <c r="C41" t="inlineStr">
        <is>
          <t>Implementation</t>
        </is>
      </c>
      <c r="D41" t="inlineStr">
        <is>
          <t>Data migration</t>
        </is>
      </c>
      <c r="E41" t="inlineStr">
        <is>
          <t>Data migration from existing systems to the new application</t>
        </is>
      </c>
      <c r="I41" t="n">
        <v>0</v>
      </c>
      <c r="L41" s="374" t="n"/>
      <c r="M41" s="374" t="n"/>
      <c r="P41" t="inlineStr">
        <is>
          <t>no</t>
        </is>
      </c>
      <c r="T41" t="inlineStr">
        <is>
          <t>f50</t>
        </is>
      </c>
      <c r="X41" t="inlineStr">
        <is>
          <t>f50</t>
        </is>
      </c>
    </row>
    <row r="42">
      <c r="A42" t="inlineStr">
        <is>
          <t>P-160</t>
        </is>
      </c>
      <c r="C42" t="inlineStr">
        <is>
          <t>Implementation</t>
        </is>
      </c>
      <c r="D42" t="inlineStr">
        <is>
          <t>Support installation and configuration of the software at the customer</t>
        </is>
      </c>
      <c r="E42" t="inlineStr">
        <is>
          <t>Support installation and configuration of the software at the customer</t>
        </is>
      </c>
      <c r="I42" t="n">
        <v>0</v>
      </c>
      <c r="L42" s="374" t="n"/>
      <c r="M42" s="374" t="n"/>
      <c r="P42" t="inlineStr">
        <is>
          <t>no</t>
        </is>
      </c>
      <c r="Y42" t="inlineStr">
        <is>
          <t>f100</t>
        </is>
      </c>
    </row>
    <row r="43">
      <c r="A43" t="inlineStr">
        <is>
          <t>P-170</t>
        </is>
      </c>
      <c r="C43" t="inlineStr">
        <is>
          <t>Overall tasks</t>
        </is>
      </c>
      <c r="D43" t="inlineStr">
        <is>
          <t>Project management</t>
        </is>
      </c>
      <c r="E43" t="inlineStr">
        <is>
          <t>Project management and control, resource, stakeholder, risk and escalation management, planning updates, etc. Test management Comprehensive test management etc.</t>
        </is>
      </c>
      <c r="I43" t="n">
        <v>0</v>
      </c>
      <c r="K43" t="inlineStr">
        <is>
          <t>max([#projectlength]*ifs([#total1]&lt;200,0.5,[#total1]&lt;500,1,[#total1]&lt;1000,1.5,[#total1]&lt;2000,2,true,3),10%*[#total1])</t>
        </is>
      </c>
      <c r="L43" s="374" t="n"/>
      <c r="M43" s="374" t="n"/>
      <c r="P43" t="inlineStr">
        <is>
          <t>no</t>
        </is>
      </c>
      <c r="R43" t="inlineStr">
        <is>
          <t>f100</t>
        </is>
      </c>
    </row>
    <row r="44">
      <c r="A44" t="inlineStr">
        <is>
          <t>P-180</t>
        </is>
      </c>
      <c r="C44" t="inlineStr">
        <is>
          <t>Overall tasks</t>
        </is>
      </c>
      <c r="D44" t="inlineStr">
        <is>
          <t>Test management</t>
        </is>
      </c>
      <c r="E44" t="inlineStr">
        <is>
          <t>Comprehensive test and quality management</t>
        </is>
      </c>
      <c r="I44" t="n">
        <v>0</v>
      </c>
      <c r="L44" s="374" t="n"/>
      <c r="M44" s="374" t="n"/>
      <c r="P44" t="inlineStr">
        <is>
          <t>no</t>
        </is>
      </c>
      <c r="V44" t="inlineStr">
        <is>
          <t>f100</t>
        </is>
      </c>
    </row>
    <row r="45">
      <c r="A45" t="inlineStr">
        <is>
          <t>P-190</t>
        </is>
      </c>
      <c r="C45" t="inlineStr">
        <is>
          <t>Overall tasks</t>
        </is>
      </c>
      <c r="D45" t="inlineStr">
        <is>
          <t>Software architecture management</t>
        </is>
      </c>
      <c r="E45" t="inlineStr">
        <is>
          <t>Comprehensive software architecture management</t>
        </is>
      </c>
      <c r="I45" t="n">
        <v>0</v>
      </c>
      <c r="L45" s="374" t="n"/>
      <c r="M45" s="374" t="n"/>
      <c r="P45" t="inlineStr">
        <is>
          <t>no</t>
        </is>
      </c>
      <c r="S45" t="inlineStr">
        <is>
          <t>f100</t>
        </is>
      </c>
    </row>
    <row r="46">
      <c r="A46" t="inlineStr">
        <is>
          <t>P-200</t>
        </is>
      </c>
      <c r="C46" t="inlineStr">
        <is>
          <t>Overall tasks</t>
        </is>
      </c>
      <c r="D46" t="inlineStr">
        <is>
          <t>DevOps support</t>
        </is>
      </c>
      <c r="E46" t="inlineStr">
        <is>
          <t>Comprehensive DevOps support</t>
        </is>
      </c>
      <c r="I46" t="n">
        <v>0</v>
      </c>
      <c r="L46" s="374" t="n"/>
      <c r="M46" s="374" t="n"/>
      <c r="P46" t="inlineStr">
        <is>
          <t>no</t>
        </is>
      </c>
      <c r="Y46" t="inlineStr">
        <is>
          <t>f100</t>
        </is>
      </c>
    </row>
    <row r="47">
      <c r="A47" t="inlineStr">
        <is>
          <t>P-210</t>
        </is>
      </c>
      <c r="C47" t="inlineStr">
        <is>
          <t>Overall tasks</t>
        </is>
      </c>
      <c r="D47" t="inlineStr">
        <is>
          <t>Smartshore management/support</t>
        </is>
      </c>
      <c r="E47" t="inlineStr">
        <is>
          <t>Managing and supporting smartshore resources</t>
        </is>
      </c>
      <c r="I47" t="n">
        <v>0</v>
      </c>
      <c r="L47" s="374" t="n"/>
      <c r="M47" s="374" t="n"/>
      <c r="P47" t="inlineStr">
        <is>
          <t>no</t>
        </is>
      </c>
      <c r="R47" t="inlineStr">
        <is>
          <t>f100</t>
        </is>
      </c>
    </row>
    <row r="48">
      <c r="A48" t="inlineStr">
        <is>
          <t>P-220</t>
        </is>
      </c>
      <c r="C48" t="inlineStr">
        <is>
          <t>Overall tasks</t>
        </is>
      </c>
      <c r="D48" t="inlineStr">
        <is>
          <t>Project meetings</t>
        </is>
      </c>
      <c r="E48" t="inlineStr">
        <is>
          <t>Meetings &gt; 1 hour, e.g. for Scrum events or similar</t>
        </is>
      </c>
      <c r="I48" t="n">
        <v>0</v>
      </c>
      <c r="L48" s="374" t="n"/>
      <c r="M48" s="374" t="n"/>
      <c r="P48" t="inlineStr">
        <is>
          <t>no</t>
        </is>
      </c>
      <c r="Q48" t="inlineStr">
        <is>
          <t>f100</t>
        </is>
      </c>
    </row>
    <row r="49">
      <c r="A49" t="inlineStr">
        <is>
          <t>P-230</t>
        </is>
      </c>
      <c r="C49" t="inlineStr">
        <is>
          <t>Overall tasks</t>
        </is>
      </c>
      <c r="D49" t="inlineStr">
        <is>
          <t>Travel times</t>
        </is>
      </c>
      <c r="F49" t="inlineStr">
        <is>
          <t>TT</t>
        </is>
      </c>
      <c r="I49" t="n">
        <v>0</v>
      </c>
      <c r="J49" t="inlineStr">
        <is>
          <t>[traveltime]</t>
        </is>
      </c>
      <c r="L49" s="374" t="n"/>
      <c r="M49" s="374" t="n"/>
      <c r="P49" t="inlineStr">
        <is>
          <t>no</t>
        </is>
      </c>
      <c r="Q49" t="inlineStr">
        <is>
          <t>f100</t>
        </is>
      </c>
    </row>
    <row r="50">
      <c r="A50" t="inlineStr">
        <is>
          <t>P-240</t>
        </is>
      </c>
      <c r="C50" t="inlineStr">
        <is>
          <t>Overall tasks</t>
        </is>
      </c>
      <c r="D50" t="inlineStr">
        <is>
          <t>Risks</t>
        </is>
      </c>
      <c r="F50" t="inlineStr">
        <is>
          <t>RIS</t>
        </is>
      </c>
      <c r="I50" t="n">
        <v>0</v>
      </c>
      <c r="J50" t="inlineStr">
        <is>
          <t>[risks]</t>
        </is>
      </c>
      <c r="L50" s="374" t="n"/>
      <c r="M50" s="374" t="n"/>
      <c r="P50" t="inlineStr">
        <is>
          <t>no</t>
        </is>
      </c>
      <c r="Q50" t="inlineStr">
        <is>
          <t>f100</t>
        </is>
      </c>
    </row>
    <row r="51">
      <c r="A51" t="inlineStr">
        <is>
          <t>P-250</t>
        </is>
      </c>
      <c r="C51" t="inlineStr">
        <is>
          <t>Warranty</t>
        </is>
      </c>
      <c r="D51" t="inlineStr">
        <is>
          <t>Warranty</t>
        </is>
      </c>
      <c r="F51" t="inlineStr">
        <is>
          <t>WA</t>
        </is>
      </c>
      <c r="I51" t="n">
        <v>0</v>
      </c>
      <c r="J51" t="inlineStr">
        <is>
          <t>[warranty]</t>
        </is>
      </c>
      <c r="K51" t="inlineStr">
        <is>
          <t>10%*[#total1]</t>
        </is>
      </c>
      <c r="L51" s="374" t="n"/>
      <c r="M51" s="374" t="n"/>
      <c r="P51" t="inlineStr">
        <is>
          <t>no</t>
        </is>
      </c>
      <c r="Q51" t="inlineStr">
        <is>
          <t>f100</t>
        </is>
      </c>
    </row>
    <row r="53">
      <c r="A53" t="inlineStr">
        <is>
          <t>Seniority Level</t>
        </is>
      </c>
    </row>
    <row r="54">
      <c r="A54" s="290" t="inlineStr">
        <is>
          <t>any</t>
        </is>
      </c>
    </row>
    <row r="55">
      <c r="A55" s="290" t="inlineStr">
        <is>
          <t>very low</t>
        </is>
      </c>
    </row>
    <row r="56">
      <c r="A56" s="290" t="inlineStr">
        <is>
          <t>low</t>
        </is>
      </c>
    </row>
    <row r="57">
      <c r="A57" s="290" t="inlineStr">
        <is>
          <t>middle</t>
        </is>
      </c>
    </row>
    <row r="58">
      <c r="A58" s="290" t="inlineStr">
        <is>
          <t>high</t>
        </is>
      </c>
    </row>
    <row r="59">
      <c r="A59" s="290" t="inlineStr">
        <is>
          <t>very high</t>
        </is>
      </c>
    </row>
    <row r="61">
      <c r="A61" t="inlineStr">
        <is>
          <t>Location</t>
        </is>
      </c>
    </row>
    <row r="62">
      <c r="A62" s="290" t="inlineStr">
        <is>
          <t>any</t>
        </is>
      </c>
    </row>
    <row r="63">
      <c r="A63" s="290" t="inlineStr">
        <is>
          <t>Onsite</t>
        </is>
      </c>
    </row>
    <row r="64">
      <c r="A64" s="290" t="inlineStr">
        <is>
          <t>Offsite</t>
        </is>
      </c>
    </row>
    <row r="65">
      <c r="A65" s="290" t="inlineStr">
        <is>
          <t>On-/Offsite</t>
        </is>
      </c>
    </row>
    <row r="66">
      <c r="A66" s="290" t="inlineStr">
        <is>
          <t>Nearshore</t>
        </is>
      </c>
    </row>
    <row r="67">
      <c r="A67" s="290" t="inlineStr">
        <is>
          <t>Offshore</t>
        </is>
      </c>
    </row>
    <row r="69">
      <c r="A69" t="inlineStr">
        <is>
          <t>Company</t>
        </is>
      </c>
      <c r="B69" s="81" t="inlineStr">
        <is>
          <t>Accounting-related company</t>
        </is>
      </c>
    </row>
    <row r="70">
      <c r="A70" s="290" t="inlineStr">
        <is>
          <t>any</t>
        </is>
      </c>
      <c r="B70" s="292" t="inlineStr">
        <is>
          <t>no</t>
        </is>
      </c>
    </row>
    <row r="71">
      <c r="A71" s="290" t="inlineStr">
        <is>
          <t>adesso SE</t>
        </is>
      </c>
      <c r="B71" s="292" t="inlineStr">
        <is>
          <t>yes</t>
        </is>
      </c>
    </row>
    <row r="72">
      <c r="A72" s="290" t="inlineStr">
        <is>
          <t>adesso as a service</t>
        </is>
      </c>
      <c r="B72" s="292" t="inlineStr">
        <is>
          <t>no</t>
        </is>
      </c>
    </row>
    <row r="73">
      <c r="A73" s="290" t="inlineStr">
        <is>
          <t>adesso Austria</t>
        </is>
      </c>
      <c r="B73" s="292" t="inlineStr">
        <is>
          <t>no</t>
        </is>
      </c>
    </row>
    <row r="74">
      <c r="A74" s="290" t="inlineStr">
        <is>
          <t>adesso benefit solutions</t>
        </is>
      </c>
      <c r="B74" s="292" t="inlineStr">
        <is>
          <t>no</t>
        </is>
      </c>
    </row>
    <row r="75">
      <c r="A75" s="290" t="inlineStr">
        <is>
          <t>adesso Bulgaria</t>
        </is>
      </c>
      <c r="B75" s="292" t="inlineStr">
        <is>
          <t>no</t>
        </is>
      </c>
    </row>
    <row r="76">
      <c r="A76" s="290" t="inlineStr">
        <is>
          <t>adesso Finland</t>
        </is>
      </c>
      <c r="B76" s="292" t="inlineStr">
        <is>
          <t>no</t>
        </is>
      </c>
    </row>
    <row r="77">
      <c r="A77" s="290" t="inlineStr">
        <is>
          <t>adesso health solutions</t>
        </is>
      </c>
      <c r="B77" s="292" t="inlineStr">
        <is>
          <t>no</t>
        </is>
      </c>
    </row>
    <row r="78">
      <c r="A78" s="290" t="inlineStr">
        <is>
          <t>adesso Hungary</t>
        </is>
      </c>
      <c r="B78" s="292" t="inlineStr">
        <is>
          <t>no</t>
        </is>
      </c>
    </row>
    <row r="79">
      <c r="A79" s="290" t="inlineStr">
        <is>
          <t>adesso India</t>
        </is>
      </c>
      <c r="B79" s="292" t="inlineStr">
        <is>
          <t>no</t>
        </is>
      </c>
    </row>
    <row r="80">
      <c r="A80" s="290" t="inlineStr">
        <is>
          <t>adesso insurance solutions</t>
        </is>
      </c>
      <c r="B80" s="292" t="inlineStr">
        <is>
          <t>yes</t>
        </is>
      </c>
    </row>
    <row r="81">
      <c r="A81" s="290" t="inlineStr">
        <is>
          <t>adesso Italy</t>
        </is>
      </c>
      <c r="B81" s="292" t="inlineStr">
        <is>
          <t>no</t>
        </is>
      </c>
    </row>
    <row r="82">
      <c r="A82" s="290" t="inlineStr">
        <is>
          <t>adesso Lakes</t>
        </is>
      </c>
      <c r="B82" s="292" t="inlineStr">
        <is>
          <t>no</t>
        </is>
      </c>
    </row>
    <row r="83">
      <c r="A83" s="290" t="inlineStr">
        <is>
          <t>adesso mobile solutions</t>
        </is>
      </c>
      <c r="B83" s="292" t="inlineStr">
        <is>
          <t>yes</t>
        </is>
      </c>
    </row>
    <row r="84">
      <c r="A84" s="290" t="inlineStr">
        <is>
          <t>adesso Netherlands</t>
        </is>
      </c>
      <c r="B84" s="292" t="inlineStr">
        <is>
          <t>no</t>
        </is>
      </c>
    </row>
    <row r="85">
      <c r="A85" s="290" t="inlineStr">
        <is>
          <t>adesso orange</t>
        </is>
      </c>
      <c r="B85" s="292" t="inlineStr">
        <is>
          <t>yes</t>
        </is>
      </c>
    </row>
    <row r="86">
      <c r="A86" s="290" t="inlineStr">
        <is>
          <t>adesso partner trust</t>
        </is>
      </c>
      <c r="B86" s="292" t="inlineStr">
        <is>
          <t>no</t>
        </is>
      </c>
    </row>
    <row r="87">
      <c r="A87" s="290" t="inlineStr">
        <is>
          <t>adesso Romania</t>
        </is>
      </c>
      <c r="B87" s="292" t="inlineStr">
        <is>
          <t>no</t>
        </is>
      </c>
    </row>
    <row r="88">
      <c r="A88" s="290" t="inlineStr">
        <is>
          <t>adesso Spain</t>
        </is>
      </c>
      <c r="B88" s="292" t="inlineStr">
        <is>
          <t>no</t>
        </is>
      </c>
    </row>
    <row r="89">
      <c r="A89" s="290" t="inlineStr">
        <is>
          <t>adesso Sweden</t>
        </is>
      </c>
      <c r="B89" s="292" t="inlineStr">
        <is>
          <t>no</t>
        </is>
      </c>
    </row>
    <row r="90">
      <c r="A90" s="290" t="inlineStr">
        <is>
          <t>adesso Switzerland</t>
        </is>
      </c>
      <c r="B90" s="292" t="inlineStr">
        <is>
          <t>no</t>
        </is>
      </c>
    </row>
    <row r="91">
      <c r="A91" s="290" t="inlineStr">
        <is>
          <t>adesso Turkey</t>
        </is>
      </c>
      <c r="B91" s="292" t="inlineStr">
        <is>
          <t>no</t>
        </is>
      </c>
    </row>
    <row r="92">
      <c r="A92" s="290" t="inlineStr">
        <is>
          <t>Afida</t>
        </is>
      </c>
      <c r="B92" s="292" t="inlineStr">
        <is>
          <t>no</t>
        </is>
      </c>
    </row>
    <row r="93">
      <c r="A93" s="290" t="inlineStr">
        <is>
          <t>alleato adessekuranzmakler</t>
        </is>
      </c>
      <c r="B93" s="292" t="inlineStr">
        <is>
          <t>no</t>
        </is>
      </c>
    </row>
    <row r="94">
      <c r="A94" s="290" t="inlineStr">
        <is>
          <t>amis</t>
        </is>
      </c>
      <c r="B94" s="292" t="inlineStr">
        <is>
          <t>no</t>
        </is>
      </c>
    </row>
    <row r="95">
      <c r="A95" s="290" t="inlineStr">
        <is>
          <t>KIWI Consulting</t>
        </is>
      </c>
      <c r="B95" s="292" t="inlineStr">
        <is>
          <t>no</t>
        </is>
      </c>
    </row>
    <row r="96">
      <c r="A96" s="290" t="inlineStr">
        <is>
          <t>material.one</t>
        </is>
      </c>
      <c r="B96" s="292" t="inlineStr">
        <is>
          <t>no</t>
        </is>
      </c>
    </row>
    <row r="97">
      <c r="A97" s="290" t="inlineStr">
        <is>
          <t>medgineering</t>
        </is>
      </c>
      <c r="B97" s="292" t="inlineStr">
        <is>
          <t>no</t>
        </is>
      </c>
    </row>
    <row r="98">
      <c r="A98" s="290" t="inlineStr">
        <is>
          <t>percision</t>
        </is>
      </c>
      <c r="B98" s="292" t="inlineStr">
        <is>
          <t>no</t>
        </is>
      </c>
    </row>
    <row r="99">
      <c r="A99" s="290" t="inlineStr">
        <is>
          <t>Reachbird</t>
        </is>
      </c>
      <c r="B99" s="292" t="inlineStr">
        <is>
          <t>no</t>
        </is>
      </c>
    </row>
    <row r="100">
      <c r="A100" s="290" t="inlineStr">
        <is>
          <t>urban engergy</t>
        </is>
      </c>
      <c r="B100" s="292" t="inlineStr">
        <is>
          <t>no</t>
        </is>
      </c>
    </row>
    <row r="101">
      <c r="A101" s="290" t="inlineStr">
        <is>
          <t>WEPEX</t>
        </is>
      </c>
      <c r="B101" s="292" t="inlineStr">
        <is>
          <t>no</t>
        </is>
      </c>
    </row>
    <row r="103">
      <c r="A103" t="inlineStr">
        <is>
          <t>Country</t>
        </is>
      </c>
      <c r="B103" s="198" t="inlineStr">
        <is>
          <t>Inflation rate</t>
        </is>
      </c>
    </row>
    <row r="104">
      <c r="A104" s="290" t="inlineStr">
        <is>
          <t>any</t>
        </is>
      </c>
      <c r="B104" s="395" t="n">
        <v>0.02</v>
      </c>
    </row>
    <row r="105">
      <c r="A105" s="290" t="inlineStr">
        <is>
          <t>Germany</t>
        </is>
      </c>
      <c r="B105" s="395" t="n">
        <v>0.02</v>
      </c>
    </row>
    <row r="106">
      <c r="A106" s="290" t="inlineStr">
        <is>
          <t>Austria</t>
        </is>
      </c>
      <c r="B106" s="395" t="n">
        <v>0.035</v>
      </c>
    </row>
    <row r="107">
      <c r="A107" s="290" t="inlineStr">
        <is>
          <t>Bulgaria</t>
        </is>
      </c>
      <c r="B107" s="395" t="n">
        <v>0.03</v>
      </c>
    </row>
    <row r="108">
      <c r="A108" s="290" t="inlineStr">
        <is>
          <t>Finland</t>
        </is>
      </c>
      <c r="B108" s="395" t="n">
        <v>0.015</v>
      </c>
    </row>
    <row r="109">
      <c r="A109" s="290" t="inlineStr">
        <is>
          <t>Hungary</t>
        </is>
      </c>
      <c r="B109" s="395" t="n">
        <v>0.035</v>
      </c>
    </row>
    <row r="110">
      <c r="A110" s="290" t="inlineStr">
        <is>
          <t>India</t>
        </is>
      </c>
      <c r="B110" s="395" t="n">
        <v>0.055</v>
      </c>
    </row>
    <row r="111">
      <c r="A111" s="290" t="inlineStr">
        <is>
          <t>Italy</t>
        </is>
      </c>
      <c r="B111" s="395" t="n">
        <v>0.015</v>
      </c>
    </row>
    <row r="112">
      <c r="A112" s="290" t="inlineStr">
        <is>
          <t>Netherlands</t>
        </is>
      </c>
      <c r="B112" s="395" t="n">
        <v>0.025</v>
      </c>
    </row>
    <row r="113">
      <c r="A113" s="290" t="inlineStr">
        <is>
          <t>Romania</t>
        </is>
      </c>
      <c r="B113" s="395" t="n">
        <v>0.06</v>
      </c>
    </row>
    <row r="114">
      <c r="A114" s="290" t="inlineStr">
        <is>
          <t>Spain</t>
        </is>
      </c>
      <c r="B114" s="395" t="n">
        <v>0.025</v>
      </c>
    </row>
    <row r="115">
      <c r="A115" s="290" t="inlineStr">
        <is>
          <t>Sweden</t>
        </is>
      </c>
      <c r="B115" s="395" t="n">
        <v>0.025</v>
      </c>
    </row>
    <row r="116">
      <c r="A116" s="290" t="inlineStr">
        <is>
          <t>Switzerland</t>
        </is>
      </c>
      <c r="B116" s="395" t="n">
        <v>0.02</v>
      </c>
    </row>
    <row r="117">
      <c r="A117" s="290" t="inlineStr">
        <is>
          <t>Turkey</t>
        </is>
      </c>
      <c r="B117" s="395" t="n">
        <v>0.5</v>
      </c>
    </row>
    <row r="119">
      <c r="A119" t="inlineStr">
        <is>
          <t>Project role</t>
        </is>
      </c>
      <c r="B119" t="inlineStr">
        <is>
          <t>Sub role</t>
        </is>
      </c>
      <c r="C119" t="inlineStr">
        <is>
          <t>Percentage</t>
        </is>
      </c>
      <c r="D119" t="inlineStr">
        <is>
          <t>Company</t>
        </is>
      </c>
      <c r="E119" t="inlineStr">
        <is>
          <t>Country</t>
        </is>
      </c>
      <c r="F119" t="inlineStr">
        <is>
          <t>Location</t>
        </is>
      </c>
      <c r="G119" t="inlineStr">
        <is>
          <t>Seniority Level</t>
        </is>
      </c>
      <c r="H119" t="inlineStr">
        <is>
          <t>Daily costs</t>
        </is>
      </c>
      <c r="I119" t="inlineStr">
        <is>
          <t>Daily rate</t>
        </is>
      </c>
      <c r="J119" t="inlineStr">
        <is>
          <t>Daily costs (travel time)</t>
        </is>
      </c>
      <c r="K119" t="inlineStr">
        <is>
          <t>Daily rate (travel time)</t>
        </is>
      </c>
    </row>
    <row r="120">
      <c r="A120" t="inlineStr">
        <is>
          <t>Any role</t>
        </is>
      </c>
      <c r="B120" t="inlineStr">
        <is>
          <t>Any role</t>
        </is>
      </c>
      <c r="C120" t="n">
        <v>1</v>
      </c>
      <c r="D120" t="inlineStr">
        <is>
          <t>any</t>
        </is>
      </c>
      <c r="E120" t="inlineStr">
        <is>
          <t>any</t>
        </is>
      </c>
      <c r="F120" t="inlineStr">
        <is>
          <t>any</t>
        </is>
      </c>
      <c r="G120" t="inlineStr">
        <is>
          <t>any</t>
        </is>
      </c>
      <c r="H120" t="n">
        <v>500</v>
      </c>
      <c r="I120" t="n">
        <v>900</v>
      </c>
      <c r="J120" t="n">
        <v>500</v>
      </c>
      <c r="K120" t="n">
        <v>450</v>
      </c>
    </row>
    <row r="121">
      <c r="A121" t="inlineStr">
        <is>
          <t>Project manager</t>
        </is>
      </c>
      <c r="B121" t="inlineStr">
        <is>
          <t>Project manager</t>
        </is>
      </c>
      <c r="C121" t="n">
        <v>1</v>
      </c>
      <c r="D121" t="inlineStr">
        <is>
          <t>any</t>
        </is>
      </c>
      <c r="E121" t="inlineStr">
        <is>
          <t>any</t>
        </is>
      </c>
      <c r="F121" t="inlineStr">
        <is>
          <t>any</t>
        </is>
      </c>
      <c r="G121" t="inlineStr">
        <is>
          <t>high</t>
        </is>
      </c>
      <c r="H121" t="n">
        <v>500</v>
      </c>
      <c r="I121" t="n">
        <v>900</v>
      </c>
      <c r="J121" t="n">
        <v>500</v>
      </c>
      <c r="K121" t="n">
        <v>450</v>
      </c>
    </row>
    <row r="122">
      <c r="A122" t="inlineStr">
        <is>
          <t>Project manager</t>
        </is>
      </c>
      <c r="B122" t="inlineStr">
        <is>
          <t>Project Office</t>
        </is>
      </c>
      <c r="C122" t="n">
        <v>0</v>
      </c>
      <c r="D122" t="inlineStr">
        <is>
          <t>any</t>
        </is>
      </c>
      <c r="E122" t="inlineStr">
        <is>
          <t>any</t>
        </is>
      </c>
      <c r="F122" t="inlineStr">
        <is>
          <t>any</t>
        </is>
      </c>
      <c r="G122" t="inlineStr">
        <is>
          <t>middle</t>
        </is>
      </c>
      <c r="H122" t="n">
        <v>500</v>
      </c>
      <c r="I122" t="n">
        <v>900</v>
      </c>
      <c r="J122" t="n">
        <v>500</v>
      </c>
      <c r="K122" t="n">
        <v>450</v>
      </c>
    </row>
    <row r="123">
      <c r="A123" t="inlineStr">
        <is>
          <t>Software architect</t>
        </is>
      </c>
      <c r="B123" t="inlineStr">
        <is>
          <t>Software Architect</t>
        </is>
      </c>
      <c r="C123" t="n">
        <v>1</v>
      </c>
      <c r="D123" t="inlineStr">
        <is>
          <t>any</t>
        </is>
      </c>
      <c r="E123" t="inlineStr">
        <is>
          <t>any</t>
        </is>
      </c>
      <c r="F123" t="inlineStr">
        <is>
          <t>any</t>
        </is>
      </c>
      <c r="G123" t="inlineStr">
        <is>
          <t>high</t>
        </is>
      </c>
      <c r="H123" t="n">
        <v>500</v>
      </c>
      <c r="I123" t="n">
        <v>900</v>
      </c>
      <c r="J123" t="n">
        <v>500</v>
      </c>
      <c r="K123" t="n">
        <v>450</v>
      </c>
    </row>
    <row r="124">
      <c r="A124" t="inlineStr">
        <is>
          <t>Requirement Engineer</t>
        </is>
      </c>
      <c r="B124" t="inlineStr">
        <is>
          <t>Requirement Engineer (Junior)</t>
        </is>
      </c>
      <c r="C124" t="n">
        <v>0</v>
      </c>
      <c r="D124" t="inlineStr">
        <is>
          <t>any</t>
        </is>
      </c>
      <c r="E124" t="inlineStr">
        <is>
          <t>any</t>
        </is>
      </c>
      <c r="F124" t="inlineStr">
        <is>
          <t>any</t>
        </is>
      </c>
      <c r="G124" t="inlineStr">
        <is>
          <t>low</t>
        </is>
      </c>
      <c r="H124" t="n">
        <v>500</v>
      </c>
      <c r="I124" t="n">
        <v>900</v>
      </c>
      <c r="J124" t="n">
        <v>500</v>
      </c>
      <c r="K124" t="n">
        <v>450</v>
      </c>
    </row>
    <row r="125">
      <c r="A125" t="inlineStr">
        <is>
          <t>Requirement Engineer</t>
        </is>
      </c>
      <c r="B125" t="inlineStr">
        <is>
          <t>Requirement Engineer (Middle)</t>
        </is>
      </c>
      <c r="C125" t="n">
        <v>1</v>
      </c>
      <c r="D125" t="inlineStr">
        <is>
          <t>any</t>
        </is>
      </c>
      <c r="E125" t="inlineStr">
        <is>
          <t>any</t>
        </is>
      </c>
      <c r="F125" t="inlineStr">
        <is>
          <t>any</t>
        </is>
      </c>
      <c r="G125" t="inlineStr">
        <is>
          <t>middle</t>
        </is>
      </c>
      <c r="H125" t="n">
        <v>500</v>
      </c>
      <c r="I125" t="n">
        <v>900</v>
      </c>
      <c r="J125" t="n">
        <v>500</v>
      </c>
      <c r="K125" t="n">
        <v>450</v>
      </c>
    </row>
    <row r="126">
      <c r="A126" t="inlineStr">
        <is>
          <t>Requirement Engineer</t>
        </is>
      </c>
      <c r="B126" t="inlineStr">
        <is>
          <t>Requirement Engineer  (Senior)</t>
        </is>
      </c>
      <c r="C126" t="n">
        <v>0</v>
      </c>
      <c r="D126" t="inlineStr">
        <is>
          <t>any</t>
        </is>
      </c>
      <c r="E126" t="inlineStr">
        <is>
          <t>any</t>
        </is>
      </c>
      <c r="F126" t="inlineStr">
        <is>
          <t>any</t>
        </is>
      </c>
      <c r="G126" t="inlineStr">
        <is>
          <t>high</t>
        </is>
      </c>
      <c r="H126" t="n">
        <v>500</v>
      </c>
      <c r="I126" t="n">
        <v>900</v>
      </c>
      <c r="J126" t="n">
        <v>500</v>
      </c>
      <c r="K126" t="n">
        <v>450</v>
      </c>
    </row>
    <row r="127">
      <c r="A127" t="inlineStr">
        <is>
          <t>UI/UX Designer</t>
        </is>
      </c>
      <c r="B127" t="inlineStr">
        <is>
          <t>UI/UX Designer (Junior)</t>
        </is>
      </c>
      <c r="C127" t="n">
        <v>0</v>
      </c>
      <c r="D127" t="inlineStr">
        <is>
          <t>any</t>
        </is>
      </c>
      <c r="E127" t="inlineStr">
        <is>
          <t>any</t>
        </is>
      </c>
      <c r="F127" t="inlineStr">
        <is>
          <t>any</t>
        </is>
      </c>
      <c r="G127" t="inlineStr">
        <is>
          <t>low</t>
        </is>
      </c>
      <c r="H127" t="n">
        <v>500</v>
      </c>
      <c r="I127" t="n">
        <v>900</v>
      </c>
      <c r="J127" t="n">
        <v>500</v>
      </c>
      <c r="K127" t="n">
        <v>450</v>
      </c>
    </row>
    <row r="128">
      <c r="A128" t="inlineStr">
        <is>
          <t>UI/UX Designer</t>
        </is>
      </c>
      <c r="B128" t="inlineStr">
        <is>
          <t>UI/UX Designer (Middle)</t>
        </is>
      </c>
      <c r="C128" t="n">
        <v>1</v>
      </c>
      <c r="D128" t="inlineStr">
        <is>
          <t>any</t>
        </is>
      </c>
      <c r="E128" t="inlineStr">
        <is>
          <t>any</t>
        </is>
      </c>
      <c r="F128" t="inlineStr">
        <is>
          <t>any</t>
        </is>
      </c>
      <c r="G128" t="inlineStr">
        <is>
          <t>middle</t>
        </is>
      </c>
      <c r="H128" t="n">
        <v>500</v>
      </c>
      <c r="I128" t="n">
        <v>900</v>
      </c>
      <c r="J128" t="n">
        <v>500</v>
      </c>
      <c r="K128" t="n">
        <v>450</v>
      </c>
    </row>
    <row r="129">
      <c r="A129" t="inlineStr">
        <is>
          <t>UI/UX Designer</t>
        </is>
      </c>
      <c r="B129" t="inlineStr">
        <is>
          <t>UI/UX Designer (Senior)</t>
        </is>
      </c>
      <c r="C129" t="n">
        <v>0</v>
      </c>
      <c r="D129" t="inlineStr">
        <is>
          <t>any</t>
        </is>
      </c>
      <c r="E129" t="inlineStr">
        <is>
          <t>any</t>
        </is>
      </c>
      <c r="F129" t="inlineStr">
        <is>
          <t>any</t>
        </is>
      </c>
      <c r="G129" t="inlineStr">
        <is>
          <t>high</t>
        </is>
      </c>
      <c r="H129" t="n">
        <v>500</v>
      </c>
      <c r="I129" t="n">
        <v>900</v>
      </c>
      <c r="J129" t="n">
        <v>500</v>
      </c>
      <c r="K129" t="n">
        <v>450</v>
      </c>
    </row>
    <row r="130">
      <c r="A130" t="inlineStr">
        <is>
          <t>Test manager</t>
        </is>
      </c>
      <c r="B130" t="inlineStr">
        <is>
          <t>Test manager</t>
        </is>
      </c>
      <c r="C130" t="n">
        <v>1</v>
      </c>
      <c r="D130" t="inlineStr">
        <is>
          <t>any</t>
        </is>
      </c>
      <c r="E130" t="inlineStr">
        <is>
          <t>any</t>
        </is>
      </c>
      <c r="F130" t="inlineStr">
        <is>
          <t>any</t>
        </is>
      </c>
      <c r="G130" t="inlineStr">
        <is>
          <t>high</t>
        </is>
      </c>
      <c r="H130" t="n">
        <v>500</v>
      </c>
      <c r="I130" t="n">
        <v>900</v>
      </c>
      <c r="J130" t="n">
        <v>500</v>
      </c>
      <c r="K130" t="n">
        <v>450</v>
      </c>
    </row>
    <row r="131">
      <c r="A131" t="inlineStr">
        <is>
          <t>Test Engineer</t>
        </is>
      </c>
      <c r="B131" t="inlineStr">
        <is>
          <t>Test Engineer (Junior)</t>
        </is>
      </c>
      <c r="C131" t="n">
        <v>0</v>
      </c>
      <c r="D131" t="inlineStr">
        <is>
          <t>any</t>
        </is>
      </c>
      <c r="E131" t="inlineStr">
        <is>
          <t>any</t>
        </is>
      </c>
      <c r="F131" t="inlineStr">
        <is>
          <t>any</t>
        </is>
      </c>
      <c r="G131" t="inlineStr">
        <is>
          <t>low</t>
        </is>
      </c>
      <c r="H131" t="n">
        <v>500</v>
      </c>
      <c r="I131" t="n">
        <v>900</v>
      </c>
      <c r="J131" t="n">
        <v>500</v>
      </c>
      <c r="K131" t="n">
        <v>450</v>
      </c>
    </row>
    <row r="132">
      <c r="A132" t="inlineStr">
        <is>
          <t>Test Engineer</t>
        </is>
      </c>
      <c r="B132" t="inlineStr">
        <is>
          <t>Test engineer (Middle)</t>
        </is>
      </c>
      <c r="C132" t="n">
        <v>1</v>
      </c>
      <c r="D132" t="inlineStr">
        <is>
          <t>any</t>
        </is>
      </c>
      <c r="E132" t="inlineStr">
        <is>
          <t>any</t>
        </is>
      </c>
      <c r="F132" t="inlineStr">
        <is>
          <t>any</t>
        </is>
      </c>
      <c r="G132" t="inlineStr">
        <is>
          <t>middle</t>
        </is>
      </c>
      <c r="H132" t="n">
        <v>500</v>
      </c>
      <c r="I132" t="n">
        <v>900</v>
      </c>
      <c r="J132" t="n">
        <v>500</v>
      </c>
      <c r="K132" t="n">
        <v>450</v>
      </c>
    </row>
    <row r="133">
      <c r="A133" t="inlineStr">
        <is>
          <t>Test Engineer</t>
        </is>
      </c>
      <c r="B133" t="inlineStr">
        <is>
          <t>Test Engineer (Senior)</t>
        </is>
      </c>
      <c r="C133" t="n">
        <v>0</v>
      </c>
      <c r="D133" t="inlineStr">
        <is>
          <t>any</t>
        </is>
      </c>
      <c r="E133" t="inlineStr">
        <is>
          <t>any</t>
        </is>
      </c>
      <c r="F133" t="inlineStr">
        <is>
          <t>any</t>
        </is>
      </c>
      <c r="G133" t="inlineStr">
        <is>
          <t>high</t>
        </is>
      </c>
      <c r="H133" t="n">
        <v>500</v>
      </c>
      <c r="I133" t="n">
        <v>900</v>
      </c>
      <c r="J133" t="n">
        <v>500</v>
      </c>
      <c r="K133" t="n">
        <v>450</v>
      </c>
    </row>
    <row r="134">
      <c r="A134" t="inlineStr">
        <is>
          <t>Developer</t>
        </is>
      </c>
      <c r="B134" t="inlineStr">
        <is>
          <t>Developer (Junior)</t>
        </is>
      </c>
      <c r="C134" t="n">
        <v>0</v>
      </c>
      <c r="D134" t="inlineStr">
        <is>
          <t>any</t>
        </is>
      </c>
      <c r="E134" t="inlineStr">
        <is>
          <t>any</t>
        </is>
      </c>
      <c r="F134" t="inlineStr">
        <is>
          <t>any</t>
        </is>
      </c>
      <c r="G134" t="inlineStr">
        <is>
          <t>low</t>
        </is>
      </c>
      <c r="H134" t="n">
        <v>500</v>
      </c>
      <c r="I134" t="n">
        <v>900</v>
      </c>
      <c r="J134" t="n">
        <v>500</v>
      </c>
      <c r="K134" t="n">
        <v>450</v>
      </c>
    </row>
    <row r="135">
      <c r="A135" t="inlineStr">
        <is>
          <t>Developer</t>
        </is>
      </c>
      <c r="B135" t="inlineStr">
        <is>
          <t>Developer (Middle)</t>
        </is>
      </c>
      <c r="C135" t="n">
        <v>1</v>
      </c>
      <c r="D135" t="inlineStr">
        <is>
          <t>any</t>
        </is>
      </c>
      <c r="E135" t="inlineStr">
        <is>
          <t>any</t>
        </is>
      </c>
      <c r="F135" t="inlineStr">
        <is>
          <t>any</t>
        </is>
      </c>
      <c r="G135" t="inlineStr">
        <is>
          <t>middle</t>
        </is>
      </c>
      <c r="H135" t="n">
        <v>900</v>
      </c>
      <c r="I135" t="n">
        <v>900</v>
      </c>
      <c r="J135" t="n">
        <v>900</v>
      </c>
      <c r="K135" t="n">
        <v>450</v>
      </c>
    </row>
    <row r="136">
      <c r="A136" t="inlineStr">
        <is>
          <t>Developer</t>
        </is>
      </c>
      <c r="B136" t="inlineStr">
        <is>
          <t>Developer (Senior)</t>
        </is>
      </c>
      <c r="C136" t="n">
        <v>0</v>
      </c>
      <c r="D136" t="inlineStr">
        <is>
          <t>any</t>
        </is>
      </c>
      <c r="E136" t="inlineStr">
        <is>
          <t>any</t>
        </is>
      </c>
      <c r="F136" t="inlineStr">
        <is>
          <t>any</t>
        </is>
      </c>
      <c r="G136" t="inlineStr">
        <is>
          <t>high</t>
        </is>
      </c>
      <c r="H136" t="n">
        <v>500</v>
      </c>
      <c r="I136" t="n">
        <v>900</v>
      </c>
      <c r="J136" t="n">
        <v>500</v>
      </c>
      <c r="K136" t="n">
        <v>450</v>
      </c>
    </row>
    <row r="137">
      <c r="A137" t="inlineStr">
        <is>
          <t>DevOps Engineer</t>
        </is>
      </c>
      <c r="B137" t="inlineStr">
        <is>
          <t>DevOps Engineer</t>
        </is>
      </c>
      <c r="C137" t="n">
        <v>1</v>
      </c>
      <c r="D137" t="inlineStr">
        <is>
          <t>any</t>
        </is>
      </c>
      <c r="E137" t="inlineStr">
        <is>
          <t>any</t>
        </is>
      </c>
      <c r="F137" t="inlineStr">
        <is>
          <t>any</t>
        </is>
      </c>
      <c r="G137" t="inlineStr">
        <is>
          <t>middle</t>
        </is>
      </c>
      <c r="H137" t="n">
        <v>500</v>
      </c>
      <c r="I137" t="n">
        <v>900</v>
      </c>
      <c r="J137" t="n">
        <v>500</v>
      </c>
      <c r="K137" t="n">
        <v>450</v>
      </c>
    </row>
    <row r="139">
      <c r="A139" t="inlineStr">
        <is>
          <t>ID</t>
        </is>
      </c>
      <c r="B139" t="inlineStr">
        <is>
          <t>Range (for query)</t>
        </is>
      </c>
      <c r="C139" t="inlineStr">
        <is>
          <t>Feature group</t>
        </is>
      </c>
      <c r="D139" t="inlineStr">
        <is>
          <t>Feature sub group</t>
        </is>
      </c>
      <c r="E139" t="inlineStr">
        <is>
          <t>Feature</t>
        </is>
      </c>
      <c r="F139" t="inlineStr">
        <is>
          <t>Sub feature</t>
        </is>
      </c>
      <c r="G139" t="inlineStr">
        <is>
          <t>Description</t>
        </is>
      </c>
      <c r="H139" t="inlineStr">
        <is>
          <t>Assumptions</t>
        </is>
      </c>
      <c r="I139" t="inlineStr">
        <is>
          <t>Reference ID</t>
        </is>
      </c>
      <c r="J139" t="inlineStr">
        <is>
          <t>Feature task 1</t>
        </is>
      </c>
      <c r="K139" t="inlineStr">
        <is>
          <t>Feature task 2</t>
        </is>
      </c>
      <c r="L139" t="inlineStr">
        <is>
          <t>Feature task 3</t>
        </is>
      </c>
      <c r="M139" t="inlineStr">
        <is>
          <t>Feature task 4</t>
        </is>
      </c>
      <c r="N139" t="inlineStr">
        <is>
          <t>Feature task 5</t>
        </is>
      </c>
      <c r="O139" t="inlineStr">
        <is>
          <t>Feature task 6</t>
        </is>
      </c>
      <c r="P139" t="inlineStr">
        <is>
          <t>Feature task 7</t>
        </is>
      </c>
      <c r="Q139" t="inlineStr">
        <is>
          <t>Feature task 8</t>
        </is>
      </c>
      <c r="R139" t="inlineStr">
        <is>
          <t>Feature task 9</t>
        </is>
      </c>
      <c r="S139" t="inlineStr">
        <is>
          <t>Feature task 10</t>
        </is>
      </c>
    </row>
    <row r="142">
      <c r="A142" t="inlineStr">
        <is>
          <t>Feature task</t>
        </is>
      </c>
      <c r="B142" t="inlineStr">
        <is>
          <t>Description</t>
        </is>
      </c>
      <c r="C142" t="inlineStr">
        <is>
          <t>Average Percentage</t>
        </is>
      </c>
      <c r="D142" t="inlineStr">
        <is>
          <t>Key task</t>
        </is>
      </c>
    </row>
    <row r="143">
      <c r="A143" t="inlineStr">
        <is>
          <t>Analysis &amp; software design</t>
        </is>
      </c>
      <c r="B143" t="inlineStr">
        <is>
          <t>Recording, analysis and detailed specification of software requirements</t>
        </is>
      </c>
      <c r="C143" t="n">
        <v>0.25</v>
      </c>
      <c r="D143" t="inlineStr">
        <is>
          <t>no</t>
        </is>
      </c>
    </row>
    <row r="144">
      <c r="A144" t="inlineStr">
        <is>
          <t>Software development</t>
        </is>
      </c>
      <c r="B144" t="inlineStr">
        <is>
          <t>Software development and developer tests</t>
        </is>
      </c>
      <c r="C144" t="n">
        <v>0.5</v>
      </c>
      <c r="D144" t="inlineStr">
        <is>
          <t>yes</t>
        </is>
      </c>
    </row>
    <row r="145">
      <c r="A145" t="inlineStr">
        <is>
          <t>Software test</t>
        </is>
      </c>
      <c r="B145" t="inlineStr">
        <is>
          <t>Test case creation and system, integration and user acceptance tests; retests for defects in the development process and regression tests for multiple deliveries</t>
        </is>
      </c>
      <c r="C145" t="n">
        <v>0.15</v>
      </c>
      <c r="D145" t="inlineStr">
        <is>
          <t>no</t>
        </is>
      </c>
    </row>
    <row r="146">
      <c r="A146" t="inlineStr">
        <is>
          <t>Bug fixing after delivery for acceptance</t>
        </is>
      </c>
      <c r="B146" t="inlineStr">
        <is>
          <t>Bug fixing after software delivery for customer acceptance. Includes development and retesting.</t>
        </is>
      </c>
      <c r="C146" t="n">
        <v>0.1</v>
      </c>
      <c r="D146"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2.xml><?xml version="1.0" encoding="utf-8"?>
<worksheet xmlns="http://schemas.openxmlformats.org/spreadsheetml/2006/main">
  <sheetPr codeName="Tabelle22">
    <tabColor theme="5" tint="0.7999816888943144"/>
    <outlinePr summaryBelow="1" summaryRight="1"/>
    <pageSetUpPr/>
  </sheetPr>
  <dimension ref="A1:AT151"/>
  <sheetViews>
    <sheetView topLeftCell="A51" workbookViewId="0">
      <selection activeCell="K50" sqref="K50"/>
    </sheetView>
  </sheetViews>
  <sheetFormatPr baseColWidth="10" defaultColWidth="11.5" defaultRowHeight="15"/>
  <cols>
    <col width="80.33203125" bestFit="1" customWidth="1" min="11" max="11"/>
  </cols>
  <sheetData>
    <row r="1">
      <c r="A1" t="inlineStr">
        <is>
          <t>Key</t>
        </is>
      </c>
      <c r="B1" t="inlineStr">
        <is>
          <t>Value</t>
        </is>
      </c>
    </row>
    <row r="2">
      <c r="A2" t="inlineStr">
        <is>
          <t>Proposal title</t>
        </is>
      </c>
      <c r="B2" t="inlineStr">
        <is>
          <t>&lt;title of proposal&gt;</t>
        </is>
      </c>
    </row>
    <row r="3">
      <c r="A3" t="inlineStr">
        <is>
          <t>Contract type</t>
        </is>
      </c>
      <c r="B3" t="inlineStr">
        <is>
          <t>Work contract (fixed price)</t>
        </is>
      </c>
    </row>
    <row r="4">
      <c r="A4" t="inlineStr">
        <is>
          <t>Customer</t>
        </is>
      </c>
      <c r="B4" t="inlineStr">
        <is>
          <t>&lt;name of customer&gt;</t>
        </is>
      </c>
    </row>
    <row r="5">
      <c r="A5" t="inlineStr">
        <is>
          <t>Contractor</t>
        </is>
      </c>
      <c r="B5" t="inlineStr">
        <is>
          <t>adesso mobile solutions</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10_Planung</t>
        </is>
      </c>
      <c r="D27" t="inlineStr">
        <is>
          <t>Projektinitialisierung und -planung</t>
        </is>
      </c>
      <c r="E27" t="inlineStr">
        <is>
          <t>Initialisierung und Planung des Projektes; Erstellung eines Projekthandbuchs, Beschaffung der Ressourcen, Aufsetzen des Projektcontrollings usw - Details siehe ams-Wiki "Projektmanagement"</t>
        </is>
      </c>
      <c r="I27" t="n">
        <v>0</v>
      </c>
      <c r="K27" t="inlineStr">
        <is>
          <t>min(1%*[#total1],5)</t>
        </is>
      </c>
      <c r="P27" t="inlineStr">
        <is>
          <t>no</t>
        </is>
      </c>
      <c r="R27" t="inlineStr">
        <is>
          <t>f100</t>
        </is>
      </c>
    </row>
    <row r="28">
      <c r="A28" t="inlineStr">
        <is>
          <t>P-20</t>
        </is>
      </c>
      <c r="C28" t="inlineStr">
        <is>
          <t>10_Planung</t>
        </is>
      </c>
      <c r="D28" t="inlineStr">
        <is>
          <t>Projekt Kick Off-Meeting</t>
        </is>
      </c>
      <c r="E28" t="inlineStr">
        <is>
          <t>Internes und ggf. externes Meeting, Teilnahme, Vor- und Nachbereitung</t>
        </is>
      </c>
      <c r="I28" t="n">
        <v>0</v>
      </c>
      <c r="K28" t="inlineStr">
        <is>
          <t>[#teamsize]*0.25+1</t>
        </is>
      </c>
      <c r="P28" t="inlineStr">
        <is>
          <t>no</t>
        </is>
      </c>
      <c r="Q28" t="inlineStr">
        <is>
          <t>f75</t>
        </is>
      </c>
      <c r="R28" t="inlineStr">
        <is>
          <t>f20</t>
        </is>
      </c>
      <c r="S28" t="inlineStr">
        <is>
          <t>f5</t>
        </is>
      </c>
    </row>
    <row r="29">
      <c r="A29" t="inlineStr">
        <is>
          <t>P-30</t>
        </is>
      </c>
      <c r="C29" t="inlineStr">
        <is>
          <t>10_Planung</t>
        </is>
      </c>
      <c r="D29" t="inlineStr">
        <is>
          <t>Aufbau  Testumgebung</t>
        </is>
      </c>
      <c r="E29" t="inlineStr">
        <is>
          <t>Veröffentlichung von Testversionen: Einrichtung AppCenter oder andere kundenspezifischer System (MDM)</t>
        </is>
      </c>
      <c r="I29" t="n">
        <v>0</v>
      </c>
      <c r="K29" t="n">
        <v>1.5</v>
      </c>
      <c r="P29" t="inlineStr">
        <is>
          <t>no</t>
        </is>
      </c>
      <c r="S29" t="inlineStr">
        <is>
          <t>f100</t>
        </is>
      </c>
    </row>
    <row r="30" ht="192" customHeight="1">
      <c r="A30" t="inlineStr">
        <is>
          <t>P-40</t>
        </is>
      </c>
      <c r="C30" t="inlineStr">
        <is>
          <t>10_Planung</t>
        </is>
      </c>
      <c r="D30" t="inlineStr">
        <is>
          <t>Initialisierung Scrum</t>
        </is>
      </c>
      <c r="E30" s="91" t="inlineStr">
        <is>
          <t>Onboarding Kunden PO, Regelmeetings aufsetzen, Dokumentation der Vorgehensweise
- wird auf Basis des PM Aufwands berechnet</t>
        </is>
      </c>
      <c r="I30" t="n">
        <v>0</v>
      </c>
      <c r="K30" t="inlineStr">
        <is>
          <t>1%*[pmeff]</t>
        </is>
      </c>
      <c r="P30" t="inlineStr">
        <is>
          <t>no</t>
        </is>
      </c>
      <c r="R30" t="inlineStr">
        <is>
          <t>f100</t>
        </is>
      </c>
    </row>
    <row r="31" ht="112" customHeight="1">
      <c r="A31" t="inlineStr">
        <is>
          <t>P-50</t>
        </is>
      </c>
      <c r="C31" t="inlineStr">
        <is>
          <t>10_Planung</t>
        </is>
      </c>
      <c r="D31" t="inlineStr">
        <is>
          <t>Durchführung Kundenworkshops</t>
        </is>
      </c>
      <c r="E31" s="91" t="inlineStr">
        <is>
          <t xml:space="preserve">Workshops zur Aufnahme und Konkretisierung von Anforderungen </t>
        </is>
      </c>
      <c r="I31" t="n">
        <v>0</v>
      </c>
      <c r="P31" t="inlineStr">
        <is>
          <t>no</t>
        </is>
      </c>
      <c r="R31" t="inlineStr">
        <is>
          <t>f10</t>
        </is>
      </c>
      <c r="S31" t="inlineStr">
        <is>
          <t>f20</t>
        </is>
      </c>
      <c r="W31" t="inlineStr">
        <is>
          <t>f50</t>
        </is>
      </c>
      <c r="X31" t="inlineStr">
        <is>
          <t>f20</t>
        </is>
      </c>
    </row>
    <row r="32" ht="176" customHeight="1">
      <c r="A32" t="inlineStr">
        <is>
          <t>P-60</t>
        </is>
      </c>
      <c r="C32" t="inlineStr">
        <is>
          <t>10_Planung</t>
        </is>
      </c>
      <c r="D32" t="inlineStr">
        <is>
          <t>Erstellung Testkonzept</t>
        </is>
      </c>
      <c r="E32" s="91" t="inlineStr">
        <is>
          <t>Erstellung Testkonzept, Entwicklung der Strategie und Prozesse zur Testdurchführung, Vorbereitung Test-Toolchain</t>
        </is>
      </c>
      <c r="I32" t="n">
        <v>0</v>
      </c>
      <c r="J32" t="inlineStr">
        <is>
          <t>[testcon]</t>
        </is>
      </c>
      <c r="K32" t="inlineStr">
        <is>
          <t>min(10%*[test],15)</t>
        </is>
      </c>
      <c r="P32" t="inlineStr">
        <is>
          <t>no</t>
        </is>
      </c>
      <c r="T32" t="inlineStr">
        <is>
          <t>f100</t>
        </is>
      </c>
    </row>
    <row r="33" ht="176" customHeight="1">
      <c r="A33" t="inlineStr">
        <is>
          <t>P-70</t>
        </is>
      </c>
      <c r="C33" t="inlineStr">
        <is>
          <t>10_Planung</t>
        </is>
      </c>
      <c r="D33" t="inlineStr">
        <is>
          <t>Erstellung Architektur-Konzept</t>
        </is>
      </c>
      <c r="E33" s="91" t="inlineStr">
        <is>
          <t>Aufsetzen einer dauerhaft tragfähigen und robusten Architektur für die angestrebte Lösung und Dokumentation</t>
        </is>
      </c>
      <c r="I33" t="n">
        <v>0</v>
      </c>
      <c r="J33" t="inlineStr">
        <is>
          <t>[archcon]</t>
        </is>
      </c>
      <c r="K33" t="inlineStr">
        <is>
          <t>5%*[dev]</t>
        </is>
      </c>
      <c r="P33" t="inlineStr">
        <is>
          <t>no</t>
        </is>
      </c>
      <c r="S33" t="inlineStr">
        <is>
          <t>f100</t>
        </is>
      </c>
    </row>
    <row r="34" ht="128" customHeight="1">
      <c r="A34" t="inlineStr">
        <is>
          <t>P-80</t>
        </is>
      </c>
      <c r="C34" t="inlineStr">
        <is>
          <t>20_Durchführung</t>
        </is>
      </c>
      <c r="D34" t="inlineStr">
        <is>
          <t>UX Design</t>
        </is>
      </c>
      <c r="E34" s="91" t="inlineStr">
        <is>
          <t>Entwicklung von Wireframes, Prototypen, Featuremap, Durchführung User Research</t>
        </is>
      </c>
      <c r="F34" t="inlineStr">
        <is>
          <t>FT#1</t>
        </is>
      </c>
      <c r="I34" t="n">
        <v>0</v>
      </c>
      <c r="P34" t="inlineStr">
        <is>
          <t>no</t>
        </is>
      </c>
      <c r="W34" t="inlineStr">
        <is>
          <t>f100</t>
        </is>
      </c>
    </row>
    <row r="35" ht="128" customHeight="1">
      <c r="A35" t="inlineStr">
        <is>
          <t>P-90</t>
        </is>
      </c>
      <c r="C35" t="inlineStr">
        <is>
          <t>20_Durchführung</t>
        </is>
      </c>
      <c r="D35" t="inlineStr">
        <is>
          <t>UI Design</t>
        </is>
      </c>
      <c r="E35" s="91" t="inlineStr">
        <is>
          <t>Gestaltung User Interface, Screens und Views, Entwicklung Designkonzept</t>
        </is>
      </c>
      <c r="F35" t="inlineStr">
        <is>
          <t>FT#2</t>
        </is>
      </c>
      <c r="I35" t="n">
        <v>0</v>
      </c>
      <c r="P35" t="inlineStr">
        <is>
          <t>no</t>
        </is>
      </c>
      <c r="X35" t="inlineStr">
        <is>
          <t>f100</t>
        </is>
      </c>
    </row>
    <row r="36" ht="128" customHeight="1">
      <c r="A36" t="inlineStr">
        <is>
          <t>P-100</t>
        </is>
      </c>
      <c r="C36" t="inlineStr">
        <is>
          <t>20_Durchführung</t>
        </is>
      </c>
      <c r="D36" t="inlineStr">
        <is>
          <t>Anforderungsmanagement und Business Analyse</t>
        </is>
      </c>
      <c r="E36" s="91" t="inlineStr">
        <is>
          <t xml:space="preserve">Identifikation und Analyse der Benutzer-, Geschäfts- und technischen Anforderungen </t>
        </is>
      </c>
      <c r="I36" t="n">
        <v>0</v>
      </c>
      <c r="P36" t="inlineStr">
        <is>
          <t>no</t>
        </is>
      </c>
      <c r="S36" t="inlineStr">
        <is>
          <t>f20</t>
        </is>
      </c>
      <c r="U36" t="inlineStr">
        <is>
          <t>f30</t>
        </is>
      </c>
      <c r="W36" t="inlineStr">
        <is>
          <t>f50</t>
        </is>
      </c>
    </row>
    <row r="37" ht="96" customHeight="1">
      <c r="A37" t="inlineStr">
        <is>
          <t>P-110</t>
        </is>
      </c>
      <c r="C37" t="inlineStr">
        <is>
          <t>20_Durchführung</t>
        </is>
      </c>
      <c r="D37" t="inlineStr">
        <is>
          <t>Software-Entwicklung</t>
        </is>
      </c>
      <c r="E37" s="91" t="inlineStr">
        <is>
          <t>Entwicklung der mobilen Anwendungen und Entwicklertests</t>
        </is>
      </c>
      <c r="F37" t="inlineStr">
        <is>
          <t>FT#3</t>
        </is>
      </c>
      <c r="I37" t="n">
        <v>0</v>
      </c>
      <c r="J37" t="inlineStr">
        <is>
          <t>[dev]</t>
        </is>
      </c>
      <c r="P37" t="inlineStr">
        <is>
          <t>no</t>
        </is>
      </c>
      <c r="AB37" t="inlineStr">
        <is>
          <t>f50</t>
        </is>
      </c>
      <c r="AC37" t="inlineStr">
        <is>
          <t>f50</t>
        </is>
      </c>
    </row>
    <row r="38" ht="256" customHeight="1">
      <c r="A38" t="inlineStr">
        <is>
          <t>P-120</t>
        </is>
      </c>
      <c r="C38" t="inlineStr">
        <is>
          <t>20_Durchführung</t>
        </is>
      </c>
      <c r="D38" t="inlineStr">
        <is>
          <t>Software-Test</t>
        </is>
      </c>
      <c r="E38" s="91" t="inlineStr">
        <is>
          <t>Testfallerstellung und System-, Integrations- und User Acceptance-Test; Retests bei Defects im Entwicklungsprozess sowie Regressionstests bei mehreren Auslieferungen</t>
        </is>
      </c>
      <c r="F38" t="inlineStr">
        <is>
          <t>FT#4</t>
        </is>
      </c>
      <c r="I38" t="n">
        <v>0</v>
      </c>
      <c r="J38" t="inlineStr">
        <is>
          <t>[test]</t>
        </is>
      </c>
      <c r="P38" t="inlineStr">
        <is>
          <t>no</t>
        </is>
      </c>
      <c r="T38" t="inlineStr">
        <is>
          <t>f20</t>
        </is>
      </c>
      <c r="AA38" t="inlineStr">
        <is>
          <t>f80</t>
        </is>
      </c>
    </row>
    <row r="39" ht="144" customHeight="1">
      <c r="A39" t="inlineStr">
        <is>
          <t>P-130</t>
        </is>
      </c>
      <c r="C39" t="inlineStr">
        <is>
          <t>20_Durchführung</t>
        </is>
      </c>
      <c r="D39" t="inlineStr">
        <is>
          <t>Erstellung Testautomatisierungsskripte</t>
        </is>
      </c>
      <c r="E39" s="91" t="inlineStr">
        <is>
          <t>Implementierung und Aktualisierung der Testfälle auf Basis Testkonzept und Akzeptanzkriterien</t>
        </is>
      </c>
      <c r="I39" t="n">
        <v>0</v>
      </c>
      <c r="K39" t="inlineStr">
        <is>
          <t>65%*30%*[test]</t>
        </is>
      </c>
      <c r="P39" t="inlineStr">
        <is>
          <t>no</t>
        </is>
      </c>
      <c r="Z39" t="inlineStr">
        <is>
          <t>f100</t>
        </is>
      </c>
    </row>
    <row r="40" ht="224" customHeight="1">
      <c r="A40" t="inlineStr">
        <is>
          <t>P-140</t>
        </is>
      </c>
      <c r="C40" t="inlineStr">
        <is>
          <t>20_Durchführung</t>
        </is>
      </c>
      <c r="D40" t="inlineStr">
        <is>
          <t>Hochladen Release in App Store</t>
        </is>
      </c>
      <c r="E40" s="91" t="inlineStr">
        <is>
          <t>Vorbereitung und Durchführung des Uploads des Release Candidate in den plattformspezifischen App Stores damit das Review durch App Store erfolgen kann</t>
        </is>
      </c>
      <c r="I40" t="n">
        <v>0</v>
      </c>
      <c r="K40" t="n">
        <v>1.25</v>
      </c>
      <c r="P40" t="inlineStr">
        <is>
          <t>no</t>
        </is>
      </c>
      <c r="AC40" t="inlineStr">
        <is>
          <t>f100</t>
        </is>
      </c>
    </row>
    <row r="41" ht="112" customHeight="1">
      <c r="A41" t="inlineStr">
        <is>
          <t>P-150</t>
        </is>
      </c>
      <c r="C41" t="inlineStr">
        <is>
          <t>20_Durchführung</t>
        </is>
      </c>
      <c r="D41" t="inlineStr">
        <is>
          <t>Erstellung Anwenderhandbuch</t>
        </is>
      </c>
      <c r="E41" s="91" t="inlineStr">
        <is>
          <t>Erstellung, Korrektur und Übergabe eines Anwenderhandbuchs</t>
        </is>
      </c>
      <c r="I41" t="n">
        <v>0</v>
      </c>
      <c r="P41" t="inlineStr">
        <is>
          <t>no</t>
        </is>
      </c>
      <c r="S41" t="inlineStr">
        <is>
          <t>f20</t>
        </is>
      </c>
      <c r="W41" t="inlineStr">
        <is>
          <t>f80</t>
        </is>
      </c>
    </row>
    <row r="42" ht="192" customHeight="1">
      <c r="A42" t="inlineStr">
        <is>
          <t>P-160</t>
        </is>
      </c>
      <c r="C42" t="inlineStr">
        <is>
          <t>20_Durchführung</t>
        </is>
      </c>
      <c r="D42" t="inlineStr">
        <is>
          <t>Begleitung Abnahmetest</t>
        </is>
      </c>
      <c r="E42" s="91" t="inlineStr">
        <is>
          <t>Vorbereitung, Dokumentation und Schulung des Abnahmeprozesses, Unterstützung des Kunden bei Provisionierung</t>
        </is>
      </c>
      <c r="I42" t="n">
        <v>0</v>
      </c>
      <c r="K42" t="inlineStr">
        <is>
          <t>if([test]&lt;0.25*[dev],[dev]*15%,[dev]*5%)</t>
        </is>
      </c>
      <c r="P42" t="inlineStr">
        <is>
          <t>no</t>
        </is>
      </c>
      <c r="R42" t="inlineStr">
        <is>
          <t>f100</t>
        </is>
      </c>
    </row>
    <row r="43" ht="160" customHeight="1">
      <c r="A43" t="inlineStr">
        <is>
          <t>P-170</t>
        </is>
      </c>
      <c r="C43" t="inlineStr">
        <is>
          <t>20_Durchführung</t>
        </is>
      </c>
      <c r="D43" t="inlineStr">
        <is>
          <t>Fehlerbearbeitung nach BzA</t>
        </is>
      </c>
      <c r="E43" s="91" t="inlineStr">
        <is>
          <t>Fehlerbearbeitung nach Bereitstellung zur Abnahme (BzA); Leistung beinhaltet Entwicklung und Test</t>
        </is>
      </c>
      <c r="F43" t="inlineStr">
        <is>
          <t>FT#5</t>
        </is>
      </c>
      <c r="I43" t="n">
        <v>0</v>
      </c>
      <c r="P43" t="inlineStr">
        <is>
          <t>no</t>
        </is>
      </c>
      <c r="Q43" t="inlineStr">
        <is>
          <t>f100</t>
        </is>
      </c>
    </row>
    <row r="44" ht="160" customHeight="1">
      <c r="A44" t="inlineStr">
        <is>
          <t>P-180</t>
        </is>
      </c>
      <c r="C44" t="inlineStr">
        <is>
          <t>30_Abschluss</t>
        </is>
      </c>
      <c r="D44" t="inlineStr">
        <is>
          <t>Übergabe an Kunde</t>
        </is>
      </c>
      <c r="E44" s="91" t="inlineStr">
        <is>
          <t>Vorbereitende Tätigkeit für die Übergabe der Anwendung und Dokumentation an den Kunden - ohne AM</t>
        </is>
      </c>
      <c r="I44" t="n">
        <v>0</v>
      </c>
      <c r="K44" t="inlineStr">
        <is>
          <t>if([#projectlength]&gt;52,[#total1]*5%,2)</t>
        </is>
      </c>
      <c r="P44" t="inlineStr">
        <is>
          <t>no</t>
        </is>
      </c>
      <c r="R44" t="inlineStr">
        <is>
          <t>f50</t>
        </is>
      </c>
      <c r="S44" t="inlineStr">
        <is>
          <t>f50</t>
        </is>
      </c>
    </row>
    <row r="45" ht="128" customHeight="1">
      <c r="A45" t="inlineStr">
        <is>
          <t>P-190</t>
        </is>
      </c>
      <c r="C45" t="inlineStr">
        <is>
          <t>30_Abschluss</t>
        </is>
      </c>
      <c r="D45" t="inlineStr">
        <is>
          <t>Übergabe an Application Management</t>
        </is>
      </c>
      <c r="E45" s="91" t="inlineStr">
        <is>
          <t xml:space="preserve">Vorbereitende Tätigkeiten für und Übergabe an das AM, Onboarding AM Mitarbeiter </t>
        </is>
      </c>
      <c r="I45" t="n">
        <v>0</v>
      </c>
      <c r="K45" t="n">
        <v>3</v>
      </c>
      <c r="P45" t="inlineStr">
        <is>
          <t>no</t>
        </is>
      </c>
      <c r="R45" t="inlineStr">
        <is>
          <t>f50</t>
        </is>
      </c>
      <c r="S45" t="inlineStr">
        <is>
          <t>f40</t>
        </is>
      </c>
      <c r="T45" t="inlineStr">
        <is>
          <t>f10</t>
        </is>
      </c>
    </row>
    <row r="46" ht="240" customHeight="1">
      <c r="A46" t="inlineStr">
        <is>
          <t>P-200</t>
        </is>
      </c>
      <c r="C46" t="inlineStr">
        <is>
          <t>10_Übergreifende Aufgaben</t>
        </is>
      </c>
      <c r="D46" t="inlineStr">
        <is>
          <t>Projektmanagement</t>
        </is>
      </c>
      <c r="E46" s="91" t="inlineStr">
        <is>
          <t>PL begleitet über alle Projektphasen hinweg. U.a. zur Koordination der Abläufe, Kommunikation, Reporting, Risiko-, Stakeholdermgmt, Ressourcenmgmt</t>
        </is>
      </c>
      <c r="I46" t="n">
        <v>0</v>
      </c>
      <c r="J46" t="inlineStr">
        <is>
          <t>[pmeff]</t>
        </is>
      </c>
      <c r="K46" t="inlineStr">
        <is>
          <t>max([#projectlength]*ifs([#total1]&lt;100,1,[#total1]&lt;250,2,[#total1]&lt;500,4,true,5),15%*[#total1])</t>
        </is>
      </c>
      <c r="P46" t="inlineStr">
        <is>
          <t>no</t>
        </is>
      </c>
      <c r="R46" t="inlineStr">
        <is>
          <t>f100</t>
        </is>
      </c>
    </row>
    <row r="47" ht="144" customHeight="1">
      <c r="A47" t="inlineStr">
        <is>
          <t>P-210</t>
        </is>
      </c>
      <c r="C47" t="inlineStr">
        <is>
          <t>10_Übergreifende Aufgaben</t>
        </is>
      </c>
      <c r="D47" t="inlineStr">
        <is>
          <t>Testmanagement</t>
        </is>
      </c>
      <c r="E47" s="91" t="inlineStr">
        <is>
          <t>Prüfung der Einhaltung der Teststrategie, Anleitung des Testteams, ggf. Anpassung Testkonzept</t>
        </is>
      </c>
      <c r="I47" t="n">
        <v>0</v>
      </c>
      <c r="K47" t="inlineStr">
        <is>
          <t>if([testcon]&gt;1,[#sprints]*0.125,0)</t>
        </is>
      </c>
      <c r="P47" t="inlineStr">
        <is>
          <t>no</t>
        </is>
      </c>
      <c r="T47" t="inlineStr">
        <is>
          <t>f100</t>
        </is>
      </c>
    </row>
    <row r="48" ht="240" customHeight="1">
      <c r="A48" t="inlineStr">
        <is>
          <t>P-220</t>
        </is>
      </c>
      <c r="C48" t="inlineStr">
        <is>
          <t>10_Übergreifende Aufgaben</t>
        </is>
      </c>
      <c r="D48" t="inlineStr">
        <is>
          <t>Achitekturmanagement</t>
        </is>
      </c>
      <c r="E48" s="91" t="inlineStr">
        <is>
          <t>Überwachung der strukturellen Qualität der Anwendung und Einhaltung der Architektur-Vorgaben, ggf Anpassung und Erweiterung der Architektur</t>
        </is>
      </c>
      <c r="I48" t="n">
        <v>0</v>
      </c>
      <c r="K48" t="inlineStr">
        <is>
          <t>if([archcon]&gt;1,[#sprints]*25%,0)</t>
        </is>
      </c>
      <c r="P48" t="inlineStr">
        <is>
          <t>no</t>
        </is>
      </c>
      <c r="S48" t="inlineStr">
        <is>
          <t>f100</t>
        </is>
      </c>
    </row>
    <row r="49" ht="176" customHeight="1">
      <c r="A49" t="inlineStr">
        <is>
          <t>P-230</t>
        </is>
      </c>
      <c r="C49" t="inlineStr">
        <is>
          <t>10_Übergreifende Aufgaben</t>
        </is>
      </c>
      <c r="D49" t="inlineStr">
        <is>
          <t>Smartshore Management</t>
        </is>
      </c>
      <c r="E49" s="91" t="inlineStr">
        <is>
          <t xml:space="preserve">Nur erforderlich wenn Smartshore eingesetzt wird - zusätzlicher Koordinations- und Kommunikationsaufwand </t>
        </is>
      </c>
      <c r="I49" t="n">
        <v>0</v>
      </c>
      <c r="P49" t="inlineStr">
        <is>
          <t>no</t>
        </is>
      </c>
      <c r="R49" t="inlineStr">
        <is>
          <t>f100</t>
        </is>
      </c>
    </row>
    <row r="50" ht="192" customHeight="1">
      <c r="A50" t="inlineStr">
        <is>
          <t>P-240</t>
        </is>
      </c>
      <c r="C50" t="inlineStr">
        <is>
          <t>10_Übergreifende Aufgaben</t>
        </is>
      </c>
      <c r="D50" t="inlineStr">
        <is>
          <t>Durchführung Meetings inkl. Scrum-Meetings</t>
        </is>
      </c>
      <c r="E50" s="91" t="inlineStr">
        <is>
          <t xml:space="preserve">Daily, Sprint Planning, Retrospektive, Backlog Refinement, Sprint Review (auf Basis voraussichtliche Anzahl Teammitglieder, Projektdauer) </t>
        </is>
      </c>
      <c r="I50" t="n">
        <v>0</v>
      </c>
      <c r="K50" t="inlineStr">
        <is>
          <t>[#projectlength]*[#teamsize]*0.15625+[#sprints]*[#teamsize]*0.5+[#sprints]*50%</t>
        </is>
      </c>
      <c r="P50" t="inlineStr">
        <is>
          <t>no</t>
        </is>
      </c>
      <c r="Q50" t="inlineStr">
        <is>
          <t>f100</t>
        </is>
      </c>
    </row>
    <row r="51" ht="409.6" customHeight="1">
      <c r="A51" t="inlineStr">
        <is>
          <t>P-250</t>
        </is>
      </c>
      <c r="C51" t="inlineStr">
        <is>
          <t>10_Übergreifende Aufgaben</t>
        </is>
      </c>
      <c r="D51" t="inlineStr">
        <is>
          <t>Berücksichtigung Sicherheitsanforderungen</t>
        </is>
      </c>
      <c r="E51" s="91" t="inlineStr">
        <is>
          <t>Sicherheitsanforderungen nehmen Einfluss auf die Aufwände zur Anwendungsentwicklung. Nachdem der Fragebogen  (https://forms.office.com/e/dGK99KPKcr) ausgefüllt wurde, können Architekten, Lead Developer (idealerweise Security Champions) und Angebotsmanager auf Basis der Antworten geeignete Aufgabenpakete einplanen bzw. diese bei der Aufwandsabschätzung berücksichtigen. 
Kontakt: software-security-group@adesso-mobile.de</t>
        </is>
      </c>
      <c r="I51" t="n">
        <v>0</v>
      </c>
      <c r="P51" t="inlineStr">
        <is>
          <t>no</t>
        </is>
      </c>
      <c r="W51" t="inlineStr">
        <is>
          <t>f100</t>
        </is>
      </c>
    </row>
    <row r="52" ht="272" customHeight="1">
      <c r="A52" t="inlineStr">
        <is>
          <t>P-260</t>
        </is>
      </c>
      <c r="C52" t="inlineStr">
        <is>
          <t>10_Übergreifende Aufgaben</t>
        </is>
      </c>
      <c r="D52" t="inlineStr">
        <is>
          <t>Durchführung BITV QuickCheck</t>
        </is>
      </c>
      <c r="E52" s="91" t="inlineStr">
        <is>
          <t>Bewertung des Barrierefreiheitsgrades der in Entwicklung befindlichen Anwendung und Ermittlung notwendiger Optimierungsmaßnahmen
Ansprechpartner: barrierefreiheit@adesso.de</t>
        </is>
      </c>
      <c r="I52" t="n">
        <v>0</v>
      </c>
      <c r="P52" t="inlineStr">
        <is>
          <t>no</t>
        </is>
      </c>
      <c r="S52" t="inlineStr">
        <is>
          <t>f25</t>
        </is>
      </c>
      <c r="T52" t="inlineStr">
        <is>
          <t>f20</t>
        </is>
      </c>
      <c r="W52" t="inlineStr">
        <is>
          <t>f15</t>
        </is>
      </c>
      <c r="AB52" t="inlineStr">
        <is>
          <t>f20</t>
        </is>
      </c>
      <c r="AC52" t="inlineStr">
        <is>
          <t>f20</t>
        </is>
      </c>
    </row>
    <row r="53">
      <c r="A53" t="inlineStr">
        <is>
          <t>P-270</t>
        </is>
      </c>
      <c r="C53" t="inlineStr">
        <is>
          <t>90_Reisezeiten</t>
        </is>
      </c>
      <c r="D53" t="inlineStr">
        <is>
          <t>Reisezeiten</t>
        </is>
      </c>
      <c r="E53" s="91" t="n"/>
      <c r="F53" t="inlineStr">
        <is>
          <t>TT</t>
        </is>
      </c>
      <c r="I53" t="n">
        <v>0</v>
      </c>
      <c r="J53" t="inlineStr">
        <is>
          <t>[traveltime]</t>
        </is>
      </c>
      <c r="K53" t="inlineStr">
        <is>
          <t>10%*[#total1]</t>
        </is>
      </c>
      <c r="P53" t="inlineStr">
        <is>
          <t>no</t>
        </is>
      </c>
      <c r="Q53" t="inlineStr">
        <is>
          <t>f100</t>
        </is>
      </c>
    </row>
    <row r="54" ht="144" customHeight="1">
      <c r="A54" t="inlineStr">
        <is>
          <t>P-280</t>
        </is>
      </c>
      <c r="C54" t="inlineStr">
        <is>
          <t>91_Gewährleistung</t>
        </is>
      </c>
      <c r="D54" t="inlineStr">
        <is>
          <t>Gewährleistung</t>
        </is>
      </c>
      <c r="E54" s="91" t="inlineStr">
        <is>
          <t>Erforderlich bei Projekten die als Gewerk angeboten werden, 2 - 4 % des Gesamtaufwands</t>
        </is>
      </c>
      <c r="F54" t="inlineStr">
        <is>
          <t>WA</t>
        </is>
      </c>
      <c r="I54" t="n">
        <v>0</v>
      </c>
      <c r="J54" t="inlineStr">
        <is>
          <t>[warranty]</t>
        </is>
      </c>
      <c r="K54" t="inlineStr">
        <is>
          <t>3%*[#total1]</t>
        </is>
      </c>
      <c r="P54" t="inlineStr">
        <is>
          <t>no</t>
        </is>
      </c>
      <c r="Q54" t="inlineStr">
        <is>
          <t>f100</t>
        </is>
      </c>
    </row>
    <row r="55">
      <c r="A55" t="inlineStr">
        <is>
          <t>P-290</t>
        </is>
      </c>
      <c r="C55" t="inlineStr">
        <is>
          <t>92_Risken</t>
        </is>
      </c>
      <c r="D55" t="inlineStr">
        <is>
          <t>Risiken</t>
        </is>
      </c>
      <c r="E55" s="91" t="n"/>
      <c r="F55" t="inlineStr">
        <is>
          <t>RIS</t>
        </is>
      </c>
      <c r="I55" t="n">
        <v>0</v>
      </c>
      <c r="P55" t="inlineStr">
        <is>
          <t>no</t>
        </is>
      </c>
      <c r="Q55" t="inlineStr">
        <is>
          <t>f100</t>
        </is>
      </c>
    </row>
    <row r="57">
      <c r="A57" t="inlineStr">
        <is>
          <t>Seniority Level</t>
        </is>
      </c>
    </row>
    <row r="58">
      <c r="A58" s="290" t="inlineStr">
        <is>
          <t>any</t>
        </is>
      </c>
    </row>
    <row r="59">
      <c r="A59" s="290" t="inlineStr">
        <is>
          <t>very low</t>
        </is>
      </c>
    </row>
    <row r="60">
      <c r="A60" s="290" t="inlineStr">
        <is>
          <t>low</t>
        </is>
      </c>
    </row>
    <row r="61">
      <c r="A61" s="290" t="inlineStr">
        <is>
          <t>middle</t>
        </is>
      </c>
    </row>
    <row r="62">
      <c r="A62" s="290" t="inlineStr">
        <is>
          <t>high</t>
        </is>
      </c>
    </row>
    <row r="63">
      <c r="A63" s="290" t="inlineStr">
        <is>
          <t>very high</t>
        </is>
      </c>
    </row>
    <row r="65">
      <c r="A65" t="inlineStr">
        <is>
          <t>Location</t>
        </is>
      </c>
    </row>
    <row r="66">
      <c r="A66" s="290" t="inlineStr">
        <is>
          <t>any</t>
        </is>
      </c>
    </row>
    <row r="67">
      <c r="A67" s="290" t="inlineStr">
        <is>
          <t>Onsite</t>
        </is>
      </c>
    </row>
    <row r="68">
      <c r="A68" s="290" t="inlineStr">
        <is>
          <t>Offsite</t>
        </is>
      </c>
    </row>
    <row r="69">
      <c r="A69" s="290" t="inlineStr">
        <is>
          <t>On-/Offsite</t>
        </is>
      </c>
    </row>
    <row r="70">
      <c r="A70" s="290" t="inlineStr">
        <is>
          <t>Nearshore</t>
        </is>
      </c>
    </row>
    <row r="71">
      <c r="A71" s="290" t="inlineStr">
        <is>
          <t>Offshore</t>
        </is>
      </c>
    </row>
    <row r="73">
      <c r="A73" t="inlineStr">
        <is>
          <t>Company</t>
        </is>
      </c>
      <c r="B73" s="81" t="inlineStr">
        <is>
          <t>Accounting-related company</t>
        </is>
      </c>
    </row>
    <row r="74">
      <c r="A74" s="290" t="inlineStr">
        <is>
          <t>any</t>
        </is>
      </c>
      <c r="B74" s="292" t="inlineStr">
        <is>
          <t>no</t>
        </is>
      </c>
    </row>
    <row r="75">
      <c r="A75" s="290" t="inlineStr">
        <is>
          <t>adesso SE</t>
        </is>
      </c>
      <c r="B75" s="292" t="inlineStr">
        <is>
          <t>yes</t>
        </is>
      </c>
    </row>
    <row r="76">
      <c r="A76" s="290" t="inlineStr">
        <is>
          <t>adesso as a service</t>
        </is>
      </c>
      <c r="B76" s="292" t="inlineStr">
        <is>
          <t>no</t>
        </is>
      </c>
    </row>
    <row r="77">
      <c r="A77" s="290" t="inlineStr">
        <is>
          <t>adesso Austria</t>
        </is>
      </c>
      <c r="B77" s="292" t="inlineStr">
        <is>
          <t>no</t>
        </is>
      </c>
    </row>
    <row r="78">
      <c r="A78" s="290" t="inlineStr">
        <is>
          <t>adesso benefit solutions</t>
        </is>
      </c>
      <c r="B78" s="292" t="inlineStr">
        <is>
          <t>no</t>
        </is>
      </c>
    </row>
    <row r="79">
      <c r="A79" s="290" t="inlineStr">
        <is>
          <t>adesso Bulgaria</t>
        </is>
      </c>
      <c r="B79" s="292" t="inlineStr">
        <is>
          <t>no</t>
        </is>
      </c>
    </row>
    <row r="80">
      <c r="A80" s="290" t="inlineStr">
        <is>
          <t>adesso Finland</t>
        </is>
      </c>
      <c r="B80" s="292" t="inlineStr">
        <is>
          <t>no</t>
        </is>
      </c>
    </row>
    <row r="81">
      <c r="A81" s="290" t="inlineStr">
        <is>
          <t>adesso health solutions</t>
        </is>
      </c>
      <c r="B81" s="292" t="inlineStr">
        <is>
          <t>no</t>
        </is>
      </c>
    </row>
    <row r="82">
      <c r="A82" s="290" t="inlineStr">
        <is>
          <t>adesso Hungary</t>
        </is>
      </c>
      <c r="B82" s="292" t="inlineStr">
        <is>
          <t>no</t>
        </is>
      </c>
    </row>
    <row r="83">
      <c r="A83" s="290" t="inlineStr">
        <is>
          <t>adesso India</t>
        </is>
      </c>
      <c r="B83" s="292" t="inlineStr">
        <is>
          <t>no</t>
        </is>
      </c>
    </row>
    <row r="84">
      <c r="A84" s="290" t="inlineStr">
        <is>
          <t>adesso insurance solutions</t>
        </is>
      </c>
      <c r="B84" s="292" t="inlineStr">
        <is>
          <t>yes</t>
        </is>
      </c>
    </row>
    <row r="85">
      <c r="A85" s="290" t="inlineStr">
        <is>
          <t>adesso Italy</t>
        </is>
      </c>
      <c r="B85" s="292" t="inlineStr">
        <is>
          <t>no</t>
        </is>
      </c>
    </row>
    <row r="86">
      <c r="A86" s="290" t="inlineStr">
        <is>
          <t>adesso Lakes</t>
        </is>
      </c>
      <c r="B86" s="292" t="inlineStr">
        <is>
          <t>no</t>
        </is>
      </c>
    </row>
    <row r="87">
      <c r="A87" s="290" t="inlineStr">
        <is>
          <t>adesso mobile solutions</t>
        </is>
      </c>
      <c r="B87" s="292" t="inlineStr">
        <is>
          <t>yes</t>
        </is>
      </c>
    </row>
    <row r="88">
      <c r="A88" s="290" t="inlineStr">
        <is>
          <t>adesso Netherlands</t>
        </is>
      </c>
      <c r="B88" s="292" t="inlineStr">
        <is>
          <t>no</t>
        </is>
      </c>
    </row>
    <row r="89">
      <c r="A89" s="290" t="inlineStr">
        <is>
          <t>adesso orange</t>
        </is>
      </c>
      <c r="B89" s="292" t="inlineStr">
        <is>
          <t>yes</t>
        </is>
      </c>
    </row>
    <row r="90">
      <c r="A90" s="290" t="inlineStr">
        <is>
          <t>adesso partner trust</t>
        </is>
      </c>
      <c r="B90" s="292" t="inlineStr">
        <is>
          <t>no</t>
        </is>
      </c>
    </row>
    <row r="91">
      <c r="A91" s="290" t="inlineStr">
        <is>
          <t>adesso Romania</t>
        </is>
      </c>
      <c r="B91" s="292" t="inlineStr">
        <is>
          <t>no</t>
        </is>
      </c>
    </row>
    <row r="92">
      <c r="A92" s="290" t="inlineStr">
        <is>
          <t>adesso Spain</t>
        </is>
      </c>
      <c r="B92" s="292" t="inlineStr">
        <is>
          <t>no</t>
        </is>
      </c>
    </row>
    <row r="93">
      <c r="A93" s="290" t="inlineStr">
        <is>
          <t>adesso Sweden</t>
        </is>
      </c>
      <c r="B93" s="292" t="inlineStr">
        <is>
          <t>no</t>
        </is>
      </c>
    </row>
    <row r="94">
      <c r="A94" s="290" t="inlineStr">
        <is>
          <t>adesso Switzerland</t>
        </is>
      </c>
      <c r="B94" s="292" t="inlineStr">
        <is>
          <t>no</t>
        </is>
      </c>
    </row>
    <row r="95">
      <c r="A95" s="290" t="inlineStr">
        <is>
          <t>adesso Turkey</t>
        </is>
      </c>
      <c r="B95" s="292" t="inlineStr">
        <is>
          <t>no</t>
        </is>
      </c>
    </row>
    <row r="96">
      <c r="A96" s="290" t="inlineStr">
        <is>
          <t>Afida</t>
        </is>
      </c>
      <c r="B96" s="292" t="inlineStr">
        <is>
          <t>no</t>
        </is>
      </c>
    </row>
    <row r="97">
      <c r="A97" s="290" t="inlineStr">
        <is>
          <t>alleato adessekuranzmakler</t>
        </is>
      </c>
      <c r="B97" s="292" t="inlineStr">
        <is>
          <t>no</t>
        </is>
      </c>
    </row>
    <row r="98">
      <c r="A98" s="290" t="inlineStr">
        <is>
          <t>amis</t>
        </is>
      </c>
      <c r="B98" s="292" t="inlineStr">
        <is>
          <t>no</t>
        </is>
      </c>
    </row>
    <row r="99">
      <c r="A99" s="290" t="inlineStr">
        <is>
          <t>KIWI Consulting</t>
        </is>
      </c>
      <c r="B99" s="292" t="inlineStr">
        <is>
          <t>no</t>
        </is>
      </c>
    </row>
    <row r="100">
      <c r="A100" s="290" t="inlineStr">
        <is>
          <t>material.one</t>
        </is>
      </c>
      <c r="B100" s="292" t="inlineStr">
        <is>
          <t>no</t>
        </is>
      </c>
    </row>
    <row r="101">
      <c r="A101" s="290" t="inlineStr">
        <is>
          <t>medgineering</t>
        </is>
      </c>
      <c r="B101" s="292" t="inlineStr">
        <is>
          <t>no</t>
        </is>
      </c>
    </row>
    <row r="102">
      <c r="A102" s="290" t="inlineStr">
        <is>
          <t>percision</t>
        </is>
      </c>
      <c r="B102" s="292" t="inlineStr">
        <is>
          <t>no</t>
        </is>
      </c>
    </row>
    <row r="103">
      <c r="A103" s="290" t="inlineStr">
        <is>
          <t>Reachbird</t>
        </is>
      </c>
      <c r="B103" s="292" t="inlineStr">
        <is>
          <t>no</t>
        </is>
      </c>
    </row>
    <row r="104">
      <c r="A104" s="290" t="inlineStr">
        <is>
          <t>urban engergy</t>
        </is>
      </c>
      <c r="B104" s="292" t="inlineStr">
        <is>
          <t>no</t>
        </is>
      </c>
    </row>
    <row r="105">
      <c r="A105" s="290" t="inlineStr">
        <is>
          <t>WEPEX</t>
        </is>
      </c>
      <c r="B105" s="292" t="inlineStr">
        <is>
          <t>no</t>
        </is>
      </c>
    </row>
    <row r="107">
      <c r="A107" t="inlineStr">
        <is>
          <t>Country</t>
        </is>
      </c>
      <c r="B107" s="198" t="inlineStr">
        <is>
          <t>Inflation rate</t>
        </is>
      </c>
    </row>
    <row r="108">
      <c r="A108" s="290" t="inlineStr">
        <is>
          <t>any</t>
        </is>
      </c>
      <c r="B108" s="395" t="n">
        <v>0.02</v>
      </c>
    </row>
    <row r="109">
      <c r="A109" s="290" t="inlineStr">
        <is>
          <t>Germany</t>
        </is>
      </c>
      <c r="B109" s="395" t="n">
        <v>0.02</v>
      </c>
    </row>
    <row r="110">
      <c r="A110" s="290" t="inlineStr">
        <is>
          <t>Austria</t>
        </is>
      </c>
      <c r="B110" s="395" t="n">
        <v>0.035</v>
      </c>
    </row>
    <row r="111">
      <c r="A111" s="290" t="inlineStr">
        <is>
          <t>Bulgaria</t>
        </is>
      </c>
      <c r="B111" s="395" t="n">
        <v>0.03</v>
      </c>
    </row>
    <row r="112">
      <c r="A112" s="290" t="inlineStr">
        <is>
          <t>Finland</t>
        </is>
      </c>
      <c r="B112" s="395" t="n">
        <v>0.015</v>
      </c>
    </row>
    <row r="113">
      <c r="A113" s="290" t="inlineStr">
        <is>
          <t>Hungary</t>
        </is>
      </c>
      <c r="B113" s="395" t="n">
        <v>0.035</v>
      </c>
    </row>
    <row r="114">
      <c r="A114" s="290" t="inlineStr">
        <is>
          <t>India</t>
        </is>
      </c>
      <c r="B114" s="395" t="n">
        <v>0.055</v>
      </c>
    </row>
    <row r="115">
      <c r="A115" s="290" t="inlineStr">
        <is>
          <t>Italy</t>
        </is>
      </c>
      <c r="B115" s="395" t="n">
        <v>0.015</v>
      </c>
    </row>
    <row r="116">
      <c r="A116" s="290" t="inlineStr">
        <is>
          <t>Netherlands</t>
        </is>
      </c>
      <c r="B116" s="395" t="n">
        <v>0.025</v>
      </c>
    </row>
    <row r="117">
      <c r="A117" s="290" t="inlineStr">
        <is>
          <t>Romania</t>
        </is>
      </c>
      <c r="B117" s="395" t="n">
        <v>0.06</v>
      </c>
    </row>
    <row r="118">
      <c r="A118" s="290" t="inlineStr">
        <is>
          <t>Spain</t>
        </is>
      </c>
      <c r="B118" s="395" t="n">
        <v>0.025</v>
      </c>
    </row>
    <row r="119">
      <c r="A119" s="290" t="inlineStr">
        <is>
          <t>Sweden</t>
        </is>
      </c>
      <c r="B119" s="395" t="n">
        <v>0.025</v>
      </c>
    </row>
    <row r="120">
      <c r="A120" s="290" t="inlineStr">
        <is>
          <t>Switzerland</t>
        </is>
      </c>
      <c r="B120" s="395" t="n">
        <v>0.02</v>
      </c>
    </row>
    <row r="121">
      <c r="A121" s="290" t="inlineStr">
        <is>
          <t>Turkey</t>
        </is>
      </c>
      <c r="B121" s="395" t="n">
        <v>0.5</v>
      </c>
    </row>
    <row r="123">
      <c r="A123" t="inlineStr">
        <is>
          <t>Project role</t>
        </is>
      </c>
      <c r="B123" t="inlineStr">
        <is>
          <t>Sub role</t>
        </is>
      </c>
      <c r="C123" t="inlineStr">
        <is>
          <t>Percentage</t>
        </is>
      </c>
      <c r="D123" t="inlineStr">
        <is>
          <t>Company</t>
        </is>
      </c>
      <c r="E123" t="inlineStr">
        <is>
          <t>Country</t>
        </is>
      </c>
      <c r="F123" t="inlineStr">
        <is>
          <t>Location</t>
        </is>
      </c>
      <c r="G123" t="inlineStr">
        <is>
          <t>Seniority Level</t>
        </is>
      </c>
      <c r="H123" t="inlineStr">
        <is>
          <t>Daily costs</t>
        </is>
      </c>
      <c r="I123" t="inlineStr">
        <is>
          <t>Daily rate</t>
        </is>
      </c>
      <c r="J123" t="inlineStr">
        <is>
          <t>Daily costs (travel time)</t>
        </is>
      </c>
      <c r="K123" t="inlineStr">
        <is>
          <t>Daily rate (travel time)</t>
        </is>
      </c>
    </row>
    <row r="124">
      <c r="A124" t="inlineStr">
        <is>
          <t>Any role</t>
        </is>
      </c>
      <c r="B124" t="inlineStr">
        <is>
          <t>Any role</t>
        </is>
      </c>
      <c r="C124" t="n">
        <v>1</v>
      </c>
      <c r="D124" t="inlineStr">
        <is>
          <t>adesso mobile solutions</t>
        </is>
      </c>
      <c r="E124" t="inlineStr">
        <is>
          <t>Germany</t>
        </is>
      </c>
      <c r="F124" t="inlineStr">
        <is>
          <t>any</t>
        </is>
      </c>
      <c r="G124" t="inlineStr">
        <is>
          <t>any</t>
        </is>
      </c>
      <c r="H124" t="n">
        <v>600</v>
      </c>
      <c r="I124" t="n">
        <v>1000</v>
      </c>
      <c r="J124" t="n">
        <v>600</v>
      </c>
      <c r="K124" t="n">
        <v>500</v>
      </c>
    </row>
    <row r="125">
      <c r="A125" t="inlineStr">
        <is>
          <t>Project manager</t>
        </is>
      </c>
      <c r="B125" t="inlineStr">
        <is>
          <t>Project manager</t>
        </is>
      </c>
      <c r="C125" t="n">
        <v>1</v>
      </c>
      <c r="D125" t="inlineStr">
        <is>
          <t>adesso mobile solutions</t>
        </is>
      </c>
      <c r="E125" t="inlineStr">
        <is>
          <t>Germany</t>
        </is>
      </c>
      <c r="F125" t="inlineStr">
        <is>
          <t>any</t>
        </is>
      </c>
      <c r="G125" t="inlineStr">
        <is>
          <t>very high</t>
        </is>
      </c>
      <c r="H125" t="n">
        <v>600</v>
      </c>
      <c r="I125" t="n">
        <v>1000</v>
      </c>
      <c r="J125" t="n">
        <v>600</v>
      </c>
      <c r="K125" t="n">
        <v>500</v>
      </c>
    </row>
    <row r="126">
      <c r="A126" t="inlineStr">
        <is>
          <t>Software architect</t>
        </is>
      </c>
      <c r="B126" t="inlineStr">
        <is>
          <t>Software Architect</t>
        </is>
      </c>
      <c r="C126" t="n">
        <v>1</v>
      </c>
      <c r="D126" t="inlineStr">
        <is>
          <t>adesso mobile solutions</t>
        </is>
      </c>
      <c r="E126" t="inlineStr">
        <is>
          <t>Germany</t>
        </is>
      </c>
      <c r="F126" t="inlineStr">
        <is>
          <t>any</t>
        </is>
      </c>
      <c r="G126" t="inlineStr">
        <is>
          <t>high</t>
        </is>
      </c>
      <c r="H126" t="n">
        <v>600</v>
      </c>
      <c r="I126" t="n">
        <v>1000</v>
      </c>
      <c r="J126" t="n">
        <v>600</v>
      </c>
      <c r="K126" t="n">
        <v>500</v>
      </c>
    </row>
    <row r="127">
      <c r="A127" t="inlineStr">
        <is>
          <t>Test manager</t>
        </is>
      </c>
      <c r="B127" t="inlineStr">
        <is>
          <t>Test manager</t>
        </is>
      </c>
      <c r="C127" t="n">
        <v>1</v>
      </c>
      <c r="D127" t="inlineStr">
        <is>
          <t>adesso mobile solutions</t>
        </is>
      </c>
      <c r="E127" t="inlineStr">
        <is>
          <t>Germany</t>
        </is>
      </c>
      <c r="F127" t="inlineStr">
        <is>
          <t>any</t>
        </is>
      </c>
      <c r="G127" t="inlineStr">
        <is>
          <t>high</t>
        </is>
      </c>
      <c r="H127" t="n">
        <v>600</v>
      </c>
      <c r="I127" t="n">
        <v>1000</v>
      </c>
      <c r="J127" t="n">
        <v>600</v>
      </c>
      <c r="K127" t="n">
        <v>500</v>
      </c>
    </row>
    <row r="128">
      <c r="A128" t="inlineStr">
        <is>
          <t>(Proxy) Product owner</t>
        </is>
      </c>
      <c r="B128" t="inlineStr">
        <is>
          <t>(Proxy) Product owner</t>
        </is>
      </c>
      <c r="C128" t="n">
        <v>1</v>
      </c>
      <c r="D128" t="inlineStr">
        <is>
          <t>adesso mobile solutions</t>
        </is>
      </c>
      <c r="E128" t="inlineStr">
        <is>
          <t>Germany</t>
        </is>
      </c>
      <c r="F128" t="inlineStr">
        <is>
          <t>any</t>
        </is>
      </c>
      <c r="G128" t="inlineStr">
        <is>
          <t>high</t>
        </is>
      </c>
      <c r="H128" t="n">
        <v>600</v>
      </c>
      <c r="I128" t="n">
        <v>1000</v>
      </c>
      <c r="J128" t="n">
        <v>600</v>
      </c>
      <c r="K128" t="n">
        <v>500</v>
      </c>
    </row>
    <row r="129">
      <c r="A129" t="inlineStr">
        <is>
          <t>Requirement Engineer</t>
        </is>
      </c>
      <c r="B129" t="inlineStr">
        <is>
          <t>Requirement Engineer</t>
        </is>
      </c>
      <c r="C129" t="n">
        <v>1</v>
      </c>
      <c r="D129" t="inlineStr">
        <is>
          <t>adesso mobile solutions</t>
        </is>
      </c>
      <c r="E129" t="inlineStr">
        <is>
          <t>Germany</t>
        </is>
      </c>
      <c r="F129" t="inlineStr">
        <is>
          <t>any</t>
        </is>
      </c>
      <c r="G129" t="inlineStr">
        <is>
          <t>middle</t>
        </is>
      </c>
      <c r="H129" t="n">
        <v>600</v>
      </c>
      <c r="I129" t="n">
        <v>1000</v>
      </c>
      <c r="J129" t="n">
        <v>600</v>
      </c>
      <c r="K129" t="n">
        <v>500</v>
      </c>
    </row>
    <row r="130">
      <c r="A130" t="inlineStr">
        <is>
          <t>UX Designer</t>
        </is>
      </c>
      <c r="B130" t="inlineStr">
        <is>
          <t>UX Designer</t>
        </is>
      </c>
      <c r="C130" t="n">
        <v>1</v>
      </c>
      <c r="D130" t="inlineStr">
        <is>
          <t>adesso mobile solutions</t>
        </is>
      </c>
      <c r="E130" t="inlineStr">
        <is>
          <t>Germany</t>
        </is>
      </c>
      <c r="F130" t="inlineStr">
        <is>
          <t>any</t>
        </is>
      </c>
      <c r="G130" t="inlineStr">
        <is>
          <t>middle</t>
        </is>
      </c>
      <c r="H130" t="n">
        <v>600</v>
      </c>
      <c r="I130" t="n">
        <v>1000</v>
      </c>
      <c r="J130" t="n">
        <v>600</v>
      </c>
      <c r="K130" t="n">
        <v>500</v>
      </c>
    </row>
    <row r="131">
      <c r="A131" t="inlineStr">
        <is>
          <t>UX Designer</t>
        </is>
      </c>
      <c r="B131" t="inlineStr">
        <is>
          <t>UX Designer (Smartshore)</t>
        </is>
      </c>
      <c r="C131" t="n">
        <v>0</v>
      </c>
      <c r="D131" t="inlineStr">
        <is>
          <t>any</t>
        </is>
      </c>
      <c r="E131" t="inlineStr">
        <is>
          <t>any</t>
        </is>
      </c>
      <c r="F131" t="inlineStr">
        <is>
          <t>any</t>
        </is>
      </c>
      <c r="G131" t="inlineStr">
        <is>
          <t>high</t>
        </is>
      </c>
      <c r="H131" t="n">
        <v>250</v>
      </c>
      <c r="I131" t="n">
        <v>300</v>
      </c>
      <c r="J131" t="n">
        <v>250</v>
      </c>
      <c r="K131" t="n">
        <v>150</v>
      </c>
    </row>
    <row r="132">
      <c r="A132" t="inlineStr">
        <is>
          <t>UI Designer</t>
        </is>
      </c>
      <c r="B132" t="inlineStr">
        <is>
          <t>UI Designer</t>
        </is>
      </c>
      <c r="C132" t="n">
        <v>1</v>
      </c>
      <c r="D132" t="inlineStr">
        <is>
          <t>adesso mobile solutions</t>
        </is>
      </c>
      <c r="E132" t="inlineStr">
        <is>
          <t>Germany</t>
        </is>
      </c>
      <c r="F132" t="inlineStr">
        <is>
          <t>any</t>
        </is>
      </c>
      <c r="G132" t="inlineStr">
        <is>
          <t>middle</t>
        </is>
      </c>
      <c r="H132" t="n">
        <v>600</v>
      </c>
      <c r="I132" t="n">
        <v>1000</v>
      </c>
      <c r="J132" t="n">
        <v>600</v>
      </c>
      <c r="K132" t="n">
        <v>500</v>
      </c>
    </row>
    <row r="133">
      <c r="A133" t="inlineStr">
        <is>
          <t>UI Designer</t>
        </is>
      </c>
      <c r="B133" t="inlineStr">
        <is>
          <t>UI Designer (Smartshore)</t>
        </is>
      </c>
      <c r="C133" t="n">
        <v>0</v>
      </c>
      <c r="D133" t="inlineStr">
        <is>
          <t>any</t>
        </is>
      </c>
      <c r="E133" t="inlineStr">
        <is>
          <t>any</t>
        </is>
      </c>
      <c r="F133" t="inlineStr">
        <is>
          <t>any</t>
        </is>
      </c>
      <c r="G133" t="inlineStr">
        <is>
          <t>any</t>
        </is>
      </c>
      <c r="H133" t="n">
        <v>250</v>
      </c>
      <c r="I133" t="n">
        <v>300</v>
      </c>
      <c r="J133" t="n">
        <v>250</v>
      </c>
      <c r="K133" t="n">
        <v>150</v>
      </c>
    </row>
    <row r="134">
      <c r="A134" t="inlineStr">
        <is>
          <t>Technical consultant</t>
        </is>
      </c>
      <c r="B134" t="inlineStr">
        <is>
          <t>Technical consultant</t>
        </is>
      </c>
      <c r="C134" t="n">
        <v>1</v>
      </c>
      <c r="D134" t="inlineStr">
        <is>
          <t>adesso mobile solutions</t>
        </is>
      </c>
      <c r="E134" t="inlineStr">
        <is>
          <t>Germany</t>
        </is>
      </c>
      <c r="F134" t="inlineStr">
        <is>
          <t>any</t>
        </is>
      </c>
      <c r="G134" t="inlineStr">
        <is>
          <t>middle</t>
        </is>
      </c>
      <c r="H134" t="n">
        <v>600</v>
      </c>
      <c r="I134" t="n">
        <v>1000</v>
      </c>
      <c r="J134" t="n">
        <v>600</v>
      </c>
      <c r="K134" t="n">
        <v>500</v>
      </c>
    </row>
    <row r="135">
      <c r="A135" t="inlineStr">
        <is>
          <t>Test Engineer</t>
        </is>
      </c>
      <c r="B135" t="inlineStr">
        <is>
          <t>Test engineer</t>
        </is>
      </c>
      <c r="C135" t="n">
        <v>1</v>
      </c>
      <c r="D135" t="inlineStr">
        <is>
          <t>adesso mobile solutions</t>
        </is>
      </c>
      <c r="E135" t="inlineStr">
        <is>
          <t>Germany</t>
        </is>
      </c>
      <c r="F135" t="inlineStr">
        <is>
          <t>any</t>
        </is>
      </c>
      <c r="G135" t="inlineStr">
        <is>
          <t>middle</t>
        </is>
      </c>
      <c r="H135" t="n">
        <v>600</v>
      </c>
      <c r="I135" t="n">
        <v>1000</v>
      </c>
      <c r="J135" t="n">
        <v>600</v>
      </c>
      <c r="K135" t="n">
        <v>500</v>
      </c>
    </row>
    <row r="136">
      <c r="A136" t="inlineStr">
        <is>
          <t>Test Engineer</t>
        </is>
      </c>
      <c r="B136" t="inlineStr">
        <is>
          <t>Test Engineer (Smartshore)</t>
        </is>
      </c>
      <c r="C136" t="n">
        <v>0</v>
      </c>
      <c r="D136" t="inlineStr">
        <is>
          <t>any</t>
        </is>
      </c>
      <c r="E136" t="inlineStr">
        <is>
          <t>any</t>
        </is>
      </c>
      <c r="F136" t="inlineStr">
        <is>
          <t>any</t>
        </is>
      </c>
      <c r="G136" t="inlineStr">
        <is>
          <t>any</t>
        </is>
      </c>
      <c r="H136" t="n">
        <v>250</v>
      </c>
      <c r="I136" t="n">
        <v>300</v>
      </c>
      <c r="J136" t="n">
        <v>250</v>
      </c>
      <c r="K136" t="n">
        <v>150</v>
      </c>
    </row>
    <row r="137">
      <c r="A137" t="inlineStr">
        <is>
          <t>Tester</t>
        </is>
      </c>
      <c r="B137" t="inlineStr">
        <is>
          <t>Tester</t>
        </is>
      </c>
      <c r="C137" t="n">
        <v>1</v>
      </c>
      <c r="D137" t="inlineStr">
        <is>
          <t>adesso mobile solutions</t>
        </is>
      </c>
      <c r="E137" t="inlineStr">
        <is>
          <t>Germany</t>
        </is>
      </c>
      <c r="F137" t="inlineStr">
        <is>
          <t>any</t>
        </is>
      </c>
      <c r="G137" t="inlineStr">
        <is>
          <t>middle</t>
        </is>
      </c>
      <c r="H137" t="n">
        <v>600</v>
      </c>
      <c r="I137" t="n">
        <v>1000</v>
      </c>
      <c r="J137" t="n">
        <v>600</v>
      </c>
      <c r="K137" t="n">
        <v>500</v>
      </c>
    </row>
    <row r="138">
      <c r="A138" t="inlineStr">
        <is>
          <t>Lead software developer</t>
        </is>
      </c>
      <c r="B138" t="inlineStr">
        <is>
          <t>Lead software developer</t>
        </is>
      </c>
      <c r="C138" t="n">
        <v>1</v>
      </c>
      <c r="D138" t="inlineStr">
        <is>
          <t>adesso mobile solutions</t>
        </is>
      </c>
      <c r="E138" t="inlineStr">
        <is>
          <t>Germany</t>
        </is>
      </c>
      <c r="F138" t="inlineStr">
        <is>
          <t>any</t>
        </is>
      </c>
      <c r="G138" t="inlineStr">
        <is>
          <t>high</t>
        </is>
      </c>
      <c r="H138" t="n">
        <v>600</v>
      </c>
      <c r="I138" t="n">
        <v>1000</v>
      </c>
      <c r="J138" t="n">
        <v>600</v>
      </c>
      <c r="K138" t="n">
        <v>500</v>
      </c>
    </row>
    <row r="139">
      <c r="A139" t="inlineStr">
        <is>
          <t>Developer</t>
        </is>
      </c>
      <c r="B139" t="inlineStr">
        <is>
          <t>Software Developer</t>
        </is>
      </c>
      <c r="C139" t="n">
        <v>1</v>
      </c>
      <c r="D139" t="inlineStr">
        <is>
          <t>adesso mobile solutions</t>
        </is>
      </c>
      <c r="E139" t="inlineStr">
        <is>
          <t>Germany</t>
        </is>
      </c>
      <c r="F139" t="inlineStr">
        <is>
          <t>any</t>
        </is>
      </c>
      <c r="G139" t="inlineStr">
        <is>
          <t>middle</t>
        </is>
      </c>
      <c r="H139" t="n">
        <v>600</v>
      </c>
      <c r="I139" t="n">
        <v>1000</v>
      </c>
      <c r="J139" t="n">
        <v>600</v>
      </c>
      <c r="K139" t="n">
        <v>500</v>
      </c>
    </row>
    <row r="140">
      <c r="A140" t="inlineStr">
        <is>
          <t>Developer</t>
        </is>
      </c>
      <c r="B140" t="inlineStr">
        <is>
          <t>Software Developer (Smartshore)</t>
        </is>
      </c>
      <c r="C140" t="n">
        <v>0</v>
      </c>
      <c r="D140" t="inlineStr">
        <is>
          <t>any</t>
        </is>
      </c>
      <c r="E140" t="inlineStr">
        <is>
          <t>any</t>
        </is>
      </c>
      <c r="F140" t="inlineStr">
        <is>
          <t>any</t>
        </is>
      </c>
      <c r="G140" t="inlineStr">
        <is>
          <t>any</t>
        </is>
      </c>
      <c r="H140" t="n">
        <v>250</v>
      </c>
      <c r="I140" t="n">
        <v>300</v>
      </c>
      <c r="J140" t="n">
        <v>250</v>
      </c>
      <c r="K140" t="n">
        <v>150</v>
      </c>
    </row>
    <row r="141">
      <c r="A141" t="inlineStr">
        <is>
          <t>Scrum Master</t>
        </is>
      </c>
      <c r="B141" t="inlineStr">
        <is>
          <t>Scrum Master</t>
        </is>
      </c>
      <c r="C141" t="n">
        <v>1</v>
      </c>
      <c r="D141" t="inlineStr">
        <is>
          <t>adesso mobile solutions</t>
        </is>
      </c>
      <c r="E141" t="inlineStr">
        <is>
          <t>Germany</t>
        </is>
      </c>
      <c r="F141" t="inlineStr">
        <is>
          <t>any</t>
        </is>
      </c>
      <c r="G141" t="inlineStr">
        <is>
          <t>high</t>
        </is>
      </c>
      <c r="H141" t="n">
        <v>600</v>
      </c>
      <c r="I141" t="n">
        <v>1000</v>
      </c>
      <c r="J141" t="n">
        <v>600</v>
      </c>
      <c r="K141" t="n">
        <v>500</v>
      </c>
    </row>
    <row r="143">
      <c r="A143" t="inlineStr">
        <is>
          <t>ID</t>
        </is>
      </c>
      <c r="B143" t="inlineStr">
        <is>
          <t>Range (for query)</t>
        </is>
      </c>
      <c r="C143" t="inlineStr">
        <is>
          <t>Feature group</t>
        </is>
      </c>
      <c r="D143" t="inlineStr">
        <is>
          <t>Feature sub group</t>
        </is>
      </c>
      <c r="E143" t="inlineStr">
        <is>
          <t>Feature</t>
        </is>
      </c>
      <c r="F143" t="inlineStr">
        <is>
          <t>Sub feature</t>
        </is>
      </c>
      <c r="G143" t="inlineStr">
        <is>
          <t>Description</t>
        </is>
      </c>
      <c r="H143" t="inlineStr">
        <is>
          <t>Assumptions</t>
        </is>
      </c>
      <c r="I143" t="inlineStr">
        <is>
          <t>Reference ID</t>
        </is>
      </c>
      <c r="J143" t="inlineStr">
        <is>
          <t>Feature task 1</t>
        </is>
      </c>
      <c r="K143" t="inlineStr">
        <is>
          <t>Feature task 2</t>
        </is>
      </c>
      <c r="L143" t="inlineStr">
        <is>
          <t>Feature task 3</t>
        </is>
      </c>
      <c r="M143" t="inlineStr">
        <is>
          <t>Feature task 4</t>
        </is>
      </c>
      <c r="N143" t="inlineStr">
        <is>
          <t>Feature task 5</t>
        </is>
      </c>
      <c r="O143" t="inlineStr">
        <is>
          <t>Feature task 6</t>
        </is>
      </c>
      <c r="P143" t="inlineStr">
        <is>
          <t>Feature task 7</t>
        </is>
      </c>
      <c r="Q143" t="inlineStr">
        <is>
          <t>Feature task 8</t>
        </is>
      </c>
      <c r="R143" t="inlineStr">
        <is>
          <t>Feature task 9</t>
        </is>
      </c>
      <c r="S143" t="inlineStr">
        <is>
          <t>Feature task 10</t>
        </is>
      </c>
    </row>
    <row r="146">
      <c r="A146" t="inlineStr">
        <is>
          <t>Feature task</t>
        </is>
      </c>
      <c r="B146" t="inlineStr">
        <is>
          <t>Description</t>
        </is>
      </c>
      <c r="C146" t="inlineStr">
        <is>
          <t>Average Percentage</t>
        </is>
      </c>
      <c r="D146" t="inlineStr">
        <is>
          <t>Key task</t>
        </is>
      </c>
    </row>
    <row r="147">
      <c r="A147" t="inlineStr">
        <is>
          <t>UX Design</t>
        </is>
      </c>
      <c r="B147" t="inlineStr">
        <is>
          <t>Entwicklung von Wireframes, Prototypen, Featuremap, Durchführung User Research</t>
        </is>
      </c>
      <c r="C147" t="n">
        <v>0.1</v>
      </c>
      <c r="D147" t="inlineStr">
        <is>
          <t>no</t>
        </is>
      </c>
    </row>
    <row r="148">
      <c r="A148" t="inlineStr">
        <is>
          <t>UI Design</t>
        </is>
      </c>
      <c r="B148" t="inlineStr">
        <is>
          <t>Gestaltung User Interface, Screens und Views, Entwicklung Designkonzept</t>
        </is>
      </c>
      <c r="C148" t="n">
        <v>0.1</v>
      </c>
      <c r="D148" t="inlineStr">
        <is>
          <t>no</t>
        </is>
      </c>
    </row>
    <row r="149">
      <c r="A149" t="inlineStr">
        <is>
          <t>Entwicklung</t>
        </is>
      </c>
      <c r="B149" t="inlineStr">
        <is>
          <t>Entwicklung der mobilen Anwendungen und Entwicklertests</t>
        </is>
      </c>
      <c r="C149" t="n">
        <v>0.5</v>
      </c>
      <c r="D149" t="inlineStr">
        <is>
          <t>yes</t>
        </is>
      </c>
    </row>
    <row r="150">
      <c r="A150" t="inlineStr">
        <is>
          <t>Qualitätssicherung</t>
        </is>
      </c>
      <c r="B150" t="inlineStr">
        <is>
          <t>Testfallerstellung und System-, Integrations- und User Acceptance-Test; Retests bei Defects im Entwicklungsprozess sowie Regressionstests bei mehreren Auslieferungen</t>
        </is>
      </c>
      <c r="C150" t="n">
        <v>0.25</v>
      </c>
      <c r="D150" t="inlineStr">
        <is>
          <t>no</t>
        </is>
      </c>
    </row>
    <row r="151">
      <c r="A151" t="inlineStr">
        <is>
          <t>Fehlerbearb. nach BzA</t>
        </is>
      </c>
      <c r="B151" t="inlineStr">
        <is>
          <t>Fehlerbearbeitung nach Bereitstellung zur Abnahme (BzA); Leistung beinhaltet Entwicklung und Test</t>
        </is>
      </c>
      <c r="C151" t="n">
        <v>0.05</v>
      </c>
      <c r="D151"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3.xml><?xml version="1.0" encoding="utf-8"?>
<worksheet xmlns="http://schemas.openxmlformats.org/spreadsheetml/2006/main">
  <sheetPr codeName="Tabelle19">
    <tabColor theme="5" tint="0.7999816888943144"/>
    <outlinePr summaryBelow="1" summaryRight="1"/>
    <pageSetUpPr/>
  </sheetPr>
  <dimension ref="A1:AT151"/>
  <sheetViews>
    <sheetView topLeftCell="A16" workbookViewId="0">
      <selection activeCell="K50" sqref="K50"/>
    </sheetView>
  </sheetViews>
  <sheetFormatPr baseColWidth="10" defaultColWidth="11.5" defaultRowHeight="15"/>
  <cols>
    <col width="80.33203125" bestFit="1" customWidth="1" min="11" max="11"/>
  </cols>
  <sheetData>
    <row r="1">
      <c r="A1" t="inlineStr">
        <is>
          <t>Key</t>
        </is>
      </c>
      <c r="B1" t="inlineStr">
        <is>
          <t>Value</t>
        </is>
      </c>
    </row>
    <row r="2">
      <c r="A2" t="inlineStr">
        <is>
          <t>Proposal title</t>
        </is>
      </c>
      <c r="B2" t="inlineStr">
        <is>
          <t>&lt;title of proposal&gt;</t>
        </is>
      </c>
    </row>
    <row r="3">
      <c r="A3" t="inlineStr">
        <is>
          <t>Contract type</t>
        </is>
      </c>
      <c r="B3" t="inlineStr">
        <is>
          <t>Work contract (fixed price)</t>
        </is>
      </c>
    </row>
    <row r="4">
      <c r="A4" t="inlineStr">
        <is>
          <t>Customer</t>
        </is>
      </c>
      <c r="B4" t="inlineStr">
        <is>
          <t>&lt;name of customer&gt;</t>
        </is>
      </c>
    </row>
    <row r="5">
      <c r="A5" t="inlineStr">
        <is>
          <t>Contractor</t>
        </is>
      </c>
      <c r="B5" t="inlineStr">
        <is>
          <t>adesso mobile solutions</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10_Planning</t>
        </is>
      </c>
      <c r="D27" t="inlineStr">
        <is>
          <t>Projektinitialisierung und -planung</t>
        </is>
      </c>
      <c r="I27" t="n">
        <v>0</v>
      </c>
      <c r="K27" t="inlineStr">
        <is>
          <t>min(1%*[#total1],5)</t>
        </is>
      </c>
      <c r="P27" t="inlineStr">
        <is>
          <t>no</t>
        </is>
      </c>
      <c r="R27" t="inlineStr">
        <is>
          <t>f100</t>
        </is>
      </c>
    </row>
    <row r="28">
      <c r="A28" t="inlineStr">
        <is>
          <t>P-20</t>
        </is>
      </c>
      <c r="C28" t="inlineStr">
        <is>
          <t>10_Planning</t>
        </is>
      </c>
      <c r="D28" t="inlineStr">
        <is>
          <t>Project Kick Off-Meeting</t>
        </is>
      </c>
      <c r="I28" t="n">
        <v>0</v>
      </c>
      <c r="K28" t="inlineStr">
        <is>
          <t>[#teamsize]*0.25+1</t>
        </is>
      </c>
      <c r="P28" t="inlineStr">
        <is>
          <t>no</t>
        </is>
      </c>
      <c r="Q28" t="inlineStr">
        <is>
          <t>f75</t>
        </is>
      </c>
      <c r="R28" t="inlineStr">
        <is>
          <t>f20</t>
        </is>
      </c>
      <c r="S28" t="inlineStr">
        <is>
          <t>f5</t>
        </is>
      </c>
    </row>
    <row r="29">
      <c r="A29" t="inlineStr">
        <is>
          <t>P-30</t>
        </is>
      </c>
      <c r="C29" t="inlineStr">
        <is>
          <t>10_Planning</t>
        </is>
      </c>
      <c r="D29" t="inlineStr">
        <is>
          <t>Development Test environment</t>
        </is>
      </c>
      <c r="I29" t="n">
        <v>0</v>
      </c>
      <c r="K29" t="n">
        <v>1.5</v>
      </c>
      <c r="P29" t="inlineStr">
        <is>
          <t>no</t>
        </is>
      </c>
      <c r="S29" t="inlineStr">
        <is>
          <t>f100</t>
        </is>
      </c>
    </row>
    <row r="30">
      <c r="A30" t="inlineStr">
        <is>
          <t>P-40</t>
        </is>
      </c>
      <c r="C30" t="inlineStr">
        <is>
          <t>10_Planning</t>
        </is>
      </c>
      <c r="D30" t="inlineStr">
        <is>
          <t>Initializing Scrum</t>
        </is>
      </c>
      <c r="I30" t="n">
        <v>0</v>
      </c>
      <c r="K30" t="inlineStr">
        <is>
          <t>1%*[pmeff]</t>
        </is>
      </c>
      <c r="P30" t="inlineStr">
        <is>
          <t>no</t>
        </is>
      </c>
      <c r="R30" t="inlineStr">
        <is>
          <t>f100</t>
        </is>
      </c>
    </row>
    <row r="31">
      <c r="A31" t="inlineStr">
        <is>
          <t>P-50</t>
        </is>
      </c>
      <c r="C31" t="inlineStr">
        <is>
          <t>10_Planning</t>
        </is>
      </c>
      <c r="D31" t="inlineStr">
        <is>
          <t>Execution customer workshops</t>
        </is>
      </c>
      <c r="I31" t="n">
        <v>0</v>
      </c>
      <c r="P31" t="inlineStr">
        <is>
          <t>no</t>
        </is>
      </c>
      <c r="R31" t="inlineStr">
        <is>
          <t>f10</t>
        </is>
      </c>
      <c r="S31" t="inlineStr">
        <is>
          <t>f20</t>
        </is>
      </c>
      <c r="W31" t="inlineStr">
        <is>
          <t>f50</t>
        </is>
      </c>
      <c r="X31" t="inlineStr">
        <is>
          <t>f20</t>
        </is>
      </c>
    </row>
    <row r="32">
      <c r="A32" t="inlineStr">
        <is>
          <t>P-60</t>
        </is>
      </c>
      <c r="C32" t="inlineStr">
        <is>
          <t>10_Planning</t>
        </is>
      </c>
      <c r="D32" t="inlineStr">
        <is>
          <t>Preparation test concept</t>
        </is>
      </c>
      <c r="I32" t="n">
        <v>0</v>
      </c>
      <c r="J32" t="inlineStr">
        <is>
          <t>[testcon]</t>
        </is>
      </c>
      <c r="K32" t="inlineStr">
        <is>
          <t>min(10%*[test],15)</t>
        </is>
      </c>
      <c r="P32" t="inlineStr">
        <is>
          <t>no</t>
        </is>
      </c>
      <c r="T32" t="inlineStr">
        <is>
          <t>f100</t>
        </is>
      </c>
    </row>
    <row r="33">
      <c r="A33" t="inlineStr">
        <is>
          <t>P-70</t>
        </is>
      </c>
      <c r="C33" t="inlineStr">
        <is>
          <t>10_Planning</t>
        </is>
      </c>
      <c r="D33" t="inlineStr">
        <is>
          <t>Creation architecture concept</t>
        </is>
      </c>
      <c r="I33" t="n">
        <v>0</v>
      </c>
      <c r="J33" t="inlineStr">
        <is>
          <t>[archcon]</t>
        </is>
      </c>
      <c r="K33" t="inlineStr">
        <is>
          <t>5%*[dev]</t>
        </is>
      </c>
      <c r="P33" t="inlineStr">
        <is>
          <t>no</t>
        </is>
      </c>
      <c r="S33" t="inlineStr">
        <is>
          <t>f100</t>
        </is>
      </c>
    </row>
    <row r="34">
      <c r="A34" t="inlineStr">
        <is>
          <t>P-80</t>
        </is>
      </c>
      <c r="C34" t="inlineStr">
        <is>
          <t>20_Implementation</t>
        </is>
      </c>
      <c r="D34" t="inlineStr">
        <is>
          <t>UX Design</t>
        </is>
      </c>
      <c r="E34" t="inlineStr">
        <is>
          <t>Feature task 'UX Design'</t>
        </is>
      </c>
      <c r="F34" t="inlineStr">
        <is>
          <t>FT#1</t>
        </is>
      </c>
      <c r="I34" t="n">
        <v>0</v>
      </c>
      <c r="P34" t="inlineStr">
        <is>
          <t>no</t>
        </is>
      </c>
      <c r="W34" t="inlineStr">
        <is>
          <t>f100</t>
        </is>
      </c>
    </row>
    <row r="35">
      <c r="A35" t="inlineStr">
        <is>
          <t>P-90</t>
        </is>
      </c>
      <c r="C35" t="inlineStr">
        <is>
          <t>20_Implementation</t>
        </is>
      </c>
      <c r="D35" t="inlineStr">
        <is>
          <t>UI Design</t>
        </is>
      </c>
      <c r="E35" t="inlineStr">
        <is>
          <t>Feature task 'UI Design'</t>
        </is>
      </c>
      <c r="F35" t="inlineStr">
        <is>
          <t>FT#2</t>
        </is>
      </c>
      <c r="I35" t="n">
        <v>0</v>
      </c>
      <c r="P35" t="inlineStr">
        <is>
          <t>no</t>
        </is>
      </c>
      <c r="X35" t="inlineStr">
        <is>
          <t>f100</t>
        </is>
      </c>
    </row>
    <row r="36">
      <c r="A36" t="inlineStr">
        <is>
          <t>P-100</t>
        </is>
      </c>
      <c r="C36" t="inlineStr">
        <is>
          <t>20_Implementation</t>
        </is>
      </c>
      <c r="D36" t="inlineStr">
        <is>
          <t>Requirements engineering and business analysis</t>
        </is>
      </c>
      <c r="I36" t="n">
        <v>0</v>
      </c>
      <c r="P36" t="inlineStr">
        <is>
          <t>no</t>
        </is>
      </c>
      <c r="S36" t="inlineStr">
        <is>
          <t>f20</t>
        </is>
      </c>
      <c r="U36" t="inlineStr">
        <is>
          <t>f30</t>
        </is>
      </c>
      <c r="W36" t="inlineStr">
        <is>
          <t>f50</t>
        </is>
      </c>
    </row>
    <row r="37">
      <c r="A37" t="inlineStr">
        <is>
          <t>P-110</t>
        </is>
      </c>
      <c r="C37" t="inlineStr">
        <is>
          <t>20_Implementation</t>
        </is>
      </c>
      <c r="D37" t="inlineStr">
        <is>
          <t>Software development</t>
        </is>
      </c>
      <c r="E37" t="inlineStr">
        <is>
          <t>Feature task 'Development'</t>
        </is>
      </c>
      <c r="F37" t="inlineStr">
        <is>
          <t>FT#3</t>
        </is>
      </c>
      <c r="I37" t="n">
        <v>0</v>
      </c>
      <c r="J37" t="inlineStr">
        <is>
          <t>[dev]</t>
        </is>
      </c>
      <c r="P37" t="inlineStr">
        <is>
          <t>no</t>
        </is>
      </c>
      <c r="AB37" t="inlineStr">
        <is>
          <t>f50</t>
        </is>
      </c>
      <c r="AC37" t="inlineStr">
        <is>
          <t>f50</t>
        </is>
      </c>
    </row>
    <row r="38">
      <c r="A38" t="inlineStr">
        <is>
          <t>P-120</t>
        </is>
      </c>
      <c r="C38" t="inlineStr">
        <is>
          <t>20_Implementation</t>
        </is>
      </c>
      <c r="D38" t="inlineStr">
        <is>
          <t>Software test</t>
        </is>
      </c>
      <c r="E38" t="inlineStr">
        <is>
          <t>Feature task 'Quality assurance'</t>
        </is>
      </c>
      <c r="F38" t="inlineStr">
        <is>
          <t>FT#4</t>
        </is>
      </c>
      <c r="I38" t="n">
        <v>0</v>
      </c>
      <c r="J38" t="inlineStr">
        <is>
          <t>[test]</t>
        </is>
      </c>
      <c r="P38" t="inlineStr">
        <is>
          <t>no</t>
        </is>
      </c>
      <c r="T38" t="inlineStr">
        <is>
          <t>f20</t>
        </is>
      </c>
      <c r="AA38" t="inlineStr">
        <is>
          <t>f80</t>
        </is>
      </c>
    </row>
    <row r="39">
      <c r="A39" t="inlineStr">
        <is>
          <t>P-130</t>
        </is>
      </c>
      <c r="C39" t="inlineStr">
        <is>
          <t>20_Implementation</t>
        </is>
      </c>
      <c r="D39" t="inlineStr">
        <is>
          <t>Development of test automation scripts</t>
        </is>
      </c>
      <c r="I39" t="n">
        <v>0</v>
      </c>
      <c r="K39" t="inlineStr">
        <is>
          <t>65%*30%*[test]</t>
        </is>
      </c>
      <c r="P39" t="inlineStr">
        <is>
          <t>no</t>
        </is>
      </c>
      <c r="Z39" t="inlineStr">
        <is>
          <t>f100</t>
        </is>
      </c>
    </row>
    <row r="40">
      <c r="A40" t="inlineStr">
        <is>
          <t>P-140</t>
        </is>
      </c>
      <c r="C40" t="inlineStr">
        <is>
          <t>20_Implementation</t>
        </is>
      </c>
      <c r="D40" t="inlineStr">
        <is>
          <t>Upload Release in App Store</t>
        </is>
      </c>
      <c r="I40" t="n">
        <v>0</v>
      </c>
      <c r="K40" t="n">
        <v>1.25</v>
      </c>
      <c r="P40" t="inlineStr">
        <is>
          <t>no</t>
        </is>
      </c>
      <c r="AC40" t="inlineStr">
        <is>
          <t>f100</t>
        </is>
      </c>
    </row>
    <row r="41">
      <c r="A41" t="inlineStr">
        <is>
          <t>P-150</t>
        </is>
      </c>
      <c r="C41" t="inlineStr">
        <is>
          <t>20_Implementation</t>
        </is>
      </c>
      <c r="D41" t="inlineStr">
        <is>
          <t>Writing user manual</t>
        </is>
      </c>
      <c r="I41" t="n">
        <v>0</v>
      </c>
      <c r="P41" t="inlineStr">
        <is>
          <t>no</t>
        </is>
      </c>
      <c r="S41" t="inlineStr">
        <is>
          <t>f20</t>
        </is>
      </c>
      <c r="W41" t="inlineStr">
        <is>
          <t>f80</t>
        </is>
      </c>
    </row>
    <row r="42">
      <c r="A42" t="inlineStr">
        <is>
          <t>P-160</t>
        </is>
      </c>
      <c r="C42" t="inlineStr">
        <is>
          <t>20_Implementation</t>
        </is>
      </c>
      <c r="D42" t="inlineStr">
        <is>
          <t>Accompany acceptance test</t>
        </is>
      </c>
      <c r="I42" t="n">
        <v>0</v>
      </c>
      <c r="K42" t="inlineStr">
        <is>
          <t>if([test]&lt;0.25*[dev],[dev]*15%,[dev]*5%)</t>
        </is>
      </c>
      <c r="P42" t="inlineStr">
        <is>
          <t>no</t>
        </is>
      </c>
      <c r="R42" t="inlineStr">
        <is>
          <t>f100</t>
        </is>
      </c>
    </row>
    <row r="43">
      <c r="A43" t="inlineStr">
        <is>
          <t>P-170</t>
        </is>
      </c>
      <c r="C43" t="inlineStr">
        <is>
          <t>20_Implementation</t>
        </is>
      </c>
      <c r="D43" t="inlineStr">
        <is>
          <t>Bug fixing</t>
        </is>
      </c>
      <c r="E43" t="inlineStr">
        <is>
          <t>Feature task 'Bug fixing'</t>
        </is>
      </c>
      <c r="F43" t="inlineStr">
        <is>
          <t>FT#5</t>
        </is>
      </c>
      <c r="I43" t="n">
        <v>0</v>
      </c>
      <c r="P43" t="inlineStr">
        <is>
          <t>no</t>
        </is>
      </c>
      <c r="Q43" t="inlineStr">
        <is>
          <t>f100</t>
        </is>
      </c>
    </row>
    <row r="44">
      <c r="A44" t="inlineStr">
        <is>
          <t>P-180</t>
        </is>
      </c>
      <c r="C44" t="inlineStr">
        <is>
          <t>30_Closing</t>
        </is>
      </c>
      <c r="D44" t="inlineStr">
        <is>
          <t>Handover Customer</t>
        </is>
      </c>
      <c r="I44" t="n">
        <v>0</v>
      </c>
      <c r="K44" t="inlineStr">
        <is>
          <t>if([#projectlength]&gt;52,[#total1]*5%,2)</t>
        </is>
      </c>
      <c r="P44" t="inlineStr">
        <is>
          <t>no</t>
        </is>
      </c>
      <c r="R44" t="inlineStr">
        <is>
          <t>f50</t>
        </is>
      </c>
      <c r="S44" t="inlineStr">
        <is>
          <t>f50</t>
        </is>
      </c>
    </row>
    <row r="45">
      <c r="A45" t="inlineStr">
        <is>
          <t>P-190</t>
        </is>
      </c>
      <c r="C45" t="inlineStr">
        <is>
          <t>30_Closing</t>
        </is>
      </c>
      <c r="D45" t="inlineStr">
        <is>
          <t>Handover Application Mgmt (AM)</t>
        </is>
      </c>
      <c r="I45" t="n">
        <v>0</v>
      </c>
      <c r="K45" t="n">
        <v>3</v>
      </c>
      <c r="P45" t="inlineStr">
        <is>
          <t>no</t>
        </is>
      </c>
      <c r="R45" t="inlineStr">
        <is>
          <t>f50</t>
        </is>
      </c>
      <c r="S45" t="inlineStr">
        <is>
          <t>f40</t>
        </is>
      </c>
      <c r="T45" t="inlineStr">
        <is>
          <t>f10</t>
        </is>
      </c>
    </row>
    <row r="46">
      <c r="A46" t="inlineStr">
        <is>
          <t>P-200</t>
        </is>
      </c>
      <c r="C46" t="inlineStr">
        <is>
          <t>10_Overall Tasks</t>
        </is>
      </c>
      <c r="D46" t="inlineStr">
        <is>
          <t>Projectmanagement</t>
        </is>
      </c>
      <c r="I46" t="n">
        <v>0</v>
      </c>
      <c r="J46" t="inlineStr">
        <is>
          <t>[pmeff]</t>
        </is>
      </c>
      <c r="K46" t="inlineStr">
        <is>
          <t>max([#projectlength]*ifs([#total1]&lt;100,1,[#total1]&lt;250,2,[#total1]&lt;500,4,true,5),15%*[#total1])</t>
        </is>
      </c>
      <c r="P46" t="inlineStr">
        <is>
          <t>no</t>
        </is>
      </c>
      <c r="R46" t="inlineStr">
        <is>
          <t>f100</t>
        </is>
      </c>
    </row>
    <row r="47">
      <c r="A47" t="inlineStr">
        <is>
          <t>P-210</t>
        </is>
      </c>
      <c r="C47" t="inlineStr">
        <is>
          <t>10_Overall Tasks</t>
        </is>
      </c>
      <c r="D47" t="inlineStr">
        <is>
          <t>Testmanagement</t>
        </is>
      </c>
      <c r="I47" t="n">
        <v>0</v>
      </c>
      <c r="K47" t="inlineStr">
        <is>
          <t>if([testcon]&gt;1,[#sprints]*0.125,0)</t>
        </is>
      </c>
      <c r="P47" t="inlineStr">
        <is>
          <t>no</t>
        </is>
      </c>
      <c r="T47" t="inlineStr">
        <is>
          <t>f100</t>
        </is>
      </c>
    </row>
    <row r="48">
      <c r="A48" t="inlineStr">
        <is>
          <t>P-220</t>
        </is>
      </c>
      <c r="C48" t="inlineStr">
        <is>
          <t>10_Overall Tasks</t>
        </is>
      </c>
      <c r="D48" t="inlineStr">
        <is>
          <t>Architecture management</t>
        </is>
      </c>
      <c r="I48" t="n">
        <v>0</v>
      </c>
      <c r="K48" t="inlineStr">
        <is>
          <t>if([archcon]&gt;1,[#sprints]*25%,0)</t>
        </is>
      </c>
      <c r="P48" t="inlineStr">
        <is>
          <t>no</t>
        </is>
      </c>
      <c r="S48" t="inlineStr">
        <is>
          <t>f100</t>
        </is>
      </c>
    </row>
    <row r="49">
      <c r="A49" t="inlineStr">
        <is>
          <t>P-230</t>
        </is>
      </c>
      <c r="C49" t="inlineStr">
        <is>
          <t>10_Overall Tasks</t>
        </is>
      </c>
      <c r="D49" t="inlineStr">
        <is>
          <t>Smartshore Management</t>
        </is>
      </c>
      <c r="I49" t="n">
        <v>0</v>
      </c>
      <c r="P49" t="inlineStr">
        <is>
          <t>no</t>
        </is>
      </c>
      <c r="R49" t="inlineStr">
        <is>
          <t>f100</t>
        </is>
      </c>
    </row>
    <row r="50">
      <c r="A50" t="inlineStr">
        <is>
          <t>P-240</t>
        </is>
      </c>
      <c r="C50" t="inlineStr">
        <is>
          <t>10_Overall Tasks</t>
        </is>
      </c>
      <c r="D50" t="inlineStr">
        <is>
          <t>Execution and participation of meetings, incl. Scrum artefacts</t>
        </is>
      </c>
      <c r="I50" t="n">
        <v>0</v>
      </c>
      <c r="K50" t="inlineStr">
        <is>
          <t>[#projectlength]*[#teamsize]*0.15625+[#sprints]*[#teamsize]*0.5+[#sprints]*50%</t>
        </is>
      </c>
      <c r="P50" t="inlineStr">
        <is>
          <t>no</t>
        </is>
      </c>
      <c r="Q50" t="inlineStr">
        <is>
          <t>f100</t>
        </is>
      </c>
    </row>
    <row r="51">
      <c r="A51" t="inlineStr">
        <is>
          <t>P-250</t>
        </is>
      </c>
      <c r="C51" t="inlineStr">
        <is>
          <t>10_Overall Tasks</t>
        </is>
      </c>
      <c r="D51" t="inlineStr">
        <is>
          <t>Execution of BITV QuickCheck</t>
        </is>
      </c>
      <c r="I51" t="n">
        <v>0</v>
      </c>
      <c r="P51" t="inlineStr">
        <is>
          <t>no</t>
        </is>
      </c>
      <c r="W51" t="inlineStr">
        <is>
          <t>f100</t>
        </is>
      </c>
    </row>
    <row r="52">
      <c r="A52" t="inlineStr">
        <is>
          <t>P-260</t>
        </is>
      </c>
      <c r="C52" t="inlineStr">
        <is>
          <t>10_Overall Tasks</t>
        </is>
      </c>
      <c r="D52" t="inlineStr">
        <is>
          <t>Consideration of security requirements</t>
        </is>
      </c>
      <c r="I52" t="n">
        <v>0</v>
      </c>
      <c r="P52" t="inlineStr">
        <is>
          <t>no</t>
        </is>
      </c>
      <c r="S52" t="inlineStr">
        <is>
          <t>f25</t>
        </is>
      </c>
      <c r="T52" t="inlineStr">
        <is>
          <t>f20</t>
        </is>
      </c>
      <c r="W52" t="inlineStr">
        <is>
          <t>f15</t>
        </is>
      </c>
      <c r="AB52" t="inlineStr">
        <is>
          <t>f20</t>
        </is>
      </c>
      <c r="AC52" t="inlineStr">
        <is>
          <t>f20</t>
        </is>
      </c>
    </row>
    <row r="53">
      <c r="A53" t="inlineStr">
        <is>
          <t>P-270</t>
        </is>
      </c>
      <c r="C53" t="inlineStr">
        <is>
          <t>90_Traveltime</t>
        </is>
      </c>
      <c r="D53" t="inlineStr">
        <is>
          <t>Travel time</t>
        </is>
      </c>
      <c r="F53" t="inlineStr">
        <is>
          <t>TT</t>
        </is>
      </c>
      <c r="I53" t="n">
        <v>0</v>
      </c>
      <c r="J53" t="inlineStr">
        <is>
          <t>[traveltime]</t>
        </is>
      </c>
      <c r="K53" t="inlineStr">
        <is>
          <t>10%*[#total1]</t>
        </is>
      </c>
      <c r="P53" t="inlineStr">
        <is>
          <t>no</t>
        </is>
      </c>
      <c r="Q53" t="inlineStr">
        <is>
          <t>f100</t>
        </is>
      </c>
    </row>
    <row r="54">
      <c r="A54" t="inlineStr">
        <is>
          <t>P-280</t>
        </is>
      </c>
      <c r="C54" t="inlineStr">
        <is>
          <t>91_Warranty</t>
        </is>
      </c>
      <c r="D54" t="inlineStr">
        <is>
          <t>Warranty</t>
        </is>
      </c>
      <c r="F54" t="inlineStr">
        <is>
          <t>WA</t>
        </is>
      </c>
      <c r="I54" t="n">
        <v>0</v>
      </c>
      <c r="J54" t="inlineStr">
        <is>
          <t>[warranty]</t>
        </is>
      </c>
      <c r="K54" t="inlineStr">
        <is>
          <t>3%*[#total1]</t>
        </is>
      </c>
      <c r="P54" t="inlineStr">
        <is>
          <t>no</t>
        </is>
      </c>
      <c r="Q54" t="inlineStr">
        <is>
          <t>f100</t>
        </is>
      </c>
    </row>
    <row r="55">
      <c r="A55" t="inlineStr">
        <is>
          <t>P-290</t>
        </is>
      </c>
      <c r="C55" t="inlineStr">
        <is>
          <t>92_Risks</t>
        </is>
      </c>
      <c r="D55" t="inlineStr">
        <is>
          <t>Risks</t>
        </is>
      </c>
      <c r="F55" t="inlineStr">
        <is>
          <t>RIS</t>
        </is>
      </c>
      <c r="I55" t="n">
        <v>0</v>
      </c>
      <c r="P55" t="inlineStr">
        <is>
          <t>no</t>
        </is>
      </c>
      <c r="Q55" t="inlineStr">
        <is>
          <t>f100</t>
        </is>
      </c>
    </row>
    <row r="57">
      <c r="A57" t="inlineStr">
        <is>
          <t>Seniority Level</t>
        </is>
      </c>
    </row>
    <row r="58">
      <c r="A58" s="290" t="inlineStr">
        <is>
          <t>any</t>
        </is>
      </c>
    </row>
    <row r="59">
      <c r="A59" s="290" t="inlineStr">
        <is>
          <t>very low</t>
        </is>
      </c>
    </row>
    <row r="60">
      <c r="A60" s="290" t="inlineStr">
        <is>
          <t>low</t>
        </is>
      </c>
    </row>
    <row r="61">
      <c r="A61" s="290" t="inlineStr">
        <is>
          <t>middle</t>
        </is>
      </c>
    </row>
    <row r="62">
      <c r="A62" s="290" t="inlineStr">
        <is>
          <t>high</t>
        </is>
      </c>
    </row>
    <row r="63">
      <c r="A63" s="290" t="inlineStr">
        <is>
          <t>very high</t>
        </is>
      </c>
    </row>
    <row r="65">
      <c r="A65" t="inlineStr">
        <is>
          <t>Location</t>
        </is>
      </c>
    </row>
    <row r="66">
      <c r="A66" s="290" t="inlineStr">
        <is>
          <t>any</t>
        </is>
      </c>
    </row>
    <row r="67">
      <c r="A67" s="290" t="inlineStr">
        <is>
          <t>Onsite</t>
        </is>
      </c>
    </row>
    <row r="68">
      <c r="A68" s="290" t="inlineStr">
        <is>
          <t>Offsite</t>
        </is>
      </c>
    </row>
    <row r="69">
      <c r="A69" s="290" t="inlineStr">
        <is>
          <t>On-/Offsite</t>
        </is>
      </c>
    </row>
    <row r="70">
      <c r="A70" s="290" t="inlineStr">
        <is>
          <t>Nearshore</t>
        </is>
      </c>
    </row>
    <row r="71">
      <c r="A71" s="290" t="inlineStr">
        <is>
          <t>Offshore</t>
        </is>
      </c>
    </row>
    <row r="73">
      <c r="A73" t="inlineStr">
        <is>
          <t>Company</t>
        </is>
      </c>
      <c r="B73" s="81" t="inlineStr">
        <is>
          <t>Accounting-related company</t>
        </is>
      </c>
    </row>
    <row r="74">
      <c r="A74" s="290" t="inlineStr">
        <is>
          <t>any</t>
        </is>
      </c>
      <c r="B74" s="292" t="inlineStr">
        <is>
          <t>no</t>
        </is>
      </c>
    </row>
    <row r="75">
      <c r="A75" s="290" t="inlineStr">
        <is>
          <t>adesso SE</t>
        </is>
      </c>
      <c r="B75" s="292" t="inlineStr">
        <is>
          <t>yes</t>
        </is>
      </c>
    </row>
    <row r="76">
      <c r="A76" s="290" t="inlineStr">
        <is>
          <t>adesso as a service</t>
        </is>
      </c>
      <c r="B76" s="292" t="inlineStr">
        <is>
          <t>no</t>
        </is>
      </c>
    </row>
    <row r="77">
      <c r="A77" s="290" t="inlineStr">
        <is>
          <t>adesso Austria</t>
        </is>
      </c>
      <c r="B77" s="292" t="inlineStr">
        <is>
          <t>no</t>
        </is>
      </c>
    </row>
    <row r="78">
      <c r="A78" s="290" t="inlineStr">
        <is>
          <t>adesso benefit solutions</t>
        </is>
      </c>
      <c r="B78" s="292" t="inlineStr">
        <is>
          <t>no</t>
        </is>
      </c>
    </row>
    <row r="79">
      <c r="A79" s="290" t="inlineStr">
        <is>
          <t>adesso Bulgaria</t>
        </is>
      </c>
      <c r="B79" s="292" t="inlineStr">
        <is>
          <t>no</t>
        </is>
      </c>
    </row>
    <row r="80">
      <c r="A80" s="290" t="inlineStr">
        <is>
          <t>adesso Finland</t>
        </is>
      </c>
      <c r="B80" s="292" t="inlineStr">
        <is>
          <t>no</t>
        </is>
      </c>
    </row>
    <row r="81">
      <c r="A81" s="290" t="inlineStr">
        <is>
          <t>adesso health solutions</t>
        </is>
      </c>
      <c r="B81" s="292" t="inlineStr">
        <is>
          <t>no</t>
        </is>
      </c>
    </row>
    <row r="82">
      <c r="A82" s="290" t="inlineStr">
        <is>
          <t>adesso Hungary</t>
        </is>
      </c>
      <c r="B82" s="292" t="inlineStr">
        <is>
          <t>no</t>
        </is>
      </c>
    </row>
    <row r="83">
      <c r="A83" s="290" t="inlineStr">
        <is>
          <t>adesso India</t>
        </is>
      </c>
      <c r="B83" s="292" t="inlineStr">
        <is>
          <t>no</t>
        </is>
      </c>
    </row>
    <row r="84">
      <c r="A84" s="290" t="inlineStr">
        <is>
          <t>adesso insurance solutions</t>
        </is>
      </c>
      <c r="B84" s="292" t="inlineStr">
        <is>
          <t>yes</t>
        </is>
      </c>
    </row>
    <row r="85">
      <c r="A85" s="290" t="inlineStr">
        <is>
          <t>adesso Italy</t>
        </is>
      </c>
      <c r="B85" s="292" t="inlineStr">
        <is>
          <t>no</t>
        </is>
      </c>
    </row>
    <row r="86">
      <c r="A86" s="290" t="inlineStr">
        <is>
          <t>adesso Lakes</t>
        </is>
      </c>
      <c r="B86" s="292" t="inlineStr">
        <is>
          <t>no</t>
        </is>
      </c>
    </row>
    <row r="87">
      <c r="A87" s="290" t="inlineStr">
        <is>
          <t>adesso mobile solutions</t>
        </is>
      </c>
      <c r="B87" s="292" t="inlineStr">
        <is>
          <t>yes</t>
        </is>
      </c>
    </row>
    <row r="88">
      <c r="A88" s="290" t="inlineStr">
        <is>
          <t>adesso Netherlands</t>
        </is>
      </c>
      <c r="B88" s="292" t="inlineStr">
        <is>
          <t>no</t>
        </is>
      </c>
    </row>
    <row r="89">
      <c r="A89" s="290" t="inlineStr">
        <is>
          <t>adesso orange</t>
        </is>
      </c>
      <c r="B89" s="292" t="inlineStr">
        <is>
          <t>yes</t>
        </is>
      </c>
    </row>
    <row r="90">
      <c r="A90" s="290" t="inlineStr">
        <is>
          <t>adesso partner trust</t>
        </is>
      </c>
      <c r="B90" s="292" t="inlineStr">
        <is>
          <t>no</t>
        </is>
      </c>
    </row>
    <row r="91">
      <c r="A91" s="290" t="inlineStr">
        <is>
          <t>adesso Romania</t>
        </is>
      </c>
      <c r="B91" s="292" t="inlineStr">
        <is>
          <t>no</t>
        </is>
      </c>
    </row>
    <row r="92">
      <c r="A92" s="290" t="inlineStr">
        <is>
          <t>adesso Spain</t>
        </is>
      </c>
      <c r="B92" s="292" t="inlineStr">
        <is>
          <t>no</t>
        </is>
      </c>
    </row>
    <row r="93">
      <c r="A93" s="290" t="inlineStr">
        <is>
          <t>adesso Sweden</t>
        </is>
      </c>
      <c r="B93" s="292" t="inlineStr">
        <is>
          <t>no</t>
        </is>
      </c>
    </row>
    <row r="94">
      <c r="A94" s="290" t="inlineStr">
        <is>
          <t>adesso Switzerland</t>
        </is>
      </c>
      <c r="B94" s="292" t="inlineStr">
        <is>
          <t>no</t>
        </is>
      </c>
    </row>
    <row r="95">
      <c r="A95" s="290" t="inlineStr">
        <is>
          <t>adesso Turkey</t>
        </is>
      </c>
      <c r="B95" s="292" t="inlineStr">
        <is>
          <t>no</t>
        </is>
      </c>
    </row>
    <row r="96">
      <c r="A96" s="290" t="inlineStr">
        <is>
          <t>Afida</t>
        </is>
      </c>
      <c r="B96" s="292" t="inlineStr">
        <is>
          <t>no</t>
        </is>
      </c>
    </row>
    <row r="97">
      <c r="A97" s="290" t="inlineStr">
        <is>
          <t>alleato adessekuranzmakler</t>
        </is>
      </c>
      <c r="B97" s="292" t="inlineStr">
        <is>
          <t>no</t>
        </is>
      </c>
    </row>
    <row r="98">
      <c r="A98" s="290" t="inlineStr">
        <is>
          <t>amis</t>
        </is>
      </c>
      <c r="B98" s="292" t="inlineStr">
        <is>
          <t>no</t>
        </is>
      </c>
    </row>
    <row r="99">
      <c r="A99" s="290" t="inlineStr">
        <is>
          <t>KIWI Consulting</t>
        </is>
      </c>
      <c r="B99" s="292" t="inlineStr">
        <is>
          <t>no</t>
        </is>
      </c>
    </row>
    <row r="100">
      <c r="A100" s="290" t="inlineStr">
        <is>
          <t>material.one</t>
        </is>
      </c>
      <c r="B100" s="292" t="inlineStr">
        <is>
          <t>no</t>
        </is>
      </c>
    </row>
    <row r="101">
      <c r="A101" s="290" t="inlineStr">
        <is>
          <t>medgineering</t>
        </is>
      </c>
      <c r="B101" s="292" t="inlineStr">
        <is>
          <t>no</t>
        </is>
      </c>
    </row>
    <row r="102">
      <c r="A102" s="290" t="inlineStr">
        <is>
          <t>percision</t>
        </is>
      </c>
      <c r="B102" s="292" t="inlineStr">
        <is>
          <t>no</t>
        </is>
      </c>
    </row>
    <row r="103">
      <c r="A103" s="290" t="inlineStr">
        <is>
          <t>Reachbird</t>
        </is>
      </c>
      <c r="B103" s="292" t="inlineStr">
        <is>
          <t>no</t>
        </is>
      </c>
    </row>
    <row r="104">
      <c r="A104" s="290" t="inlineStr">
        <is>
          <t>urban engergy</t>
        </is>
      </c>
      <c r="B104" s="292" t="inlineStr">
        <is>
          <t>no</t>
        </is>
      </c>
    </row>
    <row r="105">
      <c r="A105" s="290" t="inlineStr">
        <is>
          <t>WEPEX</t>
        </is>
      </c>
      <c r="B105" s="292" t="inlineStr">
        <is>
          <t>no</t>
        </is>
      </c>
    </row>
    <row r="107">
      <c r="A107" t="inlineStr">
        <is>
          <t>Country</t>
        </is>
      </c>
      <c r="B107" s="198" t="inlineStr">
        <is>
          <t>Inflation rate</t>
        </is>
      </c>
    </row>
    <row r="108">
      <c r="A108" s="290" t="inlineStr">
        <is>
          <t>any</t>
        </is>
      </c>
      <c r="B108" s="395" t="n">
        <v>0.02</v>
      </c>
    </row>
    <row r="109">
      <c r="A109" s="290" t="inlineStr">
        <is>
          <t>Germany</t>
        </is>
      </c>
      <c r="B109" s="395" t="n">
        <v>0.02</v>
      </c>
    </row>
    <row r="110">
      <c r="A110" s="290" t="inlineStr">
        <is>
          <t>Austria</t>
        </is>
      </c>
      <c r="B110" s="395" t="n">
        <v>0.035</v>
      </c>
    </row>
    <row r="111">
      <c r="A111" s="290" t="inlineStr">
        <is>
          <t>Bulgaria</t>
        </is>
      </c>
      <c r="B111" s="395" t="n">
        <v>0.03</v>
      </c>
    </row>
    <row r="112">
      <c r="A112" s="290" t="inlineStr">
        <is>
          <t>Finland</t>
        </is>
      </c>
      <c r="B112" s="395" t="n">
        <v>0.015</v>
      </c>
    </row>
    <row r="113">
      <c r="A113" s="290" t="inlineStr">
        <is>
          <t>Hungary</t>
        </is>
      </c>
      <c r="B113" s="395" t="n">
        <v>0.035</v>
      </c>
    </row>
    <row r="114">
      <c r="A114" s="290" t="inlineStr">
        <is>
          <t>India</t>
        </is>
      </c>
      <c r="B114" s="395" t="n">
        <v>0.055</v>
      </c>
    </row>
    <row r="115">
      <c r="A115" s="290" t="inlineStr">
        <is>
          <t>Italy</t>
        </is>
      </c>
      <c r="B115" s="395" t="n">
        <v>0.015</v>
      </c>
    </row>
    <row r="116">
      <c r="A116" s="290" t="inlineStr">
        <is>
          <t>Netherlands</t>
        </is>
      </c>
      <c r="B116" s="395" t="n">
        <v>0.025</v>
      </c>
    </row>
    <row r="117">
      <c r="A117" s="290" t="inlineStr">
        <is>
          <t>Romania</t>
        </is>
      </c>
      <c r="B117" s="395" t="n">
        <v>0.06</v>
      </c>
    </row>
    <row r="118">
      <c r="A118" s="290" t="inlineStr">
        <is>
          <t>Spain</t>
        </is>
      </c>
      <c r="B118" s="395" t="n">
        <v>0.025</v>
      </c>
    </row>
    <row r="119">
      <c r="A119" s="290" t="inlineStr">
        <is>
          <t>Sweden</t>
        </is>
      </c>
      <c r="B119" s="395" t="n">
        <v>0.025</v>
      </c>
    </row>
    <row r="120">
      <c r="A120" s="290" t="inlineStr">
        <is>
          <t>Switzerland</t>
        </is>
      </c>
      <c r="B120" s="395" t="n">
        <v>0.02</v>
      </c>
    </row>
    <row r="121">
      <c r="A121" s="290" t="inlineStr">
        <is>
          <t>Turkey</t>
        </is>
      </c>
      <c r="B121" s="395" t="n">
        <v>0.5</v>
      </c>
    </row>
    <row r="123">
      <c r="A123" t="inlineStr">
        <is>
          <t>Project role</t>
        </is>
      </c>
      <c r="B123" t="inlineStr">
        <is>
          <t>Sub role</t>
        </is>
      </c>
      <c r="C123" t="inlineStr">
        <is>
          <t>Percentage</t>
        </is>
      </c>
      <c r="D123" t="inlineStr">
        <is>
          <t>Company</t>
        </is>
      </c>
      <c r="E123" t="inlineStr">
        <is>
          <t>Country</t>
        </is>
      </c>
      <c r="F123" t="inlineStr">
        <is>
          <t>Location</t>
        </is>
      </c>
      <c r="G123" t="inlineStr">
        <is>
          <t>Seniority Level</t>
        </is>
      </c>
      <c r="H123" t="inlineStr">
        <is>
          <t>Daily costs</t>
        </is>
      </c>
      <c r="I123" t="inlineStr">
        <is>
          <t>Daily rate</t>
        </is>
      </c>
      <c r="J123" t="inlineStr">
        <is>
          <t>Daily costs (travel time)</t>
        </is>
      </c>
      <c r="K123" t="inlineStr">
        <is>
          <t>Daily rate (travel time)</t>
        </is>
      </c>
    </row>
    <row r="124">
      <c r="A124" t="inlineStr">
        <is>
          <t>Any role</t>
        </is>
      </c>
      <c r="B124" t="inlineStr">
        <is>
          <t>Any role</t>
        </is>
      </c>
      <c r="C124" t="n">
        <v>1</v>
      </c>
      <c r="D124" t="inlineStr">
        <is>
          <t>adesso mobile solutions</t>
        </is>
      </c>
      <c r="E124" t="inlineStr">
        <is>
          <t>Germany</t>
        </is>
      </c>
      <c r="F124" t="inlineStr">
        <is>
          <t>any</t>
        </is>
      </c>
      <c r="G124" t="inlineStr">
        <is>
          <t>any</t>
        </is>
      </c>
      <c r="H124" t="n">
        <v>600</v>
      </c>
      <c r="I124" t="n">
        <v>1000</v>
      </c>
      <c r="J124" t="n">
        <v>600</v>
      </c>
      <c r="K124" t="n">
        <v>500</v>
      </c>
    </row>
    <row r="125">
      <c r="A125" t="inlineStr">
        <is>
          <t>Project manager</t>
        </is>
      </c>
      <c r="B125" t="inlineStr">
        <is>
          <t>Project manager</t>
        </is>
      </c>
      <c r="C125" t="n">
        <v>1</v>
      </c>
      <c r="D125" t="inlineStr">
        <is>
          <t>adesso mobile solutions</t>
        </is>
      </c>
      <c r="E125" t="inlineStr">
        <is>
          <t>Germany</t>
        </is>
      </c>
      <c r="F125" t="inlineStr">
        <is>
          <t>any</t>
        </is>
      </c>
      <c r="G125" t="inlineStr">
        <is>
          <t>very high</t>
        </is>
      </c>
      <c r="H125" t="n">
        <v>600</v>
      </c>
      <c r="I125" t="n">
        <v>1000</v>
      </c>
      <c r="J125" t="n">
        <v>600</v>
      </c>
      <c r="K125" t="n">
        <v>500</v>
      </c>
    </row>
    <row r="126">
      <c r="A126" t="inlineStr">
        <is>
          <t>Software architect</t>
        </is>
      </c>
      <c r="B126" t="inlineStr">
        <is>
          <t>Software Architect</t>
        </is>
      </c>
      <c r="C126" t="n">
        <v>1</v>
      </c>
      <c r="D126" t="inlineStr">
        <is>
          <t>adesso mobile solutions</t>
        </is>
      </c>
      <c r="E126" t="inlineStr">
        <is>
          <t>Germany</t>
        </is>
      </c>
      <c r="F126" t="inlineStr">
        <is>
          <t>any</t>
        </is>
      </c>
      <c r="G126" t="inlineStr">
        <is>
          <t>high</t>
        </is>
      </c>
      <c r="H126" t="n">
        <v>600</v>
      </c>
      <c r="I126" t="n">
        <v>1000</v>
      </c>
      <c r="J126" t="n">
        <v>600</v>
      </c>
      <c r="K126" t="n">
        <v>500</v>
      </c>
    </row>
    <row r="127">
      <c r="A127" t="inlineStr">
        <is>
          <t>Test manager</t>
        </is>
      </c>
      <c r="B127" t="inlineStr">
        <is>
          <t>Test manager</t>
        </is>
      </c>
      <c r="C127" t="n">
        <v>1</v>
      </c>
      <c r="D127" t="inlineStr">
        <is>
          <t>adesso mobile solutions</t>
        </is>
      </c>
      <c r="E127" t="inlineStr">
        <is>
          <t>Germany</t>
        </is>
      </c>
      <c r="F127" t="inlineStr">
        <is>
          <t>any</t>
        </is>
      </c>
      <c r="G127" t="inlineStr">
        <is>
          <t>high</t>
        </is>
      </c>
      <c r="H127" t="n">
        <v>600</v>
      </c>
      <c r="I127" t="n">
        <v>1000</v>
      </c>
      <c r="J127" t="n">
        <v>600</v>
      </c>
      <c r="K127" t="n">
        <v>500</v>
      </c>
    </row>
    <row r="128">
      <c r="A128" t="inlineStr">
        <is>
          <t>(Proxy) Product owner</t>
        </is>
      </c>
      <c r="B128" t="inlineStr">
        <is>
          <t>(Proxy) Product owner</t>
        </is>
      </c>
      <c r="C128" t="n">
        <v>1</v>
      </c>
      <c r="D128" t="inlineStr">
        <is>
          <t>adesso mobile solutions</t>
        </is>
      </c>
      <c r="E128" t="inlineStr">
        <is>
          <t>Germany</t>
        </is>
      </c>
      <c r="F128" t="inlineStr">
        <is>
          <t>any</t>
        </is>
      </c>
      <c r="G128" t="inlineStr">
        <is>
          <t>high</t>
        </is>
      </c>
      <c r="H128" t="n">
        <v>600</v>
      </c>
      <c r="I128" t="n">
        <v>1000</v>
      </c>
      <c r="J128" t="n">
        <v>600</v>
      </c>
      <c r="K128" t="n">
        <v>500</v>
      </c>
    </row>
    <row r="129">
      <c r="A129" t="inlineStr">
        <is>
          <t>Requirement Engineer</t>
        </is>
      </c>
      <c r="B129" t="inlineStr">
        <is>
          <t>Requirement Engineer</t>
        </is>
      </c>
      <c r="C129" t="n">
        <v>1</v>
      </c>
      <c r="D129" t="inlineStr">
        <is>
          <t>adesso mobile solutions</t>
        </is>
      </c>
      <c r="E129" t="inlineStr">
        <is>
          <t>Germany</t>
        </is>
      </c>
      <c r="F129" t="inlineStr">
        <is>
          <t>any</t>
        </is>
      </c>
      <c r="G129" t="inlineStr">
        <is>
          <t>middle</t>
        </is>
      </c>
      <c r="H129" t="n">
        <v>600</v>
      </c>
      <c r="I129" t="n">
        <v>1000</v>
      </c>
      <c r="J129" t="n">
        <v>600</v>
      </c>
      <c r="K129" t="n">
        <v>500</v>
      </c>
    </row>
    <row r="130">
      <c r="A130" t="inlineStr">
        <is>
          <t>UX Designer</t>
        </is>
      </c>
      <c r="B130" t="inlineStr">
        <is>
          <t>UX Designer</t>
        </is>
      </c>
      <c r="C130" t="n">
        <v>1</v>
      </c>
      <c r="D130" t="inlineStr">
        <is>
          <t>adesso mobile solutions</t>
        </is>
      </c>
      <c r="E130" t="inlineStr">
        <is>
          <t>Germany</t>
        </is>
      </c>
      <c r="F130" t="inlineStr">
        <is>
          <t>any</t>
        </is>
      </c>
      <c r="G130" t="inlineStr">
        <is>
          <t>middle</t>
        </is>
      </c>
      <c r="H130" t="n">
        <v>600</v>
      </c>
      <c r="I130" t="n">
        <v>1000</v>
      </c>
      <c r="J130" t="n">
        <v>600</v>
      </c>
      <c r="K130" t="n">
        <v>500</v>
      </c>
    </row>
    <row r="131">
      <c r="A131" t="inlineStr">
        <is>
          <t>UX Designer</t>
        </is>
      </c>
      <c r="B131" t="inlineStr">
        <is>
          <t>UX Designer (Smartshore)</t>
        </is>
      </c>
      <c r="C131" t="n">
        <v>0</v>
      </c>
      <c r="D131" t="inlineStr">
        <is>
          <t>any</t>
        </is>
      </c>
      <c r="E131" t="inlineStr">
        <is>
          <t>any</t>
        </is>
      </c>
      <c r="F131" t="inlineStr">
        <is>
          <t>any</t>
        </is>
      </c>
      <c r="G131" t="inlineStr">
        <is>
          <t>high</t>
        </is>
      </c>
      <c r="H131" t="n">
        <v>250</v>
      </c>
      <c r="I131" t="n">
        <v>300</v>
      </c>
      <c r="J131" t="n">
        <v>250</v>
      </c>
      <c r="K131" t="n">
        <v>150</v>
      </c>
    </row>
    <row r="132">
      <c r="A132" t="inlineStr">
        <is>
          <t>UI Designer</t>
        </is>
      </c>
      <c r="B132" t="inlineStr">
        <is>
          <t>UI Designer</t>
        </is>
      </c>
      <c r="C132" t="n">
        <v>1</v>
      </c>
      <c r="D132" t="inlineStr">
        <is>
          <t>adesso mobile solutions</t>
        </is>
      </c>
      <c r="E132" t="inlineStr">
        <is>
          <t>Germany</t>
        </is>
      </c>
      <c r="F132" t="inlineStr">
        <is>
          <t>any</t>
        </is>
      </c>
      <c r="G132" t="inlineStr">
        <is>
          <t>middle</t>
        </is>
      </c>
      <c r="H132" t="n">
        <v>600</v>
      </c>
      <c r="I132" t="n">
        <v>1000</v>
      </c>
      <c r="J132" t="n">
        <v>600</v>
      </c>
      <c r="K132" t="n">
        <v>500</v>
      </c>
    </row>
    <row r="133">
      <c r="A133" t="inlineStr">
        <is>
          <t>UI Designer</t>
        </is>
      </c>
      <c r="B133" t="inlineStr">
        <is>
          <t>UI Designer (Smartshore)</t>
        </is>
      </c>
      <c r="C133" t="n">
        <v>0</v>
      </c>
      <c r="D133" t="inlineStr">
        <is>
          <t>any</t>
        </is>
      </c>
      <c r="E133" t="inlineStr">
        <is>
          <t>any</t>
        </is>
      </c>
      <c r="F133" t="inlineStr">
        <is>
          <t>any</t>
        </is>
      </c>
      <c r="G133" t="inlineStr">
        <is>
          <t>any</t>
        </is>
      </c>
      <c r="H133" t="n">
        <v>250</v>
      </c>
      <c r="I133" t="n">
        <v>300</v>
      </c>
      <c r="J133" t="n">
        <v>250</v>
      </c>
      <c r="K133" t="n">
        <v>150</v>
      </c>
    </row>
    <row r="134">
      <c r="A134" t="inlineStr">
        <is>
          <t>Technical consultant</t>
        </is>
      </c>
      <c r="B134" t="inlineStr">
        <is>
          <t>Technical consultant</t>
        </is>
      </c>
      <c r="C134" t="n">
        <v>1</v>
      </c>
      <c r="D134" t="inlineStr">
        <is>
          <t>adesso mobile solutions</t>
        </is>
      </c>
      <c r="E134" t="inlineStr">
        <is>
          <t>Germany</t>
        </is>
      </c>
      <c r="F134" t="inlineStr">
        <is>
          <t>any</t>
        </is>
      </c>
      <c r="G134" t="inlineStr">
        <is>
          <t>middle</t>
        </is>
      </c>
      <c r="H134" t="n">
        <v>600</v>
      </c>
      <c r="I134" t="n">
        <v>1000</v>
      </c>
      <c r="J134" t="n">
        <v>600</v>
      </c>
      <c r="K134" t="n">
        <v>500</v>
      </c>
    </row>
    <row r="135">
      <c r="A135" t="inlineStr">
        <is>
          <t>Test Engineer</t>
        </is>
      </c>
      <c r="B135" t="inlineStr">
        <is>
          <t>Test engineer</t>
        </is>
      </c>
      <c r="C135" t="n">
        <v>1</v>
      </c>
      <c r="D135" t="inlineStr">
        <is>
          <t>adesso mobile solutions</t>
        </is>
      </c>
      <c r="E135" t="inlineStr">
        <is>
          <t>Germany</t>
        </is>
      </c>
      <c r="F135" t="inlineStr">
        <is>
          <t>any</t>
        </is>
      </c>
      <c r="G135" t="inlineStr">
        <is>
          <t>middle</t>
        </is>
      </c>
      <c r="H135" t="n">
        <v>600</v>
      </c>
      <c r="I135" t="n">
        <v>1000</v>
      </c>
      <c r="J135" t="n">
        <v>600</v>
      </c>
      <c r="K135" t="n">
        <v>500</v>
      </c>
    </row>
    <row r="136">
      <c r="A136" t="inlineStr">
        <is>
          <t>Test Engineer</t>
        </is>
      </c>
      <c r="B136" t="inlineStr">
        <is>
          <t>Test Engineer (Smartshore)</t>
        </is>
      </c>
      <c r="C136" t="n">
        <v>0</v>
      </c>
      <c r="D136" t="inlineStr">
        <is>
          <t>any</t>
        </is>
      </c>
      <c r="E136" t="inlineStr">
        <is>
          <t>any</t>
        </is>
      </c>
      <c r="F136" t="inlineStr">
        <is>
          <t>any</t>
        </is>
      </c>
      <c r="G136" t="inlineStr">
        <is>
          <t>any</t>
        </is>
      </c>
      <c r="H136" t="n">
        <v>250</v>
      </c>
      <c r="I136" t="n">
        <v>300</v>
      </c>
      <c r="J136" t="n">
        <v>250</v>
      </c>
      <c r="K136" t="n">
        <v>150</v>
      </c>
    </row>
    <row r="137">
      <c r="A137" t="inlineStr">
        <is>
          <t>Tester</t>
        </is>
      </c>
      <c r="B137" t="inlineStr">
        <is>
          <t>Tester</t>
        </is>
      </c>
      <c r="C137" t="n">
        <v>1</v>
      </c>
      <c r="D137" t="inlineStr">
        <is>
          <t>adesso mobile solutions</t>
        </is>
      </c>
      <c r="E137" t="inlineStr">
        <is>
          <t>Germany</t>
        </is>
      </c>
      <c r="F137" t="inlineStr">
        <is>
          <t>any</t>
        </is>
      </c>
      <c r="G137" t="inlineStr">
        <is>
          <t>middle</t>
        </is>
      </c>
      <c r="H137" t="n">
        <v>600</v>
      </c>
      <c r="I137" t="n">
        <v>1000</v>
      </c>
      <c r="J137" t="n">
        <v>600</v>
      </c>
      <c r="K137" t="n">
        <v>500</v>
      </c>
    </row>
    <row r="138">
      <c r="A138" t="inlineStr">
        <is>
          <t>Lead software developer</t>
        </is>
      </c>
      <c r="B138" t="inlineStr">
        <is>
          <t>Lead software developer</t>
        </is>
      </c>
      <c r="C138" t="n">
        <v>1</v>
      </c>
      <c r="D138" t="inlineStr">
        <is>
          <t>adesso mobile solutions</t>
        </is>
      </c>
      <c r="E138" t="inlineStr">
        <is>
          <t>Germany</t>
        </is>
      </c>
      <c r="F138" t="inlineStr">
        <is>
          <t>any</t>
        </is>
      </c>
      <c r="G138" t="inlineStr">
        <is>
          <t>high</t>
        </is>
      </c>
      <c r="H138" t="n">
        <v>600</v>
      </c>
      <c r="I138" t="n">
        <v>1000</v>
      </c>
      <c r="J138" t="n">
        <v>600</v>
      </c>
      <c r="K138" t="n">
        <v>500</v>
      </c>
    </row>
    <row r="139">
      <c r="A139" t="inlineStr">
        <is>
          <t>Developer</t>
        </is>
      </c>
      <c r="B139" t="inlineStr">
        <is>
          <t>Software Developer</t>
        </is>
      </c>
      <c r="C139" t="n">
        <v>1</v>
      </c>
      <c r="D139" t="inlineStr">
        <is>
          <t>adesso mobile solutions</t>
        </is>
      </c>
      <c r="E139" t="inlineStr">
        <is>
          <t>Germany</t>
        </is>
      </c>
      <c r="F139" t="inlineStr">
        <is>
          <t>any</t>
        </is>
      </c>
      <c r="G139" t="inlineStr">
        <is>
          <t>middle</t>
        </is>
      </c>
      <c r="H139" t="n">
        <v>600</v>
      </c>
      <c r="I139" t="n">
        <v>1000</v>
      </c>
      <c r="J139" t="n">
        <v>600</v>
      </c>
      <c r="K139" t="n">
        <v>500</v>
      </c>
    </row>
    <row r="140">
      <c r="A140" t="inlineStr">
        <is>
          <t>Developer</t>
        </is>
      </c>
      <c r="B140" t="inlineStr">
        <is>
          <t>Software Developer (Smartshore)</t>
        </is>
      </c>
      <c r="C140" t="n">
        <v>0</v>
      </c>
      <c r="D140" t="inlineStr">
        <is>
          <t>any</t>
        </is>
      </c>
      <c r="E140" t="inlineStr">
        <is>
          <t>any</t>
        </is>
      </c>
      <c r="F140" t="inlineStr">
        <is>
          <t>any</t>
        </is>
      </c>
      <c r="G140" t="inlineStr">
        <is>
          <t>any</t>
        </is>
      </c>
      <c r="H140" t="n">
        <v>250</v>
      </c>
      <c r="I140" t="n">
        <v>300</v>
      </c>
      <c r="J140" t="n">
        <v>250</v>
      </c>
      <c r="K140" t="n">
        <v>150</v>
      </c>
    </row>
    <row r="141">
      <c r="A141" t="inlineStr">
        <is>
          <t>Scrum Master</t>
        </is>
      </c>
      <c r="B141" t="inlineStr">
        <is>
          <t>Scrum Master</t>
        </is>
      </c>
      <c r="C141" t="n">
        <v>1</v>
      </c>
      <c r="D141" t="inlineStr">
        <is>
          <t>adesso mobile solutions</t>
        </is>
      </c>
      <c r="E141" t="inlineStr">
        <is>
          <t>Germany</t>
        </is>
      </c>
      <c r="F141" t="inlineStr">
        <is>
          <t>any</t>
        </is>
      </c>
      <c r="G141" t="inlineStr">
        <is>
          <t>high</t>
        </is>
      </c>
      <c r="H141" t="n">
        <v>600</v>
      </c>
      <c r="I141" t="n">
        <v>1000</v>
      </c>
      <c r="J141" t="n">
        <v>600</v>
      </c>
      <c r="K141" t="n">
        <v>500</v>
      </c>
    </row>
    <row r="143">
      <c r="A143" t="inlineStr">
        <is>
          <t>ID</t>
        </is>
      </c>
      <c r="B143" t="inlineStr">
        <is>
          <t>Range (for query)</t>
        </is>
      </c>
      <c r="C143" t="inlineStr">
        <is>
          <t>Feature group</t>
        </is>
      </c>
      <c r="D143" t="inlineStr">
        <is>
          <t>Feature sub group</t>
        </is>
      </c>
      <c r="E143" t="inlineStr">
        <is>
          <t>Feature</t>
        </is>
      </c>
      <c r="F143" t="inlineStr">
        <is>
          <t>Sub feature</t>
        </is>
      </c>
      <c r="G143" t="inlineStr">
        <is>
          <t>Description</t>
        </is>
      </c>
      <c r="H143" t="inlineStr">
        <is>
          <t>Assumptions</t>
        </is>
      </c>
      <c r="I143" t="inlineStr">
        <is>
          <t>Reference ID</t>
        </is>
      </c>
      <c r="J143" t="inlineStr">
        <is>
          <t>Feature task 1</t>
        </is>
      </c>
      <c r="K143" t="inlineStr">
        <is>
          <t>Feature task 2</t>
        </is>
      </c>
      <c r="L143" t="inlineStr">
        <is>
          <t>Feature task 3</t>
        </is>
      </c>
      <c r="M143" t="inlineStr">
        <is>
          <t>Feature task 4</t>
        </is>
      </c>
      <c r="N143" t="inlineStr">
        <is>
          <t>Feature task 5</t>
        </is>
      </c>
      <c r="O143" t="inlineStr">
        <is>
          <t>Feature task 6</t>
        </is>
      </c>
      <c r="P143" t="inlineStr">
        <is>
          <t>Feature task 7</t>
        </is>
      </c>
      <c r="Q143" t="inlineStr">
        <is>
          <t>Feature task 8</t>
        </is>
      </c>
      <c r="R143" t="inlineStr">
        <is>
          <t>Feature task 9</t>
        </is>
      </c>
      <c r="S143" t="inlineStr">
        <is>
          <t>Feature task 10</t>
        </is>
      </c>
    </row>
    <row r="146">
      <c r="A146" t="inlineStr">
        <is>
          <t>Feature task</t>
        </is>
      </c>
      <c r="B146" t="inlineStr">
        <is>
          <t>Description</t>
        </is>
      </c>
      <c r="C146" t="inlineStr">
        <is>
          <t>Average Percentage</t>
        </is>
      </c>
      <c r="D146" t="inlineStr">
        <is>
          <t>Key task</t>
        </is>
      </c>
    </row>
    <row r="147">
      <c r="A147" t="inlineStr">
        <is>
          <t>UX Design</t>
        </is>
      </c>
      <c r="B147" t="inlineStr">
        <is>
          <t>Development of wireframes, prototypes, featuremap, implementation of user research</t>
        </is>
      </c>
      <c r="C147" t="n">
        <v>0.1</v>
      </c>
      <c r="D147" t="inlineStr">
        <is>
          <t>no</t>
        </is>
      </c>
    </row>
    <row r="148">
      <c r="A148" t="inlineStr">
        <is>
          <t>UI Design</t>
        </is>
      </c>
      <c r="B148" t="inlineStr">
        <is>
          <t>Design of user interface, screens and views, development of design concept</t>
        </is>
      </c>
      <c r="C148" t="n">
        <v>0.1</v>
      </c>
      <c r="D148" t="inlineStr">
        <is>
          <t>no</t>
        </is>
      </c>
    </row>
    <row r="149">
      <c r="A149" t="inlineStr">
        <is>
          <t>Development</t>
        </is>
      </c>
      <c r="B149" t="inlineStr">
        <is>
          <t>Mobile app development and developer testing</t>
        </is>
      </c>
      <c r="C149" t="n">
        <v>0.5</v>
      </c>
      <c r="D149" t="inlineStr">
        <is>
          <t>yes</t>
        </is>
      </c>
    </row>
    <row r="150">
      <c r="A150" t="inlineStr">
        <is>
          <t>Quality assurance</t>
        </is>
      </c>
      <c r="B150" t="inlineStr">
        <is>
          <t>Test case creation, system-, integration- and user acceptance testing; retesting in case of defects during the development process as well as regression testing in case of multiple releases</t>
        </is>
      </c>
      <c r="C150" t="n">
        <v>0.25</v>
      </c>
      <c r="D150" t="inlineStr">
        <is>
          <t>no</t>
        </is>
      </c>
    </row>
    <row r="151">
      <c r="A151" t="inlineStr">
        <is>
          <t>Bug fixing</t>
        </is>
      </c>
      <c r="B151" t="inlineStr">
        <is>
          <t>Bug handling after delivery for acceptance (BzA); service includes development and test</t>
        </is>
      </c>
      <c r="C151" t="n">
        <v>0.05</v>
      </c>
      <c r="D151"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4.xml><?xml version="1.0" encoding="utf-8"?>
<worksheet xmlns="http://schemas.openxmlformats.org/spreadsheetml/2006/main">
  <sheetPr codeName="Tabelle15">
    <tabColor theme="5" tint="0.7999816888943144"/>
    <outlinePr summaryBelow="1" summaryRight="1"/>
    <pageSetUpPr/>
  </sheetPr>
  <dimension ref="A1:AT117"/>
  <sheetViews>
    <sheetView workbookViewId="0">
      <selection activeCell="K38" sqref="K38"/>
    </sheetView>
  </sheetViews>
  <sheetFormatPr baseColWidth="10" defaultColWidth="11.5" defaultRowHeight="15"/>
  <sheetData>
    <row r="1">
      <c r="A1" t="inlineStr">
        <is>
          <t>Key</t>
        </is>
      </c>
      <c r="B1" t="inlineStr">
        <is>
          <t>Value</t>
        </is>
      </c>
    </row>
    <row r="2">
      <c r="A2" t="inlineStr">
        <is>
          <t>Proposal title</t>
        </is>
      </c>
      <c r="B2" t="inlineStr">
        <is>
          <t>Barrierefreiheitsprüfungen (a11y)</t>
        </is>
      </c>
    </row>
    <row r="3">
      <c r="A3" t="inlineStr">
        <is>
          <t>Contract type</t>
        </is>
      </c>
      <c r="B3" t="inlineStr">
        <is>
          <t>Service contract (T&amp;M)</t>
        </is>
      </c>
    </row>
    <row r="4">
      <c r="A4" t="inlineStr">
        <is>
          <t>Customer</t>
        </is>
      </c>
      <c r="B4" t="inlineStr">
        <is>
          <t>&lt;name of customer&gt;</t>
        </is>
      </c>
    </row>
    <row r="5">
      <c r="A5" t="inlineStr">
        <is>
          <t>Contractor</t>
        </is>
      </c>
      <c r="B5" t="inlineStr">
        <is>
          <t>adesso mobile solutions</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10_Planung</t>
        </is>
      </c>
      <c r="D27" t="inlineStr">
        <is>
          <t>Projektinitialisierung und -planung</t>
        </is>
      </c>
      <c r="E27" t="inlineStr">
        <is>
          <t>Initialisierung und Planung des Projektes; Erstellung eines Projekthandbuchs, der Berichtsvorlage, Beschaffung der Ressourcen, Aufsetzen des Projektcontrollings usw - Details siehe ams-Wiki "Projektmanagement"</t>
        </is>
      </c>
      <c r="I27" t="n">
        <v>0</v>
      </c>
      <c r="K27" t="inlineStr">
        <is>
          <t>min(1%*[#total1],0.5)</t>
        </is>
      </c>
      <c r="P27" t="inlineStr">
        <is>
          <t>no</t>
        </is>
      </c>
      <c r="R27" t="inlineStr">
        <is>
          <t>f100</t>
        </is>
      </c>
    </row>
    <row r="28">
      <c r="A28" t="inlineStr">
        <is>
          <t>P-20</t>
        </is>
      </c>
      <c r="C28" t="inlineStr">
        <is>
          <t>10_Planung</t>
        </is>
      </c>
      <c r="D28" t="inlineStr">
        <is>
          <t>Projekt Kick Off-Meeting</t>
        </is>
      </c>
      <c r="E28" t="inlineStr">
        <is>
          <t>Internes und ggf. externes Meeting, Teilnahme, Vor- und Nachbereitung</t>
        </is>
      </c>
      <c r="I28" t="n">
        <v>0</v>
      </c>
      <c r="K28" t="inlineStr">
        <is>
          <t>[#teamsize]*0.25+1</t>
        </is>
      </c>
      <c r="P28" t="inlineStr">
        <is>
          <t>no</t>
        </is>
      </c>
      <c r="R28" t="inlineStr">
        <is>
          <t>f50</t>
        </is>
      </c>
      <c r="S28" t="inlineStr">
        <is>
          <t>f25</t>
        </is>
      </c>
      <c r="U28" t="inlineStr">
        <is>
          <t>f25</t>
        </is>
      </c>
    </row>
    <row r="29">
      <c r="A29" t="inlineStr">
        <is>
          <t>P-30</t>
        </is>
      </c>
      <c r="C29" t="inlineStr">
        <is>
          <t>20_Durchführung</t>
        </is>
      </c>
      <c r="D29" t="inlineStr">
        <is>
          <t>Durchführung &amp; Dokumentation</t>
        </is>
      </c>
      <c r="E29" t="inlineStr">
        <is>
          <t>Feature task 'Durchführung &amp; Dokumentation'</t>
        </is>
      </c>
      <c r="F29" t="inlineStr">
        <is>
          <t>FT#1</t>
        </is>
      </c>
      <c r="I29" t="n">
        <v>0</v>
      </c>
      <c r="J29" t="inlineStr">
        <is>
          <t>[dev]</t>
        </is>
      </c>
      <c r="P29" t="inlineStr">
        <is>
          <t>no</t>
        </is>
      </c>
      <c r="S29" t="inlineStr">
        <is>
          <t>f100</t>
        </is>
      </c>
    </row>
    <row r="30">
      <c r="A30" t="inlineStr">
        <is>
          <t>P-40</t>
        </is>
      </c>
      <c r="C30" t="inlineStr">
        <is>
          <t>20_Durchführung</t>
        </is>
      </c>
      <c r="D30" t="inlineStr">
        <is>
          <t>Qualitätssicherrung</t>
        </is>
      </c>
      <c r="E30" t="inlineStr">
        <is>
          <t>Feature task 'Qualitätssicherung'</t>
        </is>
      </c>
      <c r="F30" t="inlineStr">
        <is>
          <t>FT#2</t>
        </is>
      </c>
      <c r="I30" t="n">
        <v>0</v>
      </c>
      <c r="J30" t="inlineStr">
        <is>
          <t>[qs]</t>
        </is>
      </c>
      <c r="P30" t="inlineStr">
        <is>
          <t>no</t>
        </is>
      </c>
      <c r="U30" t="inlineStr">
        <is>
          <t>f100</t>
        </is>
      </c>
    </row>
    <row r="31">
      <c r="A31" t="inlineStr">
        <is>
          <t>P-50</t>
        </is>
      </c>
      <c r="C31" t="inlineStr">
        <is>
          <t>20_Durchführung</t>
        </is>
      </c>
      <c r="D31" t="inlineStr">
        <is>
          <t>Fehlerbearb. nach QS</t>
        </is>
      </c>
      <c r="E31" t="inlineStr">
        <is>
          <t>Feature task 'Fehlerbearb. nach QS'</t>
        </is>
      </c>
      <c r="F31" t="inlineStr">
        <is>
          <t>FT#3</t>
        </is>
      </c>
      <c r="I31" t="n">
        <v>0</v>
      </c>
      <c r="P31" t="inlineStr">
        <is>
          <t>no</t>
        </is>
      </c>
      <c r="S31" t="inlineStr">
        <is>
          <t>f100</t>
        </is>
      </c>
    </row>
    <row r="32">
      <c r="A32" t="inlineStr">
        <is>
          <t>P-60</t>
        </is>
      </c>
      <c r="C32" t="inlineStr">
        <is>
          <t>30_Abschluss</t>
        </is>
      </c>
      <c r="D32" t="inlineStr">
        <is>
          <t>Übergabe an Kunde</t>
        </is>
      </c>
      <c r="E32" t="inlineStr">
        <is>
          <t>Auf- und Vorbereitung des Prüfberichtes inkl. Erstellung der Präsentation, Vor- und Nachbereitung des Übergabetermins</t>
        </is>
      </c>
      <c r="I32" t="n">
        <v>0</v>
      </c>
      <c r="K32" t="inlineStr">
        <is>
          <t>max([#total1]*5%,5)</t>
        </is>
      </c>
      <c r="P32" t="inlineStr">
        <is>
          <t>no</t>
        </is>
      </c>
      <c r="R32" t="inlineStr">
        <is>
          <t>f20</t>
        </is>
      </c>
      <c r="S32" t="inlineStr">
        <is>
          <t>f70</t>
        </is>
      </c>
      <c r="U32" t="inlineStr">
        <is>
          <t>f10</t>
        </is>
      </c>
    </row>
    <row r="33">
      <c r="A33" t="inlineStr">
        <is>
          <t>P-70</t>
        </is>
      </c>
      <c r="C33" t="inlineStr">
        <is>
          <t>10_Übergreifende Aufgaben</t>
        </is>
      </c>
      <c r="D33" t="inlineStr">
        <is>
          <t>Projektmanagement</t>
        </is>
      </c>
      <c r="E33" t="inlineStr">
        <is>
          <t>PL begleitet über alle Projektphasen hinweg. U.a. zur Koordination der Abläufe, Kommunikation, Reporting, Risiko-, Stakeholdermgmt, Ressourcenmgmt</t>
        </is>
      </c>
      <c r="I33" t="n">
        <v>0</v>
      </c>
      <c r="J33" t="inlineStr">
        <is>
          <t>[pmeff]</t>
        </is>
      </c>
      <c r="K33" t="inlineStr">
        <is>
          <t>[#total1]*20%</t>
        </is>
      </c>
      <c r="P33" t="inlineStr">
        <is>
          <t>no</t>
        </is>
      </c>
      <c r="R33" t="inlineStr">
        <is>
          <t>f100</t>
        </is>
      </c>
    </row>
    <row r="34">
      <c r="A34" t="inlineStr">
        <is>
          <t>P-80</t>
        </is>
      </c>
      <c r="C34" t="inlineStr">
        <is>
          <t>10_Übergreifende Aufgaben</t>
        </is>
      </c>
      <c r="D34" t="inlineStr">
        <is>
          <t>Durchführung Meetings inkl. Scrum-Meetings</t>
        </is>
      </c>
      <c r="E34" t="inlineStr">
        <is>
          <t xml:space="preserve">Wird ausschließlich für große a11y-Projekte angeraten, Daily, Sprint Planning, Retrospektive, Backlog Refinement, Sprint Review (auf Basis voraussichtliche Anzahl Teammitglieder, Projektdauer) </t>
        </is>
      </c>
      <c r="I34" t="n">
        <v>0</v>
      </c>
      <c r="K34" t="inlineStr">
        <is>
          <t>[#projectlength]*[#teamsize]*0.15625+[#sprints]*[#teamsize]*0.5+[#sprints]*50%</t>
        </is>
      </c>
      <c r="P34" t="inlineStr">
        <is>
          <t>no</t>
        </is>
      </c>
      <c r="Q34" t="inlineStr">
        <is>
          <t>f100</t>
        </is>
      </c>
    </row>
    <row r="35">
      <c r="A35" t="inlineStr">
        <is>
          <t>P-90</t>
        </is>
      </c>
      <c r="C35" t="inlineStr">
        <is>
          <t>10_Übergreifende Aufgaben</t>
        </is>
      </c>
      <c r="D35" t="inlineStr">
        <is>
          <t>Meetings &amp; Abstimmungen</t>
        </is>
      </c>
      <c r="E35" t="inlineStr">
        <is>
          <t>Sofern kein Scrum gewählt wird, sind zwingend Aufwände für die Abstimmung zwischen QS, Kunde und Berater einzuplanen. Zu Berücksichtigen ist der erhöhte Beratungsaufwand in a11y Projekten</t>
        </is>
      </c>
      <c r="I35" t="n">
        <v>0</v>
      </c>
      <c r="K35" t="inlineStr">
        <is>
          <t>[dev]*7%</t>
        </is>
      </c>
      <c r="P35" t="inlineStr">
        <is>
          <t>no</t>
        </is>
      </c>
      <c r="R35" t="inlineStr">
        <is>
          <t>f30</t>
        </is>
      </c>
      <c r="S35" t="inlineStr">
        <is>
          <t>f35</t>
        </is>
      </c>
      <c r="U35" t="inlineStr">
        <is>
          <t>f35</t>
        </is>
      </c>
    </row>
    <row r="36">
      <c r="A36" t="inlineStr">
        <is>
          <t>P-100</t>
        </is>
      </c>
      <c r="C36" t="inlineStr">
        <is>
          <t>90_Reisezeiten</t>
        </is>
      </c>
      <c r="D36" t="inlineStr">
        <is>
          <t>Reisezeiten</t>
        </is>
      </c>
      <c r="E36" t="inlineStr">
        <is>
          <t>Reisezeiten</t>
        </is>
      </c>
      <c r="F36" t="inlineStr">
        <is>
          <t>TT</t>
        </is>
      </c>
      <c r="I36" t="n">
        <v>0</v>
      </c>
      <c r="J36" t="inlineStr">
        <is>
          <t>[traveltime]</t>
        </is>
      </c>
      <c r="K36" t="inlineStr">
        <is>
          <t>10%*[#total1]</t>
        </is>
      </c>
      <c r="P36" t="inlineStr">
        <is>
          <t>no</t>
        </is>
      </c>
      <c r="Q36" t="inlineStr">
        <is>
          <t>f100</t>
        </is>
      </c>
    </row>
    <row r="38">
      <c r="A38" t="inlineStr">
        <is>
          <t>Seniority Level</t>
        </is>
      </c>
    </row>
    <row r="39">
      <c r="A39" s="290" t="inlineStr">
        <is>
          <t>any</t>
        </is>
      </c>
    </row>
    <row r="40">
      <c r="A40" s="290" t="inlineStr">
        <is>
          <t>very low</t>
        </is>
      </c>
    </row>
    <row r="41">
      <c r="A41" s="290" t="inlineStr">
        <is>
          <t>low</t>
        </is>
      </c>
    </row>
    <row r="42">
      <c r="A42" s="290" t="inlineStr">
        <is>
          <t>middle</t>
        </is>
      </c>
    </row>
    <row r="43">
      <c r="A43" s="290" t="inlineStr">
        <is>
          <t>high</t>
        </is>
      </c>
    </row>
    <row r="44">
      <c r="A44" s="290" t="inlineStr">
        <is>
          <t>very high</t>
        </is>
      </c>
    </row>
    <row r="46">
      <c r="A46" t="inlineStr">
        <is>
          <t>Location</t>
        </is>
      </c>
    </row>
    <row r="47">
      <c r="A47" s="290" t="inlineStr">
        <is>
          <t>any</t>
        </is>
      </c>
    </row>
    <row r="48">
      <c r="A48" s="290" t="inlineStr">
        <is>
          <t>Onsite</t>
        </is>
      </c>
    </row>
    <row r="49">
      <c r="A49" s="290" t="inlineStr">
        <is>
          <t>Offsite</t>
        </is>
      </c>
    </row>
    <row r="50">
      <c r="A50" s="290" t="inlineStr">
        <is>
          <t>On-/Offsite</t>
        </is>
      </c>
    </row>
    <row r="51">
      <c r="A51" s="290" t="inlineStr">
        <is>
          <t>Nearshore</t>
        </is>
      </c>
    </row>
    <row r="52">
      <c r="A52" s="290" t="inlineStr">
        <is>
          <t>Offshore</t>
        </is>
      </c>
    </row>
    <row r="54">
      <c r="A54" t="inlineStr">
        <is>
          <t>Company</t>
        </is>
      </c>
      <c r="B54" s="81" t="inlineStr">
        <is>
          <t>Accounting-related company</t>
        </is>
      </c>
    </row>
    <row r="55">
      <c r="A55" s="290" t="inlineStr">
        <is>
          <t>any</t>
        </is>
      </c>
      <c r="B55" s="292" t="inlineStr">
        <is>
          <t>no</t>
        </is>
      </c>
    </row>
    <row r="56">
      <c r="A56" s="290" t="inlineStr">
        <is>
          <t>adesso SE</t>
        </is>
      </c>
      <c r="B56" s="292" t="inlineStr">
        <is>
          <t>yes</t>
        </is>
      </c>
    </row>
    <row r="57">
      <c r="A57" s="290" t="inlineStr">
        <is>
          <t>adesso as a service</t>
        </is>
      </c>
      <c r="B57" s="292" t="inlineStr">
        <is>
          <t>no</t>
        </is>
      </c>
    </row>
    <row r="58">
      <c r="A58" s="290" t="inlineStr">
        <is>
          <t>adesso Austria</t>
        </is>
      </c>
      <c r="B58" s="292" t="inlineStr">
        <is>
          <t>no</t>
        </is>
      </c>
    </row>
    <row r="59">
      <c r="A59" s="290" t="inlineStr">
        <is>
          <t>adesso benefit solutions</t>
        </is>
      </c>
      <c r="B59" s="292" t="inlineStr">
        <is>
          <t>no</t>
        </is>
      </c>
    </row>
    <row r="60">
      <c r="A60" s="290" t="inlineStr">
        <is>
          <t>adesso Bulgaria</t>
        </is>
      </c>
      <c r="B60" s="292" t="inlineStr">
        <is>
          <t>no</t>
        </is>
      </c>
    </row>
    <row r="61">
      <c r="A61" s="290" t="inlineStr">
        <is>
          <t>adesso Finland</t>
        </is>
      </c>
      <c r="B61" s="292" t="inlineStr">
        <is>
          <t>no</t>
        </is>
      </c>
    </row>
    <row r="62">
      <c r="A62" s="290" t="inlineStr">
        <is>
          <t>adesso health solutions</t>
        </is>
      </c>
      <c r="B62" s="292" t="inlineStr">
        <is>
          <t>no</t>
        </is>
      </c>
    </row>
    <row r="63">
      <c r="A63" s="290" t="inlineStr">
        <is>
          <t>adesso Hungary</t>
        </is>
      </c>
      <c r="B63" s="292" t="inlineStr">
        <is>
          <t>no</t>
        </is>
      </c>
    </row>
    <row r="64">
      <c r="A64" s="290" t="inlineStr">
        <is>
          <t>adesso India</t>
        </is>
      </c>
      <c r="B64" s="292" t="inlineStr">
        <is>
          <t>no</t>
        </is>
      </c>
    </row>
    <row r="65">
      <c r="A65" s="290" t="inlineStr">
        <is>
          <t>adesso insurance solutions</t>
        </is>
      </c>
      <c r="B65" s="292" t="inlineStr">
        <is>
          <t>yes</t>
        </is>
      </c>
    </row>
    <row r="66">
      <c r="A66" s="290" t="inlineStr">
        <is>
          <t>adesso Italy</t>
        </is>
      </c>
      <c r="B66" s="292" t="inlineStr">
        <is>
          <t>no</t>
        </is>
      </c>
    </row>
    <row r="67">
      <c r="A67" s="290" t="inlineStr">
        <is>
          <t>adesso Lakes</t>
        </is>
      </c>
      <c r="B67" s="292" t="inlineStr">
        <is>
          <t>no</t>
        </is>
      </c>
    </row>
    <row r="68">
      <c r="A68" s="290" t="inlineStr">
        <is>
          <t>adesso mobile solutions</t>
        </is>
      </c>
      <c r="B68" s="292" t="inlineStr">
        <is>
          <t>yes</t>
        </is>
      </c>
    </row>
    <row r="69">
      <c r="A69" s="290" t="inlineStr">
        <is>
          <t>adesso Netherlands</t>
        </is>
      </c>
      <c r="B69" s="292" t="inlineStr">
        <is>
          <t>no</t>
        </is>
      </c>
    </row>
    <row r="70">
      <c r="A70" s="290" t="inlineStr">
        <is>
          <t>adesso orange</t>
        </is>
      </c>
      <c r="B70" s="292" t="inlineStr">
        <is>
          <t>yes</t>
        </is>
      </c>
    </row>
    <row r="71">
      <c r="A71" s="290" t="inlineStr">
        <is>
          <t>adesso partner trust</t>
        </is>
      </c>
      <c r="B71" s="292" t="inlineStr">
        <is>
          <t>no</t>
        </is>
      </c>
    </row>
    <row r="72">
      <c r="A72" s="290" t="inlineStr">
        <is>
          <t>adesso Romania</t>
        </is>
      </c>
      <c r="B72" s="292" t="inlineStr">
        <is>
          <t>no</t>
        </is>
      </c>
    </row>
    <row r="73">
      <c r="A73" s="290" t="inlineStr">
        <is>
          <t>adesso Spain</t>
        </is>
      </c>
      <c r="B73" s="292" t="inlineStr">
        <is>
          <t>no</t>
        </is>
      </c>
    </row>
    <row r="74">
      <c r="A74" s="290" t="inlineStr">
        <is>
          <t>adesso Sweden</t>
        </is>
      </c>
      <c r="B74" s="292" t="inlineStr">
        <is>
          <t>no</t>
        </is>
      </c>
    </row>
    <row r="75">
      <c r="A75" s="290" t="inlineStr">
        <is>
          <t>adesso Switzerland</t>
        </is>
      </c>
      <c r="B75" s="292" t="inlineStr">
        <is>
          <t>no</t>
        </is>
      </c>
    </row>
    <row r="76">
      <c r="A76" s="290" t="inlineStr">
        <is>
          <t>adesso Turkey</t>
        </is>
      </c>
      <c r="B76" s="292" t="inlineStr">
        <is>
          <t>no</t>
        </is>
      </c>
    </row>
    <row r="77">
      <c r="A77" s="290" t="inlineStr">
        <is>
          <t>Afida</t>
        </is>
      </c>
      <c r="B77" s="292" t="inlineStr">
        <is>
          <t>no</t>
        </is>
      </c>
    </row>
    <row r="78">
      <c r="A78" s="290" t="inlineStr">
        <is>
          <t>alleato adessekuranzmakler</t>
        </is>
      </c>
      <c r="B78" s="292" t="inlineStr">
        <is>
          <t>no</t>
        </is>
      </c>
    </row>
    <row r="79">
      <c r="A79" s="290" t="inlineStr">
        <is>
          <t>amis</t>
        </is>
      </c>
      <c r="B79" s="292" t="inlineStr">
        <is>
          <t>no</t>
        </is>
      </c>
    </row>
    <row r="80">
      <c r="A80" s="290" t="inlineStr">
        <is>
          <t>KIWI Consulting</t>
        </is>
      </c>
      <c r="B80" s="292" t="inlineStr">
        <is>
          <t>no</t>
        </is>
      </c>
    </row>
    <row r="81">
      <c r="A81" s="290" t="inlineStr">
        <is>
          <t>material.one</t>
        </is>
      </c>
      <c r="B81" s="292" t="inlineStr">
        <is>
          <t>no</t>
        </is>
      </c>
    </row>
    <row r="82">
      <c r="A82" s="290" t="inlineStr">
        <is>
          <t>medgineering</t>
        </is>
      </c>
      <c r="B82" s="292" t="inlineStr">
        <is>
          <t>no</t>
        </is>
      </c>
    </row>
    <row r="83">
      <c r="A83" s="290" t="inlineStr">
        <is>
          <t>percision</t>
        </is>
      </c>
      <c r="B83" s="292" t="inlineStr">
        <is>
          <t>no</t>
        </is>
      </c>
    </row>
    <row r="84">
      <c r="A84" s="290" t="inlineStr">
        <is>
          <t>Reachbird</t>
        </is>
      </c>
      <c r="B84" s="292" t="inlineStr">
        <is>
          <t>no</t>
        </is>
      </c>
    </row>
    <row r="85">
      <c r="A85" s="290" t="inlineStr">
        <is>
          <t>urban engergy</t>
        </is>
      </c>
      <c r="B85" s="292" t="inlineStr">
        <is>
          <t>no</t>
        </is>
      </c>
    </row>
    <row r="86">
      <c r="A86" s="290" t="inlineStr">
        <is>
          <t>WEPEX</t>
        </is>
      </c>
      <c r="B86" s="292" t="inlineStr">
        <is>
          <t>no</t>
        </is>
      </c>
    </row>
    <row r="88">
      <c r="A88" t="inlineStr">
        <is>
          <t>Country</t>
        </is>
      </c>
      <c r="B88" s="198" t="inlineStr">
        <is>
          <t>Inflation rate</t>
        </is>
      </c>
    </row>
    <row r="89">
      <c r="A89" s="290" t="inlineStr">
        <is>
          <t>any</t>
        </is>
      </c>
      <c r="B89" s="395" t="n">
        <v>0.02</v>
      </c>
    </row>
    <row r="90">
      <c r="A90" s="290" t="inlineStr">
        <is>
          <t>Germany</t>
        </is>
      </c>
      <c r="B90" s="395" t="n">
        <v>0.02</v>
      </c>
    </row>
    <row r="91">
      <c r="A91" s="290" t="inlineStr">
        <is>
          <t>Austria</t>
        </is>
      </c>
      <c r="B91" s="395" t="n">
        <v>0.035</v>
      </c>
    </row>
    <row r="92">
      <c r="A92" s="290" t="inlineStr">
        <is>
          <t>Bulgaria</t>
        </is>
      </c>
      <c r="B92" s="395" t="n">
        <v>0.03</v>
      </c>
    </row>
    <row r="93">
      <c r="A93" s="290" t="inlineStr">
        <is>
          <t>Finland</t>
        </is>
      </c>
      <c r="B93" s="395" t="n">
        <v>0.015</v>
      </c>
    </row>
    <row r="94">
      <c r="A94" s="290" t="inlineStr">
        <is>
          <t>Hungary</t>
        </is>
      </c>
      <c r="B94" s="395" t="n">
        <v>0.035</v>
      </c>
    </row>
    <row r="95">
      <c r="A95" s="290" t="inlineStr">
        <is>
          <t>India</t>
        </is>
      </c>
      <c r="B95" s="395" t="n">
        <v>0.055</v>
      </c>
    </row>
    <row r="96">
      <c r="A96" s="290" t="inlineStr">
        <is>
          <t>Italy</t>
        </is>
      </c>
      <c r="B96" s="395" t="n">
        <v>0.015</v>
      </c>
    </row>
    <row r="97">
      <c r="A97" s="290" t="inlineStr">
        <is>
          <t>Netherlands</t>
        </is>
      </c>
      <c r="B97" s="395" t="n">
        <v>0.025</v>
      </c>
    </row>
    <row r="98">
      <c r="A98" s="290" t="inlineStr">
        <is>
          <t>Romania</t>
        </is>
      </c>
      <c r="B98" s="395" t="n">
        <v>0.06</v>
      </c>
    </row>
    <row r="99">
      <c r="A99" s="290" t="inlineStr">
        <is>
          <t>Spain</t>
        </is>
      </c>
      <c r="B99" s="395" t="n">
        <v>0.025</v>
      </c>
    </row>
    <row r="100">
      <c r="A100" s="290" t="inlineStr">
        <is>
          <t>Sweden</t>
        </is>
      </c>
      <c r="B100" s="395" t="n">
        <v>0.025</v>
      </c>
    </row>
    <row r="101">
      <c r="A101" s="290" t="inlineStr">
        <is>
          <t>Switzerland</t>
        </is>
      </c>
      <c r="B101" s="395" t="n">
        <v>0.02</v>
      </c>
    </row>
    <row r="102">
      <c r="A102" s="290" t="inlineStr">
        <is>
          <t>Turkey</t>
        </is>
      </c>
      <c r="B102" s="395" t="n">
        <v>0.5</v>
      </c>
    </row>
    <row r="104">
      <c r="A104" t="inlineStr">
        <is>
          <t>Project role</t>
        </is>
      </c>
      <c r="B104" t="inlineStr">
        <is>
          <t>Sub role</t>
        </is>
      </c>
      <c r="C104" t="inlineStr">
        <is>
          <t>Percentage</t>
        </is>
      </c>
      <c r="D104" t="inlineStr">
        <is>
          <t>Company</t>
        </is>
      </c>
      <c r="E104" t="inlineStr">
        <is>
          <t>Country</t>
        </is>
      </c>
      <c r="F104" t="inlineStr">
        <is>
          <t>Location</t>
        </is>
      </c>
      <c r="G104" t="inlineStr">
        <is>
          <t>Seniority Level</t>
        </is>
      </c>
      <c r="H104" t="inlineStr">
        <is>
          <t>Daily costs</t>
        </is>
      </c>
      <c r="I104" t="inlineStr">
        <is>
          <t>Daily rate</t>
        </is>
      </c>
      <c r="J104" t="inlineStr">
        <is>
          <t>Daily costs (travel time)</t>
        </is>
      </c>
      <c r="K104" t="inlineStr">
        <is>
          <t>Daily rate (travel time)</t>
        </is>
      </c>
    </row>
    <row r="105">
      <c r="A105" t="inlineStr">
        <is>
          <t>Any role</t>
        </is>
      </c>
      <c r="B105" t="inlineStr">
        <is>
          <t>Any role</t>
        </is>
      </c>
      <c r="C105" t="n">
        <v>1</v>
      </c>
      <c r="D105" t="inlineStr">
        <is>
          <t>any</t>
        </is>
      </c>
      <c r="E105" t="inlineStr">
        <is>
          <t>any</t>
        </is>
      </c>
      <c r="F105" t="inlineStr">
        <is>
          <t>any</t>
        </is>
      </c>
      <c r="G105" t="inlineStr">
        <is>
          <t>any</t>
        </is>
      </c>
      <c r="H105" t="n">
        <v>600</v>
      </c>
      <c r="I105" t="n">
        <v>1000</v>
      </c>
      <c r="J105" t="n">
        <v>600</v>
      </c>
      <c r="K105" t="n">
        <v>0</v>
      </c>
    </row>
    <row r="106">
      <c r="A106" t="inlineStr">
        <is>
          <t>Projektmanager</t>
        </is>
      </c>
      <c r="B106" t="inlineStr">
        <is>
          <t>Projektmanager</t>
        </is>
      </c>
      <c r="C106" t="n">
        <v>1</v>
      </c>
      <c r="D106" t="inlineStr">
        <is>
          <t>adesso mobile solutions</t>
        </is>
      </c>
      <c r="E106" t="inlineStr">
        <is>
          <t>Germany</t>
        </is>
      </c>
      <c r="F106" t="inlineStr">
        <is>
          <t>any</t>
        </is>
      </c>
      <c r="G106" t="inlineStr">
        <is>
          <t>very high</t>
        </is>
      </c>
      <c r="H106" t="n">
        <v>600</v>
      </c>
      <c r="I106" t="n">
        <v>1000</v>
      </c>
      <c r="J106" t="n">
        <v>600</v>
      </c>
      <c r="K106" t="n">
        <v>0</v>
      </c>
    </row>
    <row r="107">
      <c r="A107" t="inlineStr">
        <is>
          <t>Consultant BF (senior)</t>
        </is>
      </c>
      <c r="B107" t="inlineStr">
        <is>
          <t>Consultant BF (senior)</t>
        </is>
      </c>
      <c r="C107" t="n">
        <v>1</v>
      </c>
      <c r="D107" t="inlineStr">
        <is>
          <t>adesso mobile solutions</t>
        </is>
      </c>
      <c r="E107" t="inlineStr">
        <is>
          <t>Germany</t>
        </is>
      </c>
      <c r="F107" t="inlineStr">
        <is>
          <t>any</t>
        </is>
      </c>
      <c r="G107" t="inlineStr">
        <is>
          <t>high</t>
        </is>
      </c>
      <c r="H107" t="n">
        <v>600</v>
      </c>
      <c r="I107" t="n">
        <v>1000</v>
      </c>
      <c r="J107" t="n">
        <v>600</v>
      </c>
      <c r="K107" t="n">
        <v>0</v>
      </c>
    </row>
    <row r="108">
      <c r="A108" t="inlineStr">
        <is>
          <t>Consultant BF</t>
        </is>
      </c>
      <c r="B108" t="inlineStr">
        <is>
          <t>Consultant BF</t>
        </is>
      </c>
      <c r="C108" t="n">
        <v>1</v>
      </c>
      <c r="D108" t="inlineStr">
        <is>
          <t>adesso mobile solutions</t>
        </is>
      </c>
      <c r="E108" t="inlineStr">
        <is>
          <t>Germany</t>
        </is>
      </c>
      <c r="F108" t="inlineStr">
        <is>
          <t>any</t>
        </is>
      </c>
      <c r="G108" t="inlineStr">
        <is>
          <t>middle</t>
        </is>
      </c>
      <c r="H108" t="n">
        <v>600</v>
      </c>
      <c r="I108" t="n">
        <v>1000</v>
      </c>
      <c r="J108" t="n">
        <v>600</v>
      </c>
      <c r="K108" t="n">
        <v>0</v>
      </c>
    </row>
    <row r="109">
      <c r="A109" t="inlineStr">
        <is>
          <t>Qualitätssicherung</t>
        </is>
      </c>
      <c r="B109" t="inlineStr">
        <is>
          <t>Qualitätssicherung</t>
        </is>
      </c>
      <c r="C109" t="n">
        <v>1</v>
      </c>
      <c r="D109" t="inlineStr">
        <is>
          <t>adesso mobile solutions</t>
        </is>
      </c>
      <c r="E109" t="inlineStr">
        <is>
          <t>Germany</t>
        </is>
      </c>
      <c r="F109" t="inlineStr">
        <is>
          <t>any</t>
        </is>
      </c>
      <c r="G109" t="inlineStr">
        <is>
          <t>high</t>
        </is>
      </c>
      <c r="H109" t="n">
        <v>600</v>
      </c>
      <c r="I109" t="n">
        <v>1000</v>
      </c>
      <c r="J109" t="n">
        <v>600</v>
      </c>
      <c r="K109" t="n">
        <v>0</v>
      </c>
    </row>
    <row r="111">
      <c r="A111" t="inlineStr">
        <is>
          <t>ID</t>
        </is>
      </c>
      <c r="B111" t="inlineStr">
        <is>
          <t>Range (for query)</t>
        </is>
      </c>
      <c r="C111" t="inlineStr">
        <is>
          <t>Feature group</t>
        </is>
      </c>
      <c r="D111" t="inlineStr">
        <is>
          <t>Feature sub group</t>
        </is>
      </c>
      <c r="E111" t="inlineStr">
        <is>
          <t>Feature</t>
        </is>
      </c>
      <c r="F111" t="inlineStr">
        <is>
          <t>Sub feature</t>
        </is>
      </c>
      <c r="G111" t="inlineStr">
        <is>
          <t>Description</t>
        </is>
      </c>
      <c r="H111" t="inlineStr">
        <is>
          <t>Assumptions</t>
        </is>
      </c>
      <c r="I111" t="inlineStr">
        <is>
          <t>Reference ID</t>
        </is>
      </c>
      <c r="J111" t="inlineStr">
        <is>
          <t>Feature task 1</t>
        </is>
      </c>
      <c r="K111" t="inlineStr">
        <is>
          <t>Feature task 2</t>
        </is>
      </c>
      <c r="L111" t="inlineStr">
        <is>
          <t>Feature task 3</t>
        </is>
      </c>
      <c r="M111" t="inlineStr">
        <is>
          <t>Feature task 4</t>
        </is>
      </c>
      <c r="N111" t="inlineStr">
        <is>
          <t>Feature task 5</t>
        </is>
      </c>
      <c r="O111" t="inlineStr">
        <is>
          <t>Feature task 6</t>
        </is>
      </c>
      <c r="P111" t="inlineStr">
        <is>
          <t>Feature task 7</t>
        </is>
      </c>
      <c r="Q111" t="inlineStr">
        <is>
          <t>Feature task 8</t>
        </is>
      </c>
      <c r="R111" t="inlineStr">
        <is>
          <t>Feature task 9</t>
        </is>
      </c>
      <c r="S111" t="inlineStr">
        <is>
          <t>Feature task 10</t>
        </is>
      </c>
    </row>
    <row r="114">
      <c r="A114" t="inlineStr">
        <is>
          <t>Feature task</t>
        </is>
      </c>
      <c r="B114" t="inlineStr">
        <is>
          <t>Description</t>
        </is>
      </c>
      <c r="C114" t="inlineStr">
        <is>
          <t>Average Percentage</t>
        </is>
      </c>
      <c r="D114" t="inlineStr">
        <is>
          <t>Key task</t>
        </is>
      </c>
    </row>
    <row r="115">
      <c r="A115" t="inlineStr">
        <is>
          <t>Durchführung &amp; Dokumentation</t>
        </is>
      </c>
      <c r="B115" t="inlineStr">
        <is>
          <t>Durchführung der Prüfung und anforderungsgerechte Dokumentation</t>
        </is>
      </c>
      <c r="C115" t="n">
        <v>0.8</v>
      </c>
      <c r="D115" t="inlineStr">
        <is>
          <t>yes</t>
        </is>
      </c>
    </row>
    <row r="116">
      <c r="A116" t="inlineStr">
        <is>
          <t>Qualitätssicherung</t>
        </is>
      </c>
      <c r="B116" t="inlineStr">
        <is>
          <t>Prüfung des erstellen Berichtes duch eine unabhängige dritte Person</t>
        </is>
      </c>
      <c r="C116" t="n">
        <v>0.18</v>
      </c>
      <c r="D116" t="inlineStr">
        <is>
          <t>no</t>
        </is>
      </c>
    </row>
    <row r="117">
      <c r="A117" t="inlineStr">
        <is>
          <t>Fehlerbearb. nach QS</t>
        </is>
      </c>
      <c r="B117" t="inlineStr">
        <is>
          <t>Fehlerbehebung nacch Qualitätssicherung</t>
        </is>
      </c>
      <c r="C117" t="n">
        <v>0.02</v>
      </c>
      <c r="D117"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5.xml><?xml version="1.0" encoding="utf-8"?>
<worksheet xmlns="http://schemas.openxmlformats.org/spreadsheetml/2006/main">
  <sheetPr codeName="Tabelle14">
    <tabColor theme="5" tint="0.7999816888943144"/>
    <outlinePr summaryBelow="1" summaryRight="1"/>
    <pageSetUpPr/>
  </sheetPr>
  <dimension ref="A1:AT165"/>
  <sheetViews>
    <sheetView workbookViewId="0">
      <selection activeCell="H15" sqref="H15"/>
    </sheetView>
  </sheetViews>
  <sheetFormatPr baseColWidth="10" defaultColWidth="11.5" defaultRowHeight="15"/>
  <sheetData>
    <row r="1">
      <c r="A1" t="inlineStr">
        <is>
          <t>Key</t>
        </is>
      </c>
      <c r="B1" t="inlineStr">
        <is>
          <t>Value</t>
        </is>
      </c>
    </row>
    <row r="2">
      <c r="A2" t="inlineStr">
        <is>
          <t>Proposal title</t>
        </is>
      </c>
      <c r="B2" t="inlineStr">
        <is>
          <t>AFP-Einführung</t>
        </is>
      </c>
    </row>
    <row r="3">
      <c r="A3" t="inlineStr">
        <is>
          <t>Contract type</t>
        </is>
      </c>
      <c r="B3" t="inlineStr">
        <is>
          <t>Work contract (fixed price)</t>
        </is>
      </c>
    </row>
    <row r="4">
      <c r="A4" t="inlineStr">
        <is>
          <t>Customer</t>
        </is>
      </c>
      <c r="B4" t="inlineStr">
        <is>
          <t>&lt;kundenname&gt;</t>
        </is>
      </c>
    </row>
    <row r="5">
      <c r="A5" t="inlineStr">
        <is>
          <t>Contractor</t>
        </is>
      </c>
      <c r="B5" t="inlineStr">
        <is>
          <t>adesso SE</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10</v>
      </c>
    </row>
    <row r="14">
      <c r="A14" t="inlineStr">
        <is>
          <t>Team size</t>
        </is>
      </c>
      <c r="B14" t="n">
        <v>10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C27" t="inlineStr">
        <is>
          <t>01_Initialisierung</t>
        </is>
      </c>
      <c r="D27" t="inlineStr">
        <is>
          <t>Projektinitialisierung und -planung</t>
        </is>
      </c>
      <c r="E27" t="inlineStr">
        <is>
          <t>Initialisierung und Planung des Projektes; Erstellung eines Projekthandbuchs, Beschaffung der Ressourcen, Aufsetzen des Projektcontrollings usw - Details siehe adesso-Intranet</t>
        </is>
      </c>
      <c r="I27" t="n">
        <v>0</v>
      </c>
      <c r="K27" t="inlineStr">
        <is>
          <t>5%*[dev]</t>
        </is>
      </c>
      <c r="P27" t="inlineStr">
        <is>
          <t>no</t>
        </is>
      </c>
      <c r="Q27" t="inlineStr">
        <is>
          <t>f100</t>
        </is>
      </c>
    </row>
    <row r="28">
      <c r="A28" t="inlineStr">
        <is>
          <t>P-20</t>
        </is>
      </c>
      <c r="C28" t="inlineStr">
        <is>
          <t>01_Initialisierung</t>
        </is>
      </c>
      <c r="D28" t="inlineStr">
        <is>
          <t>Projekt Kick Off-Meeting</t>
        </is>
      </c>
      <c r="E28" t="inlineStr">
        <is>
          <t>Internes und ggf. externes Meeting organisieren und durchführen (inkl. Arbeitszeit der Entwicker)</t>
        </is>
      </c>
      <c r="I28" t="n">
        <v>0</v>
      </c>
      <c r="K28" t="inlineStr">
        <is>
          <t>min([#teamsize]*0.5,3)</t>
        </is>
      </c>
      <c r="P28" t="inlineStr">
        <is>
          <t>no</t>
        </is>
      </c>
      <c r="Q28" t="inlineStr">
        <is>
          <t>f100</t>
        </is>
      </c>
    </row>
    <row r="29">
      <c r="A29" t="inlineStr">
        <is>
          <t>P-30</t>
        </is>
      </c>
      <c r="C29" t="inlineStr">
        <is>
          <t>01_Initialisierung</t>
        </is>
      </c>
      <c r="D29" t="inlineStr">
        <is>
          <t>Einrichtung Arbeitsplatz und fachliche Einarbeitung</t>
        </is>
      </c>
      <c r="E29" t="inlineStr">
        <is>
          <t>Einrichtung Arbeitsplatz und fachliche Einarbeitung für jedes Teammitglied</t>
        </is>
      </c>
      <c r="I29" t="n">
        <v>0</v>
      </c>
      <c r="K29" t="inlineStr">
        <is>
          <t>[#teamsize]*0.5</t>
        </is>
      </c>
      <c r="P29" t="inlineStr">
        <is>
          <t>no</t>
        </is>
      </c>
      <c r="Q29" t="inlineStr">
        <is>
          <t>f100</t>
        </is>
      </c>
    </row>
    <row r="30" ht="320" customHeight="1">
      <c r="A30" t="inlineStr">
        <is>
          <t>P-40</t>
        </is>
      </c>
      <c r="C30" t="inlineStr">
        <is>
          <t>02_Bereitstellung aFP</t>
        </is>
      </c>
      <c r="D30" t="inlineStr">
        <is>
          <t>Einrichtung Identity Management / SSO (ggfs 2FA, Theming Keycloak)</t>
        </is>
      </c>
      <c r="E30" s="91" t="inlineStr">
        <is>
          <t>Optionaler aFP Baustein
WICHTIG: Geschätzt wird nur die initiale Einrichtung der notwendigen Dienste/Pipelines für die Bereitstellung des Moduls. Die fachlichen Aufwände sind als separates Feature zu schätzen</t>
        </is>
      </c>
      <c r="I30" t="n">
        <v>0</v>
      </c>
      <c r="K30" t="n">
        <v>10</v>
      </c>
      <c r="P30" t="inlineStr">
        <is>
          <t>no</t>
        </is>
      </c>
      <c r="V30" t="inlineStr">
        <is>
          <t>f50</t>
        </is>
      </c>
      <c r="AB30" t="inlineStr">
        <is>
          <t>f25</t>
        </is>
      </c>
      <c r="AC30" t="inlineStr">
        <is>
          <t>f25</t>
        </is>
      </c>
    </row>
    <row r="31" ht="320" customHeight="1">
      <c r="A31" t="inlineStr">
        <is>
          <t>P-50</t>
        </is>
      </c>
      <c r="C31" t="inlineStr">
        <is>
          <t>02_Bereitstellung aFP</t>
        </is>
      </c>
      <c r="D31" t="inlineStr">
        <is>
          <t>Erstellung Blueprint Middleware (Spring Boot/Security und User-Service)</t>
        </is>
      </c>
      <c r="E31" s="91" t="inlineStr">
        <is>
          <t>Optionaler aFP Baustein
WICHTIG: Geschätzt wird nur die initiale Einrichtung der notwendigen Dienste/Pipelines für die Bereitstellung des Moduls. Die fachlichen Aufwände sind als separates Feature zu schätzen</t>
        </is>
      </c>
      <c r="I31" t="n">
        <v>0</v>
      </c>
      <c r="K31" t="n">
        <v>10</v>
      </c>
      <c r="P31" t="inlineStr">
        <is>
          <t>no</t>
        </is>
      </c>
      <c r="V31" t="inlineStr">
        <is>
          <t>f50</t>
        </is>
      </c>
      <c r="Z31" t="inlineStr">
        <is>
          <t>f50</t>
        </is>
      </c>
    </row>
    <row r="32" ht="320" customHeight="1">
      <c r="A32" t="inlineStr">
        <is>
          <t>P-60</t>
        </is>
      </c>
      <c r="C32" t="inlineStr">
        <is>
          <t>02_Bereitstellung aFP</t>
        </is>
      </c>
      <c r="D32" t="inlineStr">
        <is>
          <t>Einrichtung Frontend</t>
        </is>
      </c>
      <c r="E32" s="91" t="inlineStr">
        <is>
          <t>Optionaler aFP Baustein
WICHTIG: Geschätzt wird nur die initiale Einrichtung der notwendigen Dienste/Pipelines für die Bereitstellung des Moduls. Die fachlichen Aufwände sind als separates Feature zu schätzen</t>
        </is>
      </c>
      <c r="I32" t="n">
        <v>0</v>
      </c>
      <c r="K32" t="n">
        <v>10</v>
      </c>
      <c r="P32" t="inlineStr">
        <is>
          <t>no</t>
        </is>
      </c>
      <c r="V32" t="inlineStr">
        <is>
          <t>f50</t>
        </is>
      </c>
      <c r="AA32" t="inlineStr">
        <is>
          <t>f50</t>
        </is>
      </c>
    </row>
    <row r="33" ht="320" customHeight="1">
      <c r="A33" t="inlineStr">
        <is>
          <t>P-70</t>
        </is>
      </c>
      <c r="C33" t="inlineStr">
        <is>
          <t>02_Bereitstellung aFP</t>
        </is>
      </c>
      <c r="D33" t="inlineStr">
        <is>
          <t>Einrichtung Print Service (Dokumenten-Generierung)</t>
        </is>
      </c>
      <c r="E33" s="91" t="inlineStr">
        <is>
          <t>Optionaler aFP Baustein
WICHTIG: Geschätzt wird nur die initiale Einrichtung der notwendigen Dienste/Pipelines für die Bereitstellung des Moduls. Die fachlichen Aufwände sind als separates Feature zu schätzen</t>
        </is>
      </c>
      <c r="I33" t="n">
        <v>0</v>
      </c>
      <c r="K33" t="n">
        <v>5</v>
      </c>
      <c r="P33" t="inlineStr">
        <is>
          <t>no</t>
        </is>
      </c>
      <c r="V33" t="inlineStr">
        <is>
          <t>f50</t>
        </is>
      </c>
      <c r="Z33" t="inlineStr">
        <is>
          <t>f50</t>
        </is>
      </c>
    </row>
    <row r="34" ht="320" customHeight="1">
      <c r="A34" t="inlineStr">
        <is>
          <t>P-80</t>
        </is>
      </c>
      <c r="C34" t="inlineStr">
        <is>
          <t>02_Bereitstellung aFP</t>
        </is>
      </c>
      <c r="D34" t="inlineStr">
        <is>
          <t>Einrichtung DMS  / Filebrowser (Daten-Upload/Download) &amp; Antivirus &amp; Jackrabbit OAK</t>
        </is>
      </c>
      <c r="E34" s="91" t="inlineStr">
        <is>
          <t>Optionaler aFP Baustein
WICHTIG: Geschätzt wird nur die initiale Einrichtung der notwendigen Dienste/Pipelines für die Bereitstellung des Moduls. Die fachlichen Aufwände sind als separates Feature zu schätzen</t>
        </is>
      </c>
      <c r="I34" t="n">
        <v>0</v>
      </c>
      <c r="K34" t="n">
        <v>5</v>
      </c>
      <c r="P34" t="inlineStr">
        <is>
          <t>no</t>
        </is>
      </c>
      <c r="V34" t="inlineStr">
        <is>
          <t>f50</t>
        </is>
      </c>
      <c r="Z34" t="inlineStr">
        <is>
          <t>f25</t>
        </is>
      </c>
      <c r="AA34" t="inlineStr">
        <is>
          <t>f25</t>
        </is>
      </c>
    </row>
    <row r="35" ht="320" customHeight="1">
      <c r="A35" t="inlineStr">
        <is>
          <t>P-90</t>
        </is>
      </c>
      <c r="C35" t="inlineStr">
        <is>
          <t>02_Bereitstellung aFP</t>
        </is>
      </c>
      <c r="D35" t="inlineStr">
        <is>
          <t>Einrichtung eChart-Service (Charts)</t>
        </is>
      </c>
      <c r="E35" s="91" t="inlineStr">
        <is>
          <t>Optionaler aFP Baustein
WICHTIG: Geschätzt wird nur die initiale Einrichtung der notwendigen Dienste/Pipelines für die Bereitstellung des Moduls. Die fachlichen Aufwände sind als separates Feature zu schätzen</t>
        </is>
      </c>
      <c r="I35" t="n">
        <v>0</v>
      </c>
      <c r="K35" t="n">
        <v>2</v>
      </c>
      <c r="P35" t="inlineStr">
        <is>
          <t>no</t>
        </is>
      </c>
      <c r="V35" t="inlineStr">
        <is>
          <t>f50</t>
        </is>
      </c>
      <c r="Z35" t="inlineStr">
        <is>
          <t>f25</t>
        </is>
      </c>
      <c r="AA35" t="inlineStr">
        <is>
          <t>f25</t>
        </is>
      </c>
    </row>
    <row r="36" ht="409.6" customHeight="1">
      <c r="A36" t="inlineStr">
        <is>
          <t>P-100</t>
        </is>
      </c>
      <c r="C36" t="inlineStr">
        <is>
          <t>02_Bereitstellung aFP</t>
        </is>
      </c>
      <c r="D36" t="inlineStr">
        <is>
          <t>Einrichtung Map-Service (Geo-Berechnungen und Darstellungen)</t>
        </is>
      </c>
      <c r="E36" s="91" t="inlineStr">
        <is>
          <t>Optionaler aFP Baustein. 
WICHTIG: Geschätzt wird nur die initiale Einrichtung der notwendigen Dienste/Pipelines für die Bereitstellung des Moduls. Die fachlichen Aufwände sind als separates Feature zu schätzen
Hinweis: Es wird eine Nominatim Lizenz für Openstreetmap benötigt</t>
        </is>
      </c>
      <c r="I36" t="n">
        <v>0</v>
      </c>
      <c r="K36" t="n">
        <v>3</v>
      </c>
      <c r="P36" t="inlineStr">
        <is>
          <t>no</t>
        </is>
      </c>
      <c r="V36" t="inlineStr">
        <is>
          <t>f50</t>
        </is>
      </c>
      <c r="Z36" t="inlineStr">
        <is>
          <t>f25</t>
        </is>
      </c>
      <c r="AA36" t="inlineStr">
        <is>
          <t>f25</t>
        </is>
      </c>
    </row>
    <row r="37" ht="320" customHeight="1">
      <c r="A37" t="inlineStr">
        <is>
          <t>P-110</t>
        </is>
      </c>
      <c r="C37" t="inlineStr">
        <is>
          <t>02_Bereitstellung aFP</t>
        </is>
      </c>
      <c r="D37" t="inlineStr">
        <is>
          <t>Einrichtung Internationalisierung (i18n)</t>
        </is>
      </c>
      <c r="E37" s="91" t="inlineStr">
        <is>
          <t>Optionaler aFP Baustein
WICHTIG: Geschätzt wird nur die initiale Einrichtung der notwendigen Dienste/Pipelines für die Bereitstellung des Moduls. Die fachlichen Aufwände sind als separates Feature zu schätzen</t>
        </is>
      </c>
      <c r="I37" t="n">
        <v>0</v>
      </c>
      <c r="K37" t="n">
        <v>5</v>
      </c>
      <c r="P37" t="inlineStr">
        <is>
          <t>no</t>
        </is>
      </c>
      <c r="V37" t="inlineStr">
        <is>
          <t>f50</t>
        </is>
      </c>
      <c r="Z37" t="inlineStr">
        <is>
          <t>f50</t>
        </is>
      </c>
    </row>
    <row r="38" ht="320" customHeight="1">
      <c r="A38" t="inlineStr">
        <is>
          <t>P-120</t>
        </is>
      </c>
      <c r="C38" t="inlineStr">
        <is>
          <t>02_Bereitstellung aFP</t>
        </is>
      </c>
      <c r="D38" t="inlineStr">
        <is>
          <t>Einrichtung Portalrahmen (Mandantenfähigkeit des Portals)</t>
        </is>
      </c>
      <c r="E38" s="91" t="inlineStr">
        <is>
          <t>Optionaler aFP Baustein
WICHTIG: Geschätzt wird nur die initiale Einrichtung der notwendigen Dienste/Pipelines für die Bereitstellung des Moduls. Die fachlichen Aufwände sind als separates Feature zu schätzen</t>
        </is>
      </c>
      <c r="I38" t="n">
        <v>0</v>
      </c>
      <c r="K38" t="n">
        <v>20</v>
      </c>
      <c r="P38" t="inlineStr">
        <is>
          <t>no</t>
        </is>
      </c>
      <c r="V38" t="inlineStr">
        <is>
          <t>f50</t>
        </is>
      </c>
      <c r="Z38" t="inlineStr">
        <is>
          <t>f25</t>
        </is>
      </c>
      <c r="AA38" t="inlineStr">
        <is>
          <t>f25</t>
        </is>
      </c>
    </row>
    <row r="39" ht="320" customHeight="1">
      <c r="A39" t="inlineStr">
        <is>
          <t>P-130</t>
        </is>
      </c>
      <c r="C39" t="inlineStr">
        <is>
          <t>02_Bereitstellung aFP</t>
        </is>
      </c>
      <c r="D39" t="inlineStr">
        <is>
          <t>Einrichtung Postfach</t>
        </is>
      </c>
      <c r="E39" s="91" t="inlineStr">
        <is>
          <t>Optionaler aFP Baustein
WICHTIG: Geschätzt wird nur die initiale Einrichtung der notwendigen Dienste/Pipelines für die Bereitstellung des Moduls. Die fachlichen Aufwände sind als separates Feature zu schätzen</t>
        </is>
      </c>
      <c r="I39" t="n">
        <v>0</v>
      </c>
      <c r="K39" t="n">
        <v>10</v>
      </c>
      <c r="P39" t="inlineStr">
        <is>
          <t>no</t>
        </is>
      </c>
      <c r="V39" t="inlineStr">
        <is>
          <t>f50</t>
        </is>
      </c>
      <c r="Z39" t="inlineStr">
        <is>
          <t>f25</t>
        </is>
      </c>
      <c r="AA39" t="inlineStr">
        <is>
          <t>f25</t>
        </is>
      </c>
    </row>
    <row r="40" ht="320" customHeight="1">
      <c r="A40" t="inlineStr">
        <is>
          <t>P-140</t>
        </is>
      </c>
      <c r="C40" t="inlineStr">
        <is>
          <t>02_Bereitstellung aFP</t>
        </is>
      </c>
      <c r="D40" t="inlineStr">
        <is>
          <t>Einrichtung Spring State Machine / Camunda (allg. Prozessfluss Steuerung)</t>
        </is>
      </c>
      <c r="E40" s="91" t="inlineStr">
        <is>
          <t>Optionaler aFP Baustein
WICHTIG: Geschätzt wird nur die initiale Einrichtung der notwendigen Dienste/Pipelines für die Bereitstellung des Moduls. Die fachlichen Aufwände sind als separates Feature zu schätzen</t>
        </is>
      </c>
      <c r="I40" t="n">
        <v>0</v>
      </c>
      <c r="K40" t="n">
        <v>10</v>
      </c>
      <c r="P40" t="inlineStr">
        <is>
          <t>no</t>
        </is>
      </c>
      <c r="Z40" t="inlineStr">
        <is>
          <t>f50</t>
        </is>
      </c>
      <c r="AB40" t="inlineStr">
        <is>
          <t>f50</t>
        </is>
      </c>
    </row>
    <row r="41" ht="160" customHeight="1">
      <c r="A41" t="inlineStr">
        <is>
          <t>P-150</t>
        </is>
      </c>
      <c r="C41" t="inlineStr">
        <is>
          <t>02_Bereitstellung aFP</t>
        </is>
      </c>
      <c r="D41" t="inlineStr">
        <is>
          <t>Datenbank Versionierung (z.B. Flyway)</t>
        </is>
      </c>
      <c r="E41" s="91" t="inlineStr">
        <is>
          <t>Optionaler aFP Baustein 
Einrichtung, sowie genereller Overhead für Versionierung ist hier zu berücksichtigen</t>
        </is>
      </c>
      <c r="I41" t="n">
        <v>0</v>
      </c>
      <c r="K41" t="n">
        <v>15</v>
      </c>
      <c r="P41" t="inlineStr">
        <is>
          <t>no</t>
        </is>
      </c>
      <c r="V41" t="inlineStr">
        <is>
          <t>f50</t>
        </is>
      </c>
      <c r="Z41" t="inlineStr">
        <is>
          <t>f25</t>
        </is>
      </c>
      <c r="AB41" t="inlineStr">
        <is>
          <t>f25</t>
        </is>
      </c>
    </row>
    <row r="42" ht="320" customHeight="1">
      <c r="A42" t="inlineStr">
        <is>
          <t>P-160</t>
        </is>
      </c>
      <c r="C42" t="inlineStr">
        <is>
          <t>02_Bereitstellung aFP</t>
        </is>
      </c>
      <c r="D42" t="inlineStr">
        <is>
          <t>Einrichtung SMTP zzgl. Mailhog für Tests</t>
        </is>
      </c>
      <c r="E42" s="91" t="inlineStr">
        <is>
          <t>Optionaler aFP Baustein
WICHTIG: Geschätzt wird nur die initiale Einrichtung der notwendigen Dienste/Pipelines für die Bereitstellung des Moduls. Die fachlichen Aufwände sind als separates Feature zu schätzen</t>
        </is>
      </c>
      <c r="I42" t="n">
        <v>0</v>
      </c>
      <c r="K42" t="n">
        <v>2</v>
      </c>
      <c r="P42" t="inlineStr">
        <is>
          <t>no</t>
        </is>
      </c>
      <c r="V42" t="inlineStr">
        <is>
          <t>f75</t>
        </is>
      </c>
      <c r="AB42" t="inlineStr">
        <is>
          <t>f25</t>
        </is>
      </c>
    </row>
    <row r="43" ht="96" customHeight="1">
      <c r="A43" t="inlineStr">
        <is>
          <t>P-170</t>
        </is>
      </c>
      <c r="C43" t="inlineStr">
        <is>
          <t>03_Konzeption</t>
        </is>
      </c>
      <c r="D43" t="inlineStr">
        <is>
          <t>Erstellung Architekturkonzept</t>
        </is>
      </c>
      <c r="E43" s="91" t="inlineStr">
        <is>
          <t>Falls abweichend zum standartisierten aFP Deployment</t>
        </is>
      </c>
      <c r="I43" t="n">
        <v>0</v>
      </c>
      <c r="K43" t="inlineStr">
        <is>
          <t>4%*[dev]</t>
        </is>
      </c>
      <c r="P43" t="inlineStr">
        <is>
          <t>no</t>
        </is>
      </c>
      <c r="T43" t="inlineStr">
        <is>
          <t>f50</t>
        </is>
      </c>
      <c r="AB43" t="inlineStr">
        <is>
          <t>f50</t>
        </is>
      </c>
    </row>
    <row r="44" ht="160" customHeight="1">
      <c r="A44" t="inlineStr">
        <is>
          <t>P-180</t>
        </is>
      </c>
      <c r="C44" t="inlineStr">
        <is>
          <t>03_Konzeption</t>
        </is>
      </c>
      <c r="D44" t="inlineStr">
        <is>
          <t>Erstellung QS-/Testkonzept</t>
        </is>
      </c>
      <c r="E44" s="91" t="inlineStr">
        <is>
          <t>Nur zu schätzen, falls das Testmanagement durch adesso (und nicht den Kunden) gesteuert wird</t>
        </is>
      </c>
      <c r="I44" t="n">
        <v>0</v>
      </c>
      <c r="K44" t="inlineStr">
        <is>
          <t>max([test]*0.02,0.5)</t>
        </is>
      </c>
      <c r="P44" t="inlineStr">
        <is>
          <t>no</t>
        </is>
      </c>
      <c r="X44" t="inlineStr">
        <is>
          <t>f25</t>
        </is>
      </c>
      <c r="Y44" t="inlineStr">
        <is>
          <t>f75</t>
        </is>
      </c>
    </row>
    <row r="45" ht="176" customHeight="1">
      <c r="A45" t="inlineStr">
        <is>
          <t>P-190</t>
        </is>
      </c>
      <c r="C45" t="inlineStr">
        <is>
          <t>03_Konzeption</t>
        </is>
      </c>
      <c r="D45" t="inlineStr">
        <is>
          <t>Erstellung Berechtigungskonzept</t>
        </is>
      </c>
      <c r="E45" s="91" t="inlineStr">
        <is>
          <t>Generelle Konzeption der Rollen/Reche/Workflow Logik im System. Die Umsetzung ist separat als Feature zu schätzen.</t>
        </is>
      </c>
      <c r="I45" t="n">
        <v>0</v>
      </c>
      <c r="K45" t="inlineStr">
        <is>
          <t>4%*[dev]</t>
        </is>
      </c>
      <c r="P45" t="inlineStr">
        <is>
          <t>no</t>
        </is>
      </c>
      <c r="X45" t="inlineStr">
        <is>
          <t>f50</t>
        </is>
      </c>
      <c r="Y45" t="inlineStr">
        <is>
          <t>f50</t>
        </is>
      </c>
    </row>
    <row r="46" ht="80" customHeight="1">
      <c r="A46" t="inlineStr">
        <is>
          <t>P-200</t>
        </is>
      </c>
      <c r="C46" t="inlineStr">
        <is>
          <t>03_Konzeption</t>
        </is>
      </c>
      <c r="D46" t="inlineStr">
        <is>
          <t>Erstellung Styleguide</t>
        </is>
      </c>
      <c r="E46" s="91" t="inlineStr">
        <is>
          <t>Sofern dies nicht vom Kunden bereitgestellt wird.</t>
        </is>
      </c>
      <c r="I46" t="n">
        <v>0</v>
      </c>
      <c r="K46" t="inlineStr">
        <is>
          <t>4%*[dev]</t>
        </is>
      </c>
      <c r="P46" t="inlineStr">
        <is>
          <t>no</t>
        </is>
      </c>
      <c r="X46" t="inlineStr">
        <is>
          <t>f50</t>
        </is>
      </c>
      <c r="AA46" t="inlineStr">
        <is>
          <t>f50</t>
        </is>
      </c>
    </row>
    <row r="47" ht="16" customHeight="1">
      <c r="A47" t="inlineStr">
        <is>
          <t>P-210</t>
        </is>
      </c>
      <c r="C47" t="inlineStr">
        <is>
          <t>03_Konzeption</t>
        </is>
      </c>
      <c r="D47" t="inlineStr">
        <is>
          <t>Erstellung Barrierefreiheit-Konzept</t>
        </is>
      </c>
      <c r="E47" s="91" t="inlineStr">
        <is>
          <t>Z.B. ARIA</t>
        </is>
      </c>
      <c r="I47" t="n">
        <v>0</v>
      </c>
      <c r="K47" t="inlineStr">
        <is>
          <t>2%*[dev]</t>
        </is>
      </c>
      <c r="P47" t="inlineStr">
        <is>
          <t>no</t>
        </is>
      </c>
      <c r="X47" t="inlineStr">
        <is>
          <t>f50</t>
        </is>
      </c>
      <c r="AA47" t="inlineStr">
        <is>
          <t>f50</t>
        </is>
      </c>
    </row>
    <row r="48" ht="160" customHeight="1">
      <c r="A48" t="inlineStr">
        <is>
          <t>P-220</t>
        </is>
      </c>
      <c r="C48" t="inlineStr">
        <is>
          <t>03_Konzeption</t>
        </is>
      </c>
      <c r="D48" t="inlineStr">
        <is>
          <t>Erstellung Migrationskonzept</t>
        </is>
      </c>
      <c r="E48" s="91" t="inlineStr">
        <is>
          <t>Sofern existierende Daten migriert werden, ist hier der Aufwand für die Konzeption zu schätzen</t>
        </is>
      </c>
      <c r="I48" t="n">
        <v>0</v>
      </c>
      <c r="P48" t="inlineStr">
        <is>
          <t>no</t>
        </is>
      </c>
      <c r="Z48" t="inlineStr">
        <is>
          <t>f50</t>
        </is>
      </c>
      <c r="AA48" t="inlineStr">
        <is>
          <t>f50</t>
        </is>
      </c>
    </row>
    <row r="49" ht="64" customHeight="1">
      <c r="A49" t="inlineStr">
        <is>
          <t>P-230</t>
        </is>
      </c>
      <c r="C49" t="inlineStr">
        <is>
          <t>04_Implementierung</t>
        </is>
      </c>
      <c r="D49" t="inlineStr">
        <is>
          <t>Analyse und Software Design</t>
        </is>
      </c>
      <c r="E49" s="91" t="inlineStr">
        <is>
          <t>Feature task 'Analyse und Software Design'</t>
        </is>
      </c>
      <c r="F49" t="inlineStr">
        <is>
          <t>FT#1</t>
        </is>
      </c>
      <c r="I49" t="n">
        <v>0</v>
      </c>
      <c r="J49" t="inlineStr">
        <is>
          <t>[analyse]</t>
        </is>
      </c>
      <c r="P49" t="inlineStr">
        <is>
          <t>no</t>
        </is>
      </c>
      <c r="T49" t="inlineStr">
        <is>
          <t>f50</t>
        </is>
      </c>
      <c r="W49" t="inlineStr">
        <is>
          <t>f50</t>
        </is>
      </c>
    </row>
    <row r="50" ht="48" customHeight="1">
      <c r="A50" t="inlineStr">
        <is>
          <t>P-240</t>
        </is>
      </c>
      <c r="C50" t="inlineStr">
        <is>
          <t>04_Implementierung</t>
        </is>
      </c>
      <c r="D50" t="inlineStr">
        <is>
          <t>Software -Entwicklung</t>
        </is>
      </c>
      <c r="E50" s="91" t="inlineStr">
        <is>
          <t>Feature task 'Software-Entwicklung'</t>
        </is>
      </c>
      <c r="F50" t="inlineStr">
        <is>
          <t>FT#2</t>
        </is>
      </c>
      <c r="I50" t="n">
        <v>0</v>
      </c>
      <c r="J50" t="inlineStr">
        <is>
          <t>[dev]</t>
        </is>
      </c>
      <c r="P50" t="inlineStr">
        <is>
          <t>no</t>
        </is>
      </c>
      <c r="Q50" t="inlineStr">
        <is>
          <t>f100</t>
        </is>
      </c>
    </row>
    <row r="51" ht="48" customHeight="1">
      <c r="A51" t="inlineStr">
        <is>
          <t>P-250</t>
        </is>
      </c>
      <c r="C51" t="inlineStr">
        <is>
          <t>04_Implementierung</t>
        </is>
      </c>
      <c r="D51" t="inlineStr">
        <is>
          <t>Software -Test</t>
        </is>
      </c>
      <c r="E51" s="91" t="inlineStr">
        <is>
          <t>Feature task 'Software-Test'</t>
        </is>
      </c>
      <c r="F51" t="inlineStr">
        <is>
          <t>FT#3</t>
        </is>
      </c>
      <c r="I51" t="n">
        <v>0</v>
      </c>
      <c r="J51" t="inlineStr">
        <is>
          <t>[test]</t>
        </is>
      </c>
      <c r="P51" t="inlineStr">
        <is>
          <t>no</t>
        </is>
      </c>
      <c r="U51" t="inlineStr">
        <is>
          <t>f100</t>
        </is>
      </c>
    </row>
    <row r="52" ht="48" customHeight="1">
      <c r="A52" t="inlineStr">
        <is>
          <t>P-260</t>
        </is>
      </c>
      <c r="C52" t="inlineStr">
        <is>
          <t>04_Implementierung</t>
        </is>
      </c>
      <c r="D52" t="inlineStr">
        <is>
          <t>Erstellung Anwenderhandbuch</t>
        </is>
      </c>
      <c r="E52" s="91" t="inlineStr">
        <is>
          <t>Sofern vom Kunden gefordert</t>
        </is>
      </c>
      <c r="I52" t="n">
        <v>0</v>
      </c>
      <c r="K52" t="inlineStr">
        <is>
          <t>5%*[dev]</t>
        </is>
      </c>
      <c r="P52" t="inlineStr">
        <is>
          <t>no</t>
        </is>
      </c>
      <c r="Q52" t="inlineStr">
        <is>
          <t>f100</t>
        </is>
      </c>
    </row>
    <row r="53" ht="48" customHeight="1">
      <c r="A53" t="inlineStr">
        <is>
          <t>P-270</t>
        </is>
      </c>
      <c r="C53" t="inlineStr">
        <is>
          <t>04_Implementierung</t>
        </is>
      </c>
      <c r="D53" t="inlineStr">
        <is>
          <t>Herstellung von Testautomatisierungsskripts</t>
        </is>
      </c>
      <c r="E53" s="91" t="inlineStr">
        <is>
          <t>Sofern vom Kunden gefordert</t>
        </is>
      </c>
      <c r="I53" t="n">
        <v>0</v>
      </c>
      <c r="P53" t="inlineStr">
        <is>
          <t>no</t>
        </is>
      </c>
      <c r="X53" t="inlineStr">
        <is>
          <t>f100</t>
        </is>
      </c>
    </row>
    <row r="54" ht="160" customHeight="1">
      <c r="A54" t="inlineStr">
        <is>
          <t>P-280</t>
        </is>
      </c>
      <c r="C54" t="inlineStr">
        <is>
          <t>04_Implementierung</t>
        </is>
      </c>
      <c r="D54" t="inlineStr">
        <is>
          <t>Herstellung Datenmigrationstool</t>
        </is>
      </c>
      <c r="E54" s="91" t="inlineStr">
        <is>
          <t>Sofern existierende Daten migriert werden sollen. Vgl. auch "Erstellung Migrationskonzept"</t>
        </is>
      </c>
      <c r="I54" t="n">
        <v>0</v>
      </c>
      <c r="P54" t="inlineStr">
        <is>
          <t>no</t>
        </is>
      </c>
      <c r="Z54" t="inlineStr">
        <is>
          <t>f50</t>
        </is>
      </c>
      <c r="AA54" t="inlineStr">
        <is>
          <t>f50</t>
        </is>
      </c>
    </row>
    <row r="55" ht="96" customHeight="1">
      <c r="A55" t="inlineStr">
        <is>
          <t>P-290</t>
        </is>
      </c>
      <c r="C55" t="inlineStr">
        <is>
          <t>05_Transition</t>
        </is>
      </c>
      <c r="D55" t="inlineStr">
        <is>
          <t>Datenmigration</t>
        </is>
      </c>
      <c r="E55" s="91" t="inlineStr">
        <is>
          <t>Eigentliche, auch mehrfache, Datenmigrationsdurchläufe und Chekcs</t>
        </is>
      </c>
      <c r="I55" t="n">
        <v>0</v>
      </c>
      <c r="P55" t="inlineStr">
        <is>
          <t>no</t>
        </is>
      </c>
      <c r="Z55" t="inlineStr">
        <is>
          <t>f50</t>
        </is>
      </c>
      <c r="AA55" t="inlineStr">
        <is>
          <t>f50</t>
        </is>
      </c>
    </row>
    <row r="56" ht="48" customHeight="1">
      <c r="A56" t="inlineStr">
        <is>
          <t>P-300</t>
        </is>
      </c>
      <c r="C56" t="inlineStr">
        <is>
          <t>05_Transition</t>
        </is>
      </c>
      <c r="D56" t="inlineStr">
        <is>
          <t>Erstellung Schulungsunterlagen</t>
        </is>
      </c>
      <c r="E56" s="91" t="inlineStr">
        <is>
          <t>Sofern vom Kunden gefordert</t>
        </is>
      </c>
      <c r="I56" t="n">
        <v>0</v>
      </c>
      <c r="K56" t="inlineStr">
        <is>
          <t>30%*[training]</t>
        </is>
      </c>
      <c r="P56" t="inlineStr">
        <is>
          <t>no</t>
        </is>
      </c>
      <c r="X56" t="inlineStr">
        <is>
          <t>f100</t>
        </is>
      </c>
    </row>
    <row r="57" ht="48" customHeight="1">
      <c r="A57" t="inlineStr">
        <is>
          <t>P-310</t>
        </is>
      </c>
      <c r="C57" t="inlineStr">
        <is>
          <t>05_Transition</t>
        </is>
      </c>
      <c r="D57" t="inlineStr">
        <is>
          <t>Durchführung Schulungen</t>
        </is>
      </c>
      <c r="E57" s="91" t="inlineStr">
        <is>
          <t>Sofern vom Kunden gefordert</t>
        </is>
      </c>
      <c r="I57" t="n">
        <v>0</v>
      </c>
      <c r="J57" t="inlineStr">
        <is>
          <t>[training]</t>
        </is>
      </c>
      <c r="P57" t="inlineStr">
        <is>
          <t>no</t>
        </is>
      </c>
      <c r="X57" t="inlineStr">
        <is>
          <t>f100</t>
        </is>
      </c>
    </row>
    <row r="58" ht="80" customHeight="1">
      <c r="A58" t="inlineStr">
        <is>
          <t>P-320</t>
        </is>
      </c>
      <c r="C58" t="inlineStr">
        <is>
          <t>05_Transition</t>
        </is>
      </c>
      <c r="D58" t="inlineStr">
        <is>
          <t>Vorbereitung und Unterstützung bei Produktivsetzung</t>
        </is>
      </c>
      <c r="E58" s="91" t="inlineStr">
        <is>
          <t>Begleitende Tätigkeit, i.d.R. 0,5 FTE über die Go-Live Phase</t>
        </is>
      </c>
      <c r="I58" t="n">
        <v>0</v>
      </c>
      <c r="K58" t="inlineStr">
        <is>
          <t>max([dev]*2%,5)</t>
        </is>
      </c>
      <c r="P58" t="inlineStr">
        <is>
          <t>no</t>
        </is>
      </c>
      <c r="Q58" t="inlineStr">
        <is>
          <t>f100</t>
        </is>
      </c>
    </row>
    <row r="59" ht="80" customHeight="1">
      <c r="A59" t="inlineStr">
        <is>
          <t>P-330</t>
        </is>
      </c>
      <c r="C59" t="inlineStr">
        <is>
          <t>06_Abnahme</t>
        </is>
      </c>
      <c r="D59" t="inlineStr">
        <is>
          <t>Durchführung Security Check, Überprüfung Coding-Richtlinien und Sonarqube-Analyse</t>
        </is>
      </c>
      <c r="E59" s="91" t="inlineStr">
        <is>
          <t>Allgemeiner Overhead für Security Check Iterationen</t>
        </is>
      </c>
      <c r="I59" t="n">
        <v>0</v>
      </c>
      <c r="K59" t="inlineStr">
        <is>
          <t>max([dev]*2%,5)</t>
        </is>
      </c>
      <c r="P59" t="inlineStr">
        <is>
          <t>no</t>
        </is>
      </c>
      <c r="Z59" t="inlineStr">
        <is>
          <t>f50</t>
        </is>
      </c>
      <c r="AA59" t="inlineStr">
        <is>
          <t>f50</t>
        </is>
      </c>
    </row>
    <row r="60" ht="128" customHeight="1">
      <c r="A60" t="inlineStr">
        <is>
          <t>P-340</t>
        </is>
      </c>
      <c r="C60" t="inlineStr">
        <is>
          <t>06_Abnahme</t>
        </is>
      </c>
      <c r="D60" t="inlineStr">
        <is>
          <t>Durchführung Pen(etration)-Test</t>
        </is>
      </c>
      <c r="E60" s="91" t="inlineStr">
        <is>
          <t>Begleitung des Pen-Test Dienstleisters, Dokumentation und Fehlerbehebung</t>
        </is>
      </c>
      <c r="I60" t="n">
        <v>0</v>
      </c>
      <c r="K60" t="inlineStr">
        <is>
          <t>[dev] * 5%</t>
        </is>
      </c>
      <c r="P60" t="inlineStr">
        <is>
          <t>no</t>
        </is>
      </c>
      <c r="Q60" t="inlineStr">
        <is>
          <t>f100</t>
        </is>
      </c>
    </row>
    <row r="61" ht="96" customHeight="1">
      <c r="A61" t="inlineStr">
        <is>
          <t>P-350</t>
        </is>
      </c>
      <c r="C61" t="inlineStr">
        <is>
          <t>06_Abnahme</t>
        </is>
      </c>
      <c r="D61" t="inlineStr">
        <is>
          <t>Durchführung Performance-Test</t>
        </is>
      </c>
      <c r="E61" s="91" t="inlineStr">
        <is>
          <t>Begleitung und Dokumentation, sowie Optimierungs-Overhead</t>
        </is>
      </c>
      <c r="I61" t="n">
        <v>0</v>
      </c>
      <c r="K61" t="inlineStr">
        <is>
          <t>[dev] * 5%</t>
        </is>
      </c>
      <c r="P61" t="inlineStr">
        <is>
          <t>no</t>
        </is>
      </c>
      <c r="Q61" t="inlineStr">
        <is>
          <t>f100</t>
        </is>
      </c>
    </row>
    <row r="62" ht="64" customHeight="1">
      <c r="A62" t="inlineStr">
        <is>
          <t>P-360</t>
        </is>
      </c>
      <c r="C62" t="inlineStr">
        <is>
          <t>06_Abnahme</t>
        </is>
      </c>
      <c r="D62" t="inlineStr">
        <is>
          <t>BzA: Fehlerbehebungen und Nacharbeiten</t>
        </is>
      </c>
      <c r="E62" s="91" t="inlineStr">
        <is>
          <t>Durchführung der Fehlerbehebung nach BzA</t>
        </is>
      </c>
      <c r="I62" t="n">
        <v>0</v>
      </c>
      <c r="J62" t="inlineStr">
        <is>
          <t>[bza]</t>
        </is>
      </c>
      <c r="K62" t="inlineStr">
        <is>
          <t>10%*([analyse]+[dev]+[test])</t>
        </is>
      </c>
      <c r="P62" t="inlineStr">
        <is>
          <t>no</t>
        </is>
      </c>
      <c r="Q62" t="inlineStr">
        <is>
          <t>f100</t>
        </is>
      </c>
    </row>
    <row r="63" ht="112" customHeight="1">
      <c r="A63" t="inlineStr">
        <is>
          <t>P-370</t>
        </is>
      </c>
      <c r="C63" t="inlineStr">
        <is>
          <t>06_Abnahme</t>
        </is>
      </c>
      <c r="D63" t="inlineStr">
        <is>
          <t>Begleitung und Unterstützung Abnahmetest</t>
        </is>
      </c>
      <c r="E63" s="91" t="inlineStr">
        <is>
          <t>z.B. Behebung von Pen -oder Performance-Test Findings, sonstige Betreeuung</t>
        </is>
      </c>
      <c r="I63" t="n">
        <v>0</v>
      </c>
      <c r="K63" t="inlineStr">
        <is>
          <t>15%*[bza]</t>
        </is>
      </c>
      <c r="P63" t="inlineStr">
        <is>
          <t>no</t>
        </is>
      </c>
      <c r="Q63" t="inlineStr">
        <is>
          <t>f100</t>
        </is>
      </c>
    </row>
    <row r="64" ht="256" customHeight="1">
      <c r="A64" t="inlineStr">
        <is>
          <t>P-380</t>
        </is>
      </c>
      <c r="C64" t="inlineStr">
        <is>
          <t>10_Übergreifende Aufgaben</t>
        </is>
      </c>
      <c r="D64" t="inlineStr">
        <is>
          <t>Projektmanagement</t>
        </is>
      </c>
      <c r="E64" s="91" t="inlineStr">
        <is>
          <t>Projektplanung/-steuerung, Projektcontrolling, Berichtswesen, Risikomanagement, Eskalationsmanagement, Ressourcenmanagement, Projektdokumentation u.a.</t>
        </is>
      </c>
      <c r="I64" t="n">
        <v>0</v>
      </c>
      <c r="K64" t="inlineStr">
        <is>
          <t>max([#projectlength]*5*90%,10%*[dev])</t>
        </is>
      </c>
      <c r="P64" t="inlineStr">
        <is>
          <t>no</t>
        </is>
      </c>
      <c r="R64" t="inlineStr">
        <is>
          <t>f90</t>
        </is>
      </c>
      <c r="S64" t="inlineStr">
        <is>
          <t>f10</t>
        </is>
      </c>
    </row>
    <row r="65" ht="128" customHeight="1">
      <c r="A65" t="inlineStr">
        <is>
          <t>P-390</t>
        </is>
      </c>
      <c r="C65" t="inlineStr">
        <is>
          <t>10_Übergreifende Aufgaben</t>
        </is>
      </c>
      <c r="D65" t="inlineStr">
        <is>
          <t>Scrum Prozess / Meetings</t>
        </is>
      </c>
      <c r="E65" s="91" t="inlineStr">
        <is>
          <t>Durchführung eines agilen Projekts mit Scrum Elementen (wie z.B. Daily, Review, etc…)</t>
        </is>
      </c>
      <c r="I65" t="n">
        <v>0</v>
      </c>
      <c r="K65" t="inlineStr">
        <is>
          <t>max([#projectlength]*80%*[#teamsize],10%*[dev])</t>
        </is>
      </c>
      <c r="P65" t="inlineStr">
        <is>
          <t>no</t>
        </is>
      </c>
      <c r="Q65" t="inlineStr">
        <is>
          <t>f100</t>
        </is>
      </c>
    </row>
    <row r="66" ht="48" customHeight="1">
      <c r="A66" t="inlineStr">
        <is>
          <t>P-400</t>
        </is>
      </c>
      <c r="C66" t="inlineStr">
        <is>
          <t>10_Übergreifende Aufgaben</t>
        </is>
      </c>
      <c r="D66" t="inlineStr">
        <is>
          <t>QS-/Testmanagement</t>
        </is>
      </c>
      <c r="E66" s="91" t="inlineStr">
        <is>
          <t>z.B. dedizierter Tester</t>
        </is>
      </c>
      <c r="I66" t="n">
        <v>0</v>
      </c>
      <c r="K66" t="inlineStr">
        <is>
          <t>50%*[test]</t>
        </is>
      </c>
      <c r="P66" t="inlineStr">
        <is>
          <t>no</t>
        </is>
      </c>
      <c r="U66" t="inlineStr">
        <is>
          <t>f100</t>
        </is>
      </c>
    </row>
    <row r="67" ht="80" customHeight="1">
      <c r="A67" t="inlineStr">
        <is>
          <t>P-410</t>
        </is>
      </c>
      <c r="C67" t="inlineStr">
        <is>
          <t>10_Übergreifende Aufgaben</t>
        </is>
      </c>
      <c r="D67" t="inlineStr">
        <is>
          <t>Softwarearchitektur-Management</t>
        </is>
      </c>
      <c r="E67" s="91" t="inlineStr">
        <is>
          <t>Kommunikation und Dokumentation mit Kunden</t>
        </is>
      </c>
      <c r="I67" t="n">
        <v>0</v>
      </c>
      <c r="P67" t="inlineStr">
        <is>
          <t>no</t>
        </is>
      </c>
      <c r="T67" t="inlineStr">
        <is>
          <t>f100</t>
        </is>
      </c>
    </row>
    <row r="68" ht="160" customHeight="1">
      <c r="A68" t="inlineStr">
        <is>
          <t>P-420</t>
        </is>
      </c>
      <c r="C68" t="inlineStr">
        <is>
          <t>10_Übergreifende Aufgaben</t>
        </is>
      </c>
      <c r="D68" t="inlineStr">
        <is>
          <t>DevOps Support</t>
        </is>
      </c>
      <c r="E68" s="91" t="inlineStr">
        <is>
          <t>Aufsetzen der Umgebungen (DEV, TEST, etc..), sowie laufendee Betreuung Infrastruktur während der Projektlaufzeit</t>
        </is>
      </c>
      <c r="I68" t="n">
        <v>0</v>
      </c>
      <c r="K68" t="inlineStr">
        <is>
          <t>max([#projectlength]*5*50%,10%*[dev])</t>
        </is>
      </c>
      <c r="P68" t="inlineStr">
        <is>
          <t>no</t>
        </is>
      </c>
      <c r="V68" t="inlineStr">
        <is>
          <t>f100</t>
        </is>
      </c>
    </row>
    <row r="69" ht="48" customHeight="1">
      <c r="A69" t="inlineStr">
        <is>
          <t>P-430</t>
        </is>
      </c>
      <c r="C69" t="inlineStr">
        <is>
          <t>10_Übergreifende Aufgaben</t>
        </is>
      </c>
      <c r="D69" t="inlineStr">
        <is>
          <t>Smartshore Management/Support</t>
        </is>
      </c>
      <c r="E69" s="91" t="inlineStr">
        <is>
          <t>Sofern Smartshore Projekt</t>
        </is>
      </c>
      <c r="I69" t="n">
        <v>0</v>
      </c>
      <c r="P69" t="inlineStr">
        <is>
          <t>no</t>
        </is>
      </c>
      <c r="Q69" t="inlineStr">
        <is>
          <t>f100</t>
        </is>
      </c>
    </row>
    <row r="70">
      <c r="A70" t="inlineStr">
        <is>
          <t>P-440</t>
        </is>
      </c>
      <c r="C70" t="inlineStr">
        <is>
          <t>90_Reisezeiten</t>
        </is>
      </c>
      <c r="D70" t="inlineStr">
        <is>
          <t>Reisezeiten</t>
        </is>
      </c>
      <c r="E70" s="91" t="n"/>
      <c r="F70" t="inlineStr">
        <is>
          <t>TT</t>
        </is>
      </c>
      <c r="I70" t="n">
        <v>0</v>
      </c>
      <c r="J70" t="inlineStr">
        <is>
          <t>[traveltime]</t>
        </is>
      </c>
      <c r="P70" t="inlineStr">
        <is>
          <t>no</t>
        </is>
      </c>
      <c r="Q70" t="inlineStr">
        <is>
          <t>f100</t>
        </is>
      </c>
    </row>
    <row r="71">
      <c r="A71" t="inlineStr">
        <is>
          <t>P-450</t>
        </is>
      </c>
      <c r="C71" t="inlineStr">
        <is>
          <t>91_Gewährleistung</t>
        </is>
      </c>
      <c r="D71" t="inlineStr">
        <is>
          <t>Gewährleistung</t>
        </is>
      </c>
      <c r="E71" s="91" t="n"/>
      <c r="F71" t="inlineStr">
        <is>
          <t>WA</t>
        </is>
      </c>
      <c r="I71" t="n">
        <v>0</v>
      </c>
      <c r="J71" t="inlineStr">
        <is>
          <t>[warranty]</t>
        </is>
      </c>
      <c r="K71" t="inlineStr">
        <is>
          <t>10%*[#total1]</t>
        </is>
      </c>
      <c r="P71" t="inlineStr">
        <is>
          <t>no</t>
        </is>
      </c>
      <c r="Q71" t="inlineStr">
        <is>
          <t>f100</t>
        </is>
      </c>
    </row>
    <row r="72">
      <c r="A72" t="inlineStr">
        <is>
          <t>P-460</t>
        </is>
      </c>
      <c r="C72" t="inlineStr">
        <is>
          <t>92_Risiken</t>
        </is>
      </c>
      <c r="D72" t="inlineStr">
        <is>
          <t>Risiken</t>
        </is>
      </c>
      <c r="E72" s="91" t="n"/>
      <c r="F72" t="inlineStr">
        <is>
          <t>RIS</t>
        </is>
      </c>
      <c r="I72" t="n">
        <v>0</v>
      </c>
      <c r="P72" t="inlineStr">
        <is>
          <t>no</t>
        </is>
      </c>
      <c r="Q72" t="inlineStr">
        <is>
          <t>f100</t>
        </is>
      </c>
    </row>
    <row r="74">
      <c r="A74" t="inlineStr">
        <is>
          <t>Seniority Level</t>
        </is>
      </c>
    </row>
    <row r="75">
      <c r="A75" s="290" t="inlineStr">
        <is>
          <t>any</t>
        </is>
      </c>
    </row>
    <row r="76">
      <c r="A76" s="290" t="inlineStr">
        <is>
          <t>very low</t>
        </is>
      </c>
    </row>
    <row r="77">
      <c r="A77" s="290" t="inlineStr">
        <is>
          <t>low</t>
        </is>
      </c>
    </row>
    <row r="78">
      <c r="A78" s="290" t="inlineStr">
        <is>
          <t>middle</t>
        </is>
      </c>
    </row>
    <row r="79">
      <c r="A79" s="290" t="inlineStr">
        <is>
          <t>high</t>
        </is>
      </c>
    </row>
    <row r="80">
      <c r="A80" s="290" t="inlineStr">
        <is>
          <t>very high</t>
        </is>
      </c>
    </row>
    <row r="82">
      <c r="A82" t="inlineStr">
        <is>
          <t>Location</t>
        </is>
      </c>
    </row>
    <row r="83">
      <c r="A83" s="290" t="inlineStr">
        <is>
          <t>any</t>
        </is>
      </c>
    </row>
    <row r="84">
      <c r="A84" s="290" t="inlineStr">
        <is>
          <t>Onsite</t>
        </is>
      </c>
    </row>
    <row r="85">
      <c r="A85" s="290" t="inlineStr">
        <is>
          <t>Offsite</t>
        </is>
      </c>
    </row>
    <row r="86">
      <c r="A86" s="290" t="inlineStr">
        <is>
          <t>On-/Offsite</t>
        </is>
      </c>
    </row>
    <row r="87">
      <c r="A87" s="290" t="inlineStr">
        <is>
          <t>Nearshore</t>
        </is>
      </c>
    </row>
    <row r="88">
      <c r="A88" s="290" t="inlineStr">
        <is>
          <t>Offshore</t>
        </is>
      </c>
    </row>
    <row r="90">
      <c r="A90" t="inlineStr">
        <is>
          <t>Company</t>
        </is>
      </c>
      <c r="B90" s="81" t="inlineStr">
        <is>
          <t>Accounting-related company</t>
        </is>
      </c>
    </row>
    <row r="91">
      <c r="A91" s="290" t="inlineStr">
        <is>
          <t>any</t>
        </is>
      </c>
      <c r="B91" s="292" t="inlineStr">
        <is>
          <t>no</t>
        </is>
      </c>
    </row>
    <row r="92">
      <c r="A92" s="290" t="inlineStr">
        <is>
          <t>adesso SE</t>
        </is>
      </c>
      <c r="B92" s="292" t="inlineStr">
        <is>
          <t>yes</t>
        </is>
      </c>
    </row>
    <row r="93">
      <c r="A93" s="290" t="inlineStr">
        <is>
          <t>adesso as a service</t>
        </is>
      </c>
      <c r="B93" s="292" t="inlineStr">
        <is>
          <t>no</t>
        </is>
      </c>
    </row>
    <row r="94">
      <c r="A94" s="290" t="inlineStr">
        <is>
          <t>adesso Austria</t>
        </is>
      </c>
      <c r="B94" s="292" t="inlineStr">
        <is>
          <t>no</t>
        </is>
      </c>
    </row>
    <row r="95">
      <c r="A95" s="290" t="inlineStr">
        <is>
          <t>adesso benefit solutions</t>
        </is>
      </c>
      <c r="B95" s="292" t="inlineStr">
        <is>
          <t>no</t>
        </is>
      </c>
    </row>
    <row r="96">
      <c r="A96" s="290" t="inlineStr">
        <is>
          <t>adesso Bulgaria</t>
        </is>
      </c>
      <c r="B96" s="292" t="inlineStr">
        <is>
          <t>no</t>
        </is>
      </c>
    </row>
    <row r="97">
      <c r="A97" s="290" t="inlineStr">
        <is>
          <t>adesso Finland</t>
        </is>
      </c>
      <c r="B97" s="292" t="inlineStr">
        <is>
          <t>no</t>
        </is>
      </c>
    </row>
    <row r="98">
      <c r="A98" s="290" t="inlineStr">
        <is>
          <t>adesso health solutions</t>
        </is>
      </c>
      <c r="B98" s="292" t="inlineStr">
        <is>
          <t>no</t>
        </is>
      </c>
    </row>
    <row r="99">
      <c r="A99" s="290" t="inlineStr">
        <is>
          <t>adesso Hungary</t>
        </is>
      </c>
      <c r="B99" s="292" t="inlineStr">
        <is>
          <t>no</t>
        </is>
      </c>
    </row>
    <row r="100">
      <c r="A100" s="290" t="inlineStr">
        <is>
          <t>adesso India</t>
        </is>
      </c>
      <c r="B100" s="292" t="inlineStr">
        <is>
          <t>no</t>
        </is>
      </c>
    </row>
    <row r="101">
      <c r="A101" s="290" t="inlineStr">
        <is>
          <t>adesso insurance solutions</t>
        </is>
      </c>
      <c r="B101" s="292" t="inlineStr">
        <is>
          <t>yes</t>
        </is>
      </c>
    </row>
    <row r="102">
      <c r="A102" s="290" t="inlineStr">
        <is>
          <t>adesso Italy</t>
        </is>
      </c>
      <c r="B102" s="292" t="inlineStr">
        <is>
          <t>no</t>
        </is>
      </c>
    </row>
    <row r="103">
      <c r="A103" s="290" t="inlineStr">
        <is>
          <t>adesso Lakes</t>
        </is>
      </c>
      <c r="B103" s="292" t="inlineStr">
        <is>
          <t>no</t>
        </is>
      </c>
    </row>
    <row r="104">
      <c r="A104" s="290" t="inlineStr">
        <is>
          <t>adesso mobile solutions</t>
        </is>
      </c>
      <c r="B104" s="292" t="inlineStr">
        <is>
          <t>yes</t>
        </is>
      </c>
    </row>
    <row r="105">
      <c r="A105" s="290" t="inlineStr">
        <is>
          <t>adesso Netherlands</t>
        </is>
      </c>
      <c r="B105" s="292" t="inlineStr">
        <is>
          <t>no</t>
        </is>
      </c>
    </row>
    <row r="106">
      <c r="A106" s="290" t="inlineStr">
        <is>
          <t>adesso orange</t>
        </is>
      </c>
      <c r="B106" s="292" t="inlineStr">
        <is>
          <t>yes</t>
        </is>
      </c>
    </row>
    <row r="107">
      <c r="A107" s="290" t="inlineStr">
        <is>
          <t>adesso partner trust</t>
        </is>
      </c>
      <c r="B107" s="292" t="inlineStr">
        <is>
          <t>no</t>
        </is>
      </c>
    </row>
    <row r="108">
      <c r="A108" s="290" t="inlineStr">
        <is>
          <t>adesso Romania</t>
        </is>
      </c>
      <c r="B108" s="292" t="inlineStr">
        <is>
          <t>no</t>
        </is>
      </c>
    </row>
    <row r="109">
      <c r="A109" s="290" t="inlineStr">
        <is>
          <t>adesso Spain</t>
        </is>
      </c>
      <c r="B109" s="292" t="inlineStr">
        <is>
          <t>no</t>
        </is>
      </c>
    </row>
    <row r="110">
      <c r="A110" s="290" t="inlineStr">
        <is>
          <t>adesso Sweden</t>
        </is>
      </c>
      <c r="B110" s="292" t="inlineStr">
        <is>
          <t>no</t>
        </is>
      </c>
    </row>
    <row r="111">
      <c r="A111" s="290" t="inlineStr">
        <is>
          <t>adesso Switzerland</t>
        </is>
      </c>
      <c r="B111" s="292" t="inlineStr">
        <is>
          <t>no</t>
        </is>
      </c>
    </row>
    <row r="112">
      <c r="A112" s="290" t="inlineStr">
        <is>
          <t>adesso Turkey</t>
        </is>
      </c>
      <c r="B112" s="292" t="inlineStr">
        <is>
          <t>no</t>
        </is>
      </c>
    </row>
    <row r="113">
      <c r="A113" s="290" t="inlineStr">
        <is>
          <t>Afida</t>
        </is>
      </c>
      <c r="B113" s="292" t="inlineStr">
        <is>
          <t>no</t>
        </is>
      </c>
    </row>
    <row r="114">
      <c r="A114" s="290" t="inlineStr">
        <is>
          <t>alleato adessekuranzmakler</t>
        </is>
      </c>
      <c r="B114" s="292" t="inlineStr">
        <is>
          <t>no</t>
        </is>
      </c>
    </row>
    <row r="115">
      <c r="A115" s="290" t="inlineStr">
        <is>
          <t>amis</t>
        </is>
      </c>
      <c r="B115" s="292" t="inlineStr">
        <is>
          <t>no</t>
        </is>
      </c>
    </row>
    <row r="116">
      <c r="A116" s="290" t="inlineStr">
        <is>
          <t>KIWI Consulting</t>
        </is>
      </c>
      <c r="B116" s="292" t="inlineStr">
        <is>
          <t>no</t>
        </is>
      </c>
    </row>
    <row r="117">
      <c r="A117" s="290" t="inlineStr">
        <is>
          <t>material.one</t>
        </is>
      </c>
      <c r="B117" s="292" t="inlineStr">
        <is>
          <t>no</t>
        </is>
      </c>
    </row>
    <row r="118">
      <c r="A118" s="290" t="inlineStr">
        <is>
          <t>medgineering</t>
        </is>
      </c>
      <c r="B118" s="292" t="inlineStr">
        <is>
          <t>no</t>
        </is>
      </c>
    </row>
    <row r="119">
      <c r="A119" s="290" t="inlineStr">
        <is>
          <t>percision</t>
        </is>
      </c>
      <c r="B119" s="292" t="inlineStr">
        <is>
          <t>no</t>
        </is>
      </c>
    </row>
    <row r="120">
      <c r="A120" s="290" t="inlineStr">
        <is>
          <t>Reachbird</t>
        </is>
      </c>
      <c r="B120" s="292" t="inlineStr">
        <is>
          <t>no</t>
        </is>
      </c>
    </row>
    <row r="121">
      <c r="A121" s="290" t="inlineStr">
        <is>
          <t>urban engergy</t>
        </is>
      </c>
      <c r="B121" s="292" t="inlineStr">
        <is>
          <t>no</t>
        </is>
      </c>
    </row>
    <row r="122">
      <c r="A122" s="290" t="inlineStr">
        <is>
          <t>WEPEX</t>
        </is>
      </c>
      <c r="B122" s="292" t="inlineStr">
        <is>
          <t>no</t>
        </is>
      </c>
    </row>
    <row r="124">
      <c r="A124" t="inlineStr">
        <is>
          <t>Country</t>
        </is>
      </c>
      <c r="B124" s="198" t="inlineStr">
        <is>
          <t>Inflation rate</t>
        </is>
      </c>
    </row>
    <row r="125">
      <c r="A125" s="290" t="inlineStr">
        <is>
          <t>any</t>
        </is>
      </c>
      <c r="B125" s="395" t="n">
        <v>0.02</v>
      </c>
    </row>
    <row r="126">
      <c r="A126" s="290" t="inlineStr">
        <is>
          <t>Germany</t>
        </is>
      </c>
      <c r="B126" s="395" t="n">
        <v>0.02</v>
      </c>
    </row>
    <row r="127">
      <c r="A127" s="290" t="inlineStr">
        <is>
          <t>Austria</t>
        </is>
      </c>
      <c r="B127" s="395" t="n">
        <v>0.035</v>
      </c>
    </row>
    <row r="128">
      <c r="A128" s="290" t="inlineStr">
        <is>
          <t>Bulgaria</t>
        </is>
      </c>
      <c r="B128" s="395" t="n">
        <v>0.03</v>
      </c>
    </row>
    <row r="129">
      <c r="A129" s="290" t="inlineStr">
        <is>
          <t>Finland</t>
        </is>
      </c>
      <c r="B129" s="395" t="n">
        <v>0.015</v>
      </c>
    </row>
    <row r="130">
      <c r="A130" s="290" t="inlineStr">
        <is>
          <t>Hungary</t>
        </is>
      </c>
      <c r="B130" s="395" t="n">
        <v>0.035</v>
      </c>
    </row>
    <row r="131">
      <c r="A131" s="290" t="inlineStr">
        <is>
          <t>India</t>
        </is>
      </c>
      <c r="B131" s="395" t="n">
        <v>0.055</v>
      </c>
    </row>
    <row r="132">
      <c r="A132" s="290" t="inlineStr">
        <is>
          <t>Italy</t>
        </is>
      </c>
      <c r="B132" s="395" t="n">
        <v>0.015</v>
      </c>
    </row>
    <row r="133">
      <c r="A133" s="290" t="inlineStr">
        <is>
          <t>Netherlands</t>
        </is>
      </c>
      <c r="B133" s="395" t="n">
        <v>0.025</v>
      </c>
    </row>
    <row r="134">
      <c r="A134" s="290" t="inlineStr">
        <is>
          <t>Romania</t>
        </is>
      </c>
      <c r="B134" s="395" t="n">
        <v>0.06</v>
      </c>
    </row>
    <row r="135">
      <c r="A135" s="290" t="inlineStr">
        <is>
          <t>Spain</t>
        </is>
      </c>
      <c r="B135" s="395" t="n">
        <v>0.025</v>
      </c>
    </row>
    <row r="136">
      <c r="A136" s="290" t="inlineStr">
        <is>
          <t>Sweden</t>
        </is>
      </c>
      <c r="B136" s="395" t="n">
        <v>0.025</v>
      </c>
    </row>
    <row r="137">
      <c r="A137" s="290" t="inlineStr">
        <is>
          <t>Switzerland</t>
        </is>
      </c>
      <c r="B137" s="395" t="n">
        <v>0.02</v>
      </c>
    </row>
    <row r="138">
      <c r="A138" s="290" t="inlineStr">
        <is>
          <t>Turkey</t>
        </is>
      </c>
      <c r="B138" s="395" t="n">
        <v>0.5</v>
      </c>
    </row>
    <row r="140">
      <c r="A140" t="inlineStr">
        <is>
          <t>Project role</t>
        </is>
      </c>
      <c r="B140" t="inlineStr">
        <is>
          <t>Sub role</t>
        </is>
      </c>
      <c r="C140" t="inlineStr">
        <is>
          <t>Percentage</t>
        </is>
      </c>
      <c r="D140" t="inlineStr">
        <is>
          <t>Company</t>
        </is>
      </c>
      <c r="E140" t="inlineStr">
        <is>
          <t>Country</t>
        </is>
      </c>
      <c r="F140" t="inlineStr">
        <is>
          <t>Location</t>
        </is>
      </c>
      <c r="G140" t="inlineStr">
        <is>
          <t>Seniority Level</t>
        </is>
      </c>
      <c r="H140" t="inlineStr">
        <is>
          <t>Daily costs</t>
        </is>
      </c>
      <c r="I140" t="inlineStr">
        <is>
          <t>Daily rate</t>
        </is>
      </c>
      <c r="J140" t="inlineStr">
        <is>
          <t>Daily costs (travel time)</t>
        </is>
      </c>
      <c r="K140" t="inlineStr">
        <is>
          <t>Daily rate (travel time)</t>
        </is>
      </c>
    </row>
    <row r="141">
      <c r="A141" t="inlineStr">
        <is>
          <t>Nicht festgelegte Rolle</t>
        </is>
      </c>
      <c r="B141" t="inlineStr">
        <is>
          <t>Nicht festgelegte Rolle</t>
        </is>
      </c>
      <c r="C141" t="n">
        <v>1</v>
      </c>
      <c r="D141" t="inlineStr">
        <is>
          <t>adesso SE</t>
        </is>
      </c>
      <c r="E141" t="inlineStr">
        <is>
          <t>Germany</t>
        </is>
      </c>
      <c r="F141" t="inlineStr">
        <is>
          <t>any</t>
        </is>
      </c>
      <c r="G141" t="inlineStr">
        <is>
          <t>any</t>
        </is>
      </c>
      <c r="H141" t="n">
        <v>600</v>
      </c>
      <c r="I141" t="n">
        <v>1000</v>
      </c>
      <c r="J141" t="n">
        <v>0</v>
      </c>
      <c r="K141" t="n">
        <v>0</v>
      </c>
    </row>
    <row r="142">
      <c r="A142" t="inlineStr">
        <is>
          <t>Projektleiter/in</t>
        </is>
      </c>
      <c r="B142" t="inlineStr">
        <is>
          <t>Projektleiter/in</t>
        </is>
      </c>
      <c r="C142" t="n">
        <v>1</v>
      </c>
      <c r="D142" t="inlineStr">
        <is>
          <t>adesso SE</t>
        </is>
      </c>
      <c r="E142" t="inlineStr">
        <is>
          <t>Germany</t>
        </is>
      </c>
      <c r="F142" t="inlineStr">
        <is>
          <t>any</t>
        </is>
      </c>
      <c r="G142" t="inlineStr">
        <is>
          <t>very high</t>
        </is>
      </c>
      <c r="H142" t="n">
        <v>600</v>
      </c>
      <c r="I142" t="n">
        <v>1400</v>
      </c>
      <c r="J142" t="n">
        <v>0</v>
      </c>
      <c r="K142" t="n">
        <v>0</v>
      </c>
    </row>
    <row r="143">
      <c r="A143" t="inlineStr">
        <is>
          <t>Projektassistent/in</t>
        </is>
      </c>
      <c r="B143" t="inlineStr">
        <is>
          <t>Projektassistent/in</t>
        </is>
      </c>
      <c r="C143" t="n">
        <v>1</v>
      </c>
      <c r="D143" t="inlineStr">
        <is>
          <t>adesso SE</t>
        </is>
      </c>
      <c r="E143" t="inlineStr">
        <is>
          <t>Germany</t>
        </is>
      </c>
      <c r="F143" t="inlineStr">
        <is>
          <t>any</t>
        </is>
      </c>
      <c r="G143" t="inlineStr">
        <is>
          <t>low</t>
        </is>
      </c>
      <c r="H143" t="n">
        <v>600</v>
      </c>
      <c r="I143" t="n">
        <v>800</v>
      </c>
      <c r="J143" t="n">
        <v>0</v>
      </c>
      <c r="K143" t="n">
        <v>0</v>
      </c>
    </row>
    <row r="144">
      <c r="A144" t="inlineStr">
        <is>
          <t>Software Architekt/in</t>
        </is>
      </c>
      <c r="B144" t="inlineStr">
        <is>
          <t>Software Architekt/in</t>
        </is>
      </c>
      <c r="C144" t="n">
        <v>1</v>
      </c>
      <c r="D144" t="inlineStr">
        <is>
          <t>adesso SE</t>
        </is>
      </c>
      <c r="E144" t="inlineStr">
        <is>
          <t>Germany</t>
        </is>
      </c>
      <c r="F144" t="inlineStr">
        <is>
          <t>any</t>
        </is>
      </c>
      <c r="G144" t="inlineStr">
        <is>
          <t>high</t>
        </is>
      </c>
      <c r="H144" t="n">
        <v>600</v>
      </c>
      <c r="I144" t="n">
        <v>1200</v>
      </c>
      <c r="J144" t="n">
        <v>0</v>
      </c>
      <c r="K144" t="n">
        <v>0</v>
      </c>
    </row>
    <row r="145">
      <c r="A145" t="inlineStr">
        <is>
          <t>Testmanager/in</t>
        </is>
      </c>
      <c r="B145" t="inlineStr">
        <is>
          <t>Testmanager/in</t>
        </is>
      </c>
      <c r="C145" t="n">
        <v>1</v>
      </c>
      <c r="D145" t="inlineStr">
        <is>
          <t>adesso SE</t>
        </is>
      </c>
      <c r="E145" t="inlineStr">
        <is>
          <t>Germany</t>
        </is>
      </c>
      <c r="F145" t="inlineStr">
        <is>
          <t>any</t>
        </is>
      </c>
      <c r="G145" t="inlineStr">
        <is>
          <t>high</t>
        </is>
      </c>
      <c r="H145" t="n">
        <v>600</v>
      </c>
      <c r="I145" t="n">
        <v>1200</v>
      </c>
      <c r="J145" t="n">
        <v>0</v>
      </c>
      <c r="K145" t="n">
        <v>0</v>
      </c>
    </row>
    <row r="146">
      <c r="A146" t="inlineStr">
        <is>
          <t>DevOps Engineer</t>
        </is>
      </c>
      <c r="B146" t="inlineStr">
        <is>
          <t>DevOps Engineer</t>
        </is>
      </c>
      <c r="C146" t="n">
        <v>1</v>
      </c>
      <c r="D146" t="inlineStr">
        <is>
          <t>adesso SE</t>
        </is>
      </c>
      <c r="E146" t="inlineStr">
        <is>
          <t>Germany</t>
        </is>
      </c>
      <c r="F146" t="inlineStr">
        <is>
          <t>any</t>
        </is>
      </c>
      <c r="G146" t="inlineStr">
        <is>
          <t>middle</t>
        </is>
      </c>
      <c r="H146" t="n">
        <v>600</v>
      </c>
      <c r="I146" t="n">
        <v>1000</v>
      </c>
      <c r="J146" t="n">
        <v>0</v>
      </c>
      <c r="K146" t="n">
        <v>0</v>
      </c>
    </row>
    <row r="147">
      <c r="A147" t="inlineStr">
        <is>
          <t>Requirement Engineer</t>
        </is>
      </c>
      <c r="B147" t="inlineStr">
        <is>
          <t>Requirement Engineer</t>
        </is>
      </c>
      <c r="C147" t="n">
        <v>1</v>
      </c>
      <c r="D147" t="inlineStr">
        <is>
          <t>adesso SE</t>
        </is>
      </c>
      <c r="E147" t="inlineStr">
        <is>
          <t>Germany</t>
        </is>
      </c>
      <c r="F147" t="inlineStr">
        <is>
          <t>any</t>
        </is>
      </c>
      <c r="G147" t="inlineStr">
        <is>
          <t>middle</t>
        </is>
      </c>
      <c r="H147" t="n">
        <v>600</v>
      </c>
      <c r="I147" t="n">
        <v>900</v>
      </c>
      <c r="J147" t="n">
        <v>0</v>
      </c>
      <c r="K147" t="n">
        <v>0</v>
      </c>
    </row>
    <row r="148">
      <c r="A148" t="inlineStr">
        <is>
          <t>Product Owner</t>
        </is>
      </c>
      <c r="B148" t="inlineStr">
        <is>
          <t>Product Owner</t>
        </is>
      </c>
      <c r="C148" t="n">
        <v>1</v>
      </c>
      <c r="D148" t="inlineStr">
        <is>
          <t>adesso SE</t>
        </is>
      </c>
      <c r="E148" t="inlineStr">
        <is>
          <t>Germany</t>
        </is>
      </c>
      <c r="F148" t="inlineStr">
        <is>
          <t>any</t>
        </is>
      </c>
      <c r="G148" t="inlineStr">
        <is>
          <t>middle</t>
        </is>
      </c>
      <c r="H148" t="n">
        <v>600</v>
      </c>
      <c r="I148" t="n">
        <v>900</v>
      </c>
      <c r="J148" t="n">
        <v>0</v>
      </c>
      <c r="K148" t="n">
        <v>0</v>
      </c>
    </row>
    <row r="149">
      <c r="A149" t="inlineStr">
        <is>
          <t>Test Engineer</t>
        </is>
      </c>
      <c r="B149" t="inlineStr">
        <is>
          <t>Test Engineer</t>
        </is>
      </c>
      <c r="C149" t="n">
        <v>1</v>
      </c>
      <c r="D149" t="inlineStr">
        <is>
          <t>adesso SE</t>
        </is>
      </c>
      <c r="E149" t="inlineStr">
        <is>
          <t>Germany</t>
        </is>
      </c>
      <c r="F149" t="inlineStr">
        <is>
          <t>any</t>
        </is>
      </c>
      <c r="G149" t="inlineStr">
        <is>
          <t>middle</t>
        </is>
      </c>
      <c r="H149" t="n">
        <v>600</v>
      </c>
      <c r="I149" t="n">
        <v>900</v>
      </c>
      <c r="J149" t="n">
        <v>0</v>
      </c>
      <c r="K149" t="n">
        <v>0</v>
      </c>
    </row>
    <row r="150">
      <c r="A150" t="inlineStr">
        <is>
          <t>Backend Software Entwickler/in</t>
        </is>
      </c>
      <c r="B150" t="inlineStr">
        <is>
          <t>Backend Software Entwickler/in</t>
        </is>
      </c>
      <c r="C150" t="n">
        <v>1</v>
      </c>
      <c r="D150" t="inlineStr">
        <is>
          <t>adesso SE</t>
        </is>
      </c>
      <c r="E150" t="inlineStr">
        <is>
          <t>Germany</t>
        </is>
      </c>
      <c r="F150" t="inlineStr">
        <is>
          <t>any</t>
        </is>
      </c>
      <c r="G150" t="inlineStr">
        <is>
          <t>middle</t>
        </is>
      </c>
      <c r="H150" t="n">
        <v>600</v>
      </c>
      <c r="I150" t="n">
        <v>1000</v>
      </c>
      <c r="J150" t="n">
        <v>0</v>
      </c>
      <c r="K150" t="n">
        <v>0</v>
      </c>
    </row>
    <row r="151">
      <c r="A151" t="inlineStr">
        <is>
          <t>Frontend Software Entwickler/in</t>
        </is>
      </c>
      <c r="B151" t="inlineStr">
        <is>
          <t>Frontend Software Entwickler/in</t>
        </is>
      </c>
      <c r="C151" t="n">
        <v>1</v>
      </c>
      <c r="D151" t="inlineStr">
        <is>
          <t>adesso SE</t>
        </is>
      </c>
      <c r="E151" t="inlineStr">
        <is>
          <t>Germany</t>
        </is>
      </c>
      <c r="F151" t="inlineStr">
        <is>
          <t>any</t>
        </is>
      </c>
      <c r="G151" t="inlineStr">
        <is>
          <t>middle</t>
        </is>
      </c>
      <c r="H151" t="n">
        <v>600</v>
      </c>
      <c r="I151" t="n">
        <v>1000</v>
      </c>
      <c r="J151" t="n">
        <v>0</v>
      </c>
      <c r="K151" t="n">
        <v>0</v>
      </c>
    </row>
    <row r="152">
      <c r="A152" t="inlineStr">
        <is>
          <t>Backend Software Entwickler/in (Senior)</t>
        </is>
      </c>
      <c r="B152" t="inlineStr">
        <is>
          <t>Backend Software Entwickler/in (Senior)</t>
        </is>
      </c>
      <c r="C152" t="n">
        <v>1</v>
      </c>
      <c r="D152" t="inlineStr">
        <is>
          <t>adesso SE</t>
        </is>
      </c>
      <c r="E152" t="inlineStr">
        <is>
          <t>Germany</t>
        </is>
      </c>
      <c r="F152" t="inlineStr">
        <is>
          <t>any</t>
        </is>
      </c>
      <c r="G152" t="inlineStr">
        <is>
          <t>high</t>
        </is>
      </c>
      <c r="H152" t="n">
        <v>600</v>
      </c>
      <c r="I152" t="n">
        <v>1200</v>
      </c>
      <c r="J152" t="n">
        <v>0</v>
      </c>
      <c r="K152" t="n">
        <v>0</v>
      </c>
    </row>
    <row r="153">
      <c r="A153" t="inlineStr">
        <is>
          <t>Frontend Software Entwickler/in (Senior)</t>
        </is>
      </c>
      <c r="B153" t="inlineStr">
        <is>
          <t>Frontend Software Entwickler/in (Senior)</t>
        </is>
      </c>
      <c r="C153" t="n">
        <v>1</v>
      </c>
      <c r="D153" t="inlineStr">
        <is>
          <t>adesso SE</t>
        </is>
      </c>
      <c r="E153" t="inlineStr">
        <is>
          <t>Germany</t>
        </is>
      </c>
      <c r="F153" t="inlineStr">
        <is>
          <t>any</t>
        </is>
      </c>
      <c r="G153" t="inlineStr">
        <is>
          <t>high</t>
        </is>
      </c>
      <c r="H153" t="n">
        <v>600</v>
      </c>
      <c r="I153" t="n">
        <v>1200</v>
      </c>
      <c r="J153" t="n">
        <v>0</v>
      </c>
      <c r="K153" t="n">
        <v>0</v>
      </c>
    </row>
    <row r="154">
      <c r="A154" t="inlineStr">
        <is>
          <t>Fullstack Entwickler/in</t>
        </is>
      </c>
      <c r="B154" t="inlineStr">
        <is>
          <t>Fullstack Entwickler/in</t>
        </is>
      </c>
      <c r="C154" t="n">
        <v>1</v>
      </c>
      <c r="D154" t="inlineStr">
        <is>
          <t>adesso SE</t>
        </is>
      </c>
      <c r="E154" t="inlineStr">
        <is>
          <t>Germany</t>
        </is>
      </c>
      <c r="F154" t="inlineStr">
        <is>
          <t>any</t>
        </is>
      </c>
      <c r="G154" t="inlineStr">
        <is>
          <t>high</t>
        </is>
      </c>
      <c r="H154" t="n">
        <v>600</v>
      </c>
      <c r="I154" t="n">
        <v>1200</v>
      </c>
      <c r="J154" t="n">
        <v>0</v>
      </c>
      <c r="K154" t="n">
        <v>0</v>
      </c>
    </row>
    <row r="155">
      <c r="A155" t="inlineStr">
        <is>
          <t>Scrum Master</t>
        </is>
      </c>
      <c r="B155" t="inlineStr">
        <is>
          <t>Scrum Master</t>
        </is>
      </c>
      <c r="C155" t="n">
        <v>1</v>
      </c>
      <c r="D155" t="inlineStr">
        <is>
          <t>adesso SE</t>
        </is>
      </c>
      <c r="E155" t="inlineStr">
        <is>
          <t>Germany</t>
        </is>
      </c>
      <c r="F155" t="inlineStr">
        <is>
          <t>any</t>
        </is>
      </c>
      <c r="G155" t="inlineStr">
        <is>
          <t>high</t>
        </is>
      </c>
      <c r="H155" t="n">
        <v>600</v>
      </c>
      <c r="I155" t="n">
        <v>1200</v>
      </c>
      <c r="J155" t="n">
        <v>0</v>
      </c>
      <c r="K155" t="n">
        <v>0</v>
      </c>
    </row>
    <row r="156">
      <c r="A156" t="inlineStr">
        <is>
          <t>UI/UX Designer</t>
        </is>
      </c>
      <c r="B156" t="inlineStr">
        <is>
          <t>UI/UX Designer</t>
        </is>
      </c>
      <c r="C156" t="n">
        <v>1</v>
      </c>
      <c r="D156" t="inlineStr">
        <is>
          <t>adesso SE</t>
        </is>
      </c>
      <c r="E156" t="inlineStr">
        <is>
          <t>Germany</t>
        </is>
      </c>
      <c r="F156" t="inlineStr">
        <is>
          <t>any</t>
        </is>
      </c>
      <c r="G156" t="inlineStr">
        <is>
          <t>middle</t>
        </is>
      </c>
      <c r="H156" t="n">
        <v>600</v>
      </c>
      <c r="I156" t="n">
        <v>1000</v>
      </c>
      <c r="J156" t="n">
        <v>0</v>
      </c>
      <c r="K156" t="n">
        <v>0</v>
      </c>
    </row>
    <row r="157">
      <c r="A157" t="inlineStr">
        <is>
          <t>Studentische Hilfskraft</t>
        </is>
      </c>
      <c r="B157" t="inlineStr">
        <is>
          <t>Studentische Hilfskraft</t>
        </is>
      </c>
      <c r="C157" t="n">
        <v>1</v>
      </c>
      <c r="D157" t="inlineStr">
        <is>
          <t>adesso SE</t>
        </is>
      </c>
      <c r="E157" t="inlineStr">
        <is>
          <t>Germany</t>
        </is>
      </c>
      <c r="F157" t="inlineStr">
        <is>
          <t>any</t>
        </is>
      </c>
      <c r="G157" t="inlineStr">
        <is>
          <t>very low</t>
        </is>
      </c>
      <c r="H157" t="n">
        <v>250</v>
      </c>
      <c r="I157" t="n">
        <v>500</v>
      </c>
      <c r="J157" t="n">
        <v>0</v>
      </c>
      <c r="K157" t="n">
        <v>0</v>
      </c>
    </row>
    <row r="159">
      <c r="A159" t="inlineStr">
        <is>
          <t>ID</t>
        </is>
      </c>
      <c r="B159" t="inlineStr">
        <is>
          <t>Range (for query)</t>
        </is>
      </c>
      <c r="C159" t="inlineStr">
        <is>
          <t>Feature group</t>
        </is>
      </c>
      <c r="D159" t="inlineStr">
        <is>
          <t>Feature sub group</t>
        </is>
      </c>
      <c r="E159" t="inlineStr">
        <is>
          <t>Feature</t>
        </is>
      </c>
      <c r="F159" t="inlineStr">
        <is>
          <t>Sub feature</t>
        </is>
      </c>
      <c r="G159" t="inlineStr">
        <is>
          <t>Description</t>
        </is>
      </c>
      <c r="H159" t="inlineStr">
        <is>
          <t>Assumptions</t>
        </is>
      </c>
      <c r="I159" t="inlineStr">
        <is>
          <t>Reference ID</t>
        </is>
      </c>
      <c r="J159" t="inlineStr">
        <is>
          <t>Feature task 1</t>
        </is>
      </c>
      <c r="K159" t="inlineStr">
        <is>
          <t>Feature task 2</t>
        </is>
      </c>
      <c r="L159" t="inlineStr">
        <is>
          <t>Feature task 3</t>
        </is>
      </c>
      <c r="M159" t="inlineStr">
        <is>
          <t>Feature task 4</t>
        </is>
      </c>
      <c r="N159" t="inlineStr">
        <is>
          <t>Feature task 5</t>
        </is>
      </c>
      <c r="O159" t="inlineStr">
        <is>
          <t>Feature task 6</t>
        </is>
      </c>
      <c r="P159" t="inlineStr">
        <is>
          <t>Feature task 7</t>
        </is>
      </c>
      <c r="Q159" t="inlineStr">
        <is>
          <t>Feature task 8</t>
        </is>
      </c>
      <c r="R159" t="inlineStr">
        <is>
          <t>Feature task 9</t>
        </is>
      </c>
      <c r="S159" t="inlineStr">
        <is>
          <t>Feature task 10</t>
        </is>
      </c>
    </row>
    <row r="162">
      <c r="A162" t="inlineStr">
        <is>
          <t>Feature task</t>
        </is>
      </c>
      <c r="B162" t="inlineStr">
        <is>
          <t>Description</t>
        </is>
      </c>
      <c r="C162" t="inlineStr">
        <is>
          <t>Average Percentage</t>
        </is>
      </c>
      <c r="D162" t="inlineStr">
        <is>
          <t>Key task</t>
        </is>
      </c>
    </row>
    <row r="163">
      <c r="A163" t="inlineStr">
        <is>
          <t>Analyse und Software Design</t>
        </is>
      </c>
      <c r="B163" t="inlineStr">
        <is>
          <t>Aufnahme, Analyse und Feinspezifikation der Anforderungen</t>
        </is>
      </c>
      <c r="C163" t="n">
        <v>0.25</v>
      </c>
      <c r="D163" t="inlineStr">
        <is>
          <t>no</t>
        </is>
      </c>
    </row>
    <row r="164">
      <c r="A164" t="inlineStr">
        <is>
          <t>Software-Entwicklung</t>
        </is>
      </c>
      <c r="B164" t="inlineStr">
        <is>
          <t>Entwicklung der Software und Software-Test</t>
        </is>
      </c>
      <c r="C164" t="n">
        <v>0.6</v>
      </c>
      <c r="D164" t="inlineStr">
        <is>
          <t>yes</t>
        </is>
      </c>
    </row>
    <row r="165">
      <c r="A165" t="inlineStr">
        <is>
          <t>Software-Test</t>
        </is>
      </c>
      <c r="B165" t="inlineStr">
        <is>
          <t>Testfallerstellung und System-, Integrations- und User Acceptanc-Tests; Retests bei Defects im Entwicklungsprozess sowie Regressionstest bei mehrereren Auslieferungen</t>
        </is>
      </c>
      <c r="C165" t="n">
        <v>0.15</v>
      </c>
      <c r="D165"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6.xml><?xml version="1.0" encoding="utf-8"?>
<worksheet xmlns="http://schemas.openxmlformats.org/spreadsheetml/2006/main">
  <sheetPr codeName="Tabelle24">
    <tabColor theme="5" tint="0.7999816888943144"/>
    <outlinePr summaryBelow="1" summaryRight="1"/>
    <pageSetUpPr/>
  </sheetPr>
  <dimension ref="A1:AT138"/>
  <sheetViews>
    <sheetView workbookViewId="0">
      <selection activeCell="V39" sqref="V39"/>
    </sheetView>
  </sheetViews>
  <sheetFormatPr baseColWidth="10" defaultColWidth="11.5" defaultRowHeight="15"/>
  <sheetData>
    <row r="1">
      <c r="A1" t="inlineStr">
        <is>
          <t>Key</t>
        </is>
      </c>
      <c r="B1" t="inlineStr">
        <is>
          <t>Value</t>
        </is>
      </c>
    </row>
    <row r="2">
      <c r="A2" t="inlineStr">
        <is>
          <t>Proposal title</t>
        </is>
      </c>
      <c r="B2" t="inlineStr">
        <is>
          <t>DevOps…</t>
        </is>
      </c>
    </row>
    <row r="3">
      <c r="A3" t="inlineStr">
        <is>
          <t>Contract type</t>
        </is>
      </c>
      <c r="B3" t="inlineStr">
        <is>
          <t>Work contract (fixed price)</t>
        </is>
      </c>
    </row>
    <row r="4">
      <c r="A4" t="inlineStr">
        <is>
          <t>Customer</t>
        </is>
      </c>
      <c r="B4" t="inlineStr">
        <is>
          <t>BMW</t>
        </is>
      </c>
    </row>
    <row r="5">
      <c r="A5" t="inlineStr">
        <is>
          <t>Contractor</t>
        </is>
      </c>
      <c r="B5" t="inlineStr">
        <is>
          <t>adesso SE</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0</v>
      </c>
    </row>
    <row r="14">
      <c r="A14" t="inlineStr">
        <is>
          <t>Team size</t>
        </is>
      </c>
      <c r="B14" t="n">
        <v>0</v>
      </c>
    </row>
    <row r="15">
      <c r="A15" t="inlineStr">
        <is>
          <t>Number of sprints</t>
        </is>
      </c>
      <c r="B15" t="n">
        <v>0</v>
      </c>
    </row>
    <row r="17">
      <c r="A17" s="243" t="inlineStr">
        <is>
          <t>Team member</t>
        </is>
      </c>
      <c r="B17" s="244" t="inlineStr">
        <is>
          <t>Team member role in proposal process</t>
        </is>
      </c>
    </row>
    <row r="18">
      <c r="A18" s="397" t="n"/>
      <c r="B18" s="398" t="n"/>
    </row>
    <row r="20">
      <c r="A20" t="inlineStr">
        <is>
          <t>Description</t>
        </is>
      </c>
      <c r="B20" t="inlineStr">
        <is>
          <t>Assumptions</t>
        </is>
      </c>
      <c r="C20" t="inlineStr">
        <is>
          <t>Costs</t>
        </is>
      </c>
      <c r="D20" t="inlineStr">
        <is>
          <t>Costs to be charged</t>
        </is>
      </c>
    </row>
    <row r="23">
      <c r="A23" t="inlineStr">
        <is>
          <t>ID</t>
        </is>
      </c>
      <c r="B23" t="inlineStr">
        <is>
          <t>Risk title</t>
        </is>
      </c>
      <c r="C23" t="inlineStr">
        <is>
          <t>Risk description</t>
        </is>
      </c>
      <c r="D23" t="inlineStr">
        <is>
          <t>Linked items</t>
        </is>
      </c>
      <c r="E23" t="inlineStr">
        <is>
          <t>Risk likelihood</t>
        </is>
      </c>
      <c r="F23" t="inlineStr">
        <is>
          <t>Risk impact</t>
        </is>
      </c>
    </row>
    <row r="26">
      <c r="A26" t="inlineStr">
        <is>
          <t>ID</t>
        </is>
      </c>
      <c r="B26" t="inlineStr">
        <is>
          <t>Task group</t>
        </is>
      </c>
      <c r="C26" t="inlineStr">
        <is>
          <t>Summary task</t>
        </is>
      </c>
      <c r="D26" t="inlineStr">
        <is>
          <t>Task</t>
        </is>
      </c>
      <c r="E26" t="inlineStr">
        <is>
          <t>Description</t>
        </is>
      </c>
      <c r="F26" t="inlineStr">
        <is>
          <t>Special task or feature query</t>
        </is>
      </c>
      <c r="G26" t="inlineStr">
        <is>
          <t>Assumptions</t>
        </is>
      </c>
      <c r="H26" t="inlineStr">
        <is>
          <t>Reference ID</t>
        </is>
      </c>
      <c r="I26" t="inlineStr">
        <is>
          <t>Effort</t>
        </is>
      </c>
      <c r="J26" t="inlineStr">
        <is>
          <t>Variable</t>
        </is>
      </c>
      <c r="K26" t="inlineStr">
        <is>
          <t>Formula</t>
        </is>
      </c>
      <c r="L26" t="inlineStr">
        <is>
          <t>Start</t>
        </is>
      </c>
      <c r="M26" t="inlineStr">
        <is>
          <t>Finish</t>
        </is>
      </c>
      <c r="N26" t="inlineStr">
        <is>
          <t>Duration</t>
        </is>
      </c>
      <c r="O26" t="inlineStr">
        <is>
          <t>Dependency</t>
        </is>
      </c>
      <c r="P26" t="inlineStr">
        <is>
          <t>GANTT</t>
        </is>
      </c>
      <c r="Q26" t="inlineStr">
        <is>
          <t>Role 1</t>
        </is>
      </c>
      <c r="R26" t="inlineStr">
        <is>
          <t>Role 2</t>
        </is>
      </c>
      <c r="S26" t="inlineStr">
        <is>
          <t>Role 3</t>
        </is>
      </c>
      <c r="T26" t="inlineStr">
        <is>
          <t>Role 4</t>
        </is>
      </c>
      <c r="U26" t="inlineStr">
        <is>
          <t>Role 5</t>
        </is>
      </c>
      <c r="V26" t="inlineStr">
        <is>
          <t>Role 6</t>
        </is>
      </c>
      <c r="W26" t="inlineStr">
        <is>
          <t>Role 7</t>
        </is>
      </c>
      <c r="X26" t="inlineStr">
        <is>
          <t>Role 8</t>
        </is>
      </c>
      <c r="Y26" t="inlineStr">
        <is>
          <t>Role 9</t>
        </is>
      </c>
      <c r="Z26" t="inlineStr">
        <is>
          <t>Role 10</t>
        </is>
      </c>
      <c r="AA26" t="inlineStr">
        <is>
          <t>Role 11</t>
        </is>
      </c>
      <c r="AB26" t="inlineStr">
        <is>
          <t>Role 12</t>
        </is>
      </c>
      <c r="AC26" t="inlineStr">
        <is>
          <t>Role 13</t>
        </is>
      </c>
      <c r="AD26" t="inlineStr">
        <is>
          <t>Role 14</t>
        </is>
      </c>
      <c r="AE26" t="inlineStr">
        <is>
          <t>Role 15</t>
        </is>
      </c>
      <c r="AF26" t="inlineStr">
        <is>
          <t>Role 16</t>
        </is>
      </c>
      <c r="AG26" t="inlineStr">
        <is>
          <t>Role 17</t>
        </is>
      </c>
      <c r="AH26" t="inlineStr">
        <is>
          <t>Role 18</t>
        </is>
      </c>
      <c r="AI26" t="inlineStr">
        <is>
          <t>Role 19</t>
        </is>
      </c>
      <c r="AJ26" t="inlineStr">
        <is>
          <t>Role 20</t>
        </is>
      </c>
      <c r="AK26" t="inlineStr">
        <is>
          <t>Role 21</t>
        </is>
      </c>
      <c r="AL26" t="inlineStr">
        <is>
          <t>Role 22</t>
        </is>
      </c>
      <c r="AM26" t="inlineStr">
        <is>
          <t>Role 23</t>
        </is>
      </c>
      <c r="AN26" t="inlineStr">
        <is>
          <t>Role 24</t>
        </is>
      </c>
      <c r="AO26" t="inlineStr">
        <is>
          <t>Role 25</t>
        </is>
      </c>
      <c r="AP26" t="inlineStr">
        <is>
          <t>Role 26</t>
        </is>
      </c>
      <c r="AQ26" t="inlineStr">
        <is>
          <t>Role 27</t>
        </is>
      </c>
      <c r="AR26" t="inlineStr">
        <is>
          <t>Role 28</t>
        </is>
      </c>
      <c r="AS26" t="inlineStr">
        <is>
          <t>Role 29</t>
        </is>
      </c>
      <c r="AT26" t="inlineStr">
        <is>
          <t>Role 30</t>
        </is>
      </c>
    </row>
    <row r="27">
      <c r="A27" t="inlineStr">
        <is>
          <t>P-10</t>
        </is>
      </c>
      <c r="D27" t="inlineStr">
        <is>
          <t>Project setup</t>
        </is>
      </c>
      <c r="E27" t="inlineStr">
        <is>
          <t>Development of project controlling, project system, administration</t>
        </is>
      </c>
      <c r="I27" t="n">
        <v>0</v>
      </c>
      <c r="K27" t="inlineStr">
        <is>
          <t>5%*[#total1]</t>
        </is>
      </c>
      <c r="P27" t="inlineStr">
        <is>
          <t>no</t>
        </is>
      </c>
      <c r="R27" t="inlineStr">
        <is>
          <t>f50</t>
        </is>
      </c>
      <c r="S27" t="inlineStr">
        <is>
          <t>f50</t>
        </is>
      </c>
    </row>
    <row r="28">
      <c r="A28" t="inlineStr">
        <is>
          <t>P-20</t>
        </is>
      </c>
      <c r="D28" t="inlineStr">
        <is>
          <t>Project kickoff</t>
        </is>
      </c>
      <c r="E28" t="inlineStr">
        <is>
          <t>Kick off with the project team</t>
        </is>
      </c>
      <c r="I28" t="n">
        <v>0</v>
      </c>
      <c r="K28" t="inlineStr">
        <is>
          <t>[#teamsize]*0.5</t>
        </is>
      </c>
      <c r="P28" t="inlineStr">
        <is>
          <t>no</t>
        </is>
      </c>
      <c r="R28" t="inlineStr">
        <is>
          <t>f12</t>
        </is>
      </c>
      <c r="S28" t="inlineStr">
        <is>
          <t>f8</t>
        </is>
      </c>
      <c r="T28" t="inlineStr">
        <is>
          <t>f8</t>
        </is>
      </c>
      <c r="U28" t="inlineStr">
        <is>
          <t>f8</t>
        </is>
      </c>
      <c r="V28" t="inlineStr">
        <is>
          <t>f8</t>
        </is>
      </c>
      <c r="W28" t="inlineStr">
        <is>
          <t>f8</t>
        </is>
      </c>
      <c r="X28" t="inlineStr">
        <is>
          <t>f8</t>
        </is>
      </c>
      <c r="Y28" t="inlineStr">
        <is>
          <t>f16</t>
        </is>
      </c>
      <c r="Z28" t="inlineStr">
        <is>
          <t>f8</t>
        </is>
      </c>
      <c r="AA28" t="inlineStr">
        <is>
          <t>f8</t>
        </is>
      </c>
      <c r="AB28" t="inlineStr">
        <is>
          <t>f8</t>
        </is>
      </c>
    </row>
    <row r="29">
      <c r="A29" t="inlineStr">
        <is>
          <t>P-30</t>
        </is>
      </c>
      <c r="D29" t="inlineStr">
        <is>
          <t>Transition IN</t>
        </is>
      </c>
      <c r="E29" t="inlineStr">
        <is>
          <t>Takeover of the applications from the previous service provider</t>
        </is>
      </c>
      <c r="I29" t="n">
        <v>0</v>
      </c>
      <c r="K29" t="inlineStr">
        <is>
          <t>[#teamsize]*20</t>
        </is>
      </c>
      <c r="P29" t="inlineStr">
        <is>
          <t>no</t>
        </is>
      </c>
      <c r="T29" t="inlineStr">
        <is>
          <t>f5</t>
        </is>
      </c>
      <c r="U29" t="inlineStr">
        <is>
          <t>f5</t>
        </is>
      </c>
      <c r="V29" t="inlineStr">
        <is>
          <t>f10</t>
        </is>
      </c>
      <c r="W29" t="inlineStr">
        <is>
          <t>f10</t>
        </is>
      </c>
      <c r="X29" t="inlineStr">
        <is>
          <t>f60</t>
        </is>
      </c>
      <c r="AB29" t="inlineStr">
        <is>
          <t>f10</t>
        </is>
      </c>
    </row>
    <row r="30">
      <c r="A30" t="inlineStr">
        <is>
          <t>P-40</t>
        </is>
      </c>
      <c r="D30" t="inlineStr">
        <is>
          <t>Setup development environment</t>
        </is>
      </c>
      <c r="E30" t="inlineStr">
        <is>
          <t>Setting up the development environment and the deployment line</t>
        </is>
      </c>
      <c r="I30" t="n">
        <v>0</v>
      </c>
      <c r="K30" t="inlineStr">
        <is>
          <t>[#teamsize]*3</t>
        </is>
      </c>
      <c r="P30" t="inlineStr">
        <is>
          <t>no</t>
        </is>
      </c>
      <c r="T30" t="inlineStr">
        <is>
          <t>f20</t>
        </is>
      </c>
      <c r="U30" t="inlineStr">
        <is>
          <t>f10</t>
        </is>
      </c>
      <c r="V30" t="inlineStr">
        <is>
          <t>f10</t>
        </is>
      </c>
      <c r="X30" t="inlineStr">
        <is>
          <t>f12</t>
        </is>
      </c>
      <c r="Y30" t="inlineStr">
        <is>
          <t>f40</t>
        </is>
      </c>
      <c r="AA30" t="inlineStr">
        <is>
          <t>f4</t>
        </is>
      </c>
      <c r="AB30" t="inlineStr">
        <is>
          <t>f4</t>
        </is>
      </c>
    </row>
    <row r="31">
      <c r="A31" t="inlineStr">
        <is>
          <t>P-50</t>
        </is>
      </c>
      <c r="D31" t="inlineStr">
        <is>
          <t>RE/Analysis/Refinement</t>
        </is>
      </c>
      <c r="E31" t="inlineStr">
        <is>
          <t>Feature task 'RE/Analysis/Refinement'</t>
        </is>
      </c>
      <c r="F31" t="inlineStr">
        <is>
          <t>FT#1</t>
        </is>
      </c>
      <c r="I31" t="n">
        <v>0</v>
      </c>
      <c r="J31" t="inlineStr">
        <is>
          <t>[re]</t>
        </is>
      </c>
      <c r="P31" t="inlineStr">
        <is>
          <t>no</t>
        </is>
      </c>
      <c r="W31" t="inlineStr">
        <is>
          <t>f80</t>
        </is>
      </c>
      <c r="Z31" t="inlineStr">
        <is>
          <t>f20</t>
        </is>
      </c>
    </row>
    <row r="32">
      <c r="A32" t="inlineStr">
        <is>
          <t>P-60</t>
        </is>
      </c>
      <c r="D32" t="inlineStr">
        <is>
          <t>Software development</t>
        </is>
      </c>
      <c r="E32" t="inlineStr">
        <is>
          <t>Feature task 'Software development'</t>
        </is>
      </c>
      <c r="F32" t="inlineStr">
        <is>
          <t>FT#2</t>
        </is>
      </c>
      <c r="I32" t="n">
        <v>0</v>
      </c>
      <c r="J32" t="inlineStr">
        <is>
          <t>[dev]</t>
        </is>
      </c>
      <c r="P32" t="inlineStr">
        <is>
          <t>no</t>
        </is>
      </c>
      <c r="T32" t="inlineStr">
        <is>
          <t>f2</t>
        </is>
      </c>
      <c r="X32" t="inlineStr">
        <is>
          <t>f5</t>
        </is>
      </c>
      <c r="Y32" t="inlineStr">
        <is>
          <t>f78</t>
        </is>
      </c>
      <c r="AB32" t="inlineStr">
        <is>
          <t>f15</t>
        </is>
      </c>
    </row>
    <row r="33">
      <c r="A33" t="inlineStr">
        <is>
          <t>P-70</t>
        </is>
      </c>
      <c r="D33" t="inlineStr">
        <is>
          <t>Deployment</t>
        </is>
      </c>
      <c r="E33" t="inlineStr">
        <is>
          <t>Feature task 'Deployment'</t>
        </is>
      </c>
      <c r="F33" t="inlineStr">
        <is>
          <t>FT#3</t>
        </is>
      </c>
      <c r="I33" t="n">
        <v>0</v>
      </c>
      <c r="J33" t="inlineStr">
        <is>
          <t>[deploy]</t>
        </is>
      </c>
      <c r="P33" t="inlineStr">
        <is>
          <t>no</t>
        </is>
      </c>
      <c r="Y33" t="inlineStr">
        <is>
          <t>f100</t>
        </is>
      </c>
    </row>
    <row r="34">
      <c r="A34" t="inlineStr">
        <is>
          <t>P-80</t>
        </is>
      </c>
      <c r="D34" t="inlineStr">
        <is>
          <t>Testing and documentation</t>
        </is>
      </c>
      <c r="E34" t="inlineStr">
        <is>
          <t>Feature task 'Testing and documentation'</t>
        </is>
      </c>
      <c r="F34" t="inlineStr">
        <is>
          <t>FT#4</t>
        </is>
      </c>
      <c r="I34" t="n">
        <v>0</v>
      </c>
      <c r="J34" t="inlineStr">
        <is>
          <t>[test]</t>
        </is>
      </c>
      <c r="P34" t="inlineStr">
        <is>
          <t>no</t>
        </is>
      </c>
      <c r="U34" t="inlineStr">
        <is>
          <t>f10</t>
        </is>
      </c>
      <c r="W34" t="inlineStr">
        <is>
          <t>f10</t>
        </is>
      </c>
      <c r="X34" t="inlineStr">
        <is>
          <t>f50</t>
        </is>
      </c>
      <c r="Y34" t="inlineStr">
        <is>
          <t>f20</t>
        </is>
      </c>
      <c r="AA34" t="inlineStr">
        <is>
          <t>f10</t>
        </is>
      </c>
    </row>
    <row r="35">
      <c r="A35" t="inlineStr">
        <is>
          <t>P-90</t>
        </is>
      </c>
      <c r="D35" t="inlineStr">
        <is>
          <t>Defects</t>
        </is>
      </c>
      <c r="E35" t="inlineStr">
        <is>
          <t>Feature task 'Defects'</t>
        </is>
      </c>
      <c r="F35" t="inlineStr">
        <is>
          <t>FT#5</t>
        </is>
      </c>
      <c r="I35" t="n">
        <v>0</v>
      </c>
      <c r="J35" t="inlineStr">
        <is>
          <t>[defect]</t>
        </is>
      </c>
      <c r="P35" t="inlineStr">
        <is>
          <t>no</t>
        </is>
      </c>
      <c r="Y35" t="inlineStr">
        <is>
          <t>f80</t>
        </is>
      </c>
      <c r="AB35" t="inlineStr">
        <is>
          <t>f20</t>
        </is>
      </c>
    </row>
    <row r="36">
      <c r="A36" t="inlineStr">
        <is>
          <t>P-100</t>
        </is>
      </c>
      <c r="D36" t="inlineStr">
        <is>
          <t>Feature-Risks</t>
        </is>
      </c>
      <c r="E36" t="inlineStr">
        <is>
          <t>Feature task 'Risks'</t>
        </is>
      </c>
      <c r="F36" t="inlineStr">
        <is>
          <t>FT#6</t>
        </is>
      </c>
      <c r="I36" t="n">
        <v>0</v>
      </c>
      <c r="J36" t="inlineStr">
        <is>
          <t>[risiko]</t>
        </is>
      </c>
      <c r="P36" t="inlineStr">
        <is>
          <t>no</t>
        </is>
      </c>
      <c r="Q36" t="inlineStr">
        <is>
          <t>f100</t>
        </is>
      </c>
    </row>
    <row r="37">
      <c r="A37" t="inlineStr">
        <is>
          <t>P-110</t>
        </is>
      </c>
      <c r="D37" t="inlineStr">
        <is>
          <t>Overhead (agil Meetings/PL/SM/PMO)</t>
        </is>
      </c>
      <c r="E37" t="inlineStr">
        <is>
          <t>Feature task 'Overhead (agile meetings/pm/sm/pmo)'</t>
        </is>
      </c>
      <c r="F37" t="inlineStr">
        <is>
          <t>FT#7</t>
        </is>
      </c>
      <c r="I37" t="n">
        <v>0</v>
      </c>
      <c r="J37" t="inlineStr">
        <is>
          <t>[overhead]</t>
        </is>
      </c>
      <c r="P37" t="inlineStr">
        <is>
          <t>no</t>
        </is>
      </c>
      <c r="R37" t="inlineStr">
        <is>
          <t>f40</t>
        </is>
      </c>
      <c r="S37" t="inlineStr">
        <is>
          <t>f40</t>
        </is>
      </c>
      <c r="T37" t="inlineStr">
        <is>
          <t>f10</t>
        </is>
      </c>
      <c r="V37" t="inlineStr">
        <is>
          <t>f10</t>
        </is>
      </c>
    </row>
    <row r="38">
      <c r="A38" t="inlineStr">
        <is>
          <t>P-120</t>
        </is>
      </c>
      <c r="D38" t="inlineStr">
        <is>
          <t>Transition OUT</t>
        </is>
      </c>
      <c r="E38" t="inlineStr">
        <is>
          <t>Handover of the applications to the next service provider</t>
        </is>
      </c>
      <c r="I38" t="n">
        <v>0</v>
      </c>
      <c r="K38" t="inlineStr">
        <is>
          <t>[#teamsize]*20</t>
        </is>
      </c>
      <c r="P38" t="inlineStr">
        <is>
          <t>no</t>
        </is>
      </c>
      <c r="T38" t="inlineStr">
        <is>
          <t>f10</t>
        </is>
      </c>
      <c r="U38" t="inlineStr">
        <is>
          <t>f10</t>
        </is>
      </c>
      <c r="V38" t="inlineStr">
        <is>
          <t>f10</t>
        </is>
      </c>
      <c r="W38" t="inlineStr">
        <is>
          <t>f10</t>
        </is>
      </c>
      <c r="Y38" t="inlineStr">
        <is>
          <t>f60</t>
        </is>
      </c>
    </row>
    <row r="39">
      <c r="A39" t="inlineStr">
        <is>
          <t>P-130</t>
        </is>
      </c>
      <c r="D39" t="inlineStr">
        <is>
          <t>Documentation (End)</t>
        </is>
      </c>
      <c r="E39" t="inlineStr">
        <is>
          <t>Final documentation incl. YPA</t>
        </is>
      </c>
      <c r="I39" t="n">
        <v>0</v>
      </c>
      <c r="P39" t="inlineStr">
        <is>
          <t>no</t>
        </is>
      </c>
      <c r="R39" t="inlineStr">
        <is>
          <t>f10</t>
        </is>
      </c>
      <c r="S39" t="inlineStr">
        <is>
          <t>f10</t>
        </is>
      </c>
      <c r="W39" t="inlineStr">
        <is>
          <t>f80</t>
        </is>
      </c>
    </row>
    <row r="40">
      <c r="A40" t="inlineStr">
        <is>
          <t>P-140</t>
        </is>
      </c>
      <c r="D40" t="inlineStr">
        <is>
          <t>QA management</t>
        </is>
      </c>
      <c r="E40" t="inlineStr">
        <is>
          <t>Cross-cutting tasks Test Management</t>
        </is>
      </c>
      <c r="I40" t="n">
        <v>0</v>
      </c>
      <c r="K40" t="inlineStr">
        <is>
          <t>5%*[test]</t>
        </is>
      </c>
      <c r="P40" t="inlineStr">
        <is>
          <t>no</t>
        </is>
      </c>
      <c r="U40" t="inlineStr">
        <is>
          <t>f80</t>
        </is>
      </c>
      <c r="X40" t="inlineStr">
        <is>
          <t>f20</t>
        </is>
      </c>
    </row>
    <row r="41">
      <c r="A41" t="inlineStr">
        <is>
          <t>P-150</t>
        </is>
      </c>
      <c r="D41" t="inlineStr">
        <is>
          <t>DevOps support</t>
        </is>
      </c>
      <c r="I41" t="n">
        <v>0</v>
      </c>
      <c r="K41" t="inlineStr">
        <is>
          <t>15%*[#projectlength]*5</t>
        </is>
      </c>
      <c r="P41" t="inlineStr">
        <is>
          <t>no</t>
        </is>
      </c>
      <c r="V41" t="inlineStr">
        <is>
          <t>f100</t>
        </is>
      </c>
    </row>
    <row r="42">
      <c r="A42" t="inlineStr">
        <is>
          <t>P-160</t>
        </is>
      </c>
      <c r="D42" t="inlineStr">
        <is>
          <t>Smartshore management/support</t>
        </is>
      </c>
      <c r="I42" t="n">
        <v>0</v>
      </c>
      <c r="P42" t="inlineStr">
        <is>
          <t>no</t>
        </is>
      </c>
      <c r="R42" t="inlineStr">
        <is>
          <t>f50</t>
        </is>
      </c>
      <c r="S42" t="inlineStr">
        <is>
          <t>f50</t>
        </is>
      </c>
    </row>
    <row r="43">
      <c r="A43" t="inlineStr">
        <is>
          <t>P-170</t>
        </is>
      </c>
      <c r="D43" t="inlineStr">
        <is>
          <t>Travel Time</t>
        </is>
      </c>
      <c r="F43" t="inlineStr">
        <is>
          <t>TT</t>
        </is>
      </c>
      <c r="I43" t="n">
        <v>0</v>
      </c>
      <c r="J43" t="inlineStr">
        <is>
          <t>[traveltime]</t>
        </is>
      </c>
      <c r="K43" t="inlineStr">
        <is>
          <t>10%*[#total1]</t>
        </is>
      </c>
      <c r="P43" t="inlineStr">
        <is>
          <t>no</t>
        </is>
      </c>
      <c r="Q43" t="inlineStr">
        <is>
          <t>f100</t>
        </is>
      </c>
    </row>
    <row r="44">
      <c r="A44" t="inlineStr">
        <is>
          <t>P-180</t>
        </is>
      </c>
      <c r="D44" t="inlineStr">
        <is>
          <t>Warranty</t>
        </is>
      </c>
      <c r="F44" t="inlineStr">
        <is>
          <t>WA</t>
        </is>
      </c>
      <c r="I44" t="n">
        <v>0</v>
      </c>
      <c r="J44" t="inlineStr">
        <is>
          <t>[warranty]</t>
        </is>
      </c>
      <c r="K44" t="inlineStr">
        <is>
          <t>6%*[#total1]</t>
        </is>
      </c>
      <c r="P44" t="inlineStr">
        <is>
          <t>no</t>
        </is>
      </c>
      <c r="Q44" t="inlineStr">
        <is>
          <t>f100</t>
        </is>
      </c>
    </row>
    <row r="45">
      <c r="A45" t="inlineStr">
        <is>
          <t>P-190</t>
        </is>
      </c>
      <c r="D45" t="inlineStr">
        <is>
          <t>Risks</t>
        </is>
      </c>
      <c r="F45" t="inlineStr">
        <is>
          <t>RIS</t>
        </is>
      </c>
      <c r="I45" t="n">
        <v>0</v>
      </c>
      <c r="P45" t="inlineStr">
        <is>
          <t>no</t>
        </is>
      </c>
      <c r="Q45" t="inlineStr">
        <is>
          <t>f100</t>
        </is>
      </c>
    </row>
    <row r="47">
      <c r="A47" t="inlineStr">
        <is>
          <t>Seniority Level</t>
        </is>
      </c>
    </row>
    <row r="48">
      <c r="A48" s="290" t="inlineStr">
        <is>
          <t>any</t>
        </is>
      </c>
    </row>
    <row r="49">
      <c r="A49" s="290" t="inlineStr">
        <is>
          <t>very low</t>
        </is>
      </c>
    </row>
    <row r="50">
      <c r="A50" s="290" t="inlineStr">
        <is>
          <t>low</t>
        </is>
      </c>
    </row>
    <row r="51">
      <c r="A51" s="290" t="inlineStr">
        <is>
          <t>middle</t>
        </is>
      </c>
    </row>
    <row r="52">
      <c r="A52" s="290" t="inlineStr">
        <is>
          <t>high</t>
        </is>
      </c>
    </row>
    <row r="53">
      <c r="A53" s="290" t="inlineStr">
        <is>
          <t>very high</t>
        </is>
      </c>
    </row>
    <row r="55">
      <c r="A55" t="inlineStr">
        <is>
          <t>Location</t>
        </is>
      </c>
    </row>
    <row r="56">
      <c r="A56" s="290" t="inlineStr">
        <is>
          <t>any</t>
        </is>
      </c>
    </row>
    <row r="57">
      <c r="A57" s="290" t="inlineStr">
        <is>
          <t>Onsite</t>
        </is>
      </c>
    </row>
    <row r="58">
      <c r="A58" s="290" t="inlineStr">
        <is>
          <t>Offsite</t>
        </is>
      </c>
    </row>
    <row r="59">
      <c r="A59" s="290" t="inlineStr">
        <is>
          <t>On-/Offsite</t>
        </is>
      </c>
    </row>
    <row r="60">
      <c r="A60" s="290" t="inlineStr">
        <is>
          <t>Nearshore</t>
        </is>
      </c>
    </row>
    <row r="61">
      <c r="A61" s="290" t="inlineStr">
        <is>
          <t>Offshore</t>
        </is>
      </c>
    </row>
    <row r="63">
      <c r="A63" t="inlineStr">
        <is>
          <t>Company</t>
        </is>
      </c>
      <c r="B63" s="81" t="inlineStr">
        <is>
          <t>Accounting-related company</t>
        </is>
      </c>
    </row>
    <row r="64">
      <c r="A64" s="290" t="inlineStr">
        <is>
          <t>any</t>
        </is>
      </c>
      <c r="B64" s="292" t="inlineStr">
        <is>
          <t>no</t>
        </is>
      </c>
    </row>
    <row r="65">
      <c r="A65" s="290" t="inlineStr">
        <is>
          <t>adesso SE</t>
        </is>
      </c>
      <c r="B65" s="292" t="inlineStr">
        <is>
          <t>yes</t>
        </is>
      </c>
    </row>
    <row r="66">
      <c r="A66" s="290" t="inlineStr">
        <is>
          <t>adesso as a service</t>
        </is>
      </c>
      <c r="B66" s="292" t="inlineStr">
        <is>
          <t>no</t>
        </is>
      </c>
    </row>
    <row r="67">
      <c r="A67" s="290" t="inlineStr">
        <is>
          <t>adesso Austria</t>
        </is>
      </c>
      <c r="B67" s="292" t="inlineStr">
        <is>
          <t>no</t>
        </is>
      </c>
    </row>
    <row r="68">
      <c r="A68" s="290" t="inlineStr">
        <is>
          <t>adesso benefit solutions</t>
        </is>
      </c>
      <c r="B68" s="292" t="inlineStr">
        <is>
          <t>no</t>
        </is>
      </c>
    </row>
    <row r="69">
      <c r="A69" s="290" t="inlineStr">
        <is>
          <t>adesso Bulgaria</t>
        </is>
      </c>
      <c r="B69" s="292" t="inlineStr">
        <is>
          <t>no</t>
        </is>
      </c>
    </row>
    <row r="70">
      <c r="A70" s="290" t="inlineStr">
        <is>
          <t>adesso Finland</t>
        </is>
      </c>
      <c r="B70" s="292" t="inlineStr">
        <is>
          <t>no</t>
        </is>
      </c>
    </row>
    <row r="71">
      <c r="A71" s="290" t="inlineStr">
        <is>
          <t>adesso health solutions</t>
        </is>
      </c>
      <c r="B71" s="292" t="inlineStr">
        <is>
          <t>no</t>
        </is>
      </c>
    </row>
    <row r="72">
      <c r="A72" s="290" t="inlineStr">
        <is>
          <t>adesso Hungary</t>
        </is>
      </c>
      <c r="B72" s="292" t="inlineStr">
        <is>
          <t>no</t>
        </is>
      </c>
    </row>
    <row r="73">
      <c r="A73" s="290" t="inlineStr">
        <is>
          <t>adesso India</t>
        </is>
      </c>
      <c r="B73" s="292" t="inlineStr">
        <is>
          <t>no</t>
        </is>
      </c>
    </row>
    <row r="74">
      <c r="A74" s="290" t="inlineStr">
        <is>
          <t>adesso insurance solutions</t>
        </is>
      </c>
      <c r="B74" s="292" t="inlineStr">
        <is>
          <t>yes</t>
        </is>
      </c>
    </row>
    <row r="75">
      <c r="A75" s="290" t="inlineStr">
        <is>
          <t>adesso Italy</t>
        </is>
      </c>
      <c r="B75" s="292" t="inlineStr">
        <is>
          <t>no</t>
        </is>
      </c>
    </row>
    <row r="76">
      <c r="A76" s="290" t="inlineStr">
        <is>
          <t>adesso Lakes</t>
        </is>
      </c>
      <c r="B76" s="292" t="inlineStr">
        <is>
          <t>no</t>
        </is>
      </c>
    </row>
    <row r="77">
      <c r="A77" s="290" t="inlineStr">
        <is>
          <t>adesso mobile solutions</t>
        </is>
      </c>
      <c r="B77" s="292" t="inlineStr">
        <is>
          <t>yes</t>
        </is>
      </c>
    </row>
    <row r="78">
      <c r="A78" s="290" t="inlineStr">
        <is>
          <t>adesso Netherlands</t>
        </is>
      </c>
      <c r="B78" s="292" t="inlineStr">
        <is>
          <t>no</t>
        </is>
      </c>
    </row>
    <row r="79">
      <c r="A79" s="290" t="inlineStr">
        <is>
          <t>adesso orange</t>
        </is>
      </c>
      <c r="B79" s="292" t="inlineStr">
        <is>
          <t>yes</t>
        </is>
      </c>
    </row>
    <row r="80">
      <c r="A80" s="290" t="inlineStr">
        <is>
          <t>adesso partner trust</t>
        </is>
      </c>
      <c r="B80" s="292" t="inlineStr">
        <is>
          <t>no</t>
        </is>
      </c>
    </row>
    <row r="81">
      <c r="A81" s="290" t="inlineStr">
        <is>
          <t>adesso Romania</t>
        </is>
      </c>
      <c r="B81" s="292" t="inlineStr">
        <is>
          <t>no</t>
        </is>
      </c>
    </row>
    <row r="82">
      <c r="A82" s="290" t="inlineStr">
        <is>
          <t>adesso Spain</t>
        </is>
      </c>
      <c r="B82" s="292" t="inlineStr">
        <is>
          <t>no</t>
        </is>
      </c>
    </row>
    <row r="83">
      <c r="A83" s="290" t="inlineStr">
        <is>
          <t>adesso Sweden</t>
        </is>
      </c>
      <c r="B83" s="292" t="inlineStr">
        <is>
          <t>no</t>
        </is>
      </c>
    </row>
    <row r="84">
      <c r="A84" s="290" t="inlineStr">
        <is>
          <t>adesso Switzerland</t>
        </is>
      </c>
      <c r="B84" s="292" t="inlineStr">
        <is>
          <t>no</t>
        </is>
      </c>
    </row>
    <row r="85">
      <c r="A85" s="290" t="inlineStr">
        <is>
          <t>adesso Turkey</t>
        </is>
      </c>
      <c r="B85" s="292" t="inlineStr">
        <is>
          <t>no</t>
        </is>
      </c>
    </row>
    <row r="86">
      <c r="A86" s="290" t="inlineStr">
        <is>
          <t>Afida</t>
        </is>
      </c>
      <c r="B86" s="292" t="inlineStr">
        <is>
          <t>no</t>
        </is>
      </c>
    </row>
    <row r="87">
      <c r="A87" s="290" t="inlineStr">
        <is>
          <t>alleato adessekuranzmakler</t>
        </is>
      </c>
      <c r="B87" s="292" t="inlineStr">
        <is>
          <t>no</t>
        </is>
      </c>
    </row>
    <row r="88">
      <c r="A88" s="290" t="inlineStr">
        <is>
          <t>amis</t>
        </is>
      </c>
      <c r="B88" s="292" t="inlineStr">
        <is>
          <t>no</t>
        </is>
      </c>
    </row>
    <row r="89">
      <c r="A89" s="290" t="inlineStr">
        <is>
          <t>KIWI Consulting</t>
        </is>
      </c>
      <c r="B89" s="292" t="inlineStr">
        <is>
          <t>no</t>
        </is>
      </c>
    </row>
    <row r="90">
      <c r="A90" s="290" t="inlineStr">
        <is>
          <t>material.one</t>
        </is>
      </c>
      <c r="B90" s="292" t="inlineStr">
        <is>
          <t>no</t>
        </is>
      </c>
    </row>
    <row r="91">
      <c r="A91" s="290" t="inlineStr">
        <is>
          <t>medgineering</t>
        </is>
      </c>
      <c r="B91" s="292" t="inlineStr">
        <is>
          <t>no</t>
        </is>
      </c>
    </row>
    <row r="92">
      <c r="A92" s="290" t="inlineStr">
        <is>
          <t>percision</t>
        </is>
      </c>
      <c r="B92" s="292" t="inlineStr">
        <is>
          <t>no</t>
        </is>
      </c>
    </row>
    <row r="93">
      <c r="A93" s="290" t="inlineStr">
        <is>
          <t>Reachbird</t>
        </is>
      </c>
      <c r="B93" s="292" t="inlineStr">
        <is>
          <t>no</t>
        </is>
      </c>
    </row>
    <row r="94">
      <c r="A94" s="290" t="inlineStr">
        <is>
          <t>urban engergy</t>
        </is>
      </c>
      <c r="B94" s="292" t="inlineStr">
        <is>
          <t>no</t>
        </is>
      </c>
    </row>
    <row r="95">
      <c r="A95" s="290" t="inlineStr">
        <is>
          <t>WEPEX</t>
        </is>
      </c>
      <c r="B95" s="292" t="inlineStr">
        <is>
          <t>no</t>
        </is>
      </c>
    </row>
    <row r="97">
      <c r="A97" t="inlineStr">
        <is>
          <t>Country</t>
        </is>
      </c>
      <c r="B97" s="198" t="inlineStr">
        <is>
          <t>Inflation rate</t>
        </is>
      </c>
    </row>
    <row r="98">
      <c r="A98" s="290" t="inlineStr">
        <is>
          <t>any</t>
        </is>
      </c>
      <c r="B98" s="395" t="n">
        <v>0.02</v>
      </c>
    </row>
    <row r="99">
      <c r="A99" s="290" t="inlineStr">
        <is>
          <t>Germany</t>
        </is>
      </c>
      <c r="B99" s="395" t="n">
        <v>0.02</v>
      </c>
    </row>
    <row r="100">
      <c r="A100" s="290" t="inlineStr">
        <is>
          <t>Austria</t>
        </is>
      </c>
      <c r="B100" s="395" t="n">
        <v>0.035</v>
      </c>
    </row>
    <row r="101">
      <c r="A101" s="290" t="inlineStr">
        <is>
          <t>Bulgaria</t>
        </is>
      </c>
      <c r="B101" s="395" t="n">
        <v>0.03</v>
      </c>
    </row>
    <row r="102">
      <c r="A102" s="290" t="inlineStr">
        <is>
          <t>Finland</t>
        </is>
      </c>
      <c r="B102" s="395" t="n">
        <v>0.015</v>
      </c>
    </row>
    <row r="103">
      <c r="A103" s="290" t="inlineStr">
        <is>
          <t>Hungary</t>
        </is>
      </c>
      <c r="B103" s="395" t="n">
        <v>0.035</v>
      </c>
    </row>
    <row r="104">
      <c r="A104" s="290" t="inlineStr">
        <is>
          <t>India</t>
        </is>
      </c>
      <c r="B104" s="395" t="n">
        <v>0.055</v>
      </c>
    </row>
    <row r="105">
      <c r="A105" s="290" t="inlineStr">
        <is>
          <t>Italy</t>
        </is>
      </c>
      <c r="B105" s="395" t="n">
        <v>0.015</v>
      </c>
    </row>
    <row r="106">
      <c r="A106" s="290" t="inlineStr">
        <is>
          <t>Netherlands</t>
        </is>
      </c>
      <c r="B106" s="395" t="n">
        <v>0.025</v>
      </c>
    </row>
    <row r="107">
      <c r="A107" s="290" t="inlineStr">
        <is>
          <t>Romania</t>
        </is>
      </c>
      <c r="B107" s="395" t="n">
        <v>0.06</v>
      </c>
    </row>
    <row r="108">
      <c r="A108" s="290" t="inlineStr">
        <is>
          <t>Spain</t>
        </is>
      </c>
      <c r="B108" s="395" t="n">
        <v>0.025</v>
      </c>
    </row>
    <row r="109">
      <c r="A109" s="290" t="inlineStr">
        <is>
          <t>Sweden</t>
        </is>
      </c>
      <c r="B109" s="395" t="n">
        <v>0.025</v>
      </c>
    </row>
    <row r="110">
      <c r="A110" s="290" t="inlineStr">
        <is>
          <t>Switzerland</t>
        </is>
      </c>
      <c r="B110" s="395" t="n">
        <v>0.02</v>
      </c>
    </row>
    <row r="111">
      <c r="A111" s="290" t="inlineStr">
        <is>
          <t>Turkey</t>
        </is>
      </c>
      <c r="B111" s="395" t="n">
        <v>0.5</v>
      </c>
    </row>
    <row r="113">
      <c r="A113" t="inlineStr">
        <is>
          <t>Project role</t>
        </is>
      </c>
      <c r="B113" t="inlineStr">
        <is>
          <t>Sub role</t>
        </is>
      </c>
      <c r="C113" t="inlineStr">
        <is>
          <t>Percentage</t>
        </is>
      </c>
      <c r="D113" t="inlineStr">
        <is>
          <t>Company</t>
        </is>
      </c>
      <c r="E113" t="inlineStr">
        <is>
          <t>Country</t>
        </is>
      </c>
      <c r="F113" t="inlineStr">
        <is>
          <t>Location</t>
        </is>
      </c>
      <c r="G113" t="inlineStr">
        <is>
          <t>Seniority Level</t>
        </is>
      </c>
      <c r="H113" t="inlineStr">
        <is>
          <t>Daily costs</t>
        </is>
      </c>
      <c r="I113" t="inlineStr">
        <is>
          <t>Daily rate</t>
        </is>
      </c>
      <c r="J113" t="inlineStr">
        <is>
          <t>Daily costs (travel time)</t>
        </is>
      </c>
      <c r="K113" t="inlineStr">
        <is>
          <t>Daily rate (travel time)</t>
        </is>
      </c>
    </row>
    <row r="114">
      <c r="A114" t="inlineStr">
        <is>
          <t>Any role</t>
        </is>
      </c>
      <c r="B114" t="inlineStr">
        <is>
          <t>Any role</t>
        </is>
      </c>
      <c r="C114" t="n">
        <v>1</v>
      </c>
      <c r="D114" t="inlineStr">
        <is>
          <t>any</t>
        </is>
      </c>
      <c r="E114" t="inlineStr">
        <is>
          <t>any</t>
        </is>
      </c>
      <c r="F114" t="inlineStr">
        <is>
          <t>any</t>
        </is>
      </c>
      <c r="G114" t="inlineStr">
        <is>
          <t>any</t>
        </is>
      </c>
      <c r="H114" t="n">
        <v>605</v>
      </c>
      <c r="I114" t="n">
        <v>720</v>
      </c>
      <c r="J114" t="n">
        <v>605</v>
      </c>
      <c r="K114" t="n">
        <v>0</v>
      </c>
    </row>
    <row r="115">
      <c r="A115" t="inlineStr">
        <is>
          <t>Project manager</t>
        </is>
      </c>
      <c r="B115" t="inlineStr">
        <is>
          <t>Project manager</t>
        </is>
      </c>
      <c r="C115" t="n">
        <v>1</v>
      </c>
      <c r="D115" t="inlineStr">
        <is>
          <t>adesso SE</t>
        </is>
      </c>
      <c r="E115" t="inlineStr">
        <is>
          <t>Germany</t>
        </is>
      </c>
      <c r="F115" t="inlineStr">
        <is>
          <t>any</t>
        </is>
      </c>
      <c r="G115" t="inlineStr">
        <is>
          <t>very high</t>
        </is>
      </c>
      <c r="H115" t="n">
        <v>780</v>
      </c>
      <c r="I115" t="n">
        <v>720</v>
      </c>
      <c r="J115" t="n">
        <v>780</v>
      </c>
      <c r="K115" t="n">
        <v>0</v>
      </c>
    </row>
    <row r="116">
      <c r="A116" t="inlineStr">
        <is>
          <t>Project assistance</t>
        </is>
      </c>
      <c r="B116" t="inlineStr">
        <is>
          <t>Project assistance</t>
        </is>
      </c>
      <c r="C116" t="n">
        <v>1</v>
      </c>
      <c r="D116" t="inlineStr">
        <is>
          <t>adesso SE</t>
        </is>
      </c>
      <c r="E116" t="inlineStr">
        <is>
          <t>Germany</t>
        </is>
      </c>
      <c r="F116" t="inlineStr">
        <is>
          <t>any</t>
        </is>
      </c>
      <c r="G116" t="inlineStr">
        <is>
          <t>low</t>
        </is>
      </c>
      <c r="H116" t="n">
        <v>605</v>
      </c>
      <c r="I116" t="n">
        <v>720</v>
      </c>
      <c r="J116" t="n">
        <v>605</v>
      </c>
      <c r="K116" t="n">
        <v>0</v>
      </c>
    </row>
    <row r="117">
      <c r="A117" t="inlineStr">
        <is>
          <t>Software architect</t>
        </is>
      </c>
      <c r="B117" t="inlineStr">
        <is>
          <t>Software architect</t>
        </is>
      </c>
      <c r="C117" t="n">
        <v>1</v>
      </c>
      <c r="D117" t="inlineStr">
        <is>
          <t>adesso SE</t>
        </is>
      </c>
      <c r="E117" t="inlineStr">
        <is>
          <t>Germany</t>
        </is>
      </c>
      <c r="F117" t="inlineStr">
        <is>
          <t>any</t>
        </is>
      </c>
      <c r="G117" t="inlineStr">
        <is>
          <t>high</t>
        </is>
      </c>
      <c r="H117" t="n">
        <v>680</v>
      </c>
      <c r="I117" t="n">
        <v>720</v>
      </c>
      <c r="J117" t="n">
        <v>680</v>
      </c>
      <c r="K117" t="n">
        <v>0</v>
      </c>
    </row>
    <row r="118">
      <c r="A118" t="inlineStr">
        <is>
          <t>Testmanager</t>
        </is>
      </c>
      <c r="B118" t="inlineStr">
        <is>
          <t>Testmanager</t>
        </is>
      </c>
      <c r="C118" t="n">
        <v>1</v>
      </c>
      <c r="D118" t="inlineStr">
        <is>
          <t>adesso SE</t>
        </is>
      </c>
      <c r="E118" t="inlineStr">
        <is>
          <t>Germany</t>
        </is>
      </c>
      <c r="F118" t="inlineStr">
        <is>
          <t>any</t>
        </is>
      </c>
      <c r="G118" t="inlineStr">
        <is>
          <t>high</t>
        </is>
      </c>
      <c r="H118" t="n">
        <v>680</v>
      </c>
      <c r="I118" t="n">
        <v>720</v>
      </c>
      <c r="J118" t="n">
        <v>680</v>
      </c>
      <c r="K118" t="n">
        <v>0</v>
      </c>
    </row>
    <row r="119">
      <c r="A119" t="inlineStr">
        <is>
          <t>DevOps engineer</t>
        </is>
      </c>
      <c r="B119" t="inlineStr">
        <is>
          <t>DevOps engineer</t>
        </is>
      </c>
      <c r="C119" t="n">
        <v>1</v>
      </c>
      <c r="D119" t="inlineStr">
        <is>
          <t>adesso SE</t>
        </is>
      </c>
      <c r="E119" t="inlineStr">
        <is>
          <t>Germany</t>
        </is>
      </c>
      <c r="F119" t="inlineStr">
        <is>
          <t>any</t>
        </is>
      </c>
      <c r="G119" t="inlineStr">
        <is>
          <t>high</t>
        </is>
      </c>
      <c r="H119" t="n">
        <v>680</v>
      </c>
      <c r="I119" t="n">
        <v>720</v>
      </c>
      <c r="J119" t="n">
        <v>680</v>
      </c>
      <c r="K119" t="n">
        <v>0</v>
      </c>
    </row>
    <row r="120">
      <c r="A120" t="inlineStr">
        <is>
          <t>Requirement engineer</t>
        </is>
      </c>
      <c r="B120" t="inlineStr">
        <is>
          <t>Requirement engineer</t>
        </is>
      </c>
      <c r="C120" t="n">
        <v>1</v>
      </c>
      <c r="D120" t="inlineStr">
        <is>
          <t>adesso SE</t>
        </is>
      </c>
      <c r="E120" t="inlineStr">
        <is>
          <t>Germany</t>
        </is>
      </c>
      <c r="F120" t="inlineStr">
        <is>
          <t>any</t>
        </is>
      </c>
      <c r="G120" t="inlineStr">
        <is>
          <t>middle</t>
        </is>
      </c>
      <c r="H120" t="n">
        <v>650</v>
      </c>
      <c r="I120" t="n">
        <v>720</v>
      </c>
      <c r="J120" t="n">
        <v>650</v>
      </c>
      <c r="K120" t="n">
        <v>0</v>
      </c>
    </row>
    <row r="121">
      <c r="A121" t="inlineStr">
        <is>
          <t>Test engineer</t>
        </is>
      </c>
      <c r="B121" t="inlineStr">
        <is>
          <t>Test engineer</t>
        </is>
      </c>
      <c r="C121" t="n">
        <v>1</v>
      </c>
      <c r="D121" t="inlineStr">
        <is>
          <t>adesso SE</t>
        </is>
      </c>
      <c r="E121" t="inlineStr">
        <is>
          <t>Germany</t>
        </is>
      </c>
      <c r="F121" t="inlineStr">
        <is>
          <t>any</t>
        </is>
      </c>
      <c r="G121" t="inlineStr">
        <is>
          <t>low</t>
        </is>
      </c>
      <c r="H121" t="n">
        <v>520</v>
      </c>
      <c r="I121" t="n">
        <v>720</v>
      </c>
      <c r="J121" t="n">
        <v>520</v>
      </c>
      <c r="K121" t="n">
        <v>0</v>
      </c>
    </row>
    <row r="122">
      <c r="A122" t="inlineStr">
        <is>
          <t>Software developer</t>
        </is>
      </c>
      <c r="B122" t="inlineStr">
        <is>
          <t>Software developer</t>
        </is>
      </c>
      <c r="C122" t="n">
        <v>0.5</v>
      </c>
      <c r="D122" t="inlineStr">
        <is>
          <t>adesso SE</t>
        </is>
      </c>
      <c r="E122" t="inlineStr">
        <is>
          <t>Germany</t>
        </is>
      </c>
      <c r="F122" t="inlineStr">
        <is>
          <t>any</t>
        </is>
      </c>
      <c r="G122" t="inlineStr">
        <is>
          <t>low</t>
        </is>
      </c>
      <c r="H122" t="n">
        <v>520</v>
      </c>
      <c r="I122" t="n">
        <v>720</v>
      </c>
      <c r="J122" t="n">
        <v>520</v>
      </c>
      <c r="K122" t="n">
        <v>0</v>
      </c>
    </row>
    <row r="123">
      <c r="A123" t="inlineStr">
        <is>
          <t>Software developer</t>
        </is>
      </c>
      <c r="B123" t="inlineStr">
        <is>
          <t>Software developer (senior)</t>
        </is>
      </c>
      <c r="C123" t="n">
        <v>0.5</v>
      </c>
      <c r="D123" t="inlineStr">
        <is>
          <t>adesso SE</t>
        </is>
      </c>
      <c r="E123" t="inlineStr">
        <is>
          <t>Germany</t>
        </is>
      </c>
      <c r="F123" t="inlineStr">
        <is>
          <t>any</t>
        </is>
      </c>
      <c r="G123" t="inlineStr">
        <is>
          <t>high</t>
        </is>
      </c>
      <c r="H123" t="n">
        <v>680</v>
      </c>
      <c r="I123" t="n">
        <v>720</v>
      </c>
      <c r="J123" t="n">
        <v>680</v>
      </c>
      <c r="K123" t="n">
        <v>0</v>
      </c>
    </row>
    <row r="124">
      <c r="A124" t="inlineStr">
        <is>
          <t>Requirement engineer (smartshore)</t>
        </is>
      </c>
      <c r="B124" t="inlineStr">
        <is>
          <t>Requirement engineer (smartshore)</t>
        </is>
      </c>
      <c r="C124" t="n">
        <v>1</v>
      </c>
      <c r="D124" t="inlineStr">
        <is>
          <t>any</t>
        </is>
      </c>
      <c r="E124" t="inlineStr">
        <is>
          <t>any</t>
        </is>
      </c>
      <c r="F124" t="inlineStr">
        <is>
          <t>any</t>
        </is>
      </c>
      <c r="G124" t="inlineStr">
        <is>
          <t>any</t>
        </is>
      </c>
      <c r="H124" t="n">
        <v>310</v>
      </c>
      <c r="I124" t="n">
        <v>350</v>
      </c>
      <c r="J124" t="n">
        <v>310</v>
      </c>
      <c r="K124" t="n">
        <v>0</v>
      </c>
    </row>
    <row r="125">
      <c r="A125" t="inlineStr">
        <is>
          <t>Test engineer (smartshore)</t>
        </is>
      </c>
      <c r="B125" t="inlineStr">
        <is>
          <t>Test engineer (smartshore)</t>
        </is>
      </c>
      <c r="C125" t="n">
        <v>1</v>
      </c>
      <c r="D125" t="inlineStr">
        <is>
          <t>any</t>
        </is>
      </c>
      <c r="E125" t="inlineStr">
        <is>
          <t>any</t>
        </is>
      </c>
      <c r="F125" t="inlineStr">
        <is>
          <t>any</t>
        </is>
      </c>
      <c r="G125" t="inlineStr">
        <is>
          <t>any</t>
        </is>
      </c>
      <c r="H125" t="n">
        <v>310</v>
      </c>
      <c r="I125" t="n">
        <v>350</v>
      </c>
      <c r="J125" t="n">
        <v>310</v>
      </c>
      <c r="K125" t="n">
        <v>0</v>
      </c>
    </row>
    <row r="126">
      <c r="A126" t="inlineStr">
        <is>
          <t>Software developer (smartshore)</t>
        </is>
      </c>
      <c r="B126" t="inlineStr">
        <is>
          <t>Software developer (smartshore)</t>
        </is>
      </c>
      <c r="C126" t="n">
        <v>1</v>
      </c>
      <c r="D126" t="inlineStr">
        <is>
          <t>any</t>
        </is>
      </c>
      <c r="E126" t="inlineStr">
        <is>
          <t>any</t>
        </is>
      </c>
      <c r="F126" t="inlineStr">
        <is>
          <t>any</t>
        </is>
      </c>
      <c r="G126" t="inlineStr">
        <is>
          <t>any</t>
        </is>
      </c>
      <c r="H126" t="n">
        <v>310</v>
      </c>
      <c r="I126" t="n">
        <v>350</v>
      </c>
      <c r="J126" t="n">
        <v>310</v>
      </c>
      <c r="K126" t="n">
        <v>0</v>
      </c>
    </row>
    <row r="128">
      <c r="A128" t="inlineStr">
        <is>
          <t>ID</t>
        </is>
      </c>
      <c r="B128" t="inlineStr">
        <is>
          <t>Range (for query)</t>
        </is>
      </c>
      <c r="C128" t="inlineStr">
        <is>
          <t>Feature group</t>
        </is>
      </c>
      <c r="D128" t="inlineStr">
        <is>
          <t>Feature sub group</t>
        </is>
      </c>
      <c r="E128" t="inlineStr">
        <is>
          <t>Feature</t>
        </is>
      </c>
      <c r="F128" t="inlineStr">
        <is>
          <t>Sub feature</t>
        </is>
      </c>
      <c r="G128" t="inlineStr">
        <is>
          <t>Description</t>
        </is>
      </c>
      <c r="H128" t="inlineStr">
        <is>
          <t>Assumptions</t>
        </is>
      </c>
      <c r="I128" t="inlineStr">
        <is>
          <t>Reference ID</t>
        </is>
      </c>
      <c r="J128" t="inlineStr">
        <is>
          <t>Feature task 1</t>
        </is>
      </c>
      <c r="K128" t="inlineStr">
        <is>
          <t>Feature task 2</t>
        </is>
      </c>
      <c r="L128" t="inlineStr">
        <is>
          <t>Feature task 3</t>
        </is>
      </c>
      <c r="M128" t="inlineStr">
        <is>
          <t>Feature task 4</t>
        </is>
      </c>
      <c r="N128" t="inlineStr">
        <is>
          <t>Feature task 5</t>
        </is>
      </c>
      <c r="O128" t="inlineStr">
        <is>
          <t>Feature task 6</t>
        </is>
      </c>
      <c r="P128" t="inlineStr">
        <is>
          <t>Feature task 7</t>
        </is>
      </c>
      <c r="Q128" t="inlineStr">
        <is>
          <t>Feature task 8</t>
        </is>
      </c>
      <c r="R128" t="inlineStr">
        <is>
          <t>Feature task 9</t>
        </is>
      </c>
      <c r="S128" t="inlineStr">
        <is>
          <t>Feature task 10</t>
        </is>
      </c>
    </row>
    <row r="131">
      <c r="A131" t="inlineStr">
        <is>
          <t>Feature task</t>
        </is>
      </c>
      <c r="B131" t="inlineStr">
        <is>
          <t>Description</t>
        </is>
      </c>
      <c r="C131" t="inlineStr">
        <is>
          <t>Average Percentage</t>
        </is>
      </c>
      <c r="D131" t="inlineStr">
        <is>
          <t>Key task</t>
        </is>
      </c>
    </row>
    <row r="132">
      <c r="A132" t="inlineStr">
        <is>
          <t>RE/Analysis/Refinement</t>
        </is>
      </c>
      <c r="B132" t="inlineStr">
        <is>
          <t>Requirement Engineering, analysis of the user stories, agile refinements</t>
        </is>
      </c>
      <c r="C132" t="n">
        <v>0.1</v>
      </c>
      <c r="D132" t="inlineStr">
        <is>
          <t>no</t>
        </is>
      </c>
    </row>
    <row r="133">
      <c r="A133" t="inlineStr">
        <is>
          <t>Software development</t>
        </is>
      </c>
      <c r="B133" t="inlineStr">
        <is>
          <t>Development of the software with unit test and documentation of the code</t>
        </is>
      </c>
      <c r="C133" t="n">
        <v>0.48</v>
      </c>
      <c r="D133" t="inlineStr">
        <is>
          <t>yes</t>
        </is>
      </c>
    </row>
    <row r="134">
      <c r="A134" t="inlineStr">
        <is>
          <t>Deployment</t>
        </is>
      </c>
      <c r="B134" t="inlineStr">
        <is>
          <t>Deployment to the integration and productive environment</t>
        </is>
      </c>
      <c r="C134" t="n">
        <v>0.03</v>
      </c>
      <c r="D134" t="inlineStr">
        <is>
          <t>no</t>
        </is>
      </c>
    </row>
    <row r="135">
      <c r="A135" t="inlineStr">
        <is>
          <t>Testing and documentation</t>
        </is>
      </c>
      <c r="B135" t="inlineStr">
        <is>
          <t>Test data generation and integration test on the INT environment</t>
        </is>
      </c>
      <c r="C135" t="n">
        <v>0.08</v>
      </c>
      <c r="D135" t="inlineStr">
        <is>
          <t>no</t>
        </is>
      </c>
    </row>
    <row r="136">
      <c r="A136" t="inlineStr">
        <is>
          <t>Defects</t>
        </is>
      </c>
      <c r="B136" t="inlineStr">
        <is>
          <t>Defects elimination</t>
        </is>
      </c>
      <c r="C136" t="n">
        <v>0.06</v>
      </c>
      <c r="D136" t="inlineStr">
        <is>
          <t>no</t>
        </is>
      </c>
    </row>
    <row r="137">
      <c r="A137" t="inlineStr">
        <is>
          <t>Risks</t>
        </is>
      </c>
      <c r="B137" t="inlineStr">
        <is>
          <t>Risks</t>
        </is>
      </c>
      <c r="C137" t="n">
        <v>0.06</v>
      </c>
      <c r="D137" t="inlineStr">
        <is>
          <t>no</t>
        </is>
      </c>
    </row>
    <row r="138">
      <c r="A138" t="inlineStr">
        <is>
          <t>Overhead (agile meetings/pm/sm/pmo)</t>
        </is>
      </c>
      <c r="B138" t="inlineStr">
        <is>
          <t>Project overhead incl. agile meetings</t>
        </is>
      </c>
      <c r="C138" t="n">
        <v>0.19</v>
      </c>
      <c r="D138"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7.xml><?xml version="1.0" encoding="utf-8"?>
<worksheet xmlns="http://schemas.openxmlformats.org/spreadsheetml/2006/main">
  <sheetPr codeName="Tabelle45">
    <tabColor theme="5" tint="0.7999816888943144"/>
    <outlinePr summaryBelow="1" summaryRight="1"/>
    <pageSetUpPr/>
  </sheetPr>
  <dimension ref="A1:AT189"/>
  <sheetViews>
    <sheetView topLeftCell="A25" workbookViewId="0">
      <selection activeCell="Q61" sqref="Q61"/>
    </sheetView>
  </sheetViews>
  <sheetFormatPr baseColWidth="10" defaultColWidth="11.5" defaultRowHeight="15"/>
  <sheetData>
    <row r="1">
      <c r="A1" t="inlineStr">
        <is>
          <t>Key</t>
        </is>
      </c>
      <c r="B1" t="inlineStr">
        <is>
          <t>Value</t>
        </is>
      </c>
    </row>
    <row r="2">
      <c r="A2" t="inlineStr">
        <is>
          <t>Proposal title</t>
        </is>
      </c>
      <c r="B2" t="inlineStr">
        <is>
          <t>Test and demo project</t>
        </is>
      </c>
    </row>
    <row r="3">
      <c r="A3" t="inlineStr">
        <is>
          <t>Contract type</t>
        </is>
      </c>
      <c r="B3" t="inlineStr">
        <is>
          <t>Work contract (fixed price)</t>
        </is>
      </c>
    </row>
    <row r="4">
      <c r="A4" t="inlineStr">
        <is>
          <t>Customer</t>
        </is>
      </c>
      <c r="B4" t="inlineStr">
        <is>
          <t>Test customer</t>
        </is>
      </c>
    </row>
    <row r="5">
      <c r="A5" t="inlineStr">
        <is>
          <t>Contractor</t>
        </is>
      </c>
      <c r="B5" t="inlineStr">
        <is>
          <t>adesso SE</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44</v>
      </c>
    </row>
    <row r="14">
      <c r="A14" t="inlineStr">
        <is>
          <t>Team size</t>
        </is>
      </c>
      <c r="B14" t="n">
        <v>5</v>
      </c>
    </row>
    <row r="15">
      <c r="A15" t="inlineStr">
        <is>
          <t>Number of sprints</t>
        </is>
      </c>
      <c r="B15" t="n">
        <v>0</v>
      </c>
    </row>
    <row r="17">
      <c r="A17" s="243" t="inlineStr">
        <is>
          <t>Team member</t>
        </is>
      </c>
      <c r="B17" s="244" t="inlineStr">
        <is>
          <t>Team member role in proposal process</t>
        </is>
      </c>
    </row>
    <row r="18">
      <c r="A18" s="397" t="inlineStr">
        <is>
          <t>Georg Wichert</t>
        </is>
      </c>
      <c r="B18" s="398" t="inlineStr">
        <is>
          <t>Calculation manager</t>
        </is>
      </c>
    </row>
    <row r="19">
      <c r="A19" s="397" t="inlineStr">
        <is>
          <t>Paula Schmidt</t>
        </is>
      </c>
      <c r="B19" s="398" t="inlineStr">
        <is>
          <t>Software architect</t>
        </is>
      </c>
    </row>
    <row r="20">
      <c r="A20" s="397" t="inlineStr">
        <is>
          <t>Hans Klausen</t>
        </is>
      </c>
      <c r="B20" s="398" t="inlineStr">
        <is>
          <t>Test manager</t>
        </is>
      </c>
    </row>
    <row r="21">
      <c r="A21" s="397" t="inlineStr">
        <is>
          <t>Luisa Paulsen</t>
        </is>
      </c>
      <c r="B21" s="398" t="inlineStr">
        <is>
          <t>Requirement engineer</t>
        </is>
      </c>
    </row>
    <row r="23">
      <c r="A23" t="inlineStr">
        <is>
          <t>Description</t>
        </is>
      </c>
      <c r="B23" t="inlineStr">
        <is>
          <t>Assumptions</t>
        </is>
      </c>
      <c r="C23" t="inlineStr">
        <is>
          <t>Costs</t>
        </is>
      </c>
      <c r="D23" t="inlineStr">
        <is>
          <t>Costs to be charged</t>
        </is>
      </c>
    </row>
    <row r="24">
      <c r="A24" t="inlineStr">
        <is>
          <t>Travel costs</t>
        </is>
      </c>
      <c r="C24" t="n">
        <v>2000</v>
      </c>
      <c r="D24" t="n">
        <v>2000</v>
      </c>
    </row>
    <row r="25">
      <c r="A25" t="inlineStr">
        <is>
          <t>Hosting dev infrastructure</t>
        </is>
      </c>
      <c r="C25" t="n">
        <v>2500</v>
      </c>
      <c r="D25" t="n">
        <v>2500</v>
      </c>
    </row>
    <row r="27">
      <c r="A27" t="inlineStr">
        <is>
          <t>ID</t>
        </is>
      </c>
      <c r="B27" t="inlineStr">
        <is>
          <t>Risk title</t>
        </is>
      </c>
      <c r="C27" t="inlineStr">
        <is>
          <t>Risk description</t>
        </is>
      </c>
      <c r="D27" t="inlineStr">
        <is>
          <t>Linked items</t>
        </is>
      </c>
      <c r="E27" t="inlineStr">
        <is>
          <t>Risk likelihood</t>
        </is>
      </c>
      <c r="F27" t="inlineStr">
        <is>
          <t>Risk impact</t>
        </is>
      </c>
    </row>
    <row r="28">
      <c r="A28" t="inlineStr">
        <is>
          <t>R-10</t>
        </is>
      </c>
      <c r="B28" t="inlineStr">
        <is>
          <t>Risk A</t>
        </is>
      </c>
      <c r="C28" t="inlineStr">
        <is>
          <t>Risk A</t>
        </is>
      </c>
      <c r="D28" t="inlineStr">
        <is>
          <t>F-10,P-30</t>
        </is>
      </c>
      <c r="E28" t="n">
        <v>0.2793420553207397</v>
      </c>
      <c r="F28" t="n">
        <v>10.10000038146973</v>
      </c>
    </row>
    <row r="29">
      <c r="A29" t="inlineStr">
        <is>
          <t>R-20</t>
        </is>
      </c>
      <c r="B29" t="inlineStr">
        <is>
          <t>Risk B</t>
        </is>
      </c>
      <c r="C29" t="inlineStr">
        <is>
          <t>Risk B</t>
        </is>
      </c>
      <c r="D29" t="inlineStr">
        <is>
          <t>F-10</t>
        </is>
      </c>
      <c r="E29" t="n">
        <v>0.8246021270751953</v>
      </c>
      <c r="F29" t="n">
        <v>7.5</v>
      </c>
    </row>
    <row r="30">
      <c r="A30" t="inlineStr">
        <is>
          <t>R-30</t>
        </is>
      </c>
      <c r="B30" t="inlineStr">
        <is>
          <t>Risk C</t>
        </is>
      </c>
      <c r="C30" t="inlineStr">
        <is>
          <t>Risk C</t>
        </is>
      </c>
      <c r="D30" t="inlineStr">
        <is>
          <t>F-50</t>
        </is>
      </c>
      <c r="E30" t="n">
        <v>0.9860931634902954</v>
      </c>
      <c r="F30" t="n">
        <v>11</v>
      </c>
    </row>
    <row r="31">
      <c r="A31" t="inlineStr">
        <is>
          <t>R-40</t>
        </is>
      </c>
      <c r="B31" t="inlineStr">
        <is>
          <t>Risk D</t>
        </is>
      </c>
      <c r="C31" t="inlineStr">
        <is>
          <t>Risk D</t>
        </is>
      </c>
      <c r="D31" t="inlineStr">
        <is>
          <t>P-30</t>
        </is>
      </c>
      <c r="E31" t="n">
        <v>0.2268660068511963</v>
      </c>
      <c r="F31" t="n">
        <v>8.600000381469727</v>
      </c>
    </row>
    <row r="32">
      <c r="A32" t="inlineStr">
        <is>
          <t>R-50</t>
        </is>
      </c>
      <c r="B32" t="inlineStr">
        <is>
          <t>Risk E</t>
        </is>
      </c>
      <c r="C32" t="inlineStr">
        <is>
          <t>Risk E</t>
        </is>
      </c>
      <c r="D32" t="inlineStr">
        <is>
          <t>P-120</t>
        </is>
      </c>
      <c r="E32" t="n">
        <v>0.9800032377243042</v>
      </c>
      <c r="F32" t="n">
        <v>3.700000047683716</v>
      </c>
    </row>
    <row r="33">
      <c r="A33" t="inlineStr">
        <is>
          <t>R-60</t>
        </is>
      </c>
      <c r="B33" t="inlineStr">
        <is>
          <t>Risk F</t>
        </is>
      </c>
      <c r="C33" t="inlineStr">
        <is>
          <t>Risk F</t>
        </is>
      </c>
      <c r="E33" t="n">
        <v>0.5338730812072754</v>
      </c>
      <c r="F33" t="n">
        <v>2.200000047683716</v>
      </c>
    </row>
    <row r="34">
      <c r="A34" t="inlineStr">
        <is>
          <t>R-70</t>
        </is>
      </c>
      <c r="B34" t="inlineStr">
        <is>
          <t>Risk G</t>
        </is>
      </c>
      <c r="C34" t="inlineStr">
        <is>
          <t>Risk G</t>
        </is>
      </c>
      <c r="E34" t="n">
        <v>0.9994145631790161</v>
      </c>
      <c r="F34" t="n">
        <v>8.399999618530273</v>
      </c>
    </row>
    <row r="36">
      <c r="A36" t="inlineStr">
        <is>
          <t>ID</t>
        </is>
      </c>
      <c r="B36" t="inlineStr">
        <is>
          <t>Task group</t>
        </is>
      </c>
      <c r="C36" t="inlineStr">
        <is>
          <t>Summary task</t>
        </is>
      </c>
      <c r="D36" t="inlineStr">
        <is>
          <t>Task</t>
        </is>
      </c>
      <c r="E36" t="inlineStr">
        <is>
          <t>Description</t>
        </is>
      </c>
      <c r="F36" t="inlineStr">
        <is>
          <t>Special task or feature query</t>
        </is>
      </c>
      <c r="G36" t="inlineStr">
        <is>
          <t>Assumptions</t>
        </is>
      </c>
      <c r="H36" t="inlineStr">
        <is>
          <t>Reference ID</t>
        </is>
      </c>
      <c r="I36" t="inlineStr">
        <is>
          <t>Effort</t>
        </is>
      </c>
      <c r="J36" t="inlineStr">
        <is>
          <t>Variable</t>
        </is>
      </c>
      <c r="K36" t="inlineStr">
        <is>
          <t>Formula</t>
        </is>
      </c>
      <c r="L36" t="inlineStr">
        <is>
          <t>Start</t>
        </is>
      </c>
      <c r="M36" t="inlineStr">
        <is>
          <t>Finish</t>
        </is>
      </c>
      <c r="N36" t="inlineStr">
        <is>
          <t>Duration</t>
        </is>
      </c>
      <c r="O36" t="inlineStr">
        <is>
          <t>Dependency</t>
        </is>
      </c>
      <c r="P36" t="inlineStr">
        <is>
          <t>GANTT</t>
        </is>
      </c>
      <c r="Q36" t="inlineStr">
        <is>
          <t>Role 1</t>
        </is>
      </c>
      <c r="R36" t="inlineStr">
        <is>
          <t>Role 2</t>
        </is>
      </c>
      <c r="S36" t="inlineStr">
        <is>
          <t>Role 3</t>
        </is>
      </c>
      <c r="T36" t="inlineStr">
        <is>
          <t>Role 4</t>
        </is>
      </c>
      <c r="U36" t="inlineStr">
        <is>
          <t>Role 5</t>
        </is>
      </c>
      <c r="V36" t="inlineStr">
        <is>
          <t>Role 6</t>
        </is>
      </c>
      <c r="W36" t="inlineStr">
        <is>
          <t>Role 7</t>
        </is>
      </c>
      <c r="X36" t="inlineStr">
        <is>
          <t>Role 8</t>
        </is>
      </c>
      <c r="Y36" t="inlineStr">
        <is>
          <t>Role 9</t>
        </is>
      </c>
      <c r="Z36" t="inlineStr">
        <is>
          <t>Role 10</t>
        </is>
      </c>
      <c r="AA36" t="inlineStr">
        <is>
          <t>Role 11</t>
        </is>
      </c>
      <c r="AB36" t="inlineStr">
        <is>
          <t>Role 12</t>
        </is>
      </c>
      <c r="AC36" t="inlineStr">
        <is>
          <t>Role 13</t>
        </is>
      </c>
      <c r="AD36" t="inlineStr">
        <is>
          <t>Role 14</t>
        </is>
      </c>
      <c r="AE36" t="inlineStr">
        <is>
          <t>Role 15</t>
        </is>
      </c>
      <c r="AF36" t="inlineStr">
        <is>
          <t>Role 16</t>
        </is>
      </c>
      <c r="AG36" t="inlineStr">
        <is>
          <t>Role 17</t>
        </is>
      </c>
      <c r="AH36" t="inlineStr">
        <is>
          <t>Role 18</t>
        </is>
      </c>
      <c r="AI36" t="inlineStr">
        <is>
          <t>Role 19</t>
        </is>
      </c>
      <c r="AJ36" t="inlineStr">
        <is>
          <t>Role 20</t>
        </is>
      </c>
      <c r="AK36" t="inlineStr">
        <is>
          <t>Role 21</t>
        </is>
      </c>
      <c r="AL36" t="inlineStr">
        <is>
          <t>Role 22</t>
        </is>
      </c>
      <c r="AM36" t="inlineStr">
        <is>
          <t>Role 23</t>
        </is>
      </c>
      <c r="AN36" t="inlineStr">
        <is>
          <t>Role 24</t>
        </is>
      </c>
      <c r="AO36" t="inlineStr">
        <is>
          <t>Role 25</t>
        </is>
      </c>
      <c r="AP36" t="inlineStr">
        <is>
          <t>Role 26</t>
        </is>
      </c>
      <c r="AQ36" t="inlineStr">
        <is>
          <t>Role 27</t>
        </is>
      </c>
      <c r="AR36" t="inlineStr">
        <is>
          <t>Role 28</t>
        </is>
      </c>
      <c r="AS36" t="inlineStr">
        <is>
          <t>Role 29</t>
        </is>
      </c>
      <c r="AT36" t="inlineStr">
        <is>
          <t>Role 30</t>
        </is>
      </c>
    </row>
    <row r="37">
      <c r="A37" t="inlineStr">
        <is>
          <t>P-10</t>
        </is>
      </c>
      <c r="B37" t="inlineStr">
        <is>
          <t>Start</t>
        </is>
      </c>
      <c r="C37" t="inlineStr">
        <is>
          <t>Planning</t>
        </is>
      </c>
      <c r="D37" t="inlineStr">
        <is>
          <t>Project initialization and planning</t>
        </is>
      </c>
      <c r="E37" t="inlineStr">
        <is>
          <t>Initialization and planning of project; creation of a project manual, procurement of resources, setting up project controlling, etc.</t>
        </is>
      </c>
      <c r="I37" t="n">
        <v>4.9540612426096</v>
      </c>
      <c r="K37" t="inlineStr">
        <is>
          <t>2%*[#total1]</t>
        </is>
      </c>
      <c r="L37" s="188" t="n">
        <v>45658</v>
      </c>
      <c r="M37" s="188" t="n">
        <v>45688</v>
      </c>
      <c r="N37" t="inlineStr">
        <is>
          <t>1m</t>
        </is>
      </c>
      <c r="P37" t="inlineStr">
        <is>
          <t>yes</t>
        </is>
      </c>
      <c r="R37" t="inlineStr">
        <is>
          <t>f100</t>
        </is>
      </c>
    </row>
    <row r="38">
      <c r="A38" t="inlineStr">
        <is>
          <t>P-20</t>
        </is>
      </c>
      <c r="B38" t="inlineStr">
        <is>
          <t>Start</t>
        </is>
      </c>
      <c r="C38" t="inlineStr">
        <is>
          <t>Planning</t>
        </is>
      </c>
      <c r="D38" t="inlineStr">
        <is>
          <t xml:space="preserve">Project kick-off meeting </t>
        </is>
      </c>
      <c r="E38" t="inlineStr">
        <is>
          <t>Internal and if necessary external meeting, participation, preparation and follow-up</t>
        </is>
      </c>
      <c r="I38" t="n">
        <v>1.25</v>
      </c>
      <c r="K38" t="inlineStr">
        <is>
          <t>[#teamsize]*0.25</t>
        </is>
      </c>
      <c r="L38" s="188" t="n">
        <v>45689</v>
      </c>
      <c r="M38" s="188" t="n">
        <v>45702</v>
      </c>
      <c r="N38" t="inlineStr">
        <is>
          <t>2w</t>
        </is>
      </c>
      <c r="O38" t="inlineStr">
        <is>
          <t>aft(P-10)</t>
        </is>
      </c>
      <c r="P38" t="inlineStr">
        <is>
          <t>yes</t>
        </is>
      </c>
      <c r="Q38" t="inlineStr">
        <is>
          <t>f50</t>
        </is>
      </c>
      <c r="R38" t="inlineStr">
        <is>
          <t>f50</t>
        </is>
      </c>
    </row>
    <row r="39">
      <c r="A39" t="inlineStr">
        <is>
          <t>P-30</t>
        </is>
      </c>
      <c r="B39" t="inlineStr">
        <is>
          <t>Start</t>
        </is>
      </c>
      <c r="C39" t="inlineStr">
        <is>
          <t>Planning</t>
        </is>
      </c>
      <c r="D39" t="inlineStr">
        <is>
          <t>Setup development environment</t>
        </is>
      </c>
      <c r="E39" t="inlineStr">
        <is>
          <t>Setup development, test and acceptance environment</t>
        </is>
      </c>
      <c r="I39" t="n">
        <v>5</v>
      </c>
      <c r="L39" s="188" t="n">
        <v>45658</v>
      </c>
      <c r="M39" s="188" t="n">
        <v>45688</v>
      </c>
      <c r="N39" t="inlineStr">
        <is>
          <t>1m</t>
        </is>
      </c>
      <c r="O39" t="inlineStr">
        <is>
          <t>bot(P-10)</t>
        </is>
      </c>
      <c r="P39" t="inlineStr">
        <is>
          <t>yes</t>
        </is>
      </c>
      <c r="Y39" t="inlineStr">
        <is>
          <t>f100</t>
        </is>
      </c>
    </row>
    <row r="40">
      <c r="A40" t="inlineStr">
        <is>
          <t>P-40</t>
        </is>
      </c>
      <c r="B40" t="inlineStr">
        <is>
          <t>Implementation Module 1</t>
        </is>
      </c>
      <c r="C40" t="inlineStr">
        <is>
          <t>Planning</t>
        </is>
      </c>
      <c r="D40" t="inlineStr">
        <is>
          <t>Project initialization and planning</t>
        </is>
      </c>
      <c r="E40" t="inlineStr">
        <is>
          <t>Initialization and planning of project; creation of a project manual, procurement of resources, setting up project controlling, etc.</t>
        </is>
      </c>
      <c r="I40" t="n">
        <v>2</v>
      </c>
      <c r="L40" s="188" t="n">
        <v>45703</v>
      </c>
      <c r="M40" s="188" t="n">
        <v>45716</v>
      </c>
      <c r="N40" t="inlineStr">
        <is>
          <t>2w</t>
        </is>
      </c>
      <c r="O40" t="inlineStr">
        <is>
          <t>aft(P-20)</t>
        </is>
      </c>
      <c r="P40" t="inlineStr">
        <is>
          <t>yes</t>
        </is>
      </c>
      <c r="R40" t="inlineStr">
        <is>
          <t>f100</t>
        </is>
      </c>
    </row>
    <row r="41">
      <c r="A41" t="inlineStr">
        <is>
          <t>P-50</t>
        </is>
      </c>
      <c r="B41" t="inlineStr">
        <is>
          <t>Implementation Module 1</t>
        </is>
      </c>
      <c r="C41" t="inlineStr">
        <is>
          <t>Planning</t>
        </is>
      </c>
      <c r="D41" t="inlineStr">
        <is>
          <t xml:space="preserve">Project kick-off meeting </t>
        </is>
      </c>
      <c r="E41" t="inlineStr">
        <is>
          <t>Internal and if necessary external meeting, participation, preparation and follow-up</t>
        </is>
      </c>
      <c r="I41" t="n">
        <v>1</v>
      </c>
      <c r="L41" s="188" t="n">
        <v>45717</v>
      </c>
      <c r="M41" s="188" t="n">
        <v>45723</v>
      </c>
      <c r="N41" t="inlineStr">
        <is>
          <t>1w</t>
        </is>
      </c>
      <c r="O41" t="inlineStr">
        <is>
          <t>aft(P-40)</t>
        </is>
      </c>
      <c r="P41" t="inlineStr">
        <is>
          <t>yes</t>
        </is>
      </c>
      <c r="Q41" t="inlineStr">
        <is>
          <t>f50</t>
        </is>
      </c>
      <c r="R41" t="inlineStr">
        <is>
          <t>f50</t>
        </is>
      </c>
    </row>
    <row r="42">
      <c r="A42" t="inlineStr">
        <is>
          <t>P-60</t>
        </is>
      </c>
      <c r="B42" t="inlineStr">
        <is>
          <t>Implementation Module 1</t>
        </is>
      </c>
      <c r="C42" t="inlineStr">
        <is>
          <t>Planning</t>
        </is>
      </c>
      <c r="D42" t="inlineStr">
        <is>
          <t>Creation of software architecture concept</t>
        </is>
      </c>
      <c r="E42" t="inlineStr">
        <is>
          <t>Setting up a sustainable and stable architecture for the targeted application and documentation</t>
        </is>
      </c>
      <c r="I42" t="n">
        <v>2</v>
      </c>
      <c r="L42" s="188" t="n">
        <v>45703</v>
      </c>
      <c r="M42" s="188" t="n">
        <v>45730</v>
      </c>
      <c r="N42" t="inlineStr">
        <is>
          <t>1m</t>
        </is>
      </c>
      <c r="O42" t="inlineStr">
        <is>
          <t>bot(P-40)</t>
        </is>
      </c>
      <c r="P42" t="inlineStr">
        <is>
          <t>yes</t>
        </is>
      </c>
      <c r="S42" t="inlineStr">
        <is>
          <t>f100</t>
        </is>
      </c>
    </row>
    <row r="43">
      <c r="A43" t="inlineStr">
        <is>
          <t>P-70</t>
        </is>
      </c>
      <c r="B43" t="inlineStr">
        <is>
          <t>Implementation Module 1</t>
        </is>
      </c>
      <c r="C43" t="inlineStr">
        <is>
          <t>Planning</t>
        </is>
      </c>
      <c r="D43" t="inlineStr">
        <is>
          <t>Creation of test concept</t>
        </is>
      </c>
      <c r="E43" t="inlineStr">
        <is>
          <t>Creation of test concept, definition of test execution strategy and processes, preparation of test toolchain</t>
        </is>
      </c>
      <c r="I43" t="n">
        <v>2</v>
      </c>
      <c r="L43" s="188" t="n">
        <v>45703</v>
      </c>
      <c r="M43" s="188" t="n">
        <v>45730</v>
      </c>
      <c r="N43" t="inlineStr">
        <is>
          <t>1m</t>
        </is>
      </c>
      <c r="O43" t="inlineStr">
        <is>
          <t>bot(P-40)</t>
        </is>
      </c>
      <c r="P43" t="inlineStr">
        <is>
          <t>yes</t>
        </is>
      </c>
      <c r="V43" t="inlineStr">
        <is>
          <t>f100</t>
        </is>
      </c>
    </row>
    <row r="44">
      <c r="A44" t="inlineStr">
        <is>
          <t>P-80</t>
        </is>
      </c>
      <c r="B44" t="inlineStr">
        <is>
          <t>Implementation Module 1</t>
        </is>
      </c>
      <c r="C44" t="inlineStr">
        <is>
          <t>Implementation</t>
        </is>
      </c>
      <c r="D44" t="inlineStr">
        <is>
          <t>Analysis &amp; software design</t>
        </is>
      </c>
      <c r="E44" t="inlineStr">
        <is>
          <t>Feature task 'Analysis &amp; software design'</t>
        </is>
      </c>
      <c r="F44" t="inlineStr">
        <is>
          <t>FT(A)#1</t>
        </is>
      </c>
      <c r="I44" t="n">
        <v>5.125</v>
      </c>
      <c r="L44" s="188" t="n">
        <v>45724</v>
      </c>
      <c r="M44" s="188" t="n">
        <v>45784</v>
      </c>
      <c r="N44" t="inlineStr">
        <is>
          <t>2m</t>
        </is>
      </c>
      <c r="O44" t="inlineStr">
        <is>
          <t>aft(P-50)</t>
        </is>
      </c>
      <c r="P44" t="inlineStr">
        <is>
          <t>yes</t>
        </is>
      </c>
      <c r="T44" t="inlineStr">
        <is>
          <t>f100</t>
        </is>
      </c>
    </row>
    <row r="45">
      <c r="A45" t="inlineStr">
        <is>
          <t>P-90</t>
        </is>
      </c>
      <c r="B45" t="inlineStr">
        <is>
          <t>Implementation Module 1</t>
        </is>
      </c>
      <c r="C45" t="inlineStr">
        <is>
          <t>Implementation</t>
        </is>
      </c>
      <c r="D45" t="inlineStr">
        <is>
          <t>Software development</t>
        </is>
      </c>
      <c r="E45" t="inlineStr">
        <is>
          <t>Feature task 'Software development'</t>
        </is>
      </c>
      <c r="F45" t="inlineStr">
        <is>
          <t>FT(A)#2</t>
        </is>
      </c>
      <c r="I45" t="n">
        <v>10.25</v>
      </c>
      <c r="J45" t="inlineStr">
        <is>
          <t>[dev1]</t>
        </is>
      </c>
      <c r="L45" s="188" t="n">
        <v>45738</v>
      </c>
      <c r="M45" s="188" t="n">
        <v>45798</v>
      </c>
      <c r="N45" t="inlineStr">
        <is>
          <t>2m</t>
        </is>
      </c>
      <c r="O45" t="inlineStr">
        <is>
          <t>bot(P-80)+2w</t>
        </is>
      </c>
      <c r="P45" t="inlineStr">
        <is>
          <t>yes</t>
        </is>
      </c>
      <c r="X45" t="inlineStr">
        <is>
          <t>f100</t>
        </is>
      </c>
    </row>
    <row r="46">
      <c r="A46" t="inlineStr">
        <is>
          <t>P-100</t>
        </is>
      </c>
      <c r="B46" t="inlineStr">
        <is>
          <t>Implementation Module 1</t>
        </is>
      </c>
      <c r="C46" t="inlineStr">
        <is>
          <t>Implementation</t>
        </is>
      </c>
      <c r="D46" t="inlineStr">
        <is>
          <t>Writing user manual</t>
        </is>
      </c>
      <c r="E46" t="inlineStr">
        <is>
          <t>Writing, correction and handover of a user manual</t>
        </is>
      </c>
      <c r="I46" t="n">
        <v>1.025</v>
      </c>
      <c r="K46" t="inlineStr">
        <is>
          <t>10%*[dev1]</t>
        </is>
      </c>
      <c r="L46" s="188" t="n">
        <v>45799</v>
      </c>
      <c r="M46" s="188" t="n">
        <v>45829</v>
      </c>
      <c r="N46" t="inlineStr">
        <is>
          <t>1m</t>
        </is>
      </c>
      <c r="O46" t="inlineStr">
        <is>
          <t>aft(P-90)</t>
        </is>
      </c>
      <c r="P46" t="inlineStr">
        <is>
          <t>yes</t>
        </is>
      </c>
      <c r="T46" t="inlineStr">
        <is>
          <t>f100</t>
        </is>
      </c>
    </row>
    <row r="47">
      <c r="A47" t="inlineStr">
        <is>
          <t>P-110</t>
        </is>
      </c>
      <c r="B47" t="inlineStr">
        <is>
          <t>Implementation Module 1</t>
        </is>
      </c>
      <c r="C47" t="inlineStr">
        <is>
          <t>Implementation</t>
        </is>
      </c>
      <c r="D47" t="inlineStr">
        <is>
          <t>Software test</t>
        </is>
      </c>
      <c r="E47" t="inlineStr">
        <is>
          <t>Feature task 'Software test'</t>
        </is>
      </c>
      <c r="F47" t="inlineStr">
        <is>
          <t>FT(A)#3</t>
        </is>
      </c>
      <c r="I47" t="n">
        <v>3.075</v>
      </c>
      <c r="J47" t="inlineStr">
        <is>
          <t>[test1]</t>
        </is>
      </c>
      <c r="L47" s="188" t="n">
        <v>45738</v>
      </c>
      <c r="M47" s="188" t="n">
        <v>45829</v>
      </c>
      <c r="N47" t="inlineStr">
        <is>
          <t>3m</t>
        </is>
      </c>
      <c r="O47" t="inlineStr">
        <is>
          <t>bot(P-90)</t>
        </is>
      </c>
      <c r="P47" t="inlineStr">
        <is>
          <t>yes</t>
        </is>
      </c>
      <c r="W47" t="inlineStr">
        <is>
          <t>f100</t>
        </is>
      </c>
    </row>
    <row r="48">
      <c r="A48" t="inlineStr">
        <is>
          <t>P-120</t>
        </is>
      </c>
      <c r="B48" t="inlineStr">
        <is>
          <t>Implementation Module 1</t>
        </is>
      </c>
      <c r="C48" t="inlineStr">
        <is>
          <t>Implementation</t>
        </is>
      </c>
      <c r="D48" t="inlineStr">
        <is>
          <t>Development of test automation scripts</t>
        </is>
      </c>
      <c r="E48" t="inlineStr">
        <is>
          <t>Implementation and maintenance of test cases based on test concept and acceptance criteria</t>
        </is>
      </c>
      <c r="I48" t="n">
        <v>3.075</v>
      </c>
      <c r="K48" t="inlineStr">
        <is>
          <t>[test1]</t>
        </is>
      </c>
      <c r="L48" s="188" t="n">
        <v>45738</v>
      </c>
      <c r="M48" s="188" t="n">
        <v>45798</v>
      </c>
      <c r="N48" t="inlineStr">
        <is>
          <t>2m</t>
        </is>
      </c>
      <c r="O48" t="inlineStr">
        <is>
          <t>bot(P-110)</t>
        </is>
      </c>
      <c r="P48" t="inlineStr">
        <is>
          <t>yes</t>
        </is>
      </c>
      <c r="W48" t="inlineStr">
        <is>
          <t>f20</t>
        </is>
      </c>
      <c r="X48" t="inlineStr">
        <is>
          <t>f80</t>
        </is>
      </c>
    </row>
    <row r="49">
      <c r="A49" t="inlineStr">
        <is>
          <t>P-130</t>
        </is>
      </c>
      <c r="B49" t="inlineStr">
        <is>
          <t>Implementation Module 1</t>
        </is>
      </c>
      <c r="C49" t="inlineStr">
        <is>
          <t>Implementation</t>
        </is>
      </c>
      <c r="D49" t="inlineStr">
        <is>
          <t>Performance test</t>
        </is>
      </c>
      <c r="E49" t="inlineStr">
        <is>
          <t>Performance test</t>
        </is>
      </c>
      <c r="I49" t="n">
        <v>2</v>
      </c>
      <c r="L49" s="188" t="n">
        <v>45769</v>
      </c>
      <c r="M49" s="188" t="n">
        <v>45798</v>
      </c>
      <c r="N49" t="inlineStr">
        <is>
          <t>1m</t>
        </is>
      </c>
      <c r="O49" t="inlineStr">
        <is>
          <t>bot(P-110)+1m</t>
        </is>
      </c>
      <c r="P49" t="inlineStr">
        <is>
          <t>yes</t>
        </is>
      </c>
      <c r="S49" t="inlineStr">
        <is>
          <t>f20</t>
        </is>
      </c>
      <c r="W49" t="inlineStr">
        <is>
          <t>f20</t>
        </is>
      </c>
      <c r="Y49" t="inlineStr">
        <is>
          <t>f60</t>
        </is>
      </c>
    </row>
    <row r="50">
      <c r="A50" t="inlineStr">
        <is>
          <t>P-140</t>
        </is>
      </c>
      <c r="B50" t="inlineStr">
        <is>
          <t>Implementation Module 1</t>
        </is>
      </c>
      <c r="C50" t="inlineStr">
        <is>
          <t>Implementation</t>
        </is>
      </c>
      <c r="D50" t="inlineStr">
        <is>
          <t>Security check</t>
        </is>
      </c>
      <c r="E50" t="inlineStr">
        <is>
          <t xml:space="preserve">Static code analysis, threat model (threat analysis); further information at security-check@adesso.de </t>
        </is>
      </c>
      <c r="I50" t="n">
        <v>2</v>
      </c>
      <c r="L50" s="188" t="n">
        <v>45769</v>
      </c>
      <c r="M50" s="188" t="n">
        <v>45798</v>
      </c>
      <c r="N50" t="inlineStr">
        <is>
          <t>1m</t>
        </is>
      </c>
      <c r="O50" t="inlineStr">
        <is>
          <t>bot(P-130)</t>
        </is>
      </c>
      <c r="P50" t="inlineStr">
        <is>
          <t>yes</t>
        </is>
      </c>
      <c r="S50" t="inlineStr">
        <is>
          <t>f20</t>
        </is>
      </c>
      <c r="Y50" t="inlineStr">
        <is>
          <t>f80</t>
        </is>
      </c>
    </row>
    <row r="51">
      <c r="A51" t="inlineStr">
        <is>
          <t>P-150</t>
        </is>
      </c>
      <c r="B51" t="inlineStr">
        <is>
          <t>Implementation Module 1</t>
        </is>
      </c>
      <c r="C51" t="inlineStr">
        <is>
          <t>Implementation</t>
        </is>
      </c>
      <c r="D51" t="inlineStr">
        <is>
          <t>Bug fixing after final acceptance</t>
        </is>
      </c>
      <c r="E51" t="inlineStr">
        <is>
          <t>Feature task 'Bug fixing after final acceptance'</t>
        </is>
      </c>
      <c r="F51" t="inlineStr">
        <is>
          <t>FT(A)#4</t>
        </is>
      </c>
      <c r="I51" t="n">
        <v>2.05</v>
      </c>
      <c r="L51" s="188" t="n">
        <v>45830</v>
      </c>
      <c r="M51" s="188" t="n">
        <v>45859</v>
      </c>
      <c r="N51" t="inlineStr">
        <is>
          <t>1m</t>
        </is>
      </c>
      <c r="O51" t="inlineStr">
        <is>
          <t>aft(P-110)</t>
        </is>
      </c>
      <c r="P51" t="inlineStr">
        <is>
          <t>yes</t>
        </is>
      </c>
      <c r="W51" t="inlineStr">
        <is>
          <t>f20</t>
        </is>
      </c>
      <c r="X51" t="inlineStr">
        <is>
          <t>f80</t>
        </is>
      </c>
    </row>
    <row r="52">
      <c r="A52" t="inlineStr">
        <is>
          <t>P-160</t>
        </is>
      </c>
      <c r="B52" t="inlineStr">
        <is>
          <t>Implementation Module 1</t>
        </is>
      </c>
      <c r="C52" t="inlineStr">
        <is>
          <t>Implementation</t>
        </is>
      </c>
      <c r="D52" t="inlineStr">
        <is>
          <t>Customer training</t>
        </is>
      </c>
      <c r="E52" t="inlineStr">
        <is>
          <t>Prepare and conduct customer training courses</t>
        </is>
      </c>
      <c r="I52" t="n">
        <v>2</v>
      </c>
      <c r="L52" s="188" t="n">
        <v>45799</v>
      </c>
      <c r="M52" s="188" t="n">
        <v>45829</v>
      </c>
      <c r="N52" t="inlineStr">
        <is>
          <t>1m</t>
        </is>
      </c>
      <c r="O52" t="inlineStr">
        <is>
          <t>bot(P-150)-1m</t>
        </is>
      </c>
      <c r="P52" t="inlineStr">
        <is>
          <t>yes</t>
        </is>
      </c>
      <c r="T52" t="inlineStr">
        <is>
          <t>f100</t>
        </is>
      </c>
    </row>
    <row r="53">
      <c r="A53" t="inlineStr">
        <is>
          <t>P-170</t>
        </is>
      </c>
      <c r="B53" t="inlineStr">
        <is>
          <t>Implementation Module 2</t>
        </is>
      </c>
      <c r="C53" t="inlineStr">
        <is>
          <t>Planning</t>
        </is>
      </c>
      <c r="D53" t="inlineStr">
        <is>
          <t>Project initialization and planning</t>
        </is>
      </c>
      <c r="I53" t="n">
        <v>2</v>
      </c>
      <c r="L53" s="188" t="n">
        <v>45762</v>
      </c>
      <c r="M53" s="188" t="n">
        <v>45775</v>
      </c>
      <c r="N53" t="inlineStr">
        <is>
          <t>2w</t>
        </is>
      </c>
      <c r="O53" t="inlineStr">
        <is>
          <t>bot(P-40)+2m</t>
        </is>
      </c>
      <c r="P53" t="inlineStr">
        <is>
          <t>yes</t>
        </is>
      </c>
      <c r="R53" t="inlineStr">
        <is>
          <t>f100</t>
        </is>
      </c>
    </row>
    <row r="54">
      <c r="A54" t="inlineStr">
        <is>
          <t>P-180</t>
        </is>
      </c>
      <c r="B54" t="inlineStr">
        <is>
          <t>Implementation Module 2</t>
        </is>
      </c>
      <c r="C54" t="inlineStr">
        <is>
          <t>Planning</t>
        </is>
      </c>
      <c r="D54" t="inlineStr">
        <is>
          <t xml:space="preserve">Project kick-off meeting </t>
        </is>
      </c>
      <c r="I54" t="n">
        <v>1</v>
      </c>
      <c r="L54" s="188" t="n">
        <v>45776</v>
      </c>
      <c r="M54" s="188" t="n">
        <v>45782</v>
      </c>
      <c r="N54" t="inlineStr">
        <is>
          <t>1w</t>
        </is>
      </c>
      <c r="O54" t="inlineStr">
        <is>
          <t>aft(P-170)</t>
        </is>
      </c>
      <c r="P54" t="inlineStr">
        <is>
          <t>yes</t>
        </is>
      </c>
      <c r="Q54" t="inlineStr">
        <is>
          <t>f50</t>
        </is>
      </c>
      <c r="R54" t="inlineStr">
        <is>
          <t>f50</t>
        </is>
      </c>
    </row>
    <row r="55">
      <c r="A55" t="inlineStr">
        <is>
          <t>P-190</t>
        </is>
      </c>
      <c r="B55" t="inlineStr">
        <is>
          <t>Implementation Module 2</t>
        </is>
      </c>
      <c r="C55" t="inlineStr">
        <is>
          <t>Planning</t>
        </is>
      </c>
      <c r="D55" t="inlineStr">
        <is>
          <t>Creation of software architecture concept</t>
        </is>
      </c>
      <c r="I55" t="n">
        <v>4</v>
      </c>
      <c r="L55" s="188" t="n">
        <v>45762</v>
      </c>
      <c r="M55" s="188" t="n">
        <v>45775</v>
      </c>
      <c r="N55" t="inlineStr">
        <is>
          <t>2w</t>
        </is>
      </c>
      <c r="O55" t="inlineStr">
        <is>
          <t>bot(P-170)</t>
        </is>
      </c>
      <c r="P55" t="inlineStr">
        <is>
          <t>yes</t>
        </is>
      </c>
      <c r="S55" t="inlineStr">
        <is>
          <t>f100</t>
        </is>
      </c>
    </row>
    <row r="56">
      <c r="A56" t="inlineStr">
        <is>
          <t>P-200</t>
        </is>
      </c>
      <c r="B56" t="inlineStr">
        <is>
          <t>Implementation Module 2</t>
        </is>
      </c>
      <c r="C56" t="inlineStr">
        <is>
          <t>Planning</t>
        </is>
      </c>
      <c r="D56" t="inlineStr">
        <is>
          <t>Creation of test concept</t>
        </is>
      </c>
      <c r="I56" t="n">
        <v>4</v>
      </c>
      <c r="L56" s="188" t="n">
        <v>45762</v>
      </c>
      <c r="M56" s="188" t="n">
        <v>45775</v>
      </c>
      <c r="N56" t="inlineStr">
        <is>
          <t>2w</t>
        </is>
      </c>
      <c r="O56" t="inlineStr">
        <is>
          <t>bot(P-170)</t>
        </is>
      </c>
      <c r="P56" t="inlineStr">
        <is>
          <t>yes</t>
        </is>
      </c>
      <c r="V56" t="inlineStr">
        <is>
          <t>f100</t>
        </is>
      </c>
    </row>
    <row r="57">
      <c r="A57" t="inlineStr">
        <is>
          <t>P-210</t>
        </is>
      </c>
      <c r="B57" t="inlineStr">
        <is>
          <t>Implementation Module 2</t>
        </is>
      </c>
      <c r="C57" t="inlineStr">
        <is>
          <t>Implementation</t>
        </is>
      </c>
      <c r="D57" t="inlineStr">
        <is>
          <t>Analysis &amp; software design</t>
        </is>
      </c>
      <c r="E57" t="inlineStr">
        <is>
          <t>Feature task 'Analysis &amp; software design'</t>
        </is>
      </c>
      <c r="F57" t="inlineStr">
        <is>
          <t>FT(B)#1</t>
        </is>
      </c>
      <c r="I57" t="n">
        <v>5.075000047683716</v>
      </c>
      <c r="L57" s="188" t="n">
        <v>45783</v>
      </c>
      <c r="M57" s="188" t="n">
        <v>45813</v>
      </c>
      <c r="N57" t="inlineStr">
        <is>
          <t>1m</t>
        </is>
      </c>
      <c r="O57" t="inlineStr">
        <is>
          <t>aft(P-180)</t>
        </is>
      </c>
      <c r="P57" t="inlineStr">
        <is>
          <t>yes</t>
        </is>
      </c>
      <c r="T57" t="inlineStr">
        <is>
          <t>f100</t>
        </is>
      </c>
    </row>
    <row r="58">
      <c r="A58" t="inlineStr">
        <is>
          <t>P-220</t>
        </is>
      </c>
      <c r="B58" t="inlineStr">
        <is>
          <t>Implementation Module 2</t>
        </is>
      </c>
      <c r="C58" t="inlineStr">
        <is>
          <t>Implementation</t>
        </is>
      </c>
      <c r="D58" t="inlineStr">
        <is>
          <t>Software development</t>
        </is>
      </c>
      <c r="E58" t="inlineStr">
        <is>
          <t>Feature task 'Software development'</t>
        </is>
      </c>
      <c r="F58" t="inlineStr">
        <is>
          <t>FT(B)#2</t>
        </is>
      </c>
      <c r="I58" t="n">
        <v>10.15000009536743</v>
      </c>
      <c r="J58" t="inlineStr">
        <is>
          <t>[dev2]</t>
        </is>
      </c>
      <c r="L58" s="188" t="n">
        <v>45821</v>
      </c>
      <c r="M58" s="188" t="n">
        <v>45850</v>
      </c>
      <c r="N58" t="inlineStr">
        <is>
          <t>1m</t>
        </is>
      </c>
      <c r="O58" t="inlineStr">
        <is>
          <t>aft(P-210)+1w</t>
        </is>
      </c>
      <c r="P58" t="inlineStr">
        <is>
          <t>yes</t>
        </is>
      </c>
      <c r="X58" t="inlineStr">
        <is>
          <t>f100</t>
        </is>
      </c>
    </row>
    <row r="59">
      <c r="A59" t="inlineStr">
        <is>
          <t>P-230</t>
        </is>
      </c>
      <c r="B59" t="inlineStr">
        <is>
          <t>Implementation Module 2</t>
        </is>
      </c>
      <c r="C59" t="inlineStr">
        <is>
          <t>Implementation</t>
        </is>
      </c>
      <c r="D59" t="inlineStr">
        <is>
          <t>Writing user manual</t>
        </is>
      </c>
      <c r="I59" t="n">
        <v>1.01500000953674</v>
      </c>
      <c r="K59" t="inlineStr">
        <is>
          <t>10%*[dev2]</t>
        </is>
      </c>
      <c r="L59" s="188" t="n">
        <v>45851</v>
      </c>
      <c r="M59" s="188" t="n">
        <v>45864</v>
      </c>
      <c r="N59" t="inlineStr">
        <is>
          <t>2w</t>
        </is>
      </c>
      <c r="O59" t="inlineStr">
        <is>
          <t>aft(P-220)</t>
        </is>
      </c>
      <c r="P59" t="inlineStr">
        <is>
          <t>yes</t>
        </is>
      </c>
      <c r="T59" t="inlineStr">
        <is>
          <t>f100</t>
        </is>
      </c>
    </row>
    <row r="60">
      <c r="A60" t="inlineStr">
        <is>
          <t>P-240</t>
        </is>
      </c>
      <c r="B60" t="inlineStr">
        <is>
          <t>Implementation Module 2</t>
        </is>
      </c>
      <c r="C60" t="inlineStr">
        <is>
          <t>Implementation</t>
        </is>
      </c>
      <c r="D60" t="inlineStr">
        <is>
          <t>Software test</t>
        </is>
      </c>
      <c r="E60" t="inlineStr">
        <is>
          <t>Feature task 'Software test'</t>
        </is>
      </c>
      <c r="F60" t="inlineStr">
        <is>
          <t>FT(B)#3</t>
        </is>
      </c>
      <c r="I60" t="n">
        <v>3.04500002861023</v>
      </c>
      <c r="J60" t="inlineStr">
        <is>
          <t>[test2]</t>
        </is>
      </c>
      <c r="L60" s="188" t="n">
        <v>45821</v>
      </c>
      <c r="M60" s="188" t="n">
        <v>45881</v>
      </c>
      <c r="N60" t="inlineStr">
        <is>
          <t>2m</t>
        </is>
      </c>
      <c r="O60" t="inlineStr">
        <is>
          <t>bot(P-220)</t>
        </is>
      </c>
      <c r="P60" t="inlineStr">
        <is>
          <t>yes</t>
        </is>
      </c>
      <c r="W60" t="inlineStr">
        <is>
          <t>f100</t>
        </is>
      </c>
    </row>
    <row r="61">
      <c r="A61" t="inlineStr">
        <is>
          <t>P-250</t>
        </is>
      </c>
      <c r="B61" t="inlineStr">
        <is>
          <t>Implementation Module 2</t>
        </is>
      </c>
      <c r="C61" t="inlineStr">
        <is>
          <t>Implementation</t>
        </is>
      </c>
      <c r="D61" t="inlineStr">
        <is>
          <t>Development of test automation scripts</t>
        </is>
      </c>
      <c r="I61" t="n">
        <v>3.04500002861023</v>
      </c>
      <c r="K61" t="inlineStr">
        <is>
          <t>[test2]</t>
        </is>
      </c>
      <c r="L61" s="188" t="n">
        <v>45821</v>
      </c>
      <c r="M61" s="188" t="n">
        <v>45850</v>
      </c>
      <c r="N61" t="inlineStr">
        <is>
          <t>1m</t>
        </is>
      </c>
      <c r="O61" t="inlineStr">
        <is>
          <t>bot(P-240)</t>
        </is>
      </c>
      <c r="P61" t="inlineStr">
        <is>
          <t>yes</t>
        </is>
      </c>
      <c r="W61" t="inlineStr">
        <is>
          <t>f20</t>
        </is>
      </c>
      <c r="X61" t="inlineStr">
        <is>
          <t>f80</t>
        </is>
      </c>
    </row>
    <row r="62">
      <c r="A62" t="inlineStr">
        <is>
          <t>P-260</t>
        </is>
      </c>
      <c r="B62" t="inlineStr">
        <is>
          <t>Implementation Module 2</t>
        </is>
      </c>
      <c r="C62" t="inlineStr">
        <is>
          <t>Implementation</t>
        </is>
      </c>
      <c r="D62" t="inlineStr">
        <is>
          <t>Performance test</t>
        </is>
      </c>
      <c r="I62" t="n">
        <v>2</v>
      </c>
      <c r="L62" s="188" t="n">
        <v>45835</v>
      </c>
      <c r="M62" s="188" t="n">
        <v>45848</v>
      </c>
      <c r="N62" t="inlineStr">
        <is>
          <t>2w</t>
        </is>
      </c>
      <c r="O62" t="inlineStr">
        <is>
          <t>bot(P-240)+2w</t>
        </is>
      </c>
      <c r="P62" t="inlineStr">
        <is>
          <t>yes</t>
        </is>
      </c>
      <c r="S62" t="inlineStr">
        <is>
          <t>f20</t>
        </is>
      </c>
      <c r="Y62" t="inlineStr">
        <is>
          <t>f80</t>
        </is>
      </c>
    </row>
    <row r="63">
      <c r="A63" t="inlineStr">
        <is>
          <t>P-270</t>
        </is>
      </c>
      <c r="B63" t="inlineStr">
        <is>
          <t>Implementation Module 2</t>
        </is>
      </c>
      <c r="C63" t="inlineStr">
        <is>
          <t>Implementation</t>
        </is>
      </c>
      <c r="D63" t="inlineStr">
        <is>
          <t>Security check</t>
        </is>
      </c>
      <c r="I63" t="n">
        <v>2</v>
      </c>
      <c r="L63" s="188" t="n">
        <v>45835</v>
      </c>
      <c r="M63" s="188" t="n">
        <v>45848</v>
      </c>
      <c r="N63" t="inlineStr">
        <is>
          <t>2w</t>
        </is>
      </c>
      <c r="O63" t="inlineStr">
        <is>
          <t>bot(P-260)</t>
        </is>
      </c>
      <c r="P63" t="inlineStr">
        <is>
          <t>yes</t>
        </is>
      </c>
      <c r="S63" t="inlineStr">
        <is>
          <t>f20</t>
        </is>
      </c>
      <c r="Y63" t="inlineStr">
        <is>
          <t>f80</t>
        </is>
      </c>
    </row>
    <row r="64">
      <c r="A64" t="inlineStr">
        <is>
          <t>P-280</t>
        </is>
      </c>
      <c r="B64" t="inlineStr">
        <is>
          <t>Implementation Module 2</t>
        </is>
      </c>
      <c r="C64" t="inlineStr">
        <is>
          <t>Implementation</t>
        </is>
      </c>
      <c r="D64" t="inlineStr">
        <is>
          <t>Bug fixing after final acceptance</t>
        </is>
      </c>
      <c r="E64" t="inlineStr">
        <is>
          <t>Feature task 'Bug fixing after final acceptance'</t>
        </is>
      </c>
      <c r="F64" t="inlineStr">
        <is>
          <t>FT(B)#4</t>
        </is>
      </c>
      <c r="I64" t="n">
        <v>2.030000019073487</v>
      </c>
      <c r="L64" s="188" t="n">
        <v>45882</v>
      </c>
      <c r="M64" s="188" t="n">
        <v>45912</v>
      </c>
      <c r="N64" t="inlineStr">
        <is>
          <t>1m</t>
        </is>
      </c>
      <c r="O64" t="inlineStr">
        <is>
          <t>aft(P-240)</t>
        </is>
      </c>
      <c r="P64" t="inlineStr">
        <is>
          <t>yes</t>
        </is>
      </c>
      <c r="W64" t="inlineStr">
        <is>
          <t>f20</t>
        </is>
      </c>
      <c r="X64" t="inlineStr">
        <is>
          <t>f80</t>
        </is>
      </c>
    </row>
    <row r="65">
      <c r="A65" t="inlineStr">
        <is>
          <t>P-290</t>
        </is>
      </c>
      <c r="B65" t="inlineStr">
        <is>
          <t>Implementation Module 2</t>
        </is>
      </c>
      <c r="C65" t="inlineStr">
        <is>
          <t>Implementation</t>
        </is>
      </c>
      <c r="D65" t="inlineStr">
        <is>
          <t>Customer training</t>
        </is>
      </c>
      <c r="I65" t="n">
        <v>2</v>
      </c>
      <c r="L65" s="188" t="n">
        <v>45851</v>
      </c>
      <c r="M65" s="188" t="n">
        <v>45881</v>
      </c>
      <c r="N65" t="inlineStr">
        <is>
          <t>1m</t>
        </is>
      </c>
      <c r="O65" t="inlineStr">
        <is>
          <t>bot(P-280)-1m</t>
        </is>
      </c>
      <c r="P65" t="inlineStr">
        <is>
          <t>yes</t>
        </is>
      </c>
      <c r="T65" t="inlineStr">
        <is>
          <t>f100</t>
        </is>
      </c>
    </row>
    <row r="66">
      <c r="A66" t="inlineStr">
        <is>
          <t>P-300</t>
        </is>
      </c>
      <c r="B66" t="inlineStr">
        <is>
          <t>Implementation Module 3+4</t>
        </is>
      </c>
      <c r="C66" t="inlineStr">
        <is>
          <t>Planning</t>
        </is>
      </c>
      <c r="D66" t="inlineStr">
        <is>
          <t>Project initialization and planning</t>
        </is>
      </c>
      <c r="I66" t="n">
        <v>2</v>
      </c>
      <c r="L66" s="188" t="n">
        <v>45792</v>
      </c>
      <c r="M66" s="188" t="n">
        <v>45805</v>
      </c>
      <c r="N66" t="inlineStr">
        <is>
          <t>2w</t>
        </is>
      </c>
      <c r="O66" t="inlineStr">
        <is>
          <t>bot(P-170)+1m</t>
        </is>
      </c>
      <c r="P66" t="inlineStr">
        <is>
          <t>yes</t>
        </is>
      </c>
      <c r="R66" t="inlineStr">
        <is>
          <t>f100</t>
        </is>
      </c>
    </row>
    <row r="67">
      <c r="A67" t="inlineStr">
        <is>
          <t>P-310</t>
        </is>
      </c>
      <c r="B67" t="inlineStr">
        <is>
          <t>Implementation Module 3+4</t>
        </is>
      </c>
      <c r="C67" t="inlineStr">
        <is>
          <t>Planning</t>
        </is>
      </c>
      <c r="D67" t="inlineStr">
        <is>
          <t xml:space="preserve">Project kick-off meeting </t>
        </is>
      </c>
      <c r="I67" t="n">
        <v>1</v>
      </c>
      <c r="L67" s="188" t="n">
        <v>45806</v>
      </c>
      <c r="M67" s="188" t="n">
        <v>45812</v>
      </c>
      <c r="N67" t="inlineStr">
        <is>
          <t>1w</t>
        </is>
      </c>
      <c r="O67" t="inlineStr">
        <is>
          <t>aft(P-300)</t>
        </is>
      </c>
      <c r="P67" t="inlineStr">
        <is>
          <t>yes</t>
        </is>
      </c>
      <c r="Q67" t="inlineStr">
        <is>
          <t>f50</t>
        </is>
      </c>
      <c r="R67" t="inlineStr">
        <is>
          <t>f50</t>
        </is>
      </c>
    </row>
    <row r="68">
      <c r="A68" t="inlineStr">
        <is>
          <t>P-320</t>
        </is>
      </c>
      <c r="B68" t="inlineStr">
        <is>
          <t>Implementation Module 3+4</t>
        </is>
      </c>
      <c r="C68" t="inlineStr">
        <is>
          <t>Planning</t>
        </is>
      </c>
      <c r="D68" t="inlineStr">
        <is>
          <t>Creation of software architecture concept</t>
        </is>
      </c>
      <c r="I68" t="n">
        <v>4</v>
      </c>
      <c r="L68" s="188" t="n">
        <v>45792</v>
      </c>
      <c r="M68" s="188" t="n">
        <v>45822</v>
      </c>
      <c r="N68" t="inlineStr">
        <is>
          <t>1m</t>
        </is>
      </c>
      <c r="O68" t="inlineStr">
        <is>
          <t>bot(P-300)</t>
        </is>
      </c>
      <c r="P68" t="inlineStr">
        <is>
          <t>yes</t>
        </is>
      </c>
      <c r="S68" t="inlineStr">
        <is>
          <t>f100</t>
        </is>
      </c>
    </row>
    <row r="69">
      <c r="A69" t="inlineStr">
        <is>
          <t>P-330</t>
        </is>
      </c>
      <c r="B69" t="inlineStr">
        <is>
          <t>Implementation Module 3+4</t>
        </is>
      </c>
      <c r="C69" t="inlineStr">
        <is>
          <t>Planning</t>
        </is>
      </c>
      <c r="D69" t="inlineStr">
        <is>
          <t>Creation of test concept</t>
        </is>
      </c>
      <c r="I69" t="n">
        <v>2</v>
      </c>
      <c r="L69" s="188" t="n">
        <v>45792</v>
      </c>
      <c r="M69" s="188" t="n">
        <v>45822</v>
      </c>
      <c r="N69" t="inlineStr">
        <is>
          <t>1m</t>
        </is>
      </c>
      <c r="O69" t="inlineStr">
        <is>
          <t>bot(P-300)</t>
        </is>
      </c>
      <c r="P69" t="inlineStr">
        <is>
          <t>yes</t>
        </is>
      </c>
      <c r="V69" t="inlineStr">
        <is>
          <t>f100</t>
        </is>
      </c>
    </row>
    <row r="70">
      <c r="A70" t="inlineStr">
        <is>
          <t>P-340</t>
        </is>
      </c>
      <c r="B70" t="inlineStr">
        <is>
          <t>Implementation Module 3+4</t>
        </is>
      </c>
      <c r="C70" t="inlineStr">
        <is>
          <t>Implementation</t>
        </is>
      </c>
      <c r="D70" t="inlineStr">
        <is>
          <t>Analysis &amp; software design</t>
        </is>
      </c>
      <c r="E70" t="inlineStr">
        <is>
          <t>Feature task 'Analysis &amp; software design'</t>
        </is>
      </c>
      <c r="F70" t="inlineStr">
        <is>
          <t>FT(C)#1</t>
        </is>
      </c>
      <c r="I70" t="n">
        <v>13.62500011920929</v>
      </c>
      <c r="L70" s="188" t="n">
        <v>45813</v>
      </c>
      <c r="M70" s="188" t="n">
        <v>45873</v>
      </c>
      <c r="N70" t="inlineStr">
        <is>
          <t>2m</t>
        </is>
      </c>
      <c r="O70" t="inlineStr">
        <is>
          <t>aft(P-310)</t>
        </is>
      </c>
      <c r="P70" t="inlineStr">
        <is>
          <t>yes</t>
        </is>
      </c>
      <c r="T70" t="inlineStr">
        <is>
          <t>f100</t>
        </is>
      </c>
    </row>
    <row r="71">
      <c r="A71" t="inlineStr">
        <is>
          <t>P-350</t>
        </is>
      </c>
      <c r="B71" t="inlineStr">
        <is>
          <t>Implementation Module 3+4</t>
        </is>
      </c>
      <c r="C71" t="inlineStr">
        <is>
          <t>Implementation</t>
        </is>
      </c>
      <c r="D71" t="inlineStr">
        <is>
          <t>Software development</t>
        </is>
      </c>
      <c r="E71" t="inlineStr">
        <is>
          <t>Feature task 'Software development'</t>
        </is>
      </c>
      <c r="F71" t="inlineStr">
        <is>
          <t>FT(C)#2</t>
        </is>
      </c>
      <c r="I71" t="n">
        <v>27.25000023841858</v>
      </c>
      <c r="J71" t="inlineStr">
        <is>
          <t>[dev3]</t>
        </is>
      </c>
      <c r="L71" s="188" t="n">
        <v>45843</v>
      </c>
      <c r="M71" s="188" t="n">
        <v>45904</v>
      </c>
      <c r="N71" t="inlineStr">
        <is>
          <t>2m</t>
        </is>
      </c>
      <c r="O71" t="inlineStr">
        <is>
          <t>aft(P-340)-1m</t>
        </is>
      </c>
      <c r="P71" t="inlineStr">
        <is>
          <t>yes</t>
        </is>
      </c>
      <c r="X71" t="inlineStr">
        <is>
          <t>f100</t>
        </is>
      </c>
    </row>
    <row r="72">
      <c r="A72" t="inlineStr">
        <is>
          <t>P-360</t>
        </is>
      </c>
      <c r="B72" t="inlineStr">
        <is>
          <t>Implementation Module 3+4</t>
        </is>
      </c>
      <c r="C72" t="inlineStr">
        <is>
          <t>Implementation</t>
        </is>
      </c>
      <c r="D72" t="inlineStr">
        <is>
          <t>Writing user manual</t>
        </is>
      </c>
      <c r="I72" t="n">
        <v>2.72500002384186</v>
      </c>
      <c r="K72" t="inlineStr">
        <is>
          <t>10%*[dev3]</t>
        </is>
      </c>
      <c r="L72" s="188" t="n">
        <v>45905</v>
      </c>
      <c r="M72" s="188" t="n">
        <v>45934</v>
      </c>
      <c r="N72" t="inlineStr">
        <is>
          <t>1m</t>
        </is>
      </c>
      <c r="O72" t="inlineStr">
        <is>
          <t>aft(P-350)</t>
        </is>
      </c>
      <c r="P72" t="inlineStr">
        <is>
          <t>yes</t>
        </is>
      </c>
      <c r="T72" t="inlineStr">
        <is>
          <t>f100</t>
        </is>
      </c>
    </row>
    <row r="73">
      <c r="A73" t="inlineStr">
        <is>
          <t>P-370</t>
        </is>
      </c>
      <c r="B73" t="inlineStr">
        <is>
          <t>Implementation Module 3+4</t>
        </is>
      </c>
      <c r="C73" t="inlineStr">
        <is>
          <t>Implementation</t>
        </is>
      </c>
      <c r="D73" t="inlineStr">
        <is>
          <t>Software test</t>
        </is>
      </c>
      <c r="E73" t="inlineStr">
        <is>
          <t>Feature task 'Software test'</t>
        </is>
      </c>
      <c r="F73" t="inlineStr">
        <is>
          <t>FT(C)#3</t>
        </is>
      </c>
      <c r="I73" t="n">
        <v>8.175000071525574</v>
      </c>
      <c r="J73" t="inlineStr">
        <is>
          <t>[test3]</t>
        </is>
      </c>
      <c r="L73" s="188" t="n">
        <v>45843</v>
      </c>
      <c r="M73" s="188" t="n">
        <v>45934</v>
      </c>
      <c r="N73" t="inlineStr">
        <is>
          <t>3m</t>
        </is>
      </c>
      <c r="O73" t="inlineStr">
        <is>
          <t>bot(P-350)</t>
        </is>
      </c>
      <c r="P73" t="inlineStr">
        <is>
          <t>yes</t>
        </is>
      </c>
      <c r="W73" t="inlineStr">
        <is>
          <t>f100</t>
        </is>
      </c>
    </row>
    <row r="74">
      <c r="A74" t="inlineStr">
        <is>
          <t>P-380</t>
        </is>
      </c>
      <c r="B74" t="inlineStr">
        <is>
          <t>Implementation Module 3+4</t>
        </is>
      </c>
      <c r="C74" t="inlineStr">
        <is>
          <t>Implementation</t>
        </is>
      </c>
      <c r="D74" t="inlineStr">
        <is>
          <t>Development of test automation scripts</t>
        </is>
      </c>
      <c r="I74" t="n">
        <v>8.17500007152557</v>
      </c>
      <c r="K74" t="inlineStr">
        <is>
          <t>[test3]</t>
        </is>
      </c>
      <c r="L74" s="188" t="n">
        <v>45843</v>
      </c>
      <c r="M74" s="188" t="n">
        <v>45904</v>
      </c>
      <c r="N74" t="inlineStr">
        <is>
          <t>2m</t>
        </is>
      </c>
      <c r="O74" t="inlineStr">
        <is>
          <t>bot(P-370)</t>
        </is>
      </c>
      <c r="P74" t="inlineStr">
        <is>
          <t>yes</t>
        </is>
      </c>
      <c r="W74" t="inlineStr">
        <is>
          <t>f20</t>
        </is>
      </c>
      <c r="X74" t="inlineStr">
        <is>
          <t>f80</t>
        </is>
      </c>
    </row>
    <row r="75">
      <c r="A75" t="inlineStr">
        <is>
          <t>P-390</t>
        </is>
      </c>
      <c r="B75" t="inlineStr">
        <is>
          <t>Implementation Module 3+4</t>
        </is>
      </c>
      <c r="C75" t="inlineStr">
        <is>
          <t>Implementation</t>
        </is>
      </c>
      <c r="D75" t="inlineStr">
        <is>
          <t>Performance test</t>
        </is>
      </c>
      <c r="I75" t="n">
        <v>2</v>
      </c>
      <c r="L75" s="188" t="n">
        <v>45874</v>
      </c>
      <c r="M75" s="188" t="n">
        <v>45904</v>
      </c>
      <c r="N75" t="inlineStr">
        <is>
          <t>1m</t>
        </is>
      </c>
      <c r="O75" t="inlineStr">
        <is>
          <t>bot(P-370)+1m</t>
        </is>
      </c>
      <c r="P75" t="inlineStr">
        <is>
          <t>yes</t>
        </is>
      </c>
      <c r="S75" t="inlineStr">
        <is>
          <t>f20</t>
        </is>
      </c>
      <c r="Y75" t="inlineStr">
        <is>
          <t>f80</t>
        </is>
      </c>
    </row>
    <row r="76">
      <c r="A76" t="inlineStr">
        <is>
          <t>P-400</t>
        </is>
      </c>
      <c r="B76" t="inlineStr">
        <is>
          <t>Implementation Module 3+4</t>
        </is>
      </c>
      <c r="C76" t="inlineStr">
        <is>
          <t>Implementation</t>
        </is>
      </c>
      <c r="D76" t="inlineStr">
        <is>
          <t>Security check</t>
        </is>
      </c>
      <c r="I76" t="n">
        <v>2</v>
      </c>
      <c r="L76" s="188" t="n">
        <v>45874</v>
      </c>
      <c r="M76" s="188" t="n">
        <v>45904</v>
      </c>
      <c r="N76" t="inlineStr">
        <is>
          <t>1m</t>
        </is>
      </c>
      <c r="O76" t="inlineStr">
        <is>
          <t>bot(P-390)</t>
        </is>
      </c>
      <c r="P76" t="inlineStr">
        <is>
          <t>yes</t>
        </is>
      </c>
      <c r="S76" t="inlineStr">
        <is>
          <t>f20</t>
        </is>
      </c>
      <c r="Y76" t="inlineStr">
        <is>
          <t>f80</t>
        </is>
      </c>
    </row>
    <row r="77">
      <c r="A77" t="inlineStr">
        <is>
          <t>P-410</t>
        </is>
      </c>
      <c r="B77" t="inlineStr">
        <is>
          <t>Implementation Module 3+4</t>
        </is>
      </c>
      <c r="C77" t="inlineStr">
        <is>
          <t>Implementation</t>
        </is>
      </c>
      <c r="D77" t="inlineStr">
        <is>
          <t>Bug fixing after final acceptance</t>
        </is>
      </c>
      <c r="E77" t="inlineStr">
        <is>
          <t>Feature task 'Bug fixing after final acceptance'</t>
        </is>
      </c>
      <c r="F77" t="inlineStr">
        <is>
          <t>FT(C)#4</t>
        </is>
      </c>
      <c r="I77" t="n">
        <v>5.450000047683716</v>
      </c>
      <c r="L77" s="188" t="n">
        <v>45935</v>
      </c>
      <c r="M77" s="188" t="n">
        <v>45965</v>
      </c>
      <c r="N77" t="inlineStr">
        <is>
          <t>1m</t>
        </is>
      </c>
      <c r="O77" t="inlineStr">
        <is>
          <t>aft(P-370)</t>
        </is>
      </c>
      <c r="P77" t="inlineStr">
        <is>
          <t>yes</t>
        </is>
      </c>
      <c r="W77" t="inlineStr">
        <is>
          <t>f20</t>
        </is>
      </c>
      <c r="X77" t="inlineStr">
        <is>
          <t>f80</t>
        </is>
      </c>
    </row>
    <row r="78">
      <c r="A78" t="inlineStr">
        <is>
          <t>P-420</t>
        </is>
      </c>
      <c r="B78" t="inlineStr">
        <is>
          <t>Implementation Module 3+4</t>
        </is>
      </c>
      <c r="C78" t="inlineStr">
        <is>
          <t>Implementation</t>
        </is>
      </c>
      <c r="D78" t="inlineStr">
        <is>
          <t>Customer training</t>
        </is>
      </c>
      <c r="I78" t="n">
        <v>2</v>
      </c>
      <c r="L78" s="188" t="n">
        <v>45905</v>
      </c>
      <c r="M78" s="188" t="n">
        <v>45934</v>
      </c>
      <c r="N78" t="inlineStr">
        <is>
          <t>1m</t>
        </is>
      </c>
      <c r="O78" t="inlineStr">
        <is>
          <t>bot(P-410)-1m</t>
        </is>
      </c>
      <c r="P78" t="inlineStr">
        <is>
          <t>yes</t>
        </is>
      </c>
      <c r="T78" t="inlineStr">
        <is>
          <t>f100</t>
        </is>
      </c>
    </row>
    <row r="79">
      <c r="A79" t="inlineStr">
        <is>
          <t>P-430</t>
        </is>
      </c>
      <c r="B79" t="inlineStr">
        <is>
          <t>Overall tasks</t>
        </is>
      </c>
      <c r="C79" t="inlineStr">
        <is>
          <t>Overall tasks</t>
        </is>
      </c>
      <c r="D79" t="inlineStr">
        <is>
          <t>Project management</t>
        </is>
      </c>
      <c r="E79" t="inlineStr">
        <is>
          <t>Project management and control, resource, stakeholder, risk and escalation management, planning updates, etc. Test management Comprehensive test management etc.</t>
        </is>
      </c>
      <c r="I79" t="n">
        <v>44</v>
      </c>
      <c r="K79" t="inlineStr">
        <is>
          <t>max([#projectlength]*ifs([#total1]&lt;200,0.5,[#total1]&lt;500,1,[#total1]&lt;1000,1.5,[#total1]&lt;2000,2,true,3),10%*[#total1])</t>
        </is>
      </c>
      <c r="L79" s="188" t="n">
        <v>45658</v>
      </c>
      <c r="M79" s="188" t="n">
        <v>45965</v>
      </c>
      <c r="N79" t="inlineStr">
        <is>
          <t>44w</t>
        </is>
      </c>
      <c r="O79" t="inlineStr">
        <is>
          <t>bot(P-10)</t>
        </is>
      </c>
      <c r="P79" t="inlineStr">
        <is>
          <t>yes</t>
        </is>
      </c>
      <c r="R79" t="inlineStr">
        <is>
          <t>f100</t>
        </is>
      </c>
    </row>
    <row r="80">
      <c r="A80" t="inlineStr">
        <is>
          <t>P-440</t>
        </is>
      </c>
      <c r="B80" t="inlineStr">
        <is>
          <t>Overall tasks</t>
        </is>
      </c>
      <c r="C80" t="inlineStr">
        <is>
          <t>Overall tasks</t>
        </is>
      </c>
      <c r="D80" t="inlineStr">
        <is>
          <t>Test management</t>
        </is>
      </c>
      <c r="E80" t="inlineStr">
        <is>
          <t>Comprehensive test and quality management</t>
        </is>
      </c>
      <c r="I80" t="n">
        <v>2.85900002002716</v>
      </c>
      <c r="K80" t="inlineStr">
        <is>
          <t>20%*([test1]+[test2]+[test3])</t>
        </is>
      </c>
      <c r="L80" s="188" t="n">
        <v>45658</v>
      </c>
      <c r="M80" s="188" t="n">
        <v>45965</v>
      </c>
      <c r="N80" t="inlineStr">
        <is>
          <t>44w</t>
        </is>
      </c>
      <c r="O80" t="inlineStr">
        <is>
          <t>bot(P-10)</t>
        </is>
      </c>
      <c r="P80" t="inlineStr">
        <is>
          <t>yes</t>
        </is>
      </c>
      <c r="V80" t="inlineStr">
        <is>
          <t>f100</t>
        </is>
      </c>
    </row>
    <row r="81">
      <c r="A81" t="inlineStr">
        <is>
          <t>P-450</t>
        </is>
      </c>
      <c r="B81" t="inlineStr">
        <is>
          <t>Overall tasks</t>
        </is>
      </c>
      <c r="C81" t="inlineStr">
        <is>
          <t>Overall tasks</t>
        </is>
      </c>
      <c r="D81" t="inlineStr">
        <is>
          <t>Software architecture management</t>
        </is>
      </c>
      <c r="E81" t="inlineStr">
        <is>
          <t>Comprehensive software architecture management</t>
        </is>
      </c>
      <c r="I81" t="n">
        <v>10</v>
      </c>
      <c r="L81" s="188" t="n">
        <v>45658</v>
      </c>
      <c r="M81" s="188" t="n">
        <v>45965</v>
      </c>
      <c r="N81" t="inlineStr">
        <is>
          <t>44w</t>
        </is>
      </c>
      <c r="O81" t="inlineStr">
        <is>
          <t>bot(P-10)</t>
        </is>
      </c>
      <c r="P81" t="inlineStr">
        <is>
          <t>yes</t>
        </is>
      </c>
      <c r="S81" t="inlineStr">
        <is>
          <t>f100</t>
        </is>
      </c>
    </row>
    <row r="82">
      <c r="A82" t="inlineStr">
        <is>
          <t>P-460</t>
        </is>
      </c>
      <c r="B82" t="inlineStr">
        <is>
          <t>Overall tasks</t>
        </is>
      </c>
      <c r="C82" t="inlineStr">
        <is>
          <t>Overall tasks</t>
        </is>
      </c>
      <c r="D82" t="inlineStr">
        <is>
          <t>DevOps support</t>
        </is>
      </c>
      <c r="E82" t="inlineStr">
        <is>
          <t>Comprehensive DevOps support</t>
        </is>
      </c>
      <c r="I82" t="n">
        <v>9.5300000667572</v>
      </c>
      <c r="K82" t="inlineStr">
        <is>
          <t>20%*([dev1]+[dev2]+[dev3])</t>
        </is>
      </c>
      <c r="L82" s="188" t="n">
        <v>45658</v>
      </c>
      <c r="M82" s="188" t="n">
        <v>45965</v>
      </c>
      <c r="N82" t="inlineStr">
        <is>
          <t>44w</t>
        </is>
      </c>
      <c r="O82" t="inlineStr">
        <is>
          <t>bot(P-10)</t>
        </is>
      </c>
      <c r="P82" t="inlineStr">
        <is>
          <t>yes</t>
        </is>
      </c>
      <c r="Y82" t="inlineStr">
        <is>
          <t>f100</t>
        </is>
      </c>
    </row>
    <row r="83">
      <c r="A83" t="inlineStr">
        <is>
          <t>P-470</t>
        </is>
      </c>
      <c r="B83" t="inlineStr">
        <is>
          <t>Overall tasks</t>
        </is>
      </c>
      <c r="C83" t="inlineStr">
        <is>
          <t>Overall tasks</t>
        </is>
      </c>
      <c r="D83" t="inlineStr">
        <is>
          <t>Project meetings</t>
        </is>
      </c>
      <c r="E83" t="inlineStr">
        <is>
          <t>Meetings &gt; 1 hour, e.g. for Scrum events or similar</t>
        </is>
      </c>
      <c r="I83" t="n">
        <v>10</v>
      </c>
      <c r="L83" s="188" t="n">
        <v>45658</v>
      </c>
      <c r="M83" s="188" t="n">
        <v>45965</v>
      </c>
      <c r="N83" t="inlineStr">
        <is>
          <t>44w</t>
        </is>
      </c>
      <c r="O83" t="inlineStr">
        <is>
          <t>bot(P-10)</t>
        </is>
      </c>
      <c r="P83" t="inlineStr">
        <is>
          <t>yes</t>
        </is>
      </c>
      <c r="Q83" t="inlineStr">
        <is>
          <t>f100</t>
        </is>
      </c>
    </row>
    <row r="84">
      <c r="A84" t="inlineStr">
        <is>
          <t>P-480</t>
        </is>
      </c>
      <c r="B84" t="inlineStr">
        <is>
          <t>Overall tasks</t>
        </is>
      </c>
      <c r="C84" t="inlineStr">
        <is>
          <t>Overall tasks</t>
        </is>
      </c>
      <c r="D84" t="inlineStr">
        <is>
          <t>Travel times</t>
        </is>
      </c>
      <c r="F84" t="inlineStr">
        <is>
          <t>TT</t>
        </is>
      </c>
      <c r="I84" t="n">
        <v>10</v>
      </c>
      <c r="J84" t="inlineStr">
        <is>
          <t>[traveltime]</t>
        </is>
      </c>
      <c r="L84" s="188" t="n">
        <v>45658</v>
      </c>
      <c r="M84" s="188" t="n">
        <v>45965</v>
      </c>
      <c r="N84" t="inlineStr">
        <is>
          <t>44w</t>
        </is>
      </c>
      <c r="O84" t="inlineStr">
        <is>
          <t>bot(P-10)</t>
        </is>
      </c>
      <c r="P84" t="inlineStr">
        <is>
          <t>yes</t>
        </is>
      </c>
      <c r="Q84" t="inlineStr">
        <is>
          <t>f100</t>
        </is>
      </c>
    </row>
    <row r="85">
      <c r="A85" t="inlineStr">
        <is>
          <t>P-490</t>
        </is>
      </c>
      <c r="B85" t="inlineStr">
        <is>
          <t>Overall tasks</t>
        </is>
      </c>
      <c r="C85" t="inlineStr">
        <is>
          <t>Overall tasks</t>
        </is>
      </c>
      <c r="D85" t="inlineStr">
        <is>
          <t>Risks</t>
        </is>
      </c>
      <c r="F85" t="inlineStr">
        <is>
          <t>RIS</t>
        </is>
      </c>
      <c r="I85" t="n">
        <v>34.99955814210054</v>
      </c>
      <c r="J85" t="inlineStr">
        <is>
          <t>[risks]</t>
        </is>
      </c>
      <c r="L85" s="188" t="n">
        <v>45658</v>
      </c>
      <c r="M85" s="188" t="n">
        <v>45965</v>
      </c>
      <c r="N85" t="inlineStr">
        <is>
          <t>44w</t>
        </is>
      </c>
      <c r="O85" t="inlineStr">
        <is>
          <t>bot(P-10)</t>
        </is>
      </c>
      <c r="P85" t="inlineStr">
        <is>
          <t>yes</t>
        </is>
      </c>
      <c r="Q85" t="inlineStr">
        <is>
          <t>f100</t>
        </is>
      </c>
    </row>
    <row r="86">
      <c r="A86" t="inlineStr">
        <is>
          <t>P-500</t>
        </is>
      </c>
      <c r="B86" t="inlineStr">
        <is>
          <t>Warranty</t>
        </is>
      </c>
      <c r="C86" t="inlineStr">
        <is>
          <t>Warranty</t>
        </is>
      </c>
      <c r="D86" t="inlineStr">
        <is>
          <t>Warranty</t>
        </is>
      </c>
      <c r="F86" t="inlineStr">
        <is>
          <t>WA</t>
        </is>
      </c>
      <c r="I86" t="n">
        <v>24.770306213048</v>
      </c>
      <c r="J86" t="inlineStr">
        <is>
          <t>[warranty]</t>
        </is>
      </c>
      <c r="K86" t="inlineStr">
        <is>
          <t>10%*[#total1]</t>
        </is>
      </c>
      <c r="L86" s="188" t="n">
        <v>45966</v>
      </c>
      <c r="M86" s="188" t="n">
        <v>46146</v>
      </c>
      <c r="N86" t="inlineStr">
        <is>
          <t>6m</t>
        </is>
      </c>
      <c r="O86" t="inlineStr">
        <is>
          <t>aft(P-410)</t>
        </is>
      </c>
      <c r="P86" t="inlineStr">
        <is>
          <t>no</t>
        </is>
      </c>
      <c r="Q86" t="inlineStr">
        <is>
          <t>f100</t>
        </is>
      </c>
    </row>
    <row r="88">
      <c r="A88" t="inlineStr">
        <is>
          <t>Seniority Level</t>
        </is>
      </c>
    </row>
    <row r="89">
      <c r="A89" s="290" t="inlineStr">
        <is>
          <t>any</t>
        </is>
      </c>
    </row>
    <row r="90">
      <c r="A90" s="290" t="inlineStr">
        <is>
          <t>very low</t>
        </is>
      </c>
    </row>
    <row r="91">
      <c r="A91" s="290" t="inlineStr">
        <is>
          <t>low</t>
        </is>
      </c>
    </row>
    <row r="92">
      <c r="A92" s="290" t="inlineStr">
        <is>
          <t>middle</t>
        </is>
      </c>
    </row>
    <row r="93">
      <c r="A93" s="290" t="inlineStr">
        <is>
          <t>high</t>
        </is>
      </c>
    </row>
    <row r="94">
      <c r="A94" s="290" t="inlineStr">
        <is>
          <t>very high</t>
        </is>
      </c>
    </row>
    <row r="96">
      <c r="A96" t="inlineStr">
        <is>
          <t>Location</t>
        </is>
      </c>
    </row>
    <row r="97">
      <c r="A97" s="290" t="inlineStr">
        <is>
          <t>any</t>
        </is>
      </c>
    </row>
    <row r="98">
      <c r="A98" s="290" t="inlineStr">
        <is>
          <t>Onsite</t>
        </is>
      </c>
    </row>
    <row r="99">
      <c r="A99" s="290" t="inlineStr">
        <is>
          <t>Offsite</t>
        </is>
      </c>
    </row>
    <row r="100">
      <c r="A100" s="290" t="inlineStr">
        <is>
          <t>On-/Offsite</t>
        </is>
      </c>
    </row>
    <row r="101">
      <c r="A101" s="290" t="inlineStr">
        <is>
          <t>Nearshore</t>
        </is>
      </c>
    </row>
    <row r="102">
      <c r="A102" s="290" t="inlineStr">
        <is>
          <t>Offshore</t>
        </is>
      </c>
    </row>
    <row r="104">
      <c r="A104" t="inlineStr">
        <is>
          <t>Company</t>
        </is>
      </c>
      <c r="B104" s="81" t="inlineStr">
        <is>
          <t>Accounting-related company</t>
        </is>
      </c>
    </row>
    <row r="105">
      <c r="A105" s="290" t="inlineStr">
        <is>
          <t>any</t>
        </is>
      </c>
      <c r="B105" s="292" t="inlineStr">
        <is>
          <t>no</t>
        </is>
      </c>
    </row>
    <row r="106">
      <c r="A106" s="290" t="inlineStr">
        <is>
          <t>adesso SE</t>
        </is>
      </c>
      <c r="B106" s="292" t="inlineStr">
        <is>
          <t>yes</t>
        </is>
      </c>
    </row>
    <row r="107">
      <c r="A107" s="290" t="inlineStr">
        <is>
          <t>adesso as a service</t>
        </is>
      </c>
      <c r="B107" s="292" t="inlineStr">
        <is>
          <t>no</t>
        </is>
      </c>
    </row>
    <row r="108">
      <c r="A108" s="290" t="inlineStr">
        <is>
          <t>adesso Austria</t>
        </is>
      </c>
      <c r="B108" s="292" t="inlineStr">
        <is>
          <t>no</t>
        </is>
      </c>
    </row>
    <row r="109">
      <c r="A109" s="290" t="inlineStr">
        <is>
          <t>adesso benefit solutions</t>
        </is>
      </c>
      <c r="B109" s="292" t="inlineStr">
        <is>
          <t>no</t>
        </is>
      </c>
    </row>
    <row r="110">
      <c r="A110" s="290" t="inlineStr">
        <is>
          <t>adesso Bulgaria</t>
        </is>
      </c>
      <c r="B110" s="292" t="inlineStr">
        <is>
          <t>no</t>
        </is>
      </c>
    </row>
    <row r="111">
      <c r="A111" s="290" t="inlineStr">
        <is>
          <t>adesso Finland</t>
        </is>
      </c>
      <c r="B111" s="292" t="inlineStr">
        <is>
          <t>no</t>
        </is>
      </c>
    </row>
    <row r="112">
      <c r="A112" s="290" t="inlineStr">
        <is>
          <t>adesso health solutions</t>
        </is>
      </c>
      <c r="B112" s="292" t="inlineStr">
        <is>
          <t>no</t>
        </is>
      </c>
    </row>
    <row r="113">
      <c r="A113" s="290" t="inlineStr">
        <is>
          <t>adesso Hungary</t>
        </is>
      </c>
      <c r="B113" s="292" t="inlineStr">
        <is>
          <t>no</t>
        </is>
      </c>
    </row>
    <row r="114">
      <c r="A114" s="290" t="inlineStr">
        <is>
          <t>adesso India</t>
        </is>
      </c>
      <c r="B114" s="292" t="inlineStr">
        <is>
          <t>no</t>
        </is>
      </c>
    </row>
    <row r="115">
      <c r="A115" s="290" t="inlineStr">
        <is>
          <t>adesso insurance solutions</t>
        </is>
      </c>
      <c r="B115" s="292" t="inlineStr">
        <is>
          <t>yes</t>
        </is>
      </c>
    </row>
    <row r="116">
      <c r="A116" s="290" t="inlineStr">
        <is>
          <t>adesso Italy</t>
        </is>
      </c>
      <c r="B116" s="292" t="inlineStr">
        <is>
          <t>no</t>
        </is>
      </c>
    </row>
    <row r="117">
      <c r="A117" s="290" t="inlineStr">
        <is>
          <t>adesso Lakes</t>
        </is>
      </c>
      <c r="B117" s="292" t="inlineStr">
        <is>
          <t>no</t>
        </is>
      </c>
    </row>
    <row r="118">
      <c r="A118" s="290" t="inlineStr">
        <is>
          <t>adesso mobile solutions</t>
        </is>
      </c>
      <c r="B118" s="292" t="inlineStr">
        <is>
          <t>yes</t>
        </is>
      </c>
    </row>
    <row r="119">
      <c r="A119" s="290" t="inlineStr">
        <is>
          <t>adesso Netherlands</t>
        </is>
      </c>
      <c r="B119" s="292" t="inlineStr">
        <is>
          <t>no</t>
        </is>
      </c>
    </row>
    <row r="120">
      <c r="A120" s="290" t="inlineStr">
        <is>
          <t>adesso orange</t>
        </is>
      </c>
      <c r="B120" s="292" t="inlineStr">
        <is>
          <t>yes</t>
        </is>
      </c>
    </row>
    <row r="121">
      <c r="A121" s="290" t="inlineStr">
        <is>
          <t>adesso partner trust</t>
        </is>
      </c>
      <c r="B121" s="292" t="inlineStr">
        <is>
          <t>no</t>
        </is>
      </c>
    </row>
    <row r="122">
      <c r="A122" s="290" t="inlineStr">
        <is>
          <t>adesso Romania</t>
        </is>
      </c>
      <c r="B122" s="292" t="inlineStr">
        <is>
          <t>no</t>
        </is>
      </c>
    </row>
    <row r="123">
      <c r="A123" s="290" t="inlineStr">
        <is>
          <t>adesso Spain</t>
        </is>
      </c>
      <c r="B123" s="292" t="inlineStr">
        <is>
          <t>no</t>
        </is>
      </c>
    </row>
    <row r="124">
      <c r="A124" s="290" t="inlineStr">
        <is>
          <t>adesso Sweden</t>
        </is>
      </c>
      <c r="B124" s="292" t="inlineStr">
        <is>
          <t>no</t>
        </is>
      </c>
    </row>
    <row r="125">
      <c r="A125" s="290" t="inlineStr">
        <is>
          <t>adesso Switzerland</t>
        </is>
      </c>
      <c r="B125" s="292" t="inlineStr">
        <is>
          <t>no</t>
        </is>
      </c>
    </row>
    <row r="126">
      <c r="A126" s="290" t="inlineStr">
        <is>
          <t>adesso Turkey</t>
        </is>
      </c>
      <c r="B126" s="292" t="inlineStr">
        <is>
          <t>no</t>
        </is>
      </c>
    </row>
    <row r="127">
      <c r="A127" s="290" t="inlineStr">
        <is>
          <t>Afida</t>
        </is>
      </c>
      <c r="B127" s="292" t="inlineStr">
        <is>
          <t>no</t>
        </is>
      </c>
    </row>
    <row r="128">
      <c r="A128" s="290" t="inlineStr">
        <is>
          <t>alleato adessekuranzmakler</t>
        </is>
      </c>
      <c r="B128" s="292" t="inlineStr">
        <is>
          <t>no</t>
        </is>
      </c>
    </row>
    <row r="129">
      <c r="A129" s="290" t="inlineStr">
        <is>
          <t>amis</t>
        </is>
      </c>
      <c r="B129" s="292" t="inlineStr">
        <is>
          <t>no</t>
        </is>
      </c>
    </row>
    <row r="130">
      <c r="A130" s="290" t="inlineStr">
        <is>
          <t>KIWI Consulting</t>
        </is>
      </c>
      <c r="B130" s="292" t="inlineStr">
        <is>
          <t>no</t>
        </is>
      </c>
    </row>
    <row r="131">
      <c r="A131" s="290" t="inlineStr">
        <is>
          <t>material.one</t>
        </is>
      </c>
      <c r="B131" s="292" t="inlineStr">
        <is>
          <t>no</t>
        </is>
      </c>
    </row>
    <row r="132">
      <c r="A132" s="290" t="inlineStr">
        <is>
          <t>medgineering</t>
        </is>
      </c>
      <c r="B132" s="292" t="inlineStr">
        <is>
          <t>no</t>
        </is>
      </c>
    </row>
    <row r="133">
      <c r="A133" s="290" t="inlineStr">
        <is>
          <t>percision</t>
        </is>
      </c>
      <c r="B133" s="292" t="inlineStr">
        <is>
          <t>no</t>
        </is>
      </c>
    </row>
    <row r="134">
      <c r="A134" s="290" t="inlineStr">
        <is>
          <t>Reachbird</t>
        </is>
      </c>
      <c r="B134" s="292" t="inlineStr">
        <is>
          <t>no</t>
        </is>
      </c>
    </row>
    <row r="135">
      <c r="A135" s="290" t="inlineStr">
        <is>
          <t>urban engergy</t>
        </is>
      </c>
      <c r="B135" s="292" t="inlineStr">
        <is>
          <t>no</t>
        </is>
      </c>
    </row>
    <row r="136">
      <c r="A136" s="290" t="inlineStr">
        <is>
          <t>WEPEX</t>
        </is>
      </c>
      <c r="B136" s="292" t="inlineStr">
        <is>
          <t>no</t>
        </is>
      </c>
    </row>
    <row r="138">
      <c r="A138" t="inlineStr">
        <is>
          <t>Country</t>
        </is>
      </c>
      <c r="B138" s="198" t="inlineStr">
        <is>
          <t>Inflation rate</t>
        </is>
      </c>
    </row>
    <row r="139">
      <c r="A139" s="290" t="inlineStr">
        <is>
          <t>any</t>
        </is>
      </c>
      <c r="B139" s="395" t="n">
        <v>0.02</v>
      </c>
    </row>
    <row r="140">
      <c r="A140" s="290" t="inlineStr">
        <is>
          <t>Germany</t>
        </is>
      </c>
      <c r="B140" s="395" t="n">
        <v>0.02</v>
      </c>
    </row>
    <row r="141">
      <c r="A141" s="290" t="inlineStr">
        <is>
          <t>Austria</t>
        </is>
      </c>
      <c r="B141" s="395" t="n">
        <v>0.035</v>
      </c>
    </row>
    <row r="142">
      <c r="A142" s="290" t="inlineStr">
        <is>
          <t>Bulgaria</t>
        </is>
      </c>
      <c r="B142" s="395" t="n">
        <v>0.03</v>
      </c>
    </row>
    <row r="143">
      <c r="A143" s="290" t="inlineStr">
        <is>
          <t>Finland</t>
        </is>
      </c>
      <c r="B143" s="395" t="n">
        <v>0.015</v>
      </c>
    </row>
    <row r="144">
      <c r="A144" s="290" t="inlineStr">
        <is>
          <t>Hungary</t>
        </is>
      </c>
      <c r="B144" s="395" t="n">
        <v>0.035</v>
      </c>
    </row>
    <row r="145">
      <c r="A145" s="290" t="inlineStr">
        <is>
          <t>India</t>
        </is>
      </c>
      <c r="B145" s="395" t="n">
        <v>0.055</v>
      </c>
    </row>
    <row r="146">
      <c r="A146" s="290" t="inlineStr">
        <is>
          <t>Italy</t>
        </is>
      </c>
      <c r="B146" s="395" t="n">
        <v>0.015</v>
      </c>
    </row>
    <row r="147">
      <c r="A147" s="290" t="inlineStr">
        <is>
          <t>Netherlands</t>
        </is>
      </c>
      <c r="B147" s="395" t="n">
        <v>0.025</v>
      </c>
    </row>
    <row r="148">
      <c r="A148" s="290" t="inlineStr">
        <is>
          <t>Romania</t>
        </is>
      </c>
      <c r="B148" s="395" t="n">
        <v>0.06</v>
      </c>
    </row>
    <row r="149">
      <c r="A149" s="290" t="inlineStr">
        <is>
          <t>Spain</t>
        </is>
      </c>
      <c r="B149" s="395" t="n">
        <v>0.025</v>
      </c>
    </row>
    <row r="150">
      <c r="A150" s="290" t="inlineStr">
        <is>
          <t>Sweden</t>
        </is>
      </c>
      <c r="B150" s="395" t="n">
        <v>0.025</v>
      </c>
    </row>
    <row r="151">
      <c r="A151" s="290" t="inlineStr">
        <is>
          <t>Switzerland</t>
        </is>
      </c>
      <c r="B151" s="395" t="n">
        <v>0.02</v>
      </c>
    </row>
    <row r="152">
      <c r="A152" s="290" t="inlineStr">
        <is>
          <t>Turkey</t>
        </is>
      </c>
      <c r="B152" s="395" t="n">
        <v>0.5</v>
      </c>
    </row>
    <row r="154">
      <c r="A154" t="inlineStr">
        <is>
          <t>Project role</t>
        </is>
      </c>
      <c r="B154" t="inlineStr">
        <is>
          <t>Sub role</t>
        </is>
      </c>
      <c r="C154" t="inlineStr">
        <is>
          <t>Percentage</t>
        </is>
      </c>
      <c r="D154" t="inlineStr">
        <is>
          <t>Company</t>
        </is>
      </c>
      <c r="E154" t="inlineStr">
        <is>
          <t>Country</t>
        </is>
      </c>
      <c r="F154" t="inlineStr">
        <is>
          <t>Location</t>
        </is>
      </c>
      <c r="G154" t="inlineStr">
        <is>
          <t>Seniority Level</t>
        </is>
      </c>
      <c r="H154" t="inlineStr">
        <is>
          <t>Daily costs</t>
        </is>
      </c>
      <c r="I154" t="inlineStr">
        <is>
          <t>Daily rate</t>
        </is>
      </c>
      <c r="J154" t="inlineStr">
        <is>
          <t>Daily costs (travel time)</t>
        </is>
      </c>
      <c r="K154" t="inlineStr">
        <is>
          <t>Daily rate (travel time)</t>
        </is>
      </c>
    </row>
    <row r="155">
      <c r="A155" t="inlineStr">
        <is>
          <t>Any role</t>
        </is>
      </c>
      <c r="B155" t="inlineStr">
        <is>
          <t>Any role</t>
        </is>
      </c>
      <c r="C155" t="n">
        <v>1</v>
      </c>
      <c r="D155" t="inlineStr">
        <is>
          <t>adesso SE</t>
        </is>
      </c>
      <c r="E155" t="inlineStr">
        <is>
          <t>Germany</t>
        </is>
      </c>
      <c r="F155" t="inlineStr">
        <is>
          <t>On-/Offsite</t>
        </is>
      </c>
      <c r="G155" t="inlineStr">
        <is>
          <t>any</t>
        </is>
      </c>
      <c r="H155" t="n">
        <v>500</v>
      </c>
      <c r="I155" t="n">
        <v>900</v>
      </c>
      <c r="J155" t="n">
        <v>500</v>
      </c>
      <c r="K155" t="n">
        <v>450</v>
      </c>
    </row>
    <row r="156">
      <c r="A156" t="inlineStr">
        <is>
          <t>Project manager</t>
        </is>
      </c>
      <c r="B156" t="inlineStr">
        <is>
          <t>Project manager</t>
        </is>
      </c>
      <c r="C156" t="n">
        <v>0.8</v>
      </c>
      <c r="D156" t="inlineStr">
        <is>
          <t>adesso SE</t>
        </is>
      </c>
      <c r="E156" t="inlineStr">
        <is>
          <t>Germany</t>
        </is>
      </c>
      <c r="F156" t="inlineStr">
        <is>
          <t>On-/Offsite</t>
        </is>
      </c>
      <c r="G156" t="inlineStr">
        <is>
          <t>high</t>
        </is>
      </c>
      <c r="H156" t="n">
        <v>500</v>
      </c>
      <c r="I156" t="n">
        <v>900</v>
      </c>
      <c r="J156" t="n">
        <v>500</v>
      </c>
      <c r="K156" t="n">
        <v>450</v>
      </c>
    </row>
    <row r="157">
      <c r="A157" t="inlineStr">
        <is>
          <t>Project manager</t>
        </is>
      </c>
      <c r="B157" t="inlineStr">
        <is>
          <t>Project Office</t>
        </is>
      </c>
      <c r="C157" t="n">
        <v>0.2</v>
      </c>
      <c r="D157" t="inlineStr">
        <is>
          <t>adesso SE</t>
        </is>
      </c>
      <c r="E157" t="inlineStr">
        <is>
          <t>Germany</t>
        </is>
      </c>
      <c r="F157" t="inlineStr">
        <is>
          <t>On-/Offsite</t>
        </is>
      </c>
      <c r="G157" t="inlineStr">
        <is>
          <t>middle</t>
        </is>
      </c>
      <c r="H157" t="n">
        <v>500</v>
      </c>
      <c r="I157" t="n">
        <v>900</v>
      </c>
      <c r="J157" t="n">
        <v>500</v>
      </c>
      <c r="K157" t="n">
        <v>450</v>
      </c>
    </row>
    <row r="158">
      <c r="A158" t="inlineStr">
        <is>
          <t>Software architect</t>
        </is>
      </c>
      <c r="B158" t="inlineStr">
        <is>
          <t>Software Architect</t>
        </is>
      </c>
      <c r="C158" t="n">
        <v>1</v>
      </c>
      <c r="D158" t="inlineStr">
        <is>
          <t>adesso SE</t>
        </is>
      </c>
      <c r="E158" t="inlineStr">
        <is>
          <t>Germany</t>
        </is>
      </c>
      <c r="F158" t="inlineStr">
        <is>
          <t>On-/Offsite</t>
        </is>
      </c>
      <c r="G158" t="inlineStr">
        <is>
          <t>high</t>
        </is>
      </c>
      <c r="H158" t="n">
        <v>500</v>
      </c>
      <c r="I158" t="n">
        <v>900</v>
      </c>
      <c r="J158" t="n">
        <v>500</v>
      </c>
      <c r="K158" t="n">
        <v>450</v>
      </c>
    </row>
    <row r="159">
      <c r="A159" t="inlineStr">
        <is>
          <t>Requirement Engineer</t>
        </is>
      </c>
      <c r="B159" t="inlineStr">
        <is>
          <t>Requirement Engineer (Junior)</t>
        </is>
      </c>
      <c r="C159" t="n">
        <v>0.4</v>
      </c>
      <c r="D159" t="inlineStr">
        <is>
          <t>adesso Switzerland</t>
        </is>
      </c>
      <c r="E159" t="inlineStr">
        <is>
          <t>Switzerland</t>
        </is>
      </c>
      <c r="F159" t="inlineStr">
        <is>
          <t>Offsite</t>
        </is>
      </c>
      <c r="G159" t="inlineStr">
        <is>
          <t>low</t>
        </is>
      </c>
      <c r="H159" t="n">
        <v>810</v>
      </c>
      <c r="I159" t="n">
        <v>900</v>
      </c>
      <c r="J159" t="n">
        <v>500</v>
      </c>
      <c r="K159" t="n">
        <v>450</v>
      </c>
    </row>
    <row r="160">
      <c r="A160" t="inlineStr">
        <is>
          <t>Requirement Engineer</t>
        </is>
      </c>
      <c r="B160" t="inlineStr">
        <is>
          <t>Requirement Engineer (Middle)</t>
        </is>
      </c>
      <c r="C160" t="n">
        <v>0.4</v>
      </c>
      <c r="D160" t="inlineStr">
        <is>
          <t>adesso Switzerland</t>
        </is>
      </c>
      <c r="E160" t="inlineStr">
        <is>
          <t>Switzerland</t>
        </is>
      </c>
      <c r="F160" t="inlineStr">
        <is>
          <t>Offsite</t>
        </is>
      </c>
      <c r="G160" t="inlineStr">
        <is>
          <t>middle</t>
        </is>
      </c>
      <c r="H160" t="n">
        <v>810</v>
      </c>
      <c r="I160" t="n">
        <v>900</v>
      </c>
      <c r="J160" t="n">
        <v>500</v>
      </c>
      <c r="K160" t="n">
        <v>450</v>
      </c>
    </row>
    <row r="161">
      <c r="A161" t="inlineStr">
        <is>
          <t>Requirement Engineer</t>
        </is>
      </c>
      <c r="B161" t="inlineStr">
        <is>
          <t>Requirement Engineer  (Senior)</t>
        </is>
      </c>
      <c r="C161" t="n">
        <v>0.2</v>
      </c>
      <c r="D161" t="inlineStr">
        <is>
          <t>adesso Switzerland</t>
        </is>
      </c>
      <c r="E161" t="inlineStr">
        <is>
          <t>Switzerland</t>
        </is>
      </c>
      <c r="F161" t="inlineStr">
        <is>
          <t>Offsite</t>
        </is>
      </c>
      <c r="G161" t="inlineStr">
        <is>
          <t>high</t>
        </is>
      </c>
      <c r="H161" t="n">
        <v>810</v>
      </c>
      <c r="I161" t="n">
        <v>900</v>
      </c>
      <c r="J161" t="n">
        <v>500</v>
      </c>
      <c r="K161" t="n">
        <v>450</v>
      </c>
    </row>
    <row r="162">
      <c r="A162" t="inlineStr">
        <is>
          <t>UI/UX Designer</t>
        </is>
      </c>
      <c r="B162" t="inlineStr">
        <is>
          <t>UI/UX Designer (Junior)</t>
        </is>
      </c>
      <c r="C162" t="n">
        <v>0.4</v>
      </c>
      <c r="D162" t="inlineStr">
        <is>
          <t>adesso mobile solutions</t>
        </is>
      </c>
      <c r="E162" t="inlineStr">
        <is>
          <t>Germany</t>
        </is>
      </c>
      <c r="F162" t="inlineStr">
        <is>
          <t>On-/Offsite</t>
        </is>
      </c>
      <c r="G162" t="inlineStr">
        <is>
          <t>low</t>
        </is>
      </c>
      <c r="H162" t="n">
        <v>500</v>
      </c>
      <c r="I162" t="n">
        <v>900</v>
      </c>
      <c r="J162" t="n">
        <v>500</v>
      </c>
      <c r="K162" t="n">
        <v>450</v>
      </c>
    </row>
    <row r="163">
      <c r="A163" t="inlineStr">
        <is>
          <t>UI/UX Designer</t>
        </is>
      </c>
      <c r="B163" t="inlineStr">
        <is>
          <t>UI/UX Designer (Middle)</t>
        </is>
      </c>
      <c r="C163" t="n">
        <v>0.4</v>
      </c>
      <c r="D163" t="inlineStr">
        <is>
          <t>adesso mobile solutions</t>
        </is>
      </c>
      <c r="E163" t="inlineStr">
        <is>
          <t>Germany</t>
        </is>
      </c>
      <c r="F163" t="inlineStr">
        <is>
          <t>On-/Offsite</t>
        </is>
      </c>
      <c r="G163" t="inlineStr">
        <is>
          <t>middle</t>
        </is>
      </c>
      <c r="H163" t="n">
        <v>500</v>
      </c>
      <c r="I163" t="n">
        <v>900</v>
      </c>
      <c r="J163" t="n">
        <v>500</v>
      </c>
      <c r="K163" t="n">
        <v>450</v>
      </c>
    </row>
    <row r="164">
      <c r="A164" t="inlineStr">
        <is>
          <t>UI/UX Designer</t>
        </is>
      </c>
      <c r="B164" t="inlineStr">
        <is>
          <t>UI/UX Designer (Senior)</t>
        </is>
      </c>
      <c r="C164" t="n">
        <v>0.2</v>
      </c>
      <c r="D164" t="inlineStr">
        <is>
          <t>adesso mobile solutions</t>
        </is>
      </c>
      <c r="E164" t="inlineStr">
        <is>
          <t>Germany</t>
        </is>
      </c>
      <c r="F164" t="inlineStr">
        <is>
          <t>On-/Offsite</t>
        </is>
      </c>
      <c r="G164" t="inlineStr">
        <is>
          <t>high</t>
        </is>
      </c>
      <c r="H164" t="n">
        <v>500</v>
      </c>
      <c r="I164" t="n">
        <v>900</v>
      </c>
      <c r="J164" t="n">
        <v>500</v>
      </c>
      <c r="K164" t="n">
        <v>450</v>
      </c>
    </row>
    <row r="165">
      <c r="A165" t="inlineStr">
        <is>
          <t>Test manager</t>
        </is>
      </c>
      <c r="B165" t="inlineStr">
        <is>
          <t>Test manager</t>
        </is>
      </c>
      <c r="C165" t="n">
        <v>1</v>
      </c>
      <c r="D165" t="inlineStr">
        <is>
          <t>adesso SE</t>
        </is>
      </c>
      <c r="E165" t="inlineStr">
        <is>
          <t>Germany</t>
        </is>
      </c>
      <c r="F165" t="inlineStr">
        <is>
          <t>On-/Offsite</t>
        </is>
      </c>
      <c r="G165" t="inlineStr">
        <is>
          <t>high</t>
        </is>
      </c>
      <c r="H165" t="n">
        <v>500</v>
      </c>
      <c r="I165" t="n">
        <v>900</v>
      </c>
      <c r="J165" t="n">
        <v>500</v>
      </c>
      <c r="K165" t="n">
        <v>450</v>
      </c>
    </row>
    <row r="166">
      <c r="A166" t="inlineStr">
        <is>
          <t>Test Engineer</t>
        </is>
      </c>
      <c r="B166" t="inlineStr">
        <is>
          <t>Test Engineer (Junior)</t>
        </is>
      </c>
      <c r="C166" t="n">
        <v>0.3</v>
      </c>
      <c r="D166" t="inlineStr">
        <is>
          <t>adesso SE</t>
        </is>
      </c>
      <c r="E166" t="inlineStr">
        <is>
          <t>Germany</t>
        </is>
      </c>
      <c r="F166" t="inlineStr">
        <is>
          <t>On-/Offsite</t>
        </is>
      </c>
      <c r="G166" t="inlineStr">
        <is>
          <t>low</t>
        </is>
      </c>
      <c r="H166" t="n">
        <v>500</v>
      </c>
      <c r="I166" t="n">
        <v>900</v>
      </c>
      <c r="J166" t="n">
        <v>500</v>
      </c>
      <c r="K166" t="n">
        <v>450</v>
      </c>
    </row>
    <row r="167">
      <c r="A167" t="inlineStr">
        <is>
          <t>Test Engineer</t>
        </is>
      </c>
      <c r="B167" t="inlineStr">
        <is>
          <t>Test engineer (Middle)</t>
        </is>
      </c>
      <c r="C167" t="n">
        <v>0.5</v>
      </c>
      <c r="D167" t="inlineStr">
        <is>
          <t>adesso SE</t>
        </is>
      </c>
      <c r="E167" t="inlineStr">
        <is>
          <t>Germany</t>
        </is>
      </c>
      <c r="F167" t="inlineStr">
        <is>
          <t>On-/Offsite</t>
        </is>
      </c>
      <c r="G167" t="inlineStr">
        <is>
          <t>middle</t>
        </is>
      </c>
      <c r="H167" t="n">
        <v>500</v>
      </c>
      <c r="I167" t="n">
        <v>900</v>
      </c>
      <c r="J167" t="n">
        <v>500</v>
      </c>
      <c r="K167" t="n">
        <v>450</v>
      </c>
    </row>
    <row r="168">
      <c r="A168" t="inlineStr">
        <is>
          <t>Test Engineer</t>
        </is>
      </c>
      <c r="B168" t="inlineStr">
        <is>
          <t>Test Engineer (Senior)</t>
        </is>
      </c>
      <c r="C168" t="n">
        <v>0.2</v>
      </c>
      <c r="D168" t="inlineStr">
        <is>
          <t>adesso SE</t>
        </is>
      </c>
      <c r="E168" t="inlineStr">
        <is>
          <t>Germany</t>
        </is>
      </c>
      <c r="F168" t="inlineStr">
        <is>
          <t>On-/Offsite</t>
        </is>
      </c>
      <c r="G168" t="inlineStr">
        <is>
          <t>high</t>
        </is>
      </c>
      <c r="H168" t="n">
        <v>500</v>
      </c>
      <c r="I168" t="n">
        <v>900</v>
      </c>
      <c r="J168" t="n">
        <v>500</v>
      </c>
      <c r="K168" t="n">
        <v>450</v>
      </c>
    </row>
    <row r="169">
      <c r="A169" t="inlineStr">
        <is>
          <t>Developer</t>
        </is>
      </c>
      <c r="B169" t="inlineStr">
        <is>
          <t>Developer (Junior)</t>
        </is>
      </c>
      <c r="C169" t="n">
        <v>0.2</v>
      </c>
      <c r="D169" t="inlineStr">
        <is>
          <t>adesso mobile solutions</t>
        </is>
      </c>
      <c r="E169" t="inlineStr">
        <is>
          <t>Germany</t>
        </is>
      </c>
      <c r="F169" t="inlineStr">
        <is>
          <t>On-/Offsite</t>
        </is>
      </c>
      <c r="G169" t="inlineStr">
        <is>
          <t>low</t>
        </is>
      </c>
      <c r="H169" t="n">
        <v>500</v>
      </c>
      <c r="I169" t="n">
        <v>900</v>
      </c>
      <c r="J169" t="n">
        <v>500</v>
      </c>
      <c r="K169" t="n">
        <v>450</v>
      </c>
    </row>
    <row r="170">
      <c r="A170" t="inlineStr">
        <is>
          <t>Developer</t>
        </is>
      </c>
      <c r="B170" t="inlineStr">
        <is>
          <t>Developer (Middle)</t>
        </is>
      </c>
      <c r="C170" t="n">
        <v>0.2</v>
      </c>
      <c r="D170" t="inlineStr">
        <is>
          <t>adesso mobile solutions</t>
        </is>
      </c>
      <c r="E170" t="inlineStr">
        <is>
          <t>Germany</t>
        </is>
      </c>
      <c r="F170" t="inlineStr">
        <is>
          <t>On-/Offsite</t>
        </is>
      </c>
      <c r="G170" t="inlineStr">
        <is>
          <t>middle</t>
        </is>
      </c>
      <c r="H170" t="n">
        <v>500</v>
      </c>
      <c r="I170" t="n">
        <v>900</v>
      </c>
      <c r="J170" t="n">
        <v>900</v>
      </c>
      <c r="K170" t="n">
        <v>450</v>
      </c>
    </row>
    <row r="171">
      <c r="A171" t="inlineStr">
        <is>
          <t>Developer</t>
        </is>
      </c>
      <c r="B171" t="inlineStr">
        <is>
          <t>Developer (Senior)</t>
        </is>
      </c>
      <c r="C171" t="n">
        <v>0.1</v>
      </c>
      <c r="D171" t="inlineStr">
        <is>
          <t>adesso SE</t>
        </is>
      </c>
      <c r="E171" t="inlineStr">
        <is>
          <t>Germany</t>
        </is>
      </c>
      <c r="F171" t="inlineStr">
        <is>
          <t>On-/Offsite</t>
        </is>
      </c>
      <c r="G171" t="inlineStr">
        <is>
          <t>high</t>
        </is>
      </c>
      <c r="H171" t="n">
        <v>500</v>
      </c>
      <c r="I171" t="n">
        <v>900</v>
      </c>
      <c r="J171" t="n">
        <v>500</v>
      </c>
      <c r="K171" t="n">
        <v>450</v>
      </c>
    </row>
    <row r="172">
      <c r="A172" t="inlineStr">
        <is>
          <t>Developer</t>
        </is>
      </c>
      <c r="B172" t="inlineStr">
        <is>
          <t>Developer (Smartshore)</t>
        </is>
      </c>
      <c r="C172" t="n">
        <v>0.5</v>
      </c>
      <c r="D172" t="inlineStr">
        <is>
          <t>adesso Turkey</t>
        </is>
      </c>
      <c r="E172" t="inlineStr">
        <is>
          <t>Turkey</t>
        </is>
      </c>
      <c r="F172" t="inlineStr">
        <is>
          <t>Nearshore</t>
        </is>
      </c>
      <c r="G172" t="inlineStr">
        <is>
          <t>any</t>
        </is>
      </c>
      <c r="H172" t="n">
        <v>300</v>
      </c>
      <c r="I172" t="n">
        <v>900</v>
      </c>
      <c r="J172" t="n">
        <v>0</v>
      </c>
      <c r="K172" t="n">
        <v>450</v>
      </c>
    </row>
    <row r="173">
      <c r="A173" t="inlineStr">
        <is>
          <t>DevOps Engineer</t>
        </is>
      </c>
      <c r="B173" t="inlineStr">
        <is>
          <t>DevOps Engineer</t>
        </is>
      </c>
      <c r="C173" t="n">
        <v>1</v>
      </c>
      <c r="D173" t="inlineStr">
        <is>
          <t>adesso SE</t>
        </is>
      </c>
      <c r="E173" t="inlineStr">
        <is>
          <t>Turkey</t>
        </is>
      </c>
      <c r="F173" t="inlineStr">
        <is>
          <t>Nearshore</t>
        </is>
      </c>
      <c r="G173" t="inlineStr">
        <is>
          <t>middle</t>
        </is>
      </c>
      <c r="H173" t="n">
        <v>300</v>
      </c>
      <c r="I173" t="n">
        <v>900</v>
      </c>
      <c r="J173" t="n">
        <v>500</v>
      </c>
      <c r="K173" t="n">
        <v>450</v>
      </c>
    </row>
    <row r="175">
      <c r="A175" t="inlineStr">
        <is>
          <t>ID</t>
        </is>
      </c>
      <c r="B175" t="inlineStr">
        <is>
          <t>Range (for query)</t>
        </is>
      </c>
      <c r="C175" t="inlineStr">
        <is>
          <t>Feature group</t>
        </is>
      </c>
      <c r="D175" t="inlineStr">
        <is>
          <t>Feature sub group</t>
        </is>
      </c>
      <c r="E175" t="inlineStr">
        <is>
          <t>Feature</t>
        </is>
      </c>
      <c r="F175" t="inlineStr">
        <is>
          <t>Sub feature</t>
        </is>
      </c>
      <c r="G175" t="inlineStr">
        <is>
          <t>Description</t>
        </is>
      </c>
      <c r="H175" t="inlineStr">
        <is>
          <t>Assumptions</t>
        </is>
      </c>
      <c r="I175" t="inlineStr">
        <is>
          <t>Reference ID</t>
        </is>
      </c>
      <c r="J175" t="inlineStr">
        <is>
          <t>Feature task 1</t>
        </is>
      </c>
      <c r="K175" t="inlineStr">
        <is>
          <t>Feature task 2</t>
        </is>
      </c>
      <c r="L175" t="inlineStr">
        <is>
          <t>Feature task 3</t>
        </is>
      </c>
      <c r="M175" t="inlineStr">
        <is>
          <t>Feature task 4</t>
        </is>
      </c>
      <c r="N175" t="inlineStr">
        <is>
          <t>Feature task 5</t>
        </is>
      </c>
      <c r="O175" t="inlineStr">
        <is>
          <t>Feature task 6</t>
        </is>
      </c>
      <c r="P175" t="inlineStr">
        <is>
          <t>Feature task 7</t>
        </is>
      </c>
      <c r="Q175" t="inlineStr">
        <is>
          <t>Feature task 8</t>
        </is>
      </c>
      <c r="R175" t="inlineStr">
        <is>
          <t>Feature task 9</t>
        </is>
      </c>
      <c r="S175" t="inlineStr">
        <is>
          <t>Feature task 10</t>
        </is>
      </c>
    </row>
    <row r="176">
      <c r="A176" t="inlineStr">
        <is>
          <t>F-10</t>
        </is>
      </c>
      <c r="B176" t="inlineStr">
        <is>
          <t>A</t>
        </is>
      </c>
      <c r="C176" t="inlineStr">
        <is>
          <t>TP1</t>
        </is>
      </c>
      <c r="D176" t="inlineStr">
        <is>
          <t>Module 1</t>
        </is>
      </c>
      <c r="E176" t="inlineStr">
        <is>
          <t>Feature 1-1</t>
        </is>
      </c>
      <c r="F176" t="inlineStr">
        <is>
          <t>Sub feature 1-1-1</t>
        </is>
      </c>
      <c r="G176" t="inlineStr">
        <is>
          <t>Description 1</t>
        </is>
      </c>
      <c r="H176" t="inlineStr">
        <is>
          <t>Some assumptions 1</t>
        </is>
      </c>
      <c r="I176" t="inlineStr">
        <is>
          <t>Ref-1</t>
        </is>
      </c>
      <c r="J176" t="n">
        <v>1.75</v>
      </c>
      <c r="K176" t="n">
        <v>3.5</v>
      </c>
      <c r="L176" t="n">
        <v>1.05</v>
      </c>
      <c r="M176" t="n">
        <v>0.7000000000000001</v>
      </c>
      <c r="N176" t="n">
        <v>0</v>
      </c>
      <c r="O176" t="n">
        <v>0</v>
      </c>
      <c r="P176" t="n">
        <v>0</v>
      </c>
      <c r="Q176" t="n">
        <v>0</v>
      </c>
      <c r="R176" t="n">
        <v>0</v>
      </c>
      <c r="S176" t="n">
        <v>0</v>
      </c>
    </row>
    <row r="177">
      <c r="A177" t="inlineStr">
        <is>
          <t>F-20</t>
        </is>
      </c>
      <c r="B177" t="inlineStr">
        <is>
          <t>A</t>
        </is>
      </c>
      <c r="C177" t="inlineStr">
        <is>
          <t>TP1</t>
        </is>
      </c>
      <c r="D177" t="inlineStr">
        <is>
          <t>Module 1</t>
        </is>
      </c>
      <c r="E177" t="inlineStr">
        <is>
          <t>Feature 1-2</t>
        </is>
      </c>
      <c r="F177" t="inlineStr">
        <is>
          <t>Sub feature 1-2-1</t>
        </is>
      </c>
      <c r="G177" t="inlineStr">
        <is>
          <t>Description 2</t>
        </is>
      </c>
      <c r="H177" t="inlineStr">
        <is>
          <t>Some assumptions 2</t>
        </is>
      </c>
      <c r="I177" t="inlineStr">
        <is>
          <t>Ref-2</t>
        </is>
      </c>
      <c r="J177" t="n">
        <v>3.375</v>
      </c>
      <c r="K177" t="n">
        <v>6.75</v>
      </c>
      <c r="L177" t="n">
        <v>2.025</v>
      </c>
      <c r="M177" t="n">
        <v>1.35</v>
      </c>
      <c r="N177" t="n">
        <v>0</v>
      </c>
      <c r="O177" t="n">
        <v>0</v>
      </c>
      <c r="P177" t="n">
        <v>0</v>
      </c>
      <c r="Q177" t="n">
        <v>0</v>
      </c>
      <c r="R177" t="n">
        <v>0</v>
      </c>
      <c r="S177" t="n">
        <v>0</v>
      </c>
    </row>
    <row r="178">
      <c r="A178" t="inlineStr">
        <is>
          <t>F-30</t>
        </is>
      </c>
      <c r="B178" t="inlineStr">
        <is>
          <t>B</t>
        </is>
      </c>
      <c r="C178" t="inlineStr">
        <is>
          <t>TP1</t>
        </is>
      </c>
      <c r="D178" t="inlineStr">
        <is>
          <t>Module 2</t>
        </is>
      </c>
      <c r="E178" t="inlineStr">
        <is>
          <t>Feature 2-1</t>
        </is>
      </c>
      <c r="F178" t="inlineStr">
        <is>
          <t>Sub feature 2-1-1</t>
        </is>
      </c>
      <c r="G178" t="inlineStr">
        <is>
          <t>Description 3</t>
        </is>
      </c>
      <c r="H178" t="inlineStr">
        <is>
          <t>Some assumptions 3</t>
        </is>
      </c>
      <c r="I178" t="inlineStr">
        <is>
          <t>Ref-3</t>
        </is>
      </c>
      <c r="J178" t="n">
        <v>3.5</v>
      </c>
      <c r="K178" t="n">
        <v>7</v>
      </c>
      <c r="L178" t="n">
        <v>2.1</v>
      </c>
      <c r="M178" t="n">
        <v>1.4</v>
      </c>
      <c r="N178" t="n">
        <v>0</v>
      </c>
      <c r="O178" t="n">
        <v>0</v>
      </c>
      <c r="P178" t="n">
        <v>0</v>
      </c>
      <c r="Q178" t="n">
        <v>0</v>
      </c>
      <c r="R178" t="n">
        <v>0</v>
      </c>
      <c r="S178" t="n">
        <v>0</v>
      </c>
    </row>
    <row r="179">
      <c r="A179" t="inlineStr">
        <is>
          <t>F-40</t>
        </is>
      </c>
      <c r="B179" t="inlineStr">
        <is>
          <t>B</t>
        </is>
      </c>
      <c r="C179" t="inlineStr">
        <is>
          <t>TP1</t>
        </is>
      </c>
      <c r="D179" t="inlineStr">
        <is>
          <t>Module 2</t>
        </is>
      </c>
      <c r="E179" t="inlineStr">
        <is>
          <t>Feature 2-2</t>
        </is>
      </c>
      <c r="F179" t="inlineStr">
        <is>
          <t>Sub feature 2-2-1</t>
        </is>
      </c>
      <c r="G179" t="inlineStr">
        <is>
          <t>Description 4</t>
        </is>
      </c>
      <c r="H179" t="inlineStr">
        <is>
          <t>Some assumptions 4</t>
        </is>
      </c>
      <c r="I179" t="inlineStr">
        <is>
          <t>Ref-4</t>
        </is>
      </c>
      <c r="J179" t="n">
        <v>1.575000047683716</v>
      </c>
      <c r="K179" t="n">
        <v>3.150000095367432</v>
      </c>
      <c r="L179" t="n">
        <v>0.9450000286102295</v>
      </c>
      <c r="M179" t="n">
        <v>0.6300000190734864</v>
      </c>
      <c r="N179" t="n">
        <v>0</v>
      </c>
      <c r="O179" t="n">
        <v>0</v>
      </c>
      <c r="P179" t="n">
        <v>0</v>
      </c>
      <c r="Q179" t="n">
        <v>0</v>
      </c>
      <c r="R179" t="n">
        <v>0</v>
      </c>
      <c r="S179" t="n">
        <v>0</v>
      </c>
    </row>
    <row r="180">
      <c r="A180" t="inlineStr">
        <is>
          <t>F-50</t>
        </is>
      </c>
      <c r="B180" t="inlineStr">
        <is>
          <t>C</t>
        </is>
      </c>
      <c r="C180" t="inlineStr">
        <is>
          <t>TP2</t>
        </is>
      </c>
      <c r="D180" t="inlineStr">
        <is>
          <t>Module 3</t>
        </is>
      </c>
      <c r="E180" t="inlineStr">
        <is>
          <t>Feature 3-1</t>
        </is>
      </c>
      <c r="F180" t="inlineStr">
        <is>
          <t>Sub feature 3-1-1</t>
        </is>
      </c>
      <c r="G180" t="inlineStr">
        <is>
          <t>Description 5</t>
        </is>
      </c>
      <c r="H180" t="inlineStr">
        <is>
          <t>Some assumptions 5</t>
        </is>
      </c>
      <c r="I180" t="inlineStr">
        <is>
          <t>Ref-5</t>
        </is>
      </c>
      <c r="J180" t="n">
        <v>1.649999976158142</v>
      </c>
      <c r="K180" t="n">
        <v>3.299999952316284</v>
      </c>
      <c r="L180" t="n">
        <v>0.9899999856948852</v>
      </c>
      <c r="M180" t="n">
        <v>0.6599999904632569</v>
      </c>
      <c r="N180" t="n">
        <v>0</v>
      </c>
      <c r="O180" t="n">
        <v>0</v>
      </c>
      <c r="P180" t="n">
        <v>0</v>
      </c>
      <c r="Q180" t="n">
        <v>0</v>
      </c>
      <c r="R180" t="n">
        <v>0</v>
      </c>
      <c r="S180" t="n">
        <v>0</v>
      </c>
    </row>
    <row r="181">
      <c r="A181" t="inlineStr">
        <is>
          <t>F-60</t>
        </is>
      </c>
      <c r="B181" t="inlineStr">
        <is>
          <t>C</t>
        </is>
      </c>
      <c r="C181" t="inlineStr">
        <is>
          <t>TP2</t>
        </is>
      </c>
      <c r="D181" t="inlineStr">
        <is>
          <t>Module 3</t>
        </is>
      </c>
      <c r="E181" t="inlineStr">
        <is>
          <t>Feature 3-2</t>
        </is>
      </c>
      <c r="F181" t="inlineStr">
        <is>
          <t>Sub feature 3-2-1</t>
        </is>
      </c>
      <c r="G181" t="inlineStr">
        <is>
          <t>Description 6</t>
        </is>
      </c>
      <c r="H181" t="inlineStr">
        <is>
          <t>Some assumptions 6</t>
        </is>
      </c>
      <c r="I181" t="inlineStr">
        <is>
          <t>Ref-6</t>
        </is>
      </c>
      <c r="J181" t="n">
        <v>4.400000095367432</v>
      </c>
      <c r="K181" t="n">
        <v>8.800000190734863</v>
      </c>
      <c r="L181" t="n">
        <v>2.640000057220459</v>
      </c>
      <c r="M181" t="n">
        <v>1.760000038146973</v>
      </c>
      <c r="N181" t="n">
        <v>0</v>
      </c>
      <c r="O181" t="n">
        <v>0</v>
      </c>
      <c r="P181" t="n">
        <v>0</v>
      </c>
      <c r="Q181" t="n">
        <v>0</v>
      </c>
      <c r="R181" t="n">
        <v>0</v>
      </c>
      <c r="S181" t="n">
        <v>0</v>
      </c>
    </row>
    <row r="182">
      <c r="A182" t="inlineStr">
        <is>
          <t>F-70</t>
        </is>
      </c>
      <c r="B182" t="inlineStr">
        <is>
          <t>C</t>
        </is>
      </c>
      <c r="C182" t="inlineStr">
        <is>
          <t>TP2</t>
        </is>
      </c>
      <c r="D182" t="inlineStr">
        <is>
          <t>Module 4</t>
        </is>
      </c>
      <c r="E182" t="inlineStr">
        <is>
          <t>Feature 4-1</t>
        </is>
      </c>
      <c r="F182" t="inlineStr">
        <is>
          <t>Sub feature 4-1-1</t>
        </is>
      </c>
      <c r="G182" t="inlineStr">
        <is>
          <t>Description 7</t>
        </is>
      </c>
      <c r="H182" t="inlineStr">
        <is>
          <t>Some assumptions 7</t>
        </is>
      </c>
      <c r="I182" t="inlineStr">
        <is>
          <t>Ref-7</t>
        </is>
      </c>
      <c r="J182" t="n">
        <v>4.375</v>
      </c>
      <c r="K182" t="n">
        <v>8.75</v>
      </c>
      <c r="L182" t="n">
        <v>2.625</v>
      </c>
      <c r="M182" t="n">
        <v>1.75</v>
      </c>
      <c r="N182" t="n">
        <v>0</v>
      </c>
      <c r="O182" t="n">
        <v>0</v>
      </c>
      <c r="P182" t="n">
        <v>0</v>
      </c>
      <c r="Q182" t="n">
        <v>0</v>
      </c>
      <c r="R182" t="n">
        <v>0</v>
      </c>
      <c r="S182" t="n">
        <v>0</v>
      </c>
    </row>
    <row r="183">
      <c r="A183" t="inlineStr">
        <is>
          <t>F-80</t>
        </is>
      </c>
      <c r="B183" t="inlineStr">
        <is>
          <t>C</t>
        </is>
      </c>
      <c r="C183" t="inlineStr">
        <is>
          <t>TP2</t>
        </is>
      </c>
      <c r="D183" t="inlineStr">
        <is>
          <t>Module 4</t>
        </is>
      </c>
      <c r="E183" t="inlineStr">
        <is>
          <t>Feature 4-2</t>
        </is>
      </c>
      <c r="F183" t="inlineStr">
        <is>
          <t>Sub feature 4-2-1</t>
        </is>
      </c>
      <c r="G183" t="inlineStr">
        <is>
          <t>Description 8</t>
        </is>
      </c>
      <c r="H183" t="inlineStr">
        <is>
          <t>Some assumptions 8</t>
        </is>
      </c>
      <c r="I183" t="inlineStr">
        <is>
          <t>Ref-8</t>
        </is>
      </c>
      <c r="J183" t="n">
        <v>3.200000047683716</v>
      </c>
      <c r="K183" t="n">
        <v>6.400000095367432</v>
      </c>
      <c r="L183" t="n">
        <v>1.920000028610229</v>
      </c>
      <c r="M183" t="n">
        <v>1.280000019073486</v>
      </c>
      <c r="N183" t="n">
        <v>0</v>
      </c>
      <c r="O183" t="n">
        <v>0</v>
      </c>
      <c r="P183" t="n">
        <v>0</v>
      </c>
      <c r="Q183" t="n">
        <v>0</v>
      </c>
      <c r="R183" t="n">
        <v>0</v>
      </c>
      <c r="S183" t="n">
        <v>0</v>
      </c>
    </row>
    <row r="185">
      <c r="A185" t="inlineStr">
        <is>
          <t>Feature task</t>
        </is>
      </c>
      <c r="B185" t="inlineStr">
        <is>
          <t>Description</t>
        </is>
      </c>
      <c r="C185" t="inlineStr">
        <is>
          <t>Average Percentage</t>
        </is>
      </c>
      <c r="D185" t="inlineStr">
        <is>
          <t>Key task</t>
        </is>
      </c>
    </row>
    <row r="186">
      <c r="A186" t="inlineStr">
        <is>
          <t>Analysis &amp; software design</t>
        </is>
      </c>
      <c r="B186" t="inlineStr">
        <is>
          <t>Recording, analysis and detailed specification of software requirements</t>
        </is>
      </c>
      <c r="C186" t="n">
        <v>0.25</v>
      </c>
      <c r="D186" t="inlineStr">
        <is>
          <t>no</t>
        </is>
      </c>
    </row>
    <row r="187">
      <c r="A187" t="inlineStr">
        <is>
          <t>Software development</t>
        </is>
      </c>
      <c r="B187" t="inlineStr">
        <is>
          <t>Software development and developer tests</t>
        </is>
      </c>
      <c r="C187" t="n">
        <v>0.5</v>
      </c>
      <c r="D187" t="inlineStr">
        <is>
          <t>yes</t>
        </is>
      </c>
    </row>
    <row r="188">
      <c r="A188" t="inlineStr">
        <is>
          <t>Software test</t>
        </is>
      </c>
      <c r="B188" t="inlineStr">
        <is>
          <t>Test case creation and system, integration and user acceptance tests; retests for defects in the development process and regression tests for multiple deliveries</t>
        </is>
      </c>
      <c r="C188" t="n">
        <v>0.15</v>
      </c>
      <c r="D188" t="inlineStr">
        <is>
          <t>no</t>
        </is>
      </c>
    </row>
    <row r="189">
      <c r="A189" t="inlineStr">
        <is>
          <t>Bug fixing after delivery for acceptance</t>
        </is>
      </c>
      <c r="B189" t="inlineStr">
        <is>
          <t>Bug fixing after software delivery for customer acceptance. Includes development and retesting.</t>
        </is>
      </c>
      <c r="C189" t="n">
        <v>0.1</v>
      </c>
      <c r="D189"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8.xml><?xml version="1.0" encoding="utf-8"?>
<worksheet xmlns="http://schemas.openxmlformats.org/spreadsheetml/2006/main">
  <sheetPr codeName="Tabelle5">
    <tabColor theme="5" tint="0.7999816888943144"/>
    <outlinePr summaryBelow="1" summaryRight="1"/>
    <pageSetUpPr/>
  </sheetPr>
  <dimension ref="A1:AT170"/>
  <sheetViews>
    <sheetView topLeftCell="A22" workbookViewId="0">
      <selection activeCell="Q45" sqref="Q45"/>
    </sheetView>
  </sheetViews>
  <sheetFormatPr baseColWidth="10" defaultColWidth="11.5" defaultRowHeight="15"/>
  <sheetData>
    <row r="1">
      <c r="A1" t="inlineStr">
        <is>
          <t>Key</t>
        </is>
      </c>
      <c r="B1" t="inlineStr">
        <is>
          <t>Value</t>
        </is>
      </c>
    </row>
    <row r="2">
      <c r="A2" t="inlineStr">
        <is>
          <t>Proposal title</t>
        </is>
      </c>
      <c r="B2" t="inlineStr">
        <is>
          <t>Test project</t>
        </is>
      </c>
    </row>
    <row r="3">
      <c r="A3" t="inlineStr">
        <is>
          <t>Contract type</t>
        </is>
      </c>
      <c r="B3" t="inlineStr">
        <is>
          <t>Work contract (fixed price)</t>
        </is>
      </c>
    </row>
    <row r="4">
      <c r="A4" t="inlineStr">
        <is>
          <t>Customer</t>
        </is>
      </c>
      <c r="B4" t="inlineStr">
        <is>
          <t>Test customer</t>
        </is>
      </c>
    </row>
    <row r="5">
      <c r="A5" t="inlineStr">
        <is>
          <t>Contractor</t>
        </is>
      </c>
      <c r="B5" t="inlineStr">
        <is>
          <t>adesso SE</t>
        </is>
      </c>
    </row>
    <row r="6">
      <c r="A6" t="inlineStr">
        <is>
          <t>Calculation process</t>
        </is>
      </c>
      <c r="B6" t="inlineStr">
        <is>
          <t>Calculation with two teams</t>
        </is>
      </c>
    </row>
    <row r="7">
      <c r="A7" t="inlineStr">
        <is>
          <t>Currency</t>
        </is>
      </c>
      <c r="B7" t="inlineStr">
        <is>
          <t>€</t>
        </is>
      </c>
    </row>
    <row r="8">
      <c r="A8" t="inlineStr">
        <is>
          <t>Time period type</t>
        </is>
      </c>
      <c r="B8" t="n">
        <v>0</v>
      </c>
    </row>
    <row r="9">
      <c r="A9" t="inlineStr">
        <is>
          <t>Include inflation</t>
        </is>
      </c>
      <c r="B9" t="inlineStr">
        <is>
          <t>no</t>
        </is>
      </c>
    </row>
    <row r="10">
      <c r="A10" t="inlineStr">
        <is>
          <t>No prior sorted tasks for GANTT chart</t>
        </is>
      </c>
      <c r="B10" t="inlineStr">
        <is>
          <t>yes</t>
        </is>
      </c>
    </row>
    <row r="11">
      <c r="A11" t="inlineStr">
        <is>
          <t>Allocate first role efforts to other roles</t>
        </is>
      </c>
      <c r="B11" t="inlineStr">
        <is>
          <t>no</t>
        </is>
      </c>
    </row>
    <row r="12">
      <c r="A12" t="inlineStr">
        <is>
          <t>FTE days</t>
        </is>
      </c>
      <c r="B12" t="n">
        <v>220</v>
      </c>
    </row>
    <row r="13">
      <c r="A13" t="inlineStr">
        <is>
          <t>Project length</t>
        </is>
      </c>
      <c r="B13" t="n">
        <v>58</v>
      </c>
    </row>
    <row r="14">
      <c r="A14" t="inlineStr">
        <is>
          <t>Team size</t>
        </is>
      </c>
      <c r="B14" t="n">
        <v>4</v>
      </c>
    </row>
    <row r="15">
      <c r="A15" t="inlineStr">
        <is>
          <t>Number of sprints</t>
        </is>
      </c>
      <c r="B15" t="n">
        <v>0</v>
      </c>
    </row>
    <row r="17">
      <c r="A17" s="243" t="inlineStr">
        <is>
          <t>Team member</t>
        </is>
      </c>
      <c r="B17" s="244" t="inlineStr">
        <is>
          <t>Team member role in proposal process</t>
        </is>
      </c>
    </row>
    <row r="18">
      <c r="A18" s="397" t="inlineStr">
        <is>
          <t>Lieschen Müller</t>
        </is>
      </c>
      <c r="B18" s="398" t="inlineStr">
        <is>
          <t>Project and calculation manager</t>
        </is>
      </c>
    </row>
    <row r="19">
      <c r="A19" s="397" t="inlineStr">
        <is>
          <t>Fritz Paulsen</t>
        </is>
      </c>
      <c r="B19" s="398" t="inlineStr">
        <is>
          <t>Software architect</t>
        </is>
      </c>
    </row>
    <row r="20">
      <c r="A20" s="397" t="inlineStr">
        <is>
          <t>Hannes Hinrichs</t>
        </is>
      </c>
      <c r="B20" s="398" t="inlineStr">
        <is>
          <t>Test manager</t>
        </is>
      </c>
    </row>
    <row r="21">
      <c r="A21" s="397" t="inlineStr">
        <is>
          <t>Sarah Schmidt</t>
        </is>
      </c>
      <c r="B21" s="398" t="inlineStr">
        <is>
          <t>Requirement engineer</t>
        </is>
      </c>
    </row>
    <row r="22">
      <c r="A22" s="397" t="inlineStr">
        <is>
          <t>Pauline Harms</t>
        </is>
      </c>
      <c r="B22" s="398" t="inlineStr">
        <is>
          <t>Developer</t>
        </is>
      </c>
    </row>
    <row r="24">
      <c r="A24" t="inlineStr">
        <is>
          <t>Description</t>
        </is>
      </c>
      <c r="B24" t="inlineStr">
        <is>
          <t>Assumptions</t>
        </is>
      </c>
      <c r="C24" t="inlineStr">
        <is>
          <t>Costs</t>
        </is>
      </c>
      <c r="D24" t="inlineStr">
        <is>
          <t>Costs to be charged</t>
        </is>
      </c>
    </row>
    <row r="25">
      <c r="A25" t="inlineStr">
        <is>
          <t>Travel Costs</t>
        </is>
      </c>
      <c r="C25" t="n">
        <v>2000</v>
      </c>
      <c r="D25" t="n">
        <v>2000</v>
      </c>
    </row>
    <row r="26">
      <c r="A26" t="inlineStr">
        <is>
          <t>Licences for Tools</t>
        </is>
      </c>
      <c r="C26" t="n">
        <v>1000</v>
      </c>
      <c r="D26" t="n">
        <v>1000</v>
      </c>
    </row>
    <row r="28">
      <c r="A28" t="inlineStr">
        <is>
          <t>ID</t>
        </is>
      </c>
      <c r="B28" t="inlineStr">
        <is>
          <t>Risk title</t>
        </is>
      </c>
      <c r="C28" t="inlineStr">
        <is>
          <t>Risk description</t>
        </is>
      </c>
      <c r="D28" t="inlineStr">
        <is>
          <t>Linked items</t>
        </is>
      </c>
      <c r="E28" t="inlineStr">
        <is>
          <t>Risk likelihood</t>
        </is>
      </c>
      <c r="F28" t="inlineStr">
        <is>
          <t>Risk impact</t>
        </is>
      </c>
    </row>
    <row r="29">
      <c r="A29" t="inlineStr">
        <is>
          <t>R-10</t>
        </is>
      </c>
      <c r="B29" t="inlineStr">
        <is>
          <t>Risk A</t>
        </is>
      </c>
      <c r="C29" t="inlineStr">
        <is>
          <t>Risk A</t>
        </is>
      </c>
      <c r="D29" t="inlineStr">
        <is>
          <t>F-10,F-60,P-40</t>
        </is>
      </c>
      <c r="E29" t="n">
        <v>0.2957728505134583</v>
      </c>
      <c r="F29" t="n">
        <v>5.199999809265137</v>
      </c>
    </row>
    <row r="30">
      <c r="A30" t="inlineStr">
        <is>
          <t>R-20</t>
        </is>
      </c>
      <c r="B30" t="inlineStr">
        <is>
          <t>Risk B</t>
        </is>
      </c>
      <c r="C30" t="inlineStr">
        <is>
          <t>Risk B</t>
        </is>
      </c>
      <c r="D30" t="inlineStr">
        <is>
          <t>F-60</t>
        </is>
      </c>
      <c r="E30" t="n">
        <v>0.3009704947471619</v>
      </c>
      <c r="F30" t="n">
        <v>11.39999961853027</v>
      </c>
    </row>
    <row r="31">
      <c r="A31" t="inlineStr">
        <is>
          <t>R-30</t>
        </is>
      </c>
      <c r="B31" t="inlineStr">
        <is>
          <t>Risk C</t>
        </is>
      </c>
      <c r="C31" t="inlineStr">
        <is>
          <t>Risk C</t>
        </is>
      </c>
      <c r="D31" t="inlineStr">
        <is>
          <t>P-30</t>
        </is>
      </c>
      <c r="E31" t="n">
        <v>0.9798293709754944</v>
      </c>
      <c r="F31" t="n">
        <v>5.400000095367432</v>
      </c>
    </row>
    <row r="32">
      <c r="A32" t="inlineStr">
        <is>
          <t>R-40</t>
        </is>
      </c>
      <c r="B32" t="inlineStr">
        <is>
          <t>Risk D</t>
        </is>
      </c>
      <c r="C32" t="inlineStr">
        <is>
          <t>Risk D</t>
        </is>
      </c>
      <c r="D32" t="inlineStr">
        <is>
          <t>P-40</t>
        </is>
      </c>
      <c r="E32" t="n">
        <v>0.2782799601554871</v>
      </c>
      <c r="F32" t="n">
        <v>2.799999952316284</v>
      </c>
    </row>
    <row r="33">
      <c r="A33" t="inlineStr">
        <is>
          <t>R-50</t>
        </is>
      </c>
      <c r="B33" t="inlineStr">
        <is>
          <t>Risk E</t>
        </is>
      </c>
      <c r="C33" t="inlineStr">
        <is>
          <t>Risk E</t>
        </is>
      </c>
      <c r="E33" t="n">
        <v>0.1628215909004211</v>
      </c>
      <c r="F33" t="n">
        <v>8.100000381469727</v>
      </c>
    </row>
    <row r="34">
      <c r="A34" t="inlineStr">
        <is>
          <t>R-60</t>
        </is>
      </c>
      <c r="B34" t="inlineStr">
        <is>
          <t>Risk F</t>
        </is>
      </c>
      <c r="C34" t="inlineStr">
        <is>
          <t>Risk F</t>
        </is>
      </c>
      <c r="E34" t="n">
        <v>0.4100732207298279</v>
      </c>
      <c r="F34" t="n">
        <v>5.5</v>
      </c>
    </row>
    <row r="36">
      <c r="A36" t="inlineStr">
        <is>
          <t>ID</t>
        </is>
      </c>
      <c r="B36" t="inlineStr">
        <is>
          <t>Task group</t>
        </is>
      </c>
      <c r="C36" t="inlineStr">
        <is>
          <t>Summary task</t>
        </is>
      </c>
      <c r="D36" t="inlineStr">
        <is>
          <t>Task</t>
        </is>
      </c>
      <c r="E36" t="inlineStr">
        <is>
          <t>Description</t>
        </is>
      </c>
      <c r="F36" t="inlineStr">
        <is>
          <t>Special task or feature query</t>
        </is>
      </c>
      <c r="G36" t="inlineStr">
        <is>
          <t>Assumptions</t>
        </is>
      </c>
      <c r="H36" t="inlineStr">
        <is>
          <t>Reference ID</t>
        </is>
      </c>
      <c r="I36" t="inlineStr">
        <is>
          <t>Effort</t>
        </is>
      </c>
      <c r="J36" t="inlineStr">
        <is>
          <t>Variable</t>
        </is>
      </c>
      <c r="K36" t="inlineStr">
        <is>
          <t>Formula</t>
        </is>
      </c>
      <c r="L36" t="inlineStr">
        <is>
          <t>Start</t>
        </is>
      </c>
      <c r="M36" t="inlineStr">
        <is>
          <t>Finish</t>
        </is>
      </c>
      <c r="N36" t="inlineStr">
        <is>
          <t>Duration</t>
        </is>
      </c>
      <c r="O36" t="inlineStr">
        <is>
          <t>Dependency</t>
        </is>
      </c>
      <c r="P36" t="inlineStr">
        <is>
          <t>GANTT</t>
        </is>
      </c>
      <c r="Q36" t="inlineStr">
        <is>
          <t>Role 1</t>
        </is>
      </c>
      <c r="R36" t="inlineStr">
        <is>
          <t>Role 2</t>
        </is>
      </c>
      <c r="S36" t="inlineStr">
        <is>
          <t>Role 3</t>
        </is>
      </c>
      <c r="T36" t="inlineStr">
        <is>
          <t>Role 4</t>
        </is>
      </c>
      <c r="U36" t="inlineStr">
        <is>
          <t>Role 5</t>
        </is>
      </c>
      <c r="V36" t="inlineStr">
        <is>
          <t>Role 6</t>
        </is>
      </c>
      <c r="W36" t="inlineStr">
        <is>
          <t>Role 7</t>
        </is>
      </c>
      <c r="X36" t="inlineStr">
        <is>
          <t>Role 8</t>
        </is>
      </c>
      <c r="Y36" t="inlineStr">
        <is>
          <t>Role 9</t>
        </is>
      </c>
      <c r="Z36" t="inlineStr">
        <is>
          <t>Role 10</t>
        </is>
      </c>
      <c r="AA36" t="inlineStr">
        <is>
          <t>Role 11</t>
        </is>
      </c>
      <c r="AB36" t="inlineStr">
        <is>
          <t>Role 12</t>
        </is>
      </c>
      <c r="AC36" t="inlineStr">
        <is>
          <t>Role 13</t>
        </is>
      </c>
      <c r="AD36" t="inlineStr">
        <is>
          <t>Role 14</t>
        </is>
      </c>
      <c r="AE36" t="inlineStr">
        <is>
          <t>Role 15</t>
        </is>
      </c>
      <c r="AF36" t="inlineStr">
        <is>
          <t>Role 16</t>
        </is>
      </c>
      <c r="AG36" t="inlineStr">
        <is>
          <t>Role 17</t>
        </is>
      </c>
      <c r="AH36" t="inlineStr">
        <is>
          <t>Role 18</t>
        </is>
      </c>
      <c r="AI36" t="inlineStr">
        <is>
          <t>Role 19</t>
        </is>
      </c>
      <c r="AJ36" t="inlineStr">
        <is>
          <t>Role 20</t>
        </is>
      </c>
      <c r="AK36" t="inlineStr">
        <is>
          <t>Role 21</t>
        </is>
      </c>
      <c r="AL36" t="inlineStr">
        <is>
          <t>Role 22</t>
        </is>
      </c>
      <c r="AM36" t="inlineStr">
        <is>
          <t>Role 23</t>
        </is>
      </c>
      <c r="AN36" t="inlineStr">
        <is>
          <t>Role 24</t>
        </is>
      </c>
      <c r="AO36" t="inlineStr">
        <is>
          <t>Role 25</t>
        </is>
      </c>
      <c r="AP36" t="inlineStr">
        <is>
          <t>Role 26</t>
        </is>
      </c>
      <c r="AQ36" t="inlineStr">
        <is>
          <t>Role 27</t>
        </is>
      </c>
      <c r="AR36" t="inlineStr">
        <is>
          <t>Role 28</t>
        </is>
      </c>
      <c r="AS36" t="inlineStr">
        <is>
          <t>Role 29</t>
        </is>
      </c>
      <c r="AT36" t="inlineStr">
        <is>
          <t>Role 30</t>
        </is>
      </c>
    </row>
    <row r="37">
      <c r="A37" t="inlineStr">
        <is>
          <t>P-10</t>
        </is>
      </c>
      <c r="C37" t="inlineStr">
        <is>
          <t>Planning</t>
        </is>
      </c>
      <c r="D37" t="inlineStr">
        <is>
          <t>Project initialization and planning</t>
        </is>
      </c>
      <c r="E37" t="inlineStr">
        <is>
          <t>Initialization and planning of project; creation of a project manual, procurement of resources, setting up project controlling, etc.</t>
        </is>
      </c>
      <c r="I37" t="n">
        <v>3</v>
      </c>
      <c r="K37" t="inlineStr">
        <is>
          <t>10%*[pm]</t>
        </is>
      </c>
      <c r="L37" s="188" t="n">
        <v>45658</v>
      </c>
      <c r="M37" s="188" t="n">
        <v>45688</v>
      </c>
      <c r="N37" t="inlineStr">
        <is>
          <t>1m</t>
        </is>
      </c>
      <c r="P37" t="inlineStr">
        <is>
          <t>yes</t>
        </is>
      </c>
      <c r="R37" t="inlineStr">
        <is>
          <t>f100</t>
        </is>
      </c>
    </row>
    <row r="38">
      <c r="A38" t="inlineStr">
        <is>
          <t>P-20</t>
        </is>
      </c>
      <c r="C38" t="inlineStr">
        <is>
          <t>Planning</t>
        </is>
      </c>
      <c r="D38" t="inlineStr">
        <is>
          <t xml:space="preserve">Project kick-off meeting </t>
        </is>
      </c>
      <c r="E38" t="inlineStr">
        <is>
          <t>Internal and if necessary external meeting, participation, preparation and follow-up</t>
        </is>
      </c>
      <c r="I38" t="n">
        <v>2</v>
      </c>
      <c r="L38" s="188" t="n">
        <v>45689</v>
      </c>
      <c r="M38" s="188" t="n">
        <v>45702</v>
      </c>
      <c r="N38" t="inlineStr">
        <is>
          <t>2w</t>
        </is>
      </c>
      <c r="O38" t="inlineStr">
        <is>
          <t>aft(P-10)</t>
        </is>
      </c>
      <c r="P38" t="inlineStr">
        <is>
          <t>yes</t>
        </is>
      </c>
      <c r="R38" t="inlineStr">
        <is>
          <t>f100</t>
        </is>
      </c>
    </row>
    <row r="39">
      <c r="A39" t="inlineStr">
        <is>
          <t>P-30</t>
        </is>
      </c>
      <c r="C39" t="inlineStr">
        <is>
          <t>Planning</t>
        </is>
      </c>
      <c r="D39" t="inlineStr">
        <is>
          <t>Creation of software architecture concept</t>
        </is>
      </c>
      <c r="E39" t="inlineStr">
        <is>
          <t>Setting up a sustainable and stable architecture for the targeted application and documentation</t>
        </is>
      </c>
      <c r="I39" t="n">
        <v>2</v>
      </c>
      <c r="L39" s="188" t="n">
        <v>45703</v>
      </c>
      <c r="M39" s="188" t="n">
        <v>45716</v>
      </c>
      <c r="N39" t="inlineStr">
        <is>
          <t>2w</t>
        </is>
      </c>
      <c r="O39" t="inlineStr">
        <is>
          <t>aft(P-20)</t>
        </is>
      </c>
      <c r="P39" t="inlineStr">
        <is>
          <t>yes</t>
        </is>
      </c>
      <c r="S39" t="inlineStr">
        <is>
          <t>f100</t>
        </is>
      </c>
    </row>
    <row r="40">
      <c r="A40" t="inlineStr">
        <is>
          <t>P-40</t>
        </is>
      </c>
      <c r="C40" t="inlineStr">
        <is>
          <t>Planning</t>
        </is>
      </c>
      <c r="D40" t="inlineStr">
        <is>
          <t>Creation of test concept</t>
        </is>
      </c>
      <c r="E40" t="inlineStr">
        <is>
          <t>Creation of test concept, definition of test execution strategy and processes, preparation of test toolchain</t>
        </is>
      </c>
      <c r="I40" t="n">
        <v>2</v>
      </c>
      <c r="L40" s="188" t="n">
        <v>45703</v>
      </c>
      <c r="M40" s="188" t="n">
        <v>45716</v>
      </c>
      <c r="N40" t="inlineStr">
        <is>
          <t>2w</t>
        </is>
      </c>
      <c r="O40" t="inlineStr">
        <is>
          <t>aft(P-20)</t>
        </is>
      </c>
      <c r="P40" t="inlineStr">
        <is>
          <t>yes</t>
        </is>
      </c>
      <c r="V40" t="inlineStr">
        <is>
          <t>f100</t>
        </is>
      </c>
    </row>
    <row r="41">
      <c r="A41" t="inlineStr">
        <is>
          <t>P-50</t>
        </is>
      </c>
      <c r="C41" t="inlineStr">
        <is>
          <t>Implementation</t>
        </is>
      </c>
      <c r="D41" t="inlineStr">
        <is>
          <t>Setup development environment</t>
        </is>
      </c>
      <c r="E41" t="inlineStr">
        <is>
          <t>Setup development, test and acceptance environment</t>
        </is>
      </c>
      <c r="I41" t="n">
        <v>2</v>
      </c>
      <c r="L41" s="188" t="n">
        <v>45703</v>
      </c>
      <c r="M41" s="188" t="n">
        <v>45716</v>
      </c>
      <c r="N41" t="inlineStr">
        <is>
          <t>2w</t>
        </is>
      </c>
      <c r="O41" t="inlineStr">
        <is>
          <t>aft(P-20)</t>
        </is>
      </c>
      <c r="P41" t="inlineStr">
        <is>
          <t>yes</t>
        </is>
      </c>
      <c r="Y41" t="inlineStr">
        <is>
          <t>f100</t>
        </is>
      </c>
    </row>
    <row r="42">
      <c r="A42" t="inlineStr">
        <is>
          <t>P-60</t>
        </is>
      </c>
      <c r="C42" t="inlineStr">
        <is>
          <t>Implementation</t>
        </is>
      </c>
      <c r="D42" t="inlineStr">
        <is>
          <t>Analysis &amp; software design</t>
        </is>
      </c>
      <c r="E42" t="inlineStr">
        <is>
          <t>Feature task 'Analysis &amp; software design'</t>
        </is>
      </c>
      <c r="F42" t="inlineStr">
        <is>
          <t>FT#1</t>
        </is>
      </c>
      <c r="I42" t="n">
        <v>57.62500038743019</v>
      </c>
      <c r="L42" s="188" t="n">
        <v>45703</v>
      </c>
      <c r="M42" s="188" t="n">
        <v>45761</v>
      </c>
      <c r="N42" t="inlineStr">
        <is>
          <t>2m</t>
        </is>
      </c>
      <c r="O42" t="inlineStr">
        <is>
          <t>aft(P-20)</t>
        </is>
      </c>
      <c r="P42" t="inlineStr">
        <is>
          <t>yes</t>
        </is>
      </c>
      <c r="S42" t="inlineStr">
        <is>
          <t>f20</t>
        </is>
      </c>
      <c r="T42" t="inlineStr">
        <is>
          <t>f80</t>
        </is>
      </c>
    </row>
    <row r="43">
      <c r="A43" t="inlineStr">
        <is>
          <t>P-70</t>
        </is>
      </c>
      <c r="C43" t="inlineStr">
        <is>
          <t>Implementation</t>
        </is>
      </c>
      <c r="D43" t="inlineStr">
        <is>
          <t>Software development</t>
        </is>
      </c>
      <c r="E43" t="inlineStr">
        <is>
          <t>Feature task 'Software development'</t>
        </is>
      </c>
      <c r="F43" t="inlineStr">
        <is>
          <t>FT#2</t>
        </is>
      </c>
      <c r="I43" t="n">
        <v>115.2500007748604</v>
      </c>
      <c r="J43" t="inlineStr">
        <is>
          <t>[dev]</t>
        </is>
      </c>
      <c r="L43" s="188" t="n">
        <v>45717</v>
      </c>
      <c r="M43" s="188" t="n">
        <v>45838</v>
      </c>
      <c r="N43" t="inlineStr">
        <is>
          <t>4m</t>
        </is>
      </c>
      <c r="O43" t="inlineStr">
        <is>
          <t>bot(P-60)+2w</t>
        </is>
      </c>
      <c r="P43" t="inlineStr">
        <is>
          <t>yes</t>
        </is>
      </c>
      <c r="X43" t="inlineStr">
        <is>
          <t>f100</t>
        </is>
      </c>
    </row>
    <row r="44">
      <c r="A44" t="inlineStr">
        <is>
          <t>P-80</t>
        </is>
      </c>
      <c r="C44" t="inlineStr">
        <is>
          <t>Implementation</t>
        </is>
      </c>
      <c r="D44" t="inlineStr">
        <is>
          <t>Software test</t>
        </is>
      </c>
      <c r="E44" t="inlineStr">
        <is>
          <t>Feature task 'Software test'</t>
        </is>
      </c>
      <c r="F44" t="inlineStr">
        <is>
          <t>FT#3</t>
        </is>
      </c>
      <c r="I44" t="n">
        <v>34.57500023245811</v>
      </c>
      <c r="J44" t="inlineStr">
        <is>
          <t>[test]</t>
        </is>
      </c>
      <c r="L44" s="188" t="n">
        <v>45731</v>
      </c>
      <c r="M44" s="188" t="n">
        <v>45852</v>
      </c>
      <c r="N44" t="inlineStr">
        <is>
          <t>4m</t>
        </is>
      </c>
      <c r="O44" t="inlineStr">
        <is>
          <t>bot(P-70)+2w</t>
        </is>
      </c>
      <c r="P44" t="inlineStr">
        <is>
          <t>yes</t>
        </is>
      </c>
      <c r="W44" t="inlineStr">
        <is>
          <t>f100</t>
        </is>
      </c>
    </row>
    <row r="45">
      <c r="A45" t="inlineStr">
        <is>
          <t>P-90</t>
        </is>
      </c>
      <c r="C45" t="inlineStr">
        <is>
          <t>Implementation</t>
        </is>
      </c>
      <c r="D45" t="inlineStr">
        <is>
          <t>Performance test</t>
        </is>
      </c>
      <c r="E45" t="inlineStr">
        <is>
          <t>Performance test</t>
        </is>
      </c>
      <c r="I45" t="n">
        <v>2</v>
      </c>
      <c r="L45" s="188" t="n">
        <v>45823</v>
      </c>
      <c r="M45" s="188" t="n">
        <v>45852</v>
      </c>
      <c r="N45" t="inlineStr">
        <is>
          <t>1m</t>
        </is>
      </c>
      <c r="O45" t="inlineStr">
        <is>
          <t>aft(P-80)-1m</t>
        </is>
      </c>
      <c r="P45" t="inlineStr">
        <is>
          <t>yes</t>
        </is>
      </c>
      <c r="S45" t="inlineStr">
        <is>
          <t>f20</t>
        </is>
      </c>
      <c r="Y45" t="inlineStr">
        <is>
          <t>f80</t>
        </is>
      </c>
    </row>
    <row r="46">
      <c r="A46" t="inlineStr">
        <is>
          <t>P-100</t>
        </is>
      </c>
      <c r="C46" t="inlineStr">
        <is>
          <t>Implementation</t>
        </is>
      </c>
      <c r="D46" t="inlineStr">
        <is>
          <t>Security check</t>
        </is>
      </c>
      <c r="E46" t="inlineStr">
        <is>
          <t xml:space="preserve">Static code analysis, threat model (threat analysis); further information at security-check@adesso.de </t>
        </is>
      </c>
      <c r="I46" t="n">
        <v>2</v>
      </c>
      <c r="L46" s="188" t="n">
        <v>45823</v>
      </c>
      <c r="M46" s="188" t="n">
        <v>45852</v>
      </c>
      <c r="N46" t="inlineStr">
        <is>
          <t>1m</t>
        </is>
      </c>
      <c r="O46" t="inlineStr">
        <is>
          <t>aft(P-80)-1m</t>
        </is>
      </c>
      <c r="P46" t="inlineStr">
        <is>
          <t>yes</t>
        </is>
      </c>
      <c r="S46" t="inlineStr">
        <is>
          <t>f20</t>
        </is>
      </c>
      <c r="Y46" t="inlineStr">
        <is>
          <t>f80</t>
        </is>
      </c>
    </row>
    <row r="47">
      <c r="A47" t="inlineStr">
        <is>
          <t>P-110</t>
        </is>
      </c>
      <c r="C47" t="inlineStr">
        <is>
          <t>Implementation</t>
        </is>
      </c>
      <c r="D47" t="inlineStr">
        <is>
          <t>Writing user manual</t>
        </is>
      </c>
      <c r="E47" t="inlineStr">
        <is>
          <t>Writing, correction and handover of a user manual</t>
        </is>
      </c>
      <c r="I47" t="n">
        <v>11.525000077486</v>
      </c>
      <c r="K47" t="inlineStr">
        <is>
          <t>10%*[dev]</t>
        </is>
      </c>
      <c r="L47" s="188" t="n">
        <v>45823</v>
      </c>
      <c r="M47" s="188" t="n">
        <v>45852</v>
      </c>
      <c r="N47" t="inlineStr">
        <is>
          <t>1m</t>
        </is>
      </c>
      <c r="O47" t="inlineStr">
        <is>
          <t>aft(P-80)-1m</t>
        </is>
      </c>
      <c r="P47" t="inlineStr">
        <is>
          <t>yes</t>
        </is>
      </c>
      <c r="T47" t="inlineStr">
        <is>
          <t>f100</t>
        </is>
      </c>
    </row>
    <row r="48">
      <c r="A48" t="inlineStr">
        <is>
          <t>P-120</t>
        </is>
      </c>
      <c r="C48" t="inlineStr">
        <is>
          <t>Implementation</t>
        </is>
      </c>
      <c r="D48" t="inlineStr">
        <is>
          <t>Customer training</t>
        </is>
      </c>
      <c r="E48" t="inlineStr">
        <is>
          <t>Prepare and conduct customer training courses</t>
        </is>
      </c>
      <c r="I48" t="n">
        <v>4</v>
      </c>
      <c r="L48" s="188" t="n">
        <v>45823</v>
      </c>
      <c r="M48" s="188" t="n">
        <v>45852</v>
      </c>
      <c r="N48" t="inlineStr">
        <is>
          <t>1m</t>
        </is>
      </c>
      <c r="O48" t="inlineStr">
        <is>
          <t>bot(P-130)-1m</t>
        </is>
      </c>
      <c r="P48" t="inlineStr">
        <is>
          <t>yes</t>
        </is>
      </c>
      <c r="T48" t="inlineStr">
        <is>
          <t>f100</t>
        </is>
      </c>
    </row>
    <row r="49">
      <c r="A49" t="inlineStr">
        <is>
          <t>P-130</t>
        </is>
      </c>
      <c r="C49" t="inlineStr">
        <is>
          <t>Closing</t>
        </is>
      </c>
      <c r="D49" t="inlineStr">
        <is>
          <t>Bug fixing after delivery for acceptance</t>
        </is>
      </c>
      <c r="E49" t="inlineStr">
        <is>
          <t>Feature task 'Bug fixing after delivery for acceptance'</t>
        </is>
      </c>
      <c r="F49" t="inlineStr">
        <is>
          <t>FT#4</t>
        </is>
      </c>
      <c r="I49" t="n">
        <v>23.05000015497207</v>
      </c>
      <c r="J49" t="inlineStr">
        <is>
          <t>[bugfix]</t>
        </is>
      </c>
      <c r="L49" s="188" t="n">
        <v>45853</v>
      </c>
      <c r="M49" s="188" t="n">
        <v>45883</v>
      </c>
      <c r="N49" t="inlineStr">
        <is>
          <t>1m</t>
        </is>
      </c>
      <c r="O49" t="inlineStr">
        <is>
          <t>aft(P-80)</t>
        </is>
      </c>
      <c r="P49" t="inlineStr">
        <is>
          <t>yes</t>
        </is>
      </c>
      <c r="W49" t="inlineStr">
        <is>
          <t>f20</t>
        </is>
      </c>
      <c r="X49" t="inlineStr">
        <is>
          <t>f80</t>
        </is>
      </c>
    </row>
    <row r="50">
      <c r="A50" t="inlineStr">
        <is>
          <t>P-140</t>
        </is>
      </c>
      <c r="C50" t="inlineStr">
        <is>
          <t>Overall tasks</t>
        </is>
      </c>
      <c r="D50" t="inlineStr">
        <is>
          <t>Project management</t>
        </is>
      </c>
      <c r="E50" t="inlineStr">
        <is>
          <t>Project management and control, resource, stakeholder, risk and escalation management, planning updates, etc. Test management Comprehensive test management etc.</t>
        </is>
      </c>
      <c r="I50" t="n">
        <v>58</v>
      </c>
      <c r="J50" t="inlineStr">
        <is>
          <t>[pm]</t>
        </is>
      </c>
      <c r="K50" t="inlineStr">
        <is>
          <t>max([#projectlength]*ifs([#total1]&lt;200,0.5,[#total1]&lt;500,1,[#total1]&lt;1000,1.5,[#total1]&lt;2000,2,true,3),10%*[#total1])</t>
        </is>
      </c>
      <c r="L50" s="188" t="n">
        <v>45658</v>
      </c>
      <c r="M50" s="188" t="n">
        <v>45883</v>
      </c>
      <c r="N50" t="inlineStr">
        <is>
          <t>226d</t>
        </is>
      </c>
      <c r="O50" t="inlineStr">
        <is>
          <t>bot(P-10)</t>
        </is>
      </c>
      <c r="P50" t="inlineStr">
        <is>
          <t>yes</t>
        </is>
      </c>
      <c r="R50" t="inlineStr">
        <is>
          <t>f100</t>
        </is>
      </c>
    </row>
    <row r="51">
      <c r="A51" t="inlineStr">
        <is>
          <t>P-150</t>
        </is>
      </c>
      <c r="C51" t="inlineStr">
        <is>
          <t>Overall tasks</t>
        </is>
      </c>
      <c r="D51" t="inlineStr">
        <is>
          <t>Test management</t>
        </is>
      </c>
      <c r="E51" t="inlineStr">
        <is>
          <t>Comprehensive test and quality management</t>
        </is>
      </c>
      <c r="I51" t="n">
        <v>5</v>
      </c>
      <c r="L51" s="188" t="n">
        <v>45658</v>
      </c>
      <c r="M51" s="188" t="n">
        <v>45883</v>
      </c>
      <c r="N51" t="inlineStr">
        <is>
          <t>226d</t>
        </is>
      </c>
      <c r="O51" t="inlineStr">
        <is>
          <t>bot(P-10)</t>
        </is>
      </c>
      <c r="P51" t="inlineStr">
        <is>
          <t>yes</t>
        </is>
      </c>
      <c r="V51" t="inlineStr">
        <is>
          <t>f100</t>
        </is>
      </c>
    </row>
    <row r="52">
      <c r="A52" t="inlineStr">
        <is>
          <t>P-160</t>
        </is>
      </c>
      <c r="C52" t="inlineStr">
        <is>
          <t>Overall tasks</t>
        </is>
      </c>
      <c r="D52" t="inlineStr">
        <is>
          <t>Software architecture management</t>
        </is>
      </c>
      <c r="E52" t="inlineStr">
        <is>
          <t>Comprehensive software architecture management</t>
        </is>
      </c>
      <c r="I52" t="n">
        <v>5</v>
      </c>
      <c r="L52" s="188" t="n">
        <v>45658</v>
      </c>
      <c r="M52" s="188" t="n">
        <v>45883</v>
      </c>
      <c r="N52" t="inlineStr">
        <is>
          <t>226d</t>
        </is>
      </c>
      <c r="O52" t="inlineStr">
        <is>
          <t>bot(P-10)</t>
        </is>
      </c>
      <c r="P52" t="inlineStr">
        <is>
          <t>yes</t>
        </is>
      </c>
      <c r="S52" t="inlineStr">
        <is>
          <t>f100</t>
        </is>
      </c>
    </row>
    <row r="53">
      <c r="A53" t="inlineStr">
        <is>
          <t>P-170</t>
        </is>
      </c>
      <c r="C53" t="inlineStr">
        <is>
          <t>Overall tasks</t>
        </is>
      </c>
      <c r="D53" t="inlineStr">
        <is>
          <t>Project meetings</t>
        </is>
      </c>
      <c r="E53" t="inlineStr">
        <is>
          <t>Meetings &gt; 1 hour, e.g. for Scrum events or similar</t>
        </is>
      </c>
      <c r="I53" t="n">
        <v>5</v>
      </c>
      <c r="L53" s="188" t="n">
        <v>45658</v>
      </c>
      <c r="M53" s="188" t="n">
        <v>45883</v>
      </c>
      <c r="N53" t="inlineStr">
        <is>
          <t>226d</t>
        </is>
      </c>
      <c r="O53" t="inlineStr">
        <is>
          <t>bot(P-10)</t>
        </is>
      </c>
      <c r="P53" t="inlineStr">
        <is>
          <t>yes</t>
        </is>
      </c>
      <c r="Q53" t="inlineStr">
        <is>
          <t>f100</t>
        </is>
      </c>
    </row>
    <row r="54">
      <c r="A54" t="inlineStr">
        <is>
          <t>P-180</t>
        </is>
      </c>
      <c r="C54" t="inlineStr">
        <is>
          <t>Overall tasks</t>
        </is>
      </c>
      <c r="D54" t="inlineStr">
        <is>
          <t>Travel times</t>
        </is>
      </c>
      <c r="F54" t="inlineStr">
        <is>
          <t>TT</t>
        </is>
      </c>
      <c r="I54" t="n">
        <v>5</v>
      </c>
      <c r="J54" t="inlineStr">
        <is>
          <t>[traveltime]</t>
        </is>
      </c>
      <c r="L54" s="188" t="n">
        <v>45658</v>
      </c>
      <c r="M54" s="188" t="n">
        <v>45883</v>
      </c>
      <c r="N54" t="inlineStr">
        <is>
          <t>226d</t>
        </is>
      </c>
      <c r="O54" t="inlineStr">
        <is>
          <t>bot(P-10)</t>
        </is>
      </c>
      <c r="P54" t="inlineStr">
        <is>
          <t>yes</t>
        </is>
      </c>
      <c r="Q54" t="inlineStr">
        <is>
          <t>f100</t>
        </is>
      </c>
    </row>
    <row r="55">
      <c r="A55" t="inlineStr">
        <is>
          <t>P-190</t>
        </is>
      </c>
      <c r="C55" t="inlineStr">
        <is>
          <t>Overall tasks</t>
        </is>
      </c>
      <c r="D55" t="inlineStr">
        <is>
          <t>Risks</t>
        </is>
      </c>
      <c r="F55" t="inlineStr">
        <is>
          <t>RIS</t>
        </is>
      </c>
      <c r="I55" t="n">
        <v>14.6136025258587</v>
      </c>
      <c r="J55" t="inlineStr">
        <is>
          <t>[risks]</t>
        </is>
      </c>
      <c r="L55" s="188" t="n">
        <v>45658</v>
      </c>
      <c r="M55" s="188" t="n">
        <v>45883</v>
      </c>
      <c r="N55" t="inlineStr">
        <is>
          <t>226d</t>
        </is>
      </c>
      <c r="O55" t="inlineStr">
        <is>
          <t>bot(P-10)</t>
        </is>
      </c>
      <c r="P55" t="inlineStr">
        <is>
          <t>yes</t>
        </is>
      </c>
      <c r="Q55" t="inlineStr">
        <is>
          <t>f100</t>
        </is>
      </c>
    </row>
    <row r="56">
      <c r="A56" t="inlineStr">
        <is>
          <t>P-200</t>
        </is>
      </c>
      <c r="C56" t="inlineStr">
        <is>
          <t>Warranty</t>
        </is>
      </c>
      <c r="D56" t="inlineStr">
        <is>
          <t>Warranty</t>
        </is>
      </c>
      <c r="F56" t="inlineStr">
        <is>
          <t>WA</t>
        </is>
      </c>
      <c r="I56" t="n">
        <v>33.40250016272071</v>
      </c>
      <c r="J56" t="inlineStr">
        <is>
          <t>[warranty]</t>
        </is>
      </c>
      <c r="K56" t="inlineStr">
        <is>
          <t>10%*[#total1]</t>
        </is>
      </c>
      <c r="L56" s="188" t="n">
        <v>45884</v>
      </c>
      <c r="M56" s="188" t="n">
        <v>46067</v>
      </c>
      <c r="N56" t="inlineStr">
        <is>
          <t>6m</t>
        </is>
      </c>
      <c r="O56" t="inlineStr">
        <is>
          <t>aft(P-130)</t>
        </is>
      </c>
      <c r="P56" t="inlineStr">
        <is>
          <t>yes</t>
        </is>
      </c>
      <c r="Q56" t="inlineStr">
        <is>
          <t>f100</t>
        </is>
      </c>
    </row>
    <row r="58">
      <c r="A58" t="inlineStr">
        <is>
          <t>Seniority Level</t>
        </is>
      </c>
    </row>
    <row r="59">
      <c r="A59" s="290" t="inlineStr">
        <is>
          <t>any</t>
        </is>
      </c>
    </row>
    <row r="60">
      <c r="A60" s="290" t="inlineStr">
        <is>
          <t>very low</t>
        </is>
      </c>
    </row>
    <row r="61">
      <c r="A61" s="290" t="inlineStr">
        <is>
          <t>low</t>
        </is>
      </c>
    </row>
    <row r="62">
      <c r="A62" s="290" t="inlineStr">
        <is>
          <t>middle</t>
        </is>
      </c>
    </row>
    <row r="63">
      <c r="A63" s="290" t="inlineStr">
        <is>
          <t>high</t>
        </is>
      </c>
    </row>
    <row r="64">
      <c r="A64" s="290" t="inlineStr">
        <is>
          <t>very high</t>
        </is>
      </c>
    </row>
    <row r="66">
      <c r="A66" t="inlineStr">
        <is>
          <t>Location</t>
        </is>
      </c>
    </row>
    <row r="67">
      <c r="A67" s="290" t="inlineStr">
        <is>
          <t>any</t>
        </is>
      </c>
    </row>
    <row r="68">
      <c r="A68" s="290" t="inlineStr">
        <is>
          <t>Onsite</t>
        </is>
      </c>
    </row>
    <row r="69">
      <c r="A69" s="290" t="inlineStr">
        <is>
          <t>Offsite</t>
        </is>
      </c>
    </row>
    <row r="70">
      <c r="A70" s="290" t="inlineStr">
        <is>
          <t>On-/Offsite</t>
        </is>
      </c>
    </row>
    <row r="71">
      <c r="A71" s="290" t="inlineStr">
        <is>
          <t>Nearshore</t>
        </is>
      </c>
    </row>
    <row r="72">
      <c r="A72" s="290" t="inlineStr">
        <is>
          <t>Offshore</t>
        </is>
      </c>
    </row>
    <row r="74">
      <c r="A74" t="inlineStr">
        <is>
          <t>Company</t>
        </is>
      </c>
      <c r="B74" s="81" t="inlineStr">
        <is>
          <t>Accounting-related company</t>
        </is>
      </c>
    </row>
    <row r="75">
      <c r="A75" s="290" t="inlineStr">
        <is>
          <t>any</t>
        </is>
      </c>
      <c r="B75" s="292" t="inlineStr">
        <is>
          <t>no</t>
        </is>
      </c>
    </row>
    <row r="76">
      <c r="A76" s="290" t="inlineStr">
        <is>
          <t>adesso SE</t>
        </is>
      </c>
      <c r="B76" s="292" t="inlineStr">
        <is>
          <t>yes</t>
        </is>
      </c>
    </row>
    <row r="77">
      <c r="A77" s="290" t="inlineStr">
        <is>
          <t>adesso as a service</t>
        </is>
      </c>
      <c r="B77" s="292" t="inlineStr">
        <is>
          <t>no</t>
        </is>
      </c>
    </row>
    <row r="78">
      <c r="A78" s="290" t="inlineStr">
        <is>
          <t>adesso Austria</t>
        </is>
      </c>
      <c r="B78" s="292" t="inlineStr">
        <is>
          <t>no</t>
        </is>
      </c>
    </row>
    <row r="79">
      <c r="A79" s="290" t="inlineStr">
        <is>
          <t>adesso benefit solutions</t>
        </is>
      </c>
      <c r="B79" s="292" t="inlineStr">
        <is>
          <t>no</t>
        </is>
      </c>
    </row>
    <row r="80">
      <c r="A80" s="290" t="inlineStr">
        <is>
          <t>adesso Bulgaria</t>
        </is>
      </c>
      <c r="B80" s="292" t="inlineStr">
        <is>
          <t>no</t>
        </is>
      </c>
    </row>
    <row r="81">
      <c r="A81" s="290" t="inlineStr">
        <is>
          <t>adesso Finland</t>
        </is>
      </c>
      <c r="B81" s="292" t="inlineStr">
        <is>
          <t>no</t>
        </is>
      </c>
    </row>
    <row r="82">
      <c r="A82" s="290" t="inlineStr">
        <is>
          <t>adesso health solutions</t>
        </is>
      </c>
      <c r="B82" s="292" t="inlineStr">
        <is>
          <t>no</t>
        </is>
      </c>
    </row>
    <row r="83">
      <c r="A83" s="290" t="inlineStr">
        <is>
          <t>adesso Hungary</t>
        </is>
      </c>
      <c r="B83" s="292" t="inlineStr">
        <is>
          <t>no</t>
        </is>
      </c>
    </row>
    <row r="84">
      <c r="A84" s="290" t="inlineStr">
        <is>
          <t>adesso India</t>
        </is>
      </c>
      <c r="B84" s="292" t="inlineStr">
        <is>
          <t>no</t>
        </is>
      </c>
    </row>
    <row r="85">
      <c r="A85" s="290" t="inlineStr">
        <is>
          <t>adesso insurance solutions</t>
        </is>
      </c>
      <c r="B85" s="292" t="inlineStr">
        <is>
          <t>yes</t>
        </is>
      </c>
    </row>
    <row r="86">
      <c r="A86" s="290" t="inlineStr">
        <is>
          <t>adesso Italy</t>
        </is>
      </c>
      <c r="B86" s="292" t="inlineStr">
        <is>
          <t>no</t>
        </is>
      </c>
    </row>
    <row r="87">
      <c r="A87" s="290" t="inlineStr">
        <is>
          <t>adesso Lakes</t>
        </is>
      </c>
      <c r="B87" s="292" t="inlineStr">
        <is>
          <t>no</t>
        </is>
      </c>
    </row>
    <row r="88">
      <c r="A88" s="290" t="inlineStr">
        <is>
          <t>adesso mobile solutions</t>
        </is>
      </c>
      <c r="B88" s="292" t="inlineStr">
        <is>
          <t>yes</t>
        </is>
      </c>
    </row>
    <row r="89">
      <c r="A89" s="290" t="inlineStr">
        <is>
          <t>adesso Netherlands</t>
        </is>
      </c>
      <c r="B89" s="292" t="inlineStr">
        <is>
          <t>no</t>
        </is>
      </c>
    </row>
    <row r="90">
      <c r="A90" s="290" t="inlineStr">
        <is>
          <t>adesso orange</t>
        </is>
      </c>
      <c r="B90" s="292" t="inlineStr">
        <is>
          <t>yes</t>
        </is>
      </c>
    </row>
    <row r="91">
      <c r="A91" s="290" t="inlineStr">
        <is>
          <t>adesso partner trust</t>
        </is>
      </c>
      <c r="B91" s="292" t="inlineStr">
        <is>
          <t>no</t>
        </is>
      </c>
    </row>
    <row r="92">
      <c r="A92" s="290" t="inlineStr">
        <is>
          <t>adesso Romania</t>
        </is>
      </c>
      <c r="B92" s="292" t="inlineStr">
        <is>
          <t>no</t>
        </is>
      </c>
    </row>
    <row r="93">
      <c r="A93" s="290" t="inlineStr">
        <is>
          <t>adesso Spain</t>
        </is>
      </c>
      <c r="B93" s="292" t="inlineStr">
        <is>
          <t>no</t>
        </is>
      </c>
    </row>
    <row r="94">
      <c r="A94" s="290" t="inlineStr">
        <is>
          <t>adesso Sweden</t>
        </is>
      </c>
      <c r="B94" s="292" t="inlineStr">
        <is>
          <t>no</t>
        </is>
      </c>
    </row>
    <row r="95">
      <c r="A95" s="290" t="inlineStr">
        <is>
          <t>adesso Switzerland</t>
        </is>
      </c>
      <c r="B95" s="292" t="inlineStr">
        <is>
          <t>no</t>
        </is>
      </c>
    </row>
    <row r="96">
      <c r="A96" s="290" t="inlineStr">
        <is>
          <t>adesso Turkey</t>
        </is>
      </c>
      <c r="B96" s="292" t="inlineStr">
        <is>
          <t>no</t>
        </is>
      </c>
    </row>
    <row r="97">
      <c r="A97" s="290" t="inlineStr">
        <is>
          <t>Afida</t>
        </is>
      </c>
      <c r="B97" s="292" t="inlineStr">
        <is>
          <t>no</t>
        </is>
      </c>
    </row>
    <row r="98">
      <c r="A98" s="290" t="inlineStr">
        <is>
          <t>alleato adessekuranzmakler</t>
        </is>
      </c>
      <c r="B98" s="292" t="inlineStr">
        <is>
          <t>no</t>
        </is>
      </c>
    </row>
    <row r="99">
      <c r="A99" s="290" t="inlineStr">
        <is>
          <t>amis</t>
        </is>
      </c>
      <c r="B99" s="292" t="inlineStr">
        <is>
          <t>no</t>
        </is>
      </c>
    </row>
    <row r="100">
      <c r="A100" s="290" t="inlineStr">
        <is>
          <t>KIWI Consulting</t>
        </is>
      </c>
      <c r="B100" s="292" t="inlineStr">
        <is>
          <t>no</t>
        </is>
      </c>
    </row>
    <row r="101">
      <c r="A101" s="290" t="inlineStr">
        <is>
          <t>material.one</t>
        </is>
      </c>
      <c r="B101" s="292" t="inlineStr">
        <is>
          <t>no</t>
        </is>
      </c>
    </row>
    <row r="102">
      <c r="A102" s="290" t="inlineStr">
        <is>
          <t>medgineering</t>
        </is>
      </c>
      <c r="B102" s="292" t="inlineStr">
        <is>
          <t>no</t>
        </is>
      </c>
    </row>
    <row r="103">
      <c r="A103" s="290" t="inlineStr">
        <is>
          <t>percision</t>
        </is>
      </c>
      <c r="B103" s="292" t="inlineStr">
        <is>
          <t>no</t>
        </is>
      </c>
    </row>
    <row r="104">
      <c r="A104" s="290" t="inlineStr">
        <is>
          <t>Reachbird</t>
        </is>
      </c>
      <c r="B104" s="292" t="inlineStr">
        <is>
          <t>no</t>
        </is>
      </c>
    </row>
    <row r="105">
      <c r="A105" s="290" t="inlineStr">
        <is>
          <t>urban engergy</t>
        </is>
      </c>
      <c r="B105" s="292" t="inlineStr">
        <is>
          <t>no</t>
        </is>
      </c>
    </row>
    <row r="106">
      <c r="A106" s="290" t="inlineStr">
        <is>
          <t>WEPEX</t>
        </is>
      </c>
      <c r="B106" s="292" t="inlineStr">
        <is>
          <t>no</t>
        </is>
      </c>
    </row>
    <row r="108">
      <c r="A108" t="inlineStr">
        <is>
          <t>Country</t>
        </is>
      </c>
      <c r="B108" s="198" t="inlineStr">
        <is>
          <t>Inflation rate</t>
        </is>
      </c>
    </row>
    <row r="109">
      <c r="A109" s="290" t="inlineStr">
        <is>
          <t>any</t>
        </is>
      </c>
      <c r="B109" s="395" t="n">
        <v>0.02</v>
      </c>
    </row>
    <row r="110">
      <c r="A110" s="290" t="inlineStr">
        <is>
          <t>Germany</t>
        </is>
      </c>
      <c r="B110" s="395" t="n">
        <v>0.02</v>
      </c>
    </row>
    <row r="111">
      <c r="A111" s="290" t="inlineStr">
        <is>
          <t>Austria</t>
        </is>
      </c>
      <c r="B111" s="395" t="n">
        <v>0.035</v>
      </c>
    </row>
    <row r="112">
      <c r="A112" s="290" t="inlineStr">
        <is>
          <t>Bulgaria</t>
        </is>
      </c>
      <c r="B112" s="395" t="n">
        <v>0.03</v>
      </c>
    </row>
    <row r="113">
      <c r="A113" s="290" t="inlineStr">
        <is>
          <t>Finland</t>
        </is>
      </c>
      <c r="B113" s="395" t="n">
        <v>0.015</v>
      </c>
    </row>
    <row r="114">
      <c r="A114" s="290" t="inlineStr">
        <is>
          <t>Hungary</t>
        </is>
      </c>
      <c r="B114" s="395" t="n">
        <v>0.035</v>
      </c>
    </row>
    <row r="115">
      <c r="A115" s="290" t="inlineStr">
        <is>
          <t>India</t>
        </is>
      </c>
      <c r="B115" s="395" t="n">
        <v>0.055</v>
      </c>
    </row>
    <row r="116">
      <c r="A116" s="290" t="inlineStr">
        <is>
          <t>Italy</t>
        </is>
      </c>
      <c r="B116" s="395" t="n">
        <v>0.015</v>
      </c>
    </row>
    <row r="117">
      <c r="A117" s="290" t="inlineStr">
        <is>
          <t>Netherlands</t>
        </is>
      </c>
      <c r="B117" s="395" t="n">
        <v>0.025</v>
      </c>
    </row>
    <row r="118">
      <c r="A118" s="290" t="inlineStr">
        <is>
          <t>Romania</t>
        </is>
      </c>
      <c r="B118" s="395" t="n">
        <v>0.06</v>
      </c>
    </row>
    <row r="119">
      <c r="A119" s="290" t="inlineStr">
        <is>
          <t>Spain</t>
        </is>
      </c>
      <c r="B119" s="395" t="n">
        <v>0.025</v>
      </c>
    </row>
    <row r="120">
      <c r="A120" s="290" t="inlineStr">
        <is>
          <t>Sweden</t>
        </is>
      </c>
      <c r="B120" s="395" t="n">
        <v>0.025</v>
      </c>
    </row>
    <row r="121">
      <c r="A121" s="290" t="inlineStr">
        <is>
          <t>Switzerland</t>
        </is>
      </c>
      <c r="B121" s="395" t="n">
        <v>0.02</v>
      </c>
    </row>
    <row r="122">
      <c r="A122" s="290" t="inlineStr">
        <is>
          <t>Turkey</t>
        </is>
      </c>
      <c r="B122" s="395" t="n">
        <v>0.5</v>
      </c>
    </row>
    <row r="124">
      <c r="A124" t="inlineStr">
        <is>
          <t>Project role</t>
        </is>
      </c>
      <c r="B124" t="inlineStr">
        <is>
          <t>Sub role</t>
        </is>
      </c>
      <c r="C124" t="inlineStr">
        <is>
          <t>Percentage</t>
        </is>
      </c>
      <c r="D124" t="inlineStr">
        <is>
          <t>Company</t>
        </is>
      </c>
      <c r="E124" t="inlineStr">
        <is>
          <t>Country</t>
        </is>
      </c>
      <c r="F124" t="inlineStr">
        <is>
          <t>Location</t>
        </is>
      </c>
      <c r="G124" t="inlineStr">
        <is>
          <t>Seniority Level</t>
        </is>
      </c>
      <c r="H124" t="inlineStr">
        <is>
          <t>Daily costs</t>
        </is>
      </c>
      <c r="I124" t="inlineStr">
        <is>
          <t>Daily rate</t>
        </is>
      </c>
      <c r="J124" t="inlineStr">
        <is>
          <t>Daily costs (travel time)</t>
        </is>
      </c>
      <c r="K124" t="inlineStr">
        <is>
          <t>Daily rate (travel time)</t>
        </is>
      </c>
    </row>
    <row r="125">
      <c r="A125" t="inlineStr">
        <is>
          <t>Any role</t>
        </is>
      </c>
      <c r="B125" t="inlineStr">
        <is>
          <t>Any role</t>
        </is>
      </c>
      <c r="C125" t="n">
        <v>1</v>
      </c>
      <c r="D125" t="inlineStr">
        <is>
          <t>adesso SE</t>
        </is>
      </c>
      <c r="E125" t="inlineStr">
        <is>
          <t>any</t>
        </is>
      </c>
      <c r="F125" t="inlineStr">
        <is>
          <t>any</t>
        </is>
      </c>
      <c r="G125" t="inlineStr">
        <is>
          <t>any</t>
        </is>
      </c>
      <c r="H125" t="n">
        <v>500</v>
      </c>
      <c r="I125" t="n">
        <v>900</v>
      </c>
      <c r="J125" t="n">
        <v>500</v>
      </c>
      <c r="K125" t="n">
        <v>450</v>
      </c>
    </row>
    <row r="126">
      <c r="A126" t="inlineStr">
        <is>
          <t>Project manager</t>
        </is>
      </c>
      <c r="B126" t="inlineStr">
        <is>
          <t>Project manager</t>
        </is>
      </c>
      <c r="C126" t="n">
        <v>1</v>
      </c>
      <c r="D126" t="inlineStr">
        <is>
          <t>adesso SE</t>
        </is>
      </c>
      <c r="E126" t="inlineStr">
        <is>
          <t>any</t>
        </is>
      </c>
      <c r="F126" t="inlineStr">
        <is>
          <t>any</t>
        </is>
      </c>
      <c r="G126" t="inlineStr">
        <is>
          <t>high</t>
        </is>
      </c>
      <c r="H126" t="n">
        <v>500</v>
      </c>
      <c r="I126" t="n">
        <v>900</v>
      </c>
      <c r="J126" t="n">
        <v>500</v>
      </c>
      <c r="K126" t="n">
        <v>450</v>
      </c>
    </row>
    <row r="127">
      <c r="A127" t="inlineStr">
        <is>
          <t>Project manager</t>
        </is>
      </c>
      <c r="B127" t="inlineStr">
        <is>
          <t>Project Office</t>
        </is>
      </c>
      <c r="C127" t="n">
        <v>0</v>
      </c>
      <c r="D127" t="inlineStr">
        <is>
          <t>adesso SE</t>
        </is>
      </c>
      <c r="E127" t="inlineStr">
        <is>
          <t>any</t>
        </is>
      </c>
      <c r="F127" t="inlineStr">
        <is>
          <t>any</t>
        </is>
      </c>
      <c r="G127" t="inlineStr">
        <is>
          <t>middle</t>
        </is>
      </c>
      <c r="H127" t="n">
        <v>500</v>
      </c>
      <c r="I127" t="n">
        <v>900</v>
      </c>
      <c r="J127" t="n">
        <v>500</v>
      </c>
      <c r="K127" t="n">
        <v>450</v>
      </c>
    </row>
    <row r="128">
      <c r="A128" t="inlineStr">
        <is>
          <t>Software architect</t>
        </is>
      </c>
      <c r="B128" t="inlineStr">
        <is>
          <t>Software Architect</t>
        </is>
      </c>
      <c r="C128" t="n">
        <v>1</v>
      </c>
      <c r="D128" t="inlineStr">
        <is>
          <t>adesso SE</t>
        </is>
      </c>
      <c r="E128" t="inlineStr">
        <is>
          <t>any</t>
        </is>
      </c>
      <c r="F128" t="inlineStr">
        <is>
          <t>any</t>
        </is>
      </c>
      <c r="G128" t="inlineStr">
        <is>
          <t>high</t>
        </is>
      </c>
      <c r="H128" t="n">
        <v>500</v>
      </c>
      <c r="I128" t="n">
        <v>900</v>
      </c>
      <c r="J128" t="n">
        <v>500</v>
      </c>
      <c r="K128" t="n">
        <v>450</v>
      </c>
    </row>
    <row r="129">
      <c r="A129" t="inlineStr">
        <is>
          <t>Requirement Engineer</t>
        </is>
      </c>
      <c r="B129" t="inlineStr">
        <is>
          <t>Requirement Engineer (Junior)</t>
        </is>
      </c>
      <c r="C129" t="n">
        <v>0</v>
      </c>
      <c r="D129" t="inlineStr">
        <is>
          <t>adesso SE</t>
        </is>
      </c>
      <c r="E129" t="inlineStr">
        <is>
          <t>any</t>
        </is>
      </c>
      <c r="F129" t="inlineStr">
        <is>
          <t>any</t>
        </is>
      </c>
      <c r="G129" t="inlineStr">
        <is>
          <t>low</t>
        </is>
      </c>
      <c r="H129" t="n">
        <v>500</v>
      </c>
      <c r="I129" t="n">
        <v>900</v>
      </c>
      <c r="J129" t="n">
        <v>500</v>
      </c>
      <c r="K129" t="n">
        <v>450</v>
      </c>
    </row>
    <row r="130">
      <c r="A130" t="inlineStr">
        <is>
          <t>Requirement Engineer</t>
        </is>
      </c>
      <c r="B130" t="inlineStr">
        <is>
          <t>Requirement Engineer (Middle)</t>
        </is>
      </c>
      <c r="C130" t="n">
        <v>1</v>
      </c>
      <c r="D130" t="inlineStr">
        <is>
          <t>adesso SE</t>
        </is>
      </c>
      <c r="E130" t="inlineStr">
        <is>
          <t>any</t>
        </is>
      </c>
      <c r="F130" t="inlineStr">
        <is>
          <t>any</t>
        </is>
      </c>
      <c r="G130" t="inlineStr">
        <is>
          <t>middle</t>
        </is>
      </c>
      <c r="H130" t="n">
        <v>500</v>
      </c>
      <c r="I130" t="n">
        <v>900</v>
      </c>
      <c r="J130" t="n">
        <v>500</v>
      </c>
      <c r="K130" t="n">
        <v>450</v>
      </c>
    </row>
    <row r="131">
      <c r="A131" t="inlineStr">
        <is>
          <t>Requirement Engineer</t>
        </is>
      </c>
      <c r="B131" t="inlineStr">
        <is>
          <t>Requirement Engineer  (Senior)</t>
        </is>
      </c>
      <c r="C131" t="n">
        <v>0</v>
      </c>
      <c r="D131" t="inlineStr">
        <is>
          <t>adesso SE</t>
        </is>
      </c>
      <c r="E131" t="inlineStr">
        <is>
          <t>any</t>
        </is>
      </c>
      <c r="F131" t="inlineStr">
        <is>
          <t>any</t>
        </is>
      </c>
      <c r="G131" t="inlineStr">
        <is>
          <t>high</t>
        </is>
      </c>
      <c r="H131" t="n">
        <v>500</v>
      </c>
      <c r="I131" t="n">
        <v>900</v>
      </c>
      <c r="J131" t="n">
        <v>500</v>
      </c>
      <c r="K131" t="n">
        <v>450</v>
      </c>
    </row>
    <row r="132">
      <c r="A132" t="inlineStr">
        <is>
          <t>UI/UX Designer</t>
        </is>
      </c>
      <c r="B132" t="inlineStr">
        <is>
          <t>UI/UX Designer (Junior)</t>
        </is>
      </c>
      <c r="C132" t="n">
        <v>0</v>
      </c>
      <c r="D132" t="inlineStr">
        <is>
          <t>adesso SE</t>
        </is>
      </c>
      <c r="E132" t="inlineStr">
        <is>
          <t>any</t>
        </is>
      </c>
      <c r="F132" t="inlineStr">
        <is>
          <t>any</t>
        </is>
      </c>
      <c r="G132" t="inlineStr">
        <is>
          <t>low</t>
        </is>
      </c>
      <c r="H132" t="n">
        <v>500</v>
      </c>
      <c r="I132" t="n">
        <v>900</v>
      </c>
      <c r="J132" t="n">
        <v>500</v>
      </c>
      <c r="K132" t="n">
        <v>450</v>
      </c>
    </row>
    <row r="133">
      <c r="A133" t="inlineStr">
        <is>
          <t>UI/UX Designer</t>
        </is>
      </c>
      <c r="B133" t="inlineStr">
        <is>
          <t>UI/UX Designer (Middle)</t>
        </is>
      </c>
      <c r="C133" t="n">
        <v>1</v>
      </c>
      <c r="D133" t="inlineStr">
        <is>
          <t>adesso SE</t>
        </is>
      </c>
      <c r="E133" t="inlineStr">
        <is>
          <t>any</t>
        </is>
      </c>
      <c r="F133" t="inlineStr">
        <is>
          <t>any</t>
        </is>
      </c>
      <c r="G133" t="inlineStr">
        <is>
          <t>middle</t>
        </is>
      </c>
      <c r="H133" t="n">
        <v>500</v>
      </c>
      <c r="I133" t="n">
        <v>900</v>
      </c>
      <c r="J133" t="n">
        <v>500</v>
      </c>
      <c r="K133" t="n">
        <v>450</v>
      </c>
    </row>
    <row r="134">
      <c r="A134" t="inlineStr">
        <is>
          <t>UI/UX Designer</t>
        </is>
      </c>
      <c r="B134" t="inlineStr">
        <is>
          <t>UI/UX Designer (Senior)</t>
        </is>
      </c>
      <c r="C134" t="n">
        <v>0</v>
      </c>
      <c r="D134" t="inlineStr">
        <is>
          <t>adesso SE</t>
        </is>
      </c>
      <c r="E134" t="inlineStr">
        <is>
          <t>any</t>
        </is>
      </c>
      <c r="F134" t="inlineStr">
        <is>
          <t>any</t>
        </is>
      </c>
      <c r="G134" t="inlineStr">
        <is>
          <t>high</t>
        </is>
      </c>
      <c r="H134" t="n">
        <v>500</v>
      </c>
      <c r="I134" t="n">
        <v>900</v>
      </c>
      <c r="J134" t="n">
        <v>500</v>
      </c>
      <c r="K134" t="n">
        <v>450</v>
      </c>
    </row>
    <row r="135">
      <c r="A135" t="inlineStr">
        <is>
          <t>Test manager</t>
        </is>
      </c>
      <c r="B135" t="inlineStr">
        <is>
          <t>Test manager</t>
        </is>
      </c>
      <c r="C135" t="n">
        <v>1</v>
      </c>
      <c r="D135" t="inlineStr">
        <is>
          <t>adesso SE</t>
        </is>
      </c>
      <c r="E135" t="inlineStr">
        <is>
          <t>any</t>
        </is>
      </c>
      <c r="F135" t="inlineStr">
        <is>
          <t>any</t>
        </is>
      </c>
      <c r="G135" t="inlineStr">
        <is>
          <t>high</t>
        </is>
      </c>
      <c r="H135" t="n">
        <v>500</v>
      </c>
      <c r="I135" t="n">
        <v>900</v>
      </c>
      <c r="J135" t="n">
        <v>500</v>
      </c>
      <c r="K135" t="n">
        <v>450</v>
      </c>
    </row>
    <row r="136">
      <c r="A136" t="inlineStr">
        <is>
          <t>Test Engineer</t>
        </is>
      </c>
      <c r="B136" t="inlineStr">
        <is>
          <t>Test Engineer (Junior)</t>
        </is>
      </c>
      <c r="C136" t="n">
        <v>0</v>
      </c>
      <c r="D136" t="inlineStr">
        <is>
          <t>adesso SE</t>
        </is>
      </c>
      <c r="E136" t="inlineStr">
        <is>
          <t>any</t>
        </is>
      </c>
      <c r="F136" t="inlineStr">
        <is>
          <t>any</t>
        </is>
      </c>
      <c r="G136" t="inlineStr">
        <is>
          <t>low</t>
        </is>
      </c>
      <c r="H136" t="n">
        <v>500</v>
      </c>
      <c r="I136" t="n">
        <v>900</v>
      </c>
      <c r="J136" t="n">
        <v>500</v>
      </c>
      <c r="K136" t="n">
        <v>450</v>
      </c>
    </row>
    <row r="137">
      <c r="A137" t="inlineStr">
        <is>
          <t>Test Engineer</t>
        </is>
      </c>
      <c r="B137" t="inlineStr">
        <is>
          <t>Test engineer (Middle)</t>
        </is>
      </c>
      <c r="C137" t="n">
        <v>1</v>
      </c>
      <c r="D137" t="inlineStr">
        <is>
          <t>adesso SE</t>
        </is>
      </c>
      <c r="E137" t="inlineStr">
        <is>
          <t>any</t>
        </is>
      </c>
      <c r="F137" t="inlineStr">
        <is>
          <t>any</t>
        </is>
      </c>
      <c r="G137" t="inlineStr">
        <is>
          <t>middle</t>
        </is>
      </c>
      <c r="H137" t="n">
        <v>500</v>
      </c>
      <c r="I137" t="n">
        <v>900</v>
      </c>
      <c r="J137" t="n">
        <v>500</v>
      </c>
      <c r="K137" t="n">
        <v>450</v>
      </c>
    </row>
    <row r="138">
      <c r="A138" t="inlineStr">
        <is>
          <t>Test Engineer</t>
        </is>
      </c>
      <c r="B138" t="inlineStr">
        <is>
          <t>Test Engineer (Senior)</t>
        </is>
      </c>
      <c r="C138" t="n">
        <v>0</v>
      </c>
      <c r="D138" t="inlineStr">
        <is>
          <t>adesso SE</t>
        </is>
      </c>
      <c r="E138" t="inlineStr">
        <is>
          <t>any</t>
        </is>
      </c>
      <c r="F138" t="inlineStr">
        <is>
          <t>any</t>
        </is>
      </c>
      <c r="G138" t="inlineStr">
        <is>
          <t>high</t>
        </is>
      </c>
      <c r="H138" t="n">
        <v>500</v>
      </c>
      <c r="I138" t="n">
        <v>900</v>
      </c>
      <c r="J138" t="n">
        <v>500</v>
      </c>
      <c r="K138" t="n">
        <v>450</v>
      </c>
    </row>
    <row r="139">
      <c r="A139" t="inlineStr">
        <is>
          <t>Developer</t>
        </is>
      </c>
      <c r="B139" t="inlineStr">
        <is>
          <t>Developer (Junior)</t>
        </is>
      </c>
      <c r="C139" t="n">
        <v>0</v>
      </c>
      <c r="D139" t="inlineStr">
        <is>
          <t>adesso SE</t>
        </is>
      </c>
      <c r="E139" t="inlineStr">
        <is>
          <t>any</t>
        </is>
      </c>
      <c r="F139" t="inlineStr">
        <is>
          <t>any</t>
        </is>
      </c>
      <c r="G139" t="inlineStr">
        <is>
          <t>low</t>
        </is>
      </c>
      <c r="H139" t="n">
        <v>500</v>
      </c>
      <c r="I139" t="n">
        <v>900</v>
      </c>
      <c r="J139" t="n">
        <v>500</v>
      </c>
      <c r="K139" t="n">
        <v>450</v>
      </c>
    </row>
    <row r="140">
      <c r="A140" t="inlineStr">
        <is>
          <t>Developer</t>
        </is>
      </c>
      <c r="B140" t="inlineStr">
        <is>
          <t>Developer (Middle)</t>
        </is>
      </c>
      <c r="C140" t="n">
        <v>1</v>
      </c>
      <c r="D140" t="inlineStr">
        <is>
          <t>adesso SE</t>
        </is>
      </c>
      <c r="E140" t="inlineStr">
        <is>
          <t>any</t>
        </is>
      </c>
      <c r="F140" t="inlineStr">
        <is>
          <t>any</t>
        </is>
      </c>
      <c r="G140" t="inlineStr">
        <is>
          <t>middle</t>
        </is>
      </c>
      <c r="H140" t="n">
        <v>900</v>
      </c>
      <c r="I140" t="n">
        <v>900</v>
      </c>
      <c r="J140" t="n">
        <v>900</v>
      </c>
      <c r="K140" t="n">
        <v>450</v>
      </c>
    </row>
    <row r="141">
      <c r="A141" t="inlineStr">
        <is>
          <t>Developer</t>
        </is>
      </c>
      <c r="B141" t="inlineStr">
        <is>
          <t>Developer (Senior)</t>
        </is>
      </c>
      <c r="C141" t="n">
        <v>0</v>
      </c>
      <c r="D141" t="inlineStr">
        <is>
          <t>adesso SE</t>
        </is>
      </c>
      <c r="E141" t="inlineStr">
        <is>
          <t>any</t>
        </is>
      </c>
      <c r="F141" t="inlineStr">
        <is>
          <t>any</t>
        </is>
      </c>
      <c r="G141" t="inlineStr">
        <is>
          <t>high</t>
        </is>
      </c>
      <c r="H141" t="n">
        <v>500</v>
      </c>
      <c r="I141" t="n">
        <v>900</v>
      </c>
      <c r="J141" t="n">
        <v>500</v>
      </c>
      <c r="K141" t="n">
        <v>450</v>
      </c>
    </row>
    <row r="142">
      <c r="A142" t="inlineStr">
        <is>
          <t>DevOps Engineer</t>
        </is>
      </c>
      <c r="B142" t="inlineStr">
        <is>
          <t>DevOps Engineer</t>
        </is>
      </c>
      <c r="C142" t="n">
        <v>1</v>
      </c>
      <c r="D142" t="inlineStr">
        <is>
          <t>adesso SE</t>
        </is>
      </c>
      <c r="E142" t="inlineStr">
        <is>
          <t>any</t>
        </is>
      </c>
      <c r="F142" t="inlineStr">
        <is>
          <t>any</t>
        </is>
      </c>
      <c r="G142" t="inlineStr">
        <is>
          <t>middle</t>
        </is>
      </c>
      <c r="H142" t="n">
        <v>500</v>
      </c>
      <c r="I142" t="n">
        <v>900</v>
      </c>
      <c r="J142" t="n">
        <v>500</v>
      </c>
      <c r="K142" t="n">
        <v>450</v>
      </c>
    </row>
    <row r="144">
      <c r="A144" t="inlineStr">
        <is>
          <t>ID</t>
        </is>
      </c>
      <c r="B144" t="inlineStr">
        <is>
          <t>Range (for query)</t>
        </is>
      </c>
      <c r="C144" t="inlineStr">
        <is>
          <t>Feature group</t>
        </is>
      </c>
      <c r="D144" t="inlineStr">
        <is>
          <t>Feature sub group</t>
        </is>
      </c>
      <c r="E144" t="inlineStr">
        <is>
          <t>Feature</t>
        </is>
      </c>
      <c r="F144" t="inlineStr">
        <is>
          <t>Sub feature</t>
        </is>
      </c>
      <c r="G144" t="inlineStr">
        <is>
          <t>Description</t>
        </is>
      </c>
      <c r="H144" t="inlineStr">
        <is>
          <t>Assumptions</t>
        </is>
      </c>
      <c r="I144" t="inlineStr">
        <is>
          <t>Reference ID</t>
        </is>
      </c>
      <c r="J144" t="inlineStr">
        <is>
          <t>Feature task 1</t>
        </is>
      </c>
      <c r="K144" t="inlineStr">
        <is>
          <t>Feature task 2</t>
        </is>
      </c>
      <c r="L144" t="inlineStr">
        <is>
          <t>Feature task 3</t>
        </is>
      </c>
      <c r="M144" t="inlineStr">
        <is>
          <t>Feature task 4</t>
        </is>
      </c>
      <c r="N144" t="inlineStr">
        <is>
          <t>Feature task 5</t>
        </is>
      </c>
      <c r="O144" t="inlineStr">
        <is>
          <t>Feature task 6</t>
        </is>
      </c>
      <c r="P144" t="inlineStr">
        <is>
          <t>Feature task 7</t>
        </is>
      </c>
      <c r="Q144" t="inlineStr">
        <is>
          <t>Feature task 8</t>
        </is>
      </c>
      <c r="R144" t="inlineStr">
        <is>
          <t>Feature task 9</t>
        </is>
      </c>
      <c r="S144" t="inlineStr">
        <is>
          <t>Feature task 10</t>
        </is>
      </c>
    </row>
    <row r="145">
      <c r="A145" t="inlineStr">
        <is>
          <t>F-10</t>
        </is>
      </c>
      <c r="E145" t="inlineStr">
        <is>
          <t>Feature-1</t>
        </is>
      </c>
      <c r="G145" t="inlineStr">
        <is>
          <t>Description-1</t>
        </is>
      </c>
      <c r="H145" t="inlineStr">
        <is>
          <t>Assumptions-1</t>
        </is>
      </c>
      <c r="I145" t="inlineStr">
        <is>
          <t>Ref.1</t>
        </is>
      </c>
      <c r="J145" t="n">
        <v>4.400000095367432</v>
      </c>
      <c r="K145" t="n">
        <v>8.800000190734863</v>
      </c>
      <c r="L145" t="n">
        <v>2.640000057220459</v>
      </c>
      <c r="M145" t="n">
        <v>1.760000038146973</v>
      </c>
      <c r="N145" t="n">
        <v>0</v>
      </c>
      <c r="O145" t="n">
        <v>0</v>
      </c>
      <c r="P145" t="n">
        <v>0</v>
      </c>
      <c r="Q145" t="n">
        <v>0</v>
      </c>
      <c r="R145" t="n">
        <v>0</v>
      </c>
      <c r="S145" t="n">
        <v>0</v>
      </c>
    </row>
    <row r="146">
      <c r="A146" t="inlineStr">
        <is>
          <t>F-20</t>
        </is>
      </c>
      <c r="E146" t="inlineStr">
        <is>
          <t>Feature-2</t>
        </is>
      </c>
      <c r="G146" t="inlineStr">
        <is>
          <t>Description-2</t>
        </is>
      </c>
      <c r="H146" t="inlineStr">
        <is>
          <t>Assumptions-2</t>
        </is>
      </c>
      <c r="I146" t="inlineStr">
        <is>
          <t>Ref.2</t>
        </is>
      </c>
      <c r="J146" t="n">
        <v>4.375</v>
      </c>
      <c r="K146" t="n">
        <v>8.75</v>
      </c>
      <c r="L146" t="n">
        <v>2.625</v>
      </c>
      <c r="M146" t="n">
        <v>1.75</v>
      </c>
      <c r="N146" t="n">
        <v>0</v>
      </c>
      <c r="O146" t="n">
        <v>0</v>
      </c>
      <c r="P146" t="n">
        <v>0</v>
      </c>
      <c r="Q146" t="n">
        <v>0</v>
      </c>
      <c r="R146" t="n">
        <v>0</v>
      </c>
      <c r="S146" t="n">
        <v>0</v>
      </c>
    </row>
    <row r="147">
      <c r="A147" t="inlineStr">
        <is>
          <t>F-30</t>
        </is>
      </c>
      <c r="E147" t="inlineStr">
        <is>
          <t>Feature-3</t>
        </is>
      </c>
      <c r="G147" t="inlineStr">
        <is>
          <t>Description-3</t>
        </is>
      </c>
      <c r="H147" t="inlineStr">
        <is>
          <t>Assumptions-3</t>
        </is>
      </c>
      <c r="I147" t="inlineStr">
        <is>
          <t>Ref.3</t>
        </is>
      </c>
      <c r="J147" t="n">
        <v>3.200000047683716</v>
      </c>
      <c r="K147" t="n">
        <v>6.400000095367432</v>
      </c>
      <c r="L147" t="n">
        <v>1.920000028610229</v>
      </c>
      <c r="M147" t="n">
        <v>1.280000019073486</v>
      </c>
      <c r="N147" t="n">
        <v>0</v>
      </c>
      <c r="O147" t="n">
        <v>0</v>
      </c>
      <c r="P147" t="n">
        <v>0</v>
      </c>
      <c r="Q147" t="n">
        <v>0</v>
      </c>
      <c r="R147" t="n">
        <v>0</v>
      </c>
      <c r="S147" t="n">
        <v>0</v>
      </c>
    </row>
    <row r="148">
      <c r="A148" t="inlineStr">
        <is>
          <t>F-40</t>
        </is>
      </c>
      <c r="E148" t="inlineStr">
        <is>
          <t>Feature-4</t>
        </is>
      </c>
      <c r="G148" t="inlineStr">
        <is>
          <t>Description-4</t>
        </is>
      </c>
      <c r="H148" t="inlineStr">
        <is>
          <t>Assumptions-4</t>
        </is>
      </c>
      <c r="I148" t="inlineStr">
        <is>
          <t>Ref.4</t>
        </is>
      </c>
      <c r="J148" t="n">
        <v>5.175000190734863</v>
      </c>
      <c r="K148" t="n">
        <v>10.35000038146973</v>
      </c>
      <c r="L148" t="n">
        <v>3.105000114440918</v>
      </c>
      <c r="M148" t="n">
        <v>2.070000076293945</v>
      </c>
      <c r="N148" t="n">
        <v>0</v>
      </c>
      <c r="O148" t="n">
        <v>0</v>
      </c>
      <c r="P148" t="n">
        <v>0</v>
      </c>
      <c r="Q148" t="n">
        <v>0</v>
      </c>
      <c r="R148" t="n">
        <v>0</v>
      </c>
      <c r="S148" t="n">
        <v>0</v>
      </c>
    </row>
    <row r="149">
      <c r="A149" t="inlineStr">
        <is>
          <t>F-50</t>
        </is>
      </c>
      <c r="E149" t="inlineStr">
        <is>
          <t>Feature-5</t>
        </is>
      </c>
      <c r="G149" t="inlineStr">
        <is>
          <t>Description-5</t>
        </is>
      </c>
      <c r="H149" t="inlineStr">
        <is>
          <t>Assumptions-5</t>
        </is>
      </c>
      <c r="I149" t="inlineStr">
        <is>
          <t>Ref.5</t>
        </is>
      </c>
      <c r="J149" t="n">
        <v>4.800000190734863</v>
      </c>
      <c r="K149" t="n">
        <v>9.600000381469727</v>
      </c>
      <c r="L149" t="n">
        <v>2.880000114440918</v>
      </c>
      <c r="M149" t="n">
        <v>1.920000076293945</v>
      </c>
      <c r="N149" t="n">
        <v>0</v>
      </c>
      <c r="O149" t="n">
        <v>0</v>
      </c>
      <c r="P149" t="n">
        <v>0</v>
      </c>
      <c r="Q149" t="n">
        <v>0</v>
      </c>
      <c r="R149" t="n">
        <v>0</v>
      </c>
      <c r="S149" t="n">
        <v>0</v>
      </c>
    </row>
    <row r="150">
      <c r="A150" t="inlineStr">
        <is>
          <t>F-60</t>
        </is>
      </c>
      <c r="E150" t="inlineStr">
        <is>
          <t>Feature-6</t>
        </is>
      </c>
      <c r="G150" t="inlineStr">
        <is>
          <t>Description-6</t>
        </is>
      </c>
      <c r="H150" t="inlineStr">
        <is>
          <t>Assumptions-6</t>
        </is>
      </c>
      <c r="I150" t="inlineStr">
        <is>
          <t>Ref.6</t>
        </is>
      </c>
      <c r="J150" t="n">
        <v>1.375</v>
      </c>
      <c r="K150" t="n">
        <v>2.75</v>
      </c>
      <c r="L150" t="n">
        <v>0.825</v>
      </c>
      <c r="M150" t="n">
        <v>0.55</v>
      </c>
      <c r="N150" t="n">
        <v>0</v>
      </c>
      <c r="O150" t="n">
        <v>0</v>
      </c>
      <c r="P150" t="n">
        <v>0</v>
      </c>
      <c r="Q150" t="n">
        <v>0</v>
      </c>
      <c r="R150" t="n">
        <v>0</v>
      </c>
      <c r="S150" t="n">
        <v>0</v>
      </c>
    </row>
    <row r="151">
      <c r="A151" t="inlineStr">
        <is>
          <t>F-70</t>
        </is>
      </c>
      <c r="E151" t="inlineStr">
        <is>
          <t>Feature-7</t>
        </is>
      </c>
      <c r="G151" t="inlineStr">
        <is>
          <t>Description-7</t>
        </is>
      </c>
      <c r="H151" t="inlineStr">
        <is>
          <t>Assumptions-7</t>
        </is>
      </c>
      <c r="I151" t="inlineStr">
        <is>
          <t>Ref.7</t>
        </is>
      </c>
      <c r="J151" t="n">
        <v>3.724999904632568</v>
      </c>
      <c r="K151" t="n">
        <v>7.449999809265137</v>
      </c>
      <c r="L151" t="n">
        <v>2.234999942779541</v>
      </c>
      <c r="M151" t="n">
        <v>1.489999961853028</v>
      </c>
      <c r="N151" t="n">
        <v>0</v>
      </c>
      <c r="O151" t="n">
        <v>0</v>
      </c>
      <c r="P151" t="n">
        <v>0</v>
      </c>
      <c r="Q151" t="n">
        <v>0</v>
      </c>
      <c r="R151" t="n">
        <v>0</v>
      </c>
      <c r="S151" t="n">
        <v>0</v>
      </c>
    </row>
    <row r="152">
      <c r="A152" t="inlineStr">
        <is>
          <t>F-80</t>
        </is>
      </c>
      <c r="E152" t="inlineStr">
        <is>
          <t>Feature-8</t>
        </is>
      </c>
      <c r="G152" t="inlineStr">
        <is>
          <t>Description-8</t>
        </is>
      </c>
      <c r="H152" t="inlineStr">
        <is>
          <t>Assumptions-8</t>
        </is>
      </c>
      <c r="I152" t="inlineStr">
        <is>
          <t>Ref.8</t>
        </is>
      </c>
      <c r="J152" t="n">
        <v>5.150000095367432</v>
      </c>
      <c r="K152" t="n">
        <v>10.30000019073486</v>
      </c>
      <c r="L152" t="n">
        <v>3.090000057220459</v>
      </c>
      <c r="M152" t="n">
        <v>2.060000038146973</v>
      </c>
      <c r="N152" t="n">
        <v>0</v>
      </c>
      <c r="O152" t="n">
        <v>0</v>
      </c>
      <c r="P152" t="n">
        <v>0</v>
      </c>
      <c r="Q152" t="n">
        <v>0</v>
      </c>
      <c r="R152" t="n">
        <v>0</v>
      </c>
      <c r="S152" t="n">
        <v>0</v>
      </c>
    </row>
    <row r="153">
      <c r="A153" t="inlineStr">
        <is>
          <t>F-90</t>
        </is>
      </c>
      <c r="E153" t="inlineStr">
        <is>
          <t>Feature-9</t>
        </is>
      </c>
      <c r="G153" t="inlineStr">
        <is>
          <t>Description-9</t>
        </is>
      </c>
      <c r="H153" t="inlineStr">
        <is>
          <t>Assumptions-9</t>
        </is>
      </c>
      <c r="I153" t="inlineStr">
        <is>
          <t>Ref.9</t>
        </is>
      </c>
      <c r="J153" t="n">
        <v>1.475000023841858</v>
      </c>
      <c r="K153" t="n">
        <v>2.950000047683716</v>
      </c>
      <c r="L153" t="n">
        <v>0.8850000143051148</v>
      </c>
      <c r="M153" t="n">
        <v>0.5900000095367431</v>
      </c>
      <c r="N153" t="n">
        <v>0</v>
      </c>
      <c r="O153" t="n">
        <v>0</v>
      </c>
      <c r="P153" t="n">
        <v>0</v>
      </c>
      <c r="Q153" t="n">
        <v>0</v>
      </c>
      <c r="R153" t="n">
        <v>0</v>
      </c>
      <c r="S153" t="n">
        <v>0</v>
      </c>
    </row>
    <row r="154">
      <c r="A154" t="inlineStr">
        <is>
          <t>F-100</t>
        </is>
      </c>
      <c r="E154" t="inlineStr">
        <is>
          <t>Feature-10</t>
        </is>
      </c>
      <c r="G154" t="inlineStr">
        <is>
          <t>Description-10</t>
        </is>
      </c>
      <c r="H154" t="inlineStr">
        <is>
          <t>Assumptions-10</t>
        </is>
      </c>
      <c r="I154" t="inlineStr">
        <is>
          <t>Ref.10</t>
        </is>
      </c>
      <c r="J154" t="n">
        <v>2.924999952316284</v>
      </c>
      <c r="K154" t="n">
        <v>5.849999904632568</v>
      </c>
      <c r="L154" t="n">
        <v>1.75499997138977</v>
      </c>
      <c r="M154" t="n">
        <v>1.169999980926514</v>
      </c>
      <c r="N154" t="n">
        <v>0</v>
      </c>
      <c r="O154" t="n">
        <v>0</v>
      </c>
      <c r="P154" t="n">
        <v>0</v>
      </c>
      <c r="Q154" t="n">
        <v>0</v>
      </c>
      <c r="R154" t="n">
        <v>0</v>
      </c>
      <c r="S154" t="n">
        <v>0</v>
      </c>
    </row>
    <row r="155">
      <c r="A155" t="inlineStr">
        <is>
          <t>F-110</t>
        </is>
      </c>
      <c r="E155" t="inlineStr">
        <is>
          <t>Feature-11</t>
        </is>
      </c>
      <c r="G155" t="inlineStr">
        <is>
          <t>Description-11</t>
        </is>
      </c>
      <c r="H155" t="inlineStr">
        <is>
          <t>Assumptions-11</t>
        </is>
      </c>
      <c r="I155" t="inlineStr">
        <is>
          <t>Ref.11</t>
        </is>
      </c>
      <c r="J155" t="n">
        <v>0.7749999761581421</v>
      </c>
      <c r="K155" t="n">
        <v>1.549999952316284</v>
      </c>
      <c r="L155" t="n">
        <v>0.4649999856948852</v>
      </c>
      <c r="M155" t="n">
        <v>0.3099999904632569</v>
      </c>
      <c r="N155" t="n">
        <v>0</v>
      </c>
      <c r="O155" t="n">
        <v>0</v>
      </c>
      <c r="P155" t="n">
        <v>0</v>
      </c>
      <c r="Q155" t="n">
        <v>0</v>
      </c>
      <c r="R155" t="n">
        <v>0</v>
      </c>
      <c r="S155" t="n">
        <v>0</v>
      </c>
    </row>
    <row r="156">
      <c r="A156" t="inlineStr">
        <is>
          <t>F-120</t>
        </is>
      </c>
      <c r="E156" t="inlineStr">
        <is>
          <t>Feature-12</t>
        </is>
      </c>
      <c r="G156" t="inlineStr">
        <is>
          <t>Description-12</t>
        </is>
      </c>
      <c r="H156" t="inlineStr">
        <is>
          <t>Assumptions-12</t>
        </is>
      </c>
      <c r="I156" t="inlineStr">
        <is>
          <t>Ref.12</t>
        </is>
      </c>
      <c r="J156" t="n">
        <v>5.25</v>
      </c>
      <c r="K156" t="n">
        <v>10.5</v>
      </c>
      <c r="L156" t="n">
        <v>3.15</v>
      </c>
      <c r="M156" t="n">
        <v>2.1</v>
      </c>
      <c r="N156" t="n">
        <v>0</v>
      </c>
      <c r="O156" t="n">
        <v>0</v>
      </c>
      <c r="P156" t="n">
        <v>0</v>
      </c>
      <c r="Q156" t="n">
        <v>0</v>
      </c>
      <c r="R156" t="n">
        <v>0</v>
      </c>
      <c r="S156" t="n">
        <v>0</v>
      </c>
    </row>
    <row r="157">
      <c r="A157" t="inlineStr">
        <is>
          <t>F-130</t>
        </is>
      </c>
      <c r="E157" t="inlineStr">
        <is>
          <t>Feature-13</t>
        </is>
      </c>
      <c r="G157" t="inlineStr">
        <is>
          <t>Description-13</t>
        </is>
      </c>
      <c r="H157" t="inlineStr">
        <is>
          <t>Assumptions-13</t>
        </is>
      </c>
      <c r="I157" t="inlineStr">
        <is>
          <t>Ref.13</t>
        </is>
      </c>
      <c r="J157" t="n">
        <v>3.625</v>
      </c>
      <c r="K157" t="n">
        <v>7.25</v>
      </c>
      <c r="L157" t="n">
        <v>2.175</v>
      </c>
      <c r="M157" t="n">
        <v>1.45</v>
      </c>
      <c r="N157" t="n">
        <v>0</v>
      </c>
      <c r="O157" t="n">
        <v>0</v>
      </c>
      <c r="P157" t="n">
        <v>0</v>
      </c>
      <c r="Q157" t="n">
        <v>0</v>
      </c>
      <c r="R157" t="n">
        <v>0</v>
      </c>
      <c r="S157" t="n">
        <v>0</v>
      </c>
    </row>
    <row r="158">
      <c r="A158" t="inlineStr">
        <is>
          <t>F-140</t>
        </is>
      </c>
      <c r="E158" t="inlineStr">
        <is>
          <t>Feature-14</t>
        </is>
      </c>
      <c r="G158" t="inlineStr">
        <is>
          <t>Description-14</t>
        </is>
      </c>
      <c r="H158" t="inlineStr">
        <is>
          <t>Assumptions-14</t>
        </is>
      </c>
      <c r="I158" t="inlineStr">
        <is>
          <t>Ref.14</t>
        </is>
      </c>
      <c r="J158" t="n">
        <v>0.324999988079071</v>
      </c>
      <c r="K158" t="n">
        <v>0.6499999761581421</v>
      </c>
      <c r="L158" t="n">
        <v>0.1949999928474426</v>
      </c>
      <c r="M158" t="n">
        <v>0.1299999952316284</v>
      </c>
      <c r="N158" t="n">
        <v>0</v>
      </c>
      <c r="O158" t="n">
        <v>0</v>
      </c>
      <c r="P158" t="n">
        <v>0</v>
      </c>
      <c r="Q158" t="n">
        <v>0</v>
      </c>
      <c r="R158" t="n">
        <v>0</v>
      </c>
      <c r="S158" t="n">
        <v>0</v>
      </c>
    </row>
    <row r="159">
      <c r="A159" t="inlineStr">
        <is>
          <t>F-150</t>
        </is>
      </c>
      <c r="E159" t="inlineStr">
        <is>
          <t>Feature-15</t>
        </is>
      </c>
      <c r="G159" t="inlineStr">
        <is>
          <t>Description-15</t>
        </is>
      </c>
      <c r="H159" t="inlineStr">
        <is>
          <t>Assumptions-15</t>
        </is>
      </c>
      <c r="I159" t="inlineStr">
        <is>
          <t>Ref.15</t>
        </is>
      </c>
      <c r="J159" t="n">
        <v>3.125</v>
      </c>
      <c r="K159" t="n">
        <v>6.25</v>
      </c>
      <c r="L159" t="n">
        <v>1.875</v>
      </c>
      <c r="M159" t="n">
        <v>1.25</v>
      </c>
      <c r="N159" t="n">
        <v>0</v>
      </c>
      <c r="O159" t="n">
        <v>0</v>
      </c>
      <c r="P159" t="n">
        <v>0</v>
      </c>
      <c r="Q159" t="n">
        <v>0</v>
      </c>
      <c r="R159" t="n">
        <v>0</v>
      </c>
      <c r="S159" t="n">
        <v>0</v>
      </c>
    </row>
    <row r="160">
      <c r="A160" t="inlineStr">
        <is>
          <t>F-160</t>
        </is>
      </c>
      <c r="E160" t="inlineStr">
        <is>
          <t>Feature-16</t>
        </is>
      </c>
      <c r="G160" t="inlineStr">
        <is>
          <t>Description-16</t>
        </is>
      </c>
      <c r="H160" t="inlineStr">
        <is>
          <t>Assumptions-16</t>
        </is>
      </c>
      <c r="I160" t="inlineStr">
        <is>
          <t>Ref.16</t>
        </is>
      </c>
      <c r="J160" t="n">
        <v>0.75</v>
      </c>
      <c r="K160" t="n">
        <v>1.5</v>
      </c>
      <c r="L160" t="n">
        <v>0.45</v>
      </c>
      <c r="M160" t="n">
        <v>0.3</v>
      </c>
      <c r="N160" t="n">
        <v>0</v>
      </c>
      <c r="O160" t="n">
        <v>0</v>
      </c>
      <c r="P160" t="n">
        <v>0</v>
      </c>
      <c r="Q160" t="n">
        <v>0</v>
      </c>
      <c r="R160" t="n">
        <v>0</v>
      </c>
      <c r="S160" t="n">
        <v>0</v>
      </c>
    </row>
    <row r="161">
      <c r="A161" t="inlineStr">
        <is>
          <t>F-170</t>
        </is>
      </c>
      <c r="E161" t="inlineStr">
        <is>
          <t>Feature-17</t>
        </is>
      </c>
      <c r="G161" t="inlineStr">
        <is>
          <t>Description-17</t>
        </is>
      </c>
      <c r="H161" t="inlineStr">
        <is>
          <t>Assumptions-17</t>
        </is>
      </c>
      <c r="I161" t="inlineStr">
        <is>
          <t>Ref.17</t>
        </is>
      </c>
      <c r="J161" t="n">
        <v>0.7749999761581421</v>
      </c>
      <c r="K161" t="n">
        <v>1.549999952316284</v>
      </c>
      <c r="L161" t="n">
        <v>0.4649999856948852</v>
      </c>
      <c r="M161" t="n">
        <v>0.3099999904632569</v>
      </c>
      <c r="N161" t="n">
        <v>0</v>
      </c>
      <c r="O161" t="n">
        <v>0</v>
      </c>
      <c r="P161" t="n">
        <v>0</v>
      </c>
      <c r="Q161" t="n">
        <v>0</v>
      </c>
      <c r="R161" t="n">
        <v>0</v>
      </c>
      <c r="S161" t="n">
        <v>0</v>
      </c>
    </row>
    <row r="162">
      <c r="A162" t="inlineStr">
        <is>
          <t>F-180</t>
        </is>
      </c>
      <c r="E162" t="inlineStr">
        <is>
          <t>Feature-18</t>
        </is>
      </c>
      <c r="G162" t="inlineStr">
        <is>
          <t>Description-18</t>
        </is>
      </c>
      <c r="H162" t="inlineStr">
        <is>
          <t>Assumptions-18</t>
        </is>
      </c>
      <c r="I162" t="inlineStr">
        <is>
          <t>Ref.18</t>
        </is>
      </c>
      <c r="J162" t="n">
        <v>4.25</v>
      </c>
      <c r="K162" t="n">
        <v>8.5</v>
      </c>
      <c r="L162" t="n">
        <v>2.55</v>
      </c>
      <c r="M162" t="n">
        <v>1.7</v>
      </c>
      <c r="N162" t="n">
        <v>0</v>
      </c>
      <c r="O162" t="n">
        <v>0</v>
      </c>
      <c r="P162" t="n">
        <v>0</v>
      </c>
      <c r="Q162" t="n">
        <v>0</v>
      </c>
      <c r="R162" t="n">
        <v>0</v>
      </c>
      <c r="S162" t="n">
        <v>0</v>
      </c>
    </row>
    <row r="163">
      <c r="A163" t="inlineStr">
        <is>
          <t>F-190</t>
        </is>
      </c>
      <c r="E163" t="inlineStr">
        <is>
          <t>Feature-19</t>
        </is>
      </c>
      <c r="G163" t="inlineStr">
        <is>
          <t>Description-19</t>
        </is>
      </c>
      <c r="H163" t="inlineStr">
        <is>
          <t>Assumptions-19</t>
        </is>
      </c>
      <c r="I163" t="inlineStr">
        <is>
          <t>Ref.19</t>
        </is>
      </c>
      <c r="J163" t="n">
        <v>1.674999952316284</v>
      </c>
      <c r="K163" t="n">
        <v>3.349999904632568</v>
      </c>
      <c r="L163" t="n">
        <v>1.00499997138977</v>
      </c>
      <c r="M163" t="n">
        <v>0.6699999809265137</v>
      </c>
      <c r="N163" t="n">
        <v>0</v>
      </c>
      <c r="O163" t="n">
        <v>0</v>
      </c>
      <c r="P163" t="n">
        <v>0</v>
      </c>
      <c r="Q163" t="n">
        <v>0</v>
      </c>
      <c r="R163" t="n">
        <v>0</v>
      </c>
      <c r="S163" t="n">
        <v>0</v>
      </c>
    </row>
    <row r="164">
      <c r="A164" t="inlineStr">
        <is>
          <t>F-200</t>
        </is>
      </c>
      <c r="E164" t="inlineStr">
        <is>
          <t>Feature-20</t>
        </is>
      </c>
      <c r="G164" t="inlineStr">
        <is>
          <t>Description-20</t>
        </is>
      </c>
      <c r="H164" t="inlineStr">
        <is>
          <t>Assumptions-20</t>
        </is>
      </c>
      <c r="I164" t="inlineStr">
        <is>
          <t>Ref.20</t>
        </is>
      </c>
      <c r="J164" t="n">
        <v>0.4749999940395355</v>
      </c>
      <c r="K164" t="n">
        <v>0.949999988079071</v>
      </c>
      <c r="L164" t="n">
        <v>0.2849999964237213</v>
      </c>
      <c r="M164" t="n">
        <v>0.1899999976158142</v>
      </c>
      <c r="N164" t="n">
        <v>0</v>
      </c>
      <c r="O164" t="n">
        <v>0</v>
      </c>
      <c r="P164" t="n">
        <v>0</v>
      </c>
      <c r="Q164" t="n">
        <v>0</v>
      </c>
      <c r="R164" t="n">
        <v>0</v>
      </c>
      <c r="S164" t="n">
        <v>0</v>
      </c>
    </row>
    <row r="166">
      <c r="A166" t="inlineStr">
        <is>
          <t>Feature task</t>
        </is>
      </c>
      <c r="B166" t="inlineStr">
        <is>
          <t>Description</t>
        </is>
      </c>
      <c r="C166" t="inlineStr">
        <is>
          <t>Average Percentage</t>
        </is>
      </c>
      <c r="D166" t="inlineStr">
        <is>
          <t>Key task</t>
        </is>
      </c>
    </row>
    <row r="167">
      <c r="A167" t="inlineStr">
        <is>
          <t>Analysis &amp; software design</t>
        </is>
      </c>
      <c r="B167" t="inlineStr">
        <is>
          <t>Recording, analysis and detailed specification of software requirements</t>
        </is>
      </c>
      <c r="C167" t="n">
        <v>0.25</v>
      </c>
      <c r="D167" t="inlineStr">
        <is>
          <t>no</t>
        </is>
      </c>
    </row>
    <row r="168">
      <c r="A168" t="inlineStr">
        <is>
          <t>Software development</t>
        </is>
      </c>
      <c r="B168" t="inlineStr">
        <is>
          <t>Software development and developer tests</t>
        </is>
      </c>
      <c r="C168" t="n">
        <v>0.5</v>
      </c>
      <c r="D168" t="inlineStr">
        <is>
          <t>yes</t>
        </is>
      </c>
    </row>
    <row r="169">
      <c r="A169" t="inlineStr">
        <is>
          <t>Software test</t>
        </is>
      </c>
      <c r="B169" t="inlineStr">
        <is>
          <t>Test case creation and system, integration and user acceptance tests; retests for defects in the development process and regression tests for multiple deliveries</t>
        </is>
      </c>
      <c r="C169" t="n">
        <v>0.15</v>
      </c>
      <c r="D169" t="inlineStr">
        <is>
          <t>no</t>
        </is>
      </c>
    </row>
    <row r="170">
      <c r="A170" t="inlineStr">
        <is>
          <t>Bug fixing after delivery for acceptance</t>
        </is>
      </c>
      <c r="B170" t="inlineStr">
        <is>
          <t>Bug fixing after software delivery for customer acceptance. Includes development and retesting.</t>
        </is>
      </c>
      <c r="C170" t="n">
        <v>0.1</v>
      </c>
      <c r="D170" t="inlineStr">
        <is>
          <t>no</t>
        </is>
      </c>
    </row>
  </sheetData>
  <pageMargins left="0.7" right="0.7" top="0.787401575" bottom="0.787401575" header="0.3" footer="0.3"/>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9.xml><?xml version="1.0" encoding="utf-8"?>
<worksheet xmlns="http://schemas.openxmlformats.org/spreadsheetml/2006/main">
  <sheetPr codeName="Tabelle39">
    <outlinePr summaryBelow="1" summaryRight="1"/>
    <pageSetUpPr/>
  </sheetPr>
  <dimension ref="A1:E3"/>
  <sheetViews>
    <sheetView workbookViewId="0">
      <selection activeCell="A1" sqref="A1"/>
    </sheetView>
  </sheetViews>
  <sheetFormatPr baseColWidth="10" defaultColWidth="11.5" defaultRowHeight="15"/>
  <cols>
    <col width="11.5" customWidth="1" style="81" min="1" max="1"/>
    <col width="21.5" customWidth="1" style="81" min="2" max="2"/>
    <col width="29.33203125" customWidth="1" style="81" min="3" max="3"/>
    <col width="11.5" customWidth="1" style="81" min="4" max="4"/>
    <col width="11.5" customWidth="1" style="81" min="5" max="5"/>
    <col width="11.5" customWidth="1" min="6" max="6"/>
  </cols>
  <sheetData>
    <row r="1" ht="24" customHeight="1">
      <c r="A1" s="1" t="inlineStr">
        <is>
          <t>Calc teams efforts</t>
        </is>
      </c>
    </row>
    <row r="3">
      <c r="A3" s="288" t="inlineStr">
        <is>
          <t>Team</t>
        </is>
      </c>
      <c r="B3" s="288" t="inlineStr">
        <is>
          <t>Item ID</t>
        </is>
      </c>
      <c r="C3" s="288" t="inlineStr">
        <is>
          <t>Value type</t>
        </is>
      </c>
      <c r="D3" s="288" t="inlineStr">
        <is>
          <t>Column</t>
        </is>
      </c>
      <c r="E3" s="288" t="inlineStr">
        <is>
          <t>Value</t>
        </is>
      </c>
    </row>
  </sheetData>
  <pageMargins left="0.7" right="0.7" top="0.787401575" bottom="0.7874015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codeName="Tabelle3">
    <outlinePr summaryBelow="1" summaryRight="1"/>
    <pageSetUpPr/>
  </sheetPr>
  <dimension ref="A1:E32"/>
  <sheetViews>
    <sheetView topLeftCell="A6" workbookViewId="0">
      <selection activeCell="O36" sqref="O36"/>
    </sheetView>
  </sheetViews>
  <sheetFormatPr baseColWidth="10" defaultColWidth="11.5" defaultRowHeight="15"/>
  <cols>
    <col width="33.6640625" customWidth="1" style="3" min="1" max="1"/>
    <col width="3.6640625" customWidth="1" style="3" min="2" max="2"/>
    <col width="33" customWidth="1" style="3" min="3" max="3"/>
    <col width="4.6640625" customWidth="1" style="3" min="4" max="4"/>
    <col width="35.33203125" customWidth="1" style="3" min="5" max="5"/>
    <col width="52" customWidth="1" style="3" min="6" max="6"/>
    <col width="11.5" customWidth="1" style="3" min="7" max="7"/>
    <col width="49.6640625" customWidth="1" style="2" min="8" max="8"/>
    <col width="11.5" customWidth="1" style="3" min="9" max="16384"/>
  </cols>
  <sheetData>
    <row r="1" ht="24" customHeight="1">
      <c r="A1" s="1" t="inlineStr">
        <is>
          <t>Non-editable lists</t>
        </is>
      </c>
    </row>
    <row r="3">
      <c r="A3" s="384" t="inlineStr">
        <is>
          <t>Worksheet "Start"</t>
        </is>
      </c>
      <c r="C3" s="384" t="inlineStr">
        <is>
          <t>Worksheet "Features"</t>
        </is>
      </c>
      <c r="E3" s="384" t="inlineStr">
        <is>
          <t>Worksheet "Project Tasks"</t>
        </is>
      </c>
    </row>
    <row r="5">
      <c r="A5" s="385" t="inlineStr">
        <is>
          <t>Contract type</t>
        </is>
      </c>
      <c r="C5" s="385" t="inlineStr">
        <is>
          <t>Estimation method</t>
        </is>
      </c>
      <c r="E5" s="148" t="inlineStr">
        <is>
          <t>None-dynamic table:</t>
        </is>
      </c>
    </row>
    <row r="6">
      <c r="A6" s="386" t="inlineStr">
        <is>
          <t>Work contract (fixed price)</t>
        </is>
      </c>
      <c r="C6" s="386" t="inlineStr">
        <is>
          <t>No specific method</t>
        </is>
      </c>
      <c r="E6" s="387" t="inlineStr">
        <is>
          <t>Special tasks</t>
        </is>
      </c>
    </row>
    <row r="7">
      <c r="A7" s="386" t="inlineStr">
        <is>
          <t>Work contract (T&amp;M)</t>
        </is>
      </c>
      <c r="C7" s="386" t="inlineStr">
        <is>
          <t>T-shirt sizing</t>
        </is>
      </c>
      <c r="E7" s="35" t="inlineStr">
        <is>
          <t>OPT</t>
        </is>
      </c>
    </row>
    <row r="8">
      <c r="A8" s="386" t="inlineStr">
        <is>
          <t>Service contract (fixed price)</t>
        </is>
      </c>
      <c r="C8" s="386" t="inlineStr">
        <is>
          <t>Three-point estimation</t>
        </is>
      </c>
      <c r="E8" s="35" t="inlineStr">
        <is>
          <t>CUS</t>
        </is>
      </c>
    </row>
    <row r="9">
      <c r="A9" s="386" t="inlineStr">
        <is>
          <t>Service contract (T&amp;M)</t>
        </is>
      </c>
      <c r="C9" s="388" t="inlineStr">
        <is>
          <t>Planning poker</t>
        </is>
      </c>
      <c r="E9" s="35" t="inlineStr">
        <is>
          <t>WA</t>
        </is>
      </c>
    </row>
    <row r="10">
      <c r="E10" s="35" t="inlineStr">
        <is>
          <t>TT</t>
        </is>
      </c>
    </row>
    <row r="11">
      <c r="A11" s="3" t="inlineStr">
        <is>
          <t>Calculation process</t>
        </is>
      </c>
      <c r="C11" s="385" t="inlineStr">
        <is>
          <t>Input assistance</t>
        </is>
      </c>
      <c r="E11" s="35" t="inlineStr">
        <is>
          <t>RIS</t>
        </is>
      </c>
    </row>
    <row r="12">
      <c r="A12" s="3" t="inlineStr">
        <is>
          <t>Calculation with one team</t>
        </is>
      </c>
      <c r="C12" s="386" t="inlineStr">
        <is>
          <t>No assistance</t>
        </is>
      </c>
      <c r="E12" s="35" t="inlineStr">
        <is>
          <t>FT#1</t>
        </is>
      </c>
    </row>
    <row r="13">
      <c r="A13" s="3" t="inlineStr">
        <is>
          <t>Calculation with two teams</t>
        </is>
      </c>
      <c r="C13" s="386" t="inlineStr">
        <is>
          <t>Auto-fill blank cells</t>
        </is>
      </c>
      <c r="E13" s="35" t="inlineStr">
        <is>
          <t>FT#2</t>
        </is>
      </c>
    </row>
    <row r="14">
      <c r="C14" s="388" t="inlineStr">
        <is>
          <t>Auto fill all cells (with override)</t>
        </is>
      </c>
      <c r="E14" s="35" t="inlineStr">
        <is>
          <t>FT#3</t>
        </is>
      </c>
    </row>
    <row r="15">
      <c r="E15" s="35" t="inlineStr">
        <is>
          <t>FT#4</t>
        </is>
      </c>
    </row>
    <row r="16">
      <c r="C16" s="385" t="inlineStr">
        <is>
          <t>T-shirt size</t>
        </is>
      </c>
      <c r="E16" s="35" t="n"/>
    </row>
    <row r="17">
      <c r="C17" s="386" t="inlineStr">
        <is>
          <t>XS</t>
        </is>
      </c>
      <c r="E17" s="35" t="n"/>
    </row>
    <row r="18">
      <c r="C18" s="386" t="inlineStr">
        <is>
          <t>S</t>
        </is>
      </c>
      <c r="E18" s="35" t="n"/>
    </row>
    <row r="19">
      <c r="C19" s="386" t="inlineStr">
        <is>
          <t>M</t>
        </is>
      </c>
      <c r="E19" s="35" t="n"/>
    </row>
    <row r="20">
      <c r="C20" s="386" t="inlineStr">
        <is>
          <t>L</t>
        </is>
      </c>
      <c r="E20" s="35" t="n"/>
    </row>
    <row r="21">
      <c r="C21" s="388" t="inlineStr">
        <is>
          <t>XL</t>
        </is>
      </c>
      <c r="E21" s="35" t="n"/>
    </row>
    <row r="22">
      <c r="E22" s="35" t="n"/>
    </row>
    <row r="23">
      <c r="C23" s="389" t="inlineStr">
        <is>
          <t>Story points</t>
        </is>
      </c>
      <c r="E23" s="35" t="n"/>
    </row>
    <row r="24">
      <c r="C24" s="390" t="n">
        <v>1</v>
      </c>
    </row>
    <row r="25">
      <c r="C25" s="390" t="n">
        <v>2</v>
      </c>
    </row>
    <row r="26">
      <c r="C26" s="390" t="n">
        <v>3</v>
      </c>
    </row>
    <row r="27">
      <c r="C27" s="390" t="n">
        <v>5</v>
      </c>
    </row>
    <row r="28">
      <c r="C28" s="390" t="n">
        <v>8</v>
      </c>
    </row>
    <row r="29">
      <c r="C29" s="390" t="n">
        <v>13</v>
      </c>
    </row>
    <row r="30">
      <c r="C30" s="390" t="n">
        <v>20</v>
      </c>
    </row>
    <row r="31">
      <c r="C31" s="390" t="n">
        <v>40</v>
      </c>
    </row>
    <row r="32">
      <c r="C32" s="391" t="n">
        <v>100</v>
      </c>
      <c r="E32" s="384" t="inlineStr">
        <is>
          <t>Start-Messages</t>
        </is>
      </c>
    </row>
  </sheetData>
  <pageMargins left="0.7" right="0.7" top="0.787401575" bottom="0.787401575" header="0.3" footer="0.3"/>
  <pageSetup orientation="portrait" paperSize="9" horizontalDpi="90" verticalDpi="90"/>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41.xml><?xml version="1.0" encoding="utf-8"?>
<worksheet xmlns="http://schemas.openxmlformats.org/spreadsheetml/2006/main">
  <sheetPr codeName="Tabelle40">
    <outlinePr summaryBelow="1" summaryRight="1"/>
    <pageSetUpPr/>
  </sheetPr>
  <dimension ref="A1:B16"/>
  <sheetViews>
    <sheetView workbookViewId="0">
      <selection activeCell="L33" sqref="L33"/>
    </sheetView>
  </sheetViews>
  <sheetFormatPr baseColWidth="10" defaultColWidth="11.5" defaultRowHeight="15"/>
  <cols>
    <col width="40.5" customWidth="1" min="1" max="1"/>
    <col width="22.83203125" customWidth="1" min="2" max="2"/>
  </cols>
  <sheetData>
    <row r="1" ht="24" customHeight="1">
      <c r="A1" s="1" t="inlineStr">
        <is>
          <t>Options</t>
        </is>
      </c>
    </row>
    <row r="2">
      <c r="B2" s="88" t="inlineStr">
        <is>
          <t>Use menu above "Edit options":</t>
        </is>
      </c>
    </row>
    <row r="3">
      <c r="A3" s="54" t="inlineStr">
        <is>
          <t>Currency:</t>
        </is>
      </c>
      <c r="B3" s="81" t="inlineStr">
        <is>
          <t>€</t>
        </is>
      </c>
    </row>
    <row r="4">
      <c r="A4" s="75" t="inlineStr">
        <is>
          <t>Period type:</t>
        </is>
      </c>
      <c r="B4" s="13" t="n">
        <v>0</v>
      </c>
    </row>
    <row r="5">
      <c r="A5" s="75" t="inlineStr">
        <is>
          <t>Include inflation:</t>
        </is>
      </c>
      <c r="B5" s="13" t="inlineStr">
        <is>
          <t>no</t>
        </is>
      </c>
    </row>
    <row r="6">
      <c r="A6" s="54" t="inlineStr">
        <is>
          <t>No prior sorted tasks for GANTT chart:</t>
        </is>
      </c>
      <c r="B6" s="81" t="inlineStr">
        <is>
          <t>yes</t>
        </is>
      </c>
    </row>
    <row r="7">
      <c r="A7" s="54" t="inlineStr">
        <is>
          <t>Allocate first role efforts to other roles:</t>
        </is>
      </c>
      <c r="B7" s="81" t="inlineStr">
        <is>
          <t>no</t>
        </is>
      </c>
    </row>
    <row r="8">
      <c r="A8" s="54" t="inlineStr">
        <is>
          <t>Capacity of one person (1 FTE):</t>
        </is>
      </c>
      <c r="B8" s="532" t="n">
        <v>220</v>
      </c>
    </row>
    <row r="11">
      <c r="A11" s="54" t="inlineStr">
        <is>
          <t>Admin mode:</t>
        </is>
      </c>
      <c r="B11" s="81" t="inlineStr">
        <is>
          <t>no</t>
        </is>
      </c>
    </row>
    <row r="12">
      <c r="A12" s="54" t="inlineStr">
        <is>
          <t>Admin password:</t>
        </is>
      </c>
      <c r="B12" s="81" t="inlineStr">
        <is>
          <t>adcalc</t>
        </is>
      </c>
    </row>
    <row r="13">
      <c r="A13" s="54" t="inlineStr">
        <is>
          <t>Link manual:</t>
        </is>
      </c>
      <c r="B13" s="407" t="inlineStr">
        <is>
          <t>https://o365adessogroup.sharepoint.com/sites/adesso_FU-ProjectManagement/SitePages/adesso-calculator.aspx</t>
        </is>
      </c>
    </row>
    <row r="14">
      <c r="A14" s="54" t="inlineStr">
        <is>
          <t>Link manual (German):</t>
        </is>
      </c>
      <c r="B14" s="407" t="inlineStr">
        <is>
          <t>https://o365adessogroup.sharepoint.com/sites/adesso_FU-ProjectManagement/SitePages/de/adesso-calculator.aspx</t>
        </is>
      </c>
    </row>
    <row r="15">
      <c r="A15" s="54" t="inlineStr">
        <is>
          <t>Chapter "Table of contens":</t>
        </is>
      </c>
      <c r="B15" s="81" t="inlineStr">
        <is>
          <t>#table-of-contents</t>
        </is>
      </c>
    </row>
    <row r="16">
      <c r="A16" s="54" t="inlineStr">
        <is>
          <t>Link Teams channel:</t>
        </is>
      </c>
      <c r="B16" s="407" t="inlineStr">
        <is>
          <t>https://teams.microsoft.com/l/channel/19%3AtrMFhwN4ldM7sKA4KzSg3KGofZOCDNi6TzOMqlo-DLs1%40thread.tacv2/Start?groupId=0ed5a4b1-b300-4f1b-a886-fe17662e44f9&amp;tenantId=3d355765-67d9-47cd-9c7a-bf31179f56eb</t>
        </is>
      </c>
    </row>
  </sheetData>
  <hyperlinks>
    <hyperlink xmlns:r="http://schemas.openxmlformats.org/officeDocument/2006/relationships" ref="B13" r:id="rId1"/>
    <hyperlink xmlns:r="http://schemas.openxmlformats.org/officeDocument/2006/relationships" ref="B14" r:id="rId2"/>
    <hyperlink xmlns:r="http://schemas.openxmlformats.org/officeDocument/2006/relationships" ref="B16" r:id="rId3"/>
  </hyperlinks>
  <pageMargins left="0.7" right="0.7" top="0.787401575" bottom="0.787401575" header="0.3" footer="0.3"/>
</worksheet>
</file>

<file path=xl/worksheets/sheet42.xml><?xml version="1.0" encoding="utf-8"?>
<worksheet xmlns="http://schemas.openxmlformats.org/spreadsheetml/2006/main">
  <sheetPr codeName="Tabelle4">
    <outlinePr summaryBelow="1" summaryRight="1"/>
    <pageSetUpPr/>
  </sheetPr>
  <dimension ref="A1:A1"/>
  <sheetViews>
    <sheetView workbookViewId="0">
      <selection activeCell="N11" sqref="N11"/>
    </sheetView>
  </sheetViews>
  <sheetFormatPr baseColWidth="10" defaultColWidth="11.5" defaultRowHeight="15"/>
  <sheetData>
    <row r="1" ht="24" customHeight="1">
      <c r="A1" s="1" t="inlineStr">
        <is>
          <t>Start error message (if macros are deactivated)</t>
        </is>
      </c>
    </row>
  </sheetData>
  <pageMargins left="0.7" right="0.7" top="0.787401575" bottom="0.787401575" header="0.3" footer="0.3"/>
</worksheet>
</file>

<file path=xl/worksheets/sheet43.xml><?xml version="1.0" encoding="utf-8"?>
<worksheet xmlns="http://schemas.openxmlformats.org/spreadsheetml/2006/main">
  <sheetPr codeName="Tabelle23">
    <outlinePr summaryBelow="1" summaryRight="1"/>
    <pageSetUpPr/>
  </sheetPr>
  <dimension ref="A1:F73"/>
  <sheetViews>
    <sheetView workbookViewId="0">
      <selection activeCell="A1" sqref="A1"/>
    </sheetView>
  </sheetViews>
  <sheetFormatPr baseColWidth="10" defaultColWidth="11.5" defaultRowHeight="15"/>
  <cols>
    <col width="17.6640625" customWidth="1" style="3" min="1" max="1"/>
    <col width="17.1640625" customWidth="1" style="13" min="2" max="2"/>
    <col width="36.1640625" customWidth="1" style="3" min="3" max="3"/>
    <col width="74.1640625" customWidth="1" style="3" min="4" max="4"/>
    <col width="25.83203125" customWidth="1" style="3" min="5" max="5"/>
    <col width="40.33203125" customWidth="1" style="3" min="6" max="6"/>
    <col width="11.5" customWidth="1" style="3" min="7" max="16384"/>
  </cols>
  <sheetData>
    <row r="1" ht="24" customHeight="1">
      <c r="A1" s="1" t="inlineStr">
        <is>
          <t>Quick guide</t>
        </is>
      </c>
    </row>
    <row r="3">
      <c r="A3" s="3" t="inlineStr">
        <is>
          <t>Topic</t>
        </is>
      </c>
      <c r="B3" s="13" t="inlineStr">
        <is>
          <t>Show again</t>
        </is>
      </c>
      <c r="C3" s="13" t="inlineStr">
        <is>
          <t>Sheet</t>
        </is>
      </c>
    </row>
    <row r="4">
      <c r="A4" s="3" t="inlineStr">
        <is>
          <t>Introduction</t>
        </is>
      </c>
      <c r="B4" s="13" t="inlineStr">
        <is>
          <t>any</t>
        </is>
      </c>
      <c r="C4" s="13" t="inlineStr">
        <is>
          <t>any</t>
        </is>
      </c>
    </row>
    <row r="5">
      <c r="A5" s="3" t="inlineStr">
        <is>
          <t>Rules</t>
        </is>
      </c>
      <c r="B5" s="13" t="inlineStr">
        <is>
          <t>any</t>
        </is>
      </c>
      <c r="C5" s="13" t="inlineStr">
        <is>
          <t>any</t>
        </is>
      </c>
    </row>
    <row r="6">
      <c r="A6" s="3" t="inlineStr">
        <is>
          <t>Advanced options</t>
        </is>
      </c>
      <c r="B6" s="13" t="inlineStr">
        <is>
          <t>any</t>
        </is>
      </c>
      <c r="C6" s="13" t="inlineStr">
        <is>
          <t>any</t>
        </is>
      </c>
    </row>
    <row r="7">
      <c r="A7" s="3" t="inlineStr">
        <is>
          <t>Basic settings</t>
        </is>
      </c>
      <c r="B7" s="13" t="inlineStr">
        <is>
          <t>yes</t>
        </is>
      </c>
      <c r="C7" s="13" t="inlineStr">
        <is>
          <t>Start</t>
        </is>
      </c>
    </row>
    <row r="8">
      <c r="A8" s="3" t="inlineStr">
        <is>
          <t>Features</t>
        </is>
      </c>
      <c r="B8" s="13" t="inlineStr">
        <is>
          <t>yes</t>
        </is>
      </c>
      <c r="C8" s="13" t="inlineStr">
        <is>
          <t>Features</t>
        </is>
      </c>
    </row>
    <row r="9">
      <c r="A9" s="3" t="inlineStr">
        <is>
          <t>Project tasks</t>
        </is>
      </c>
      <c r="B9" s="13" t="inlineStr">
        <is>
          <t>yes</t>
        </is>
      </c>
      <c r="C9" s="13" t="inlineStr">
        <is>
          <t>Project tasks</t>
        </is>
      </c>
    </row>
    <row r="10">
      <c r="A10" s="3" t="inlineStr">
        <is>
          <t>Creating formulas</t>
        </is>
      </c>
      <c r="B10" s="13" t="inlineStr">
        <is>
          <t>yes</t>
        </is>
      </c>
      <c r="C10" s="13" t="inlineStr">
        <is>
          <t>any</t>
        </is>
      </c>
    </row>
    <row r="11">
      <c r="A11" s="3" t="inlineStr">
        <is>
          <t>Project risks</t>
        </is>
      </c>
      <c r="B11" s="13" t="inlineStr">
        <is>
          <t>yes</t>
        </is>
      </c>
      <c r="C11" s="13" t="inlineStr">
        <is>
          <t>Project risks</t>
        </is>
      </c>
    </row>
    <row r="12">
      <c r="A12" s="3" t="inlineStr">
        <is>
          <t>Project roles</t>
        </is>
      </c>
      <c r="B12" s="13" t="inlineStr">
        <is>
          <t>yes</t>
        </is>
      </c>
      <c r="C12" s="13" t="inlineStr">
        <is>
          <t>Project roles</t>
        </is>
      </c>
    </row>
    <row r="13">
      <c r="A13" s="3" t="inlineStr">
        <is>
          <t>Other costs</t>
        </is>
      </c>
      <c r="B13" s="13" t="inlineStr">
        <is>
          <t>yes</t>
        </is>
      </c>
      <c r="C13" s="13" t="inlineStr">
        <is>
          <t>Other costs</t>
        </is>
      </c>
    </row>
    <row r="14">
      <c r="A14" s="3" t="inlineStr">
        <is>
          <t>Change history</t>
        </is>
      </c>
      <c r="B14" s="13" t="inlineStr">
        <is>
          <t>yes</t>
        </is>
      </c>
      <c r="C14" s="13" t="inlineStr">
        <is>
          <t>Change history</t>
        </is>
      </c>
    </row>
    <row r="15">
      <c r="A15" s="3" t="inlineStr">
        <is>
          <t>Summary</t>
        </is>
      </c>
      <c r="B15" s="13" t="inlineStr">
        <is>
          <t>yes</t>
        </is>
      </c>
      <c r="C15" s="13" t="inlineStr">
        <is>
          <t>Summary</t>
        </is>
      </c>
    </row>
    <row r="16">
      <c r="A16" s="3" t="inlineStr">
        <is>
          <t>Data pool</t>
        </is>
      </c>
      <c r="B16" s="13" t="inlineStr">
        <is>
          <t>yes</t>
        </is>
      </c>
      <c r="C16" s="13" t="inlineStr">
        <is>
          <t>Data pool</t>
        </is>
      </c>
    </row>
    <row r="17">
      <c r="A17" s="3" t="inlineStr">
        <is>
          <t>Countries</t>
        </is>
      </c>
      <c r="B17" s="13" t="inlineStr">
        <is>
          <t>yes</t>
        </is>
      </c>
      <c r="C17" s="13" t="inlineStr">
        <is>
          <t>Countries</t>
        </is>
      </c>
    </row>
    <row r="18">
      <c r="A18" s="3" t="inlineStr">
        <is>
          <t>Companies</t>
        </is>
      </c>
      <c r="B18" s="13" t="inlineStr">
        <is>
          <t>yes</t>
        </is>
      </c>
      <c r="C18" s="13" t="inlineStr">
        <is>
          <t>Companies</t>
        </is>
      </c>
    </row>
    <row r="19">
      <c r="A19" s="3" t="inlineStr">
        <is>
          <t>Locations</t>
        </is>
      </c>
      <c r="B19" s="13" t="inlineStr">
        <is>
          <t>yes</t>
        </is>
      </c>
      <c r="C19" s="13" t="inlineStr">
        <is>
          <t>Locations</t>
        </is>
      </c>
    </row>
    <row r="20">
      <c r="A20" s="3" t="inlineStr">
        <is>
          <t>Seniority Levels</t>
        </is>
      </c>
      <c r="B20" s="13" t="inlineStr">
        <is>
          <t>yes</t>
        </is>
      </c>
      <c r="C20" s="13" t="inlineStr">
        <is>
          <t>Seniority Levels</t>
        </is>
      </c>
    </row>
    <row r="21">
      <c r="A21" s="3" t="inlineStr">
        <is>
          <t>Log</t>
        </is>
      </c>
      <c r="B21" s="13" t="inlineStr">
        <is>
          <t>yes</t>
        </is>
      </c>
      <c r="C21" s="13" t="inlineStr">
        <is>
          <t>Log</t>
        </is>
      </c>
    </row>
    <row r="22">
      <c r="A22" s="3" t="inlineStr">
        <is>
          <t>GANTT Chart</t>
        </is>
      </c>
      <c r="B22" s="13" t="inlineStr">
        <is>
          <t>yes</t>
        </is>
      </c>
      <c r="C22" s="13" t="inlineStr">
        <is>
          <t>Chart | GANTT</t>
        </is>
      </c>
    </row>
    <row r="23">
      <c r="A23" s="3" t="inlineStr">
        <is>
          <t>Risks Chart</t>
        </is>
      </c>
      <c r="B23" s="13" t="inlineStr">
        <is>
          <t>yes</t>
        </is>
      </c>
      <c r="C23" s="13" t="inlineStr">
        <is>
          <t>Chart | Risks</t>
        </is>
      </c>
    </row>
    <row r="24">
      <c r="C24" s="13" t="n"/>
    </row>
    <row r="25" ht="16" customHeight="1">
      <c r="A25" s="3" t="inlineStr">
        <is>
          <t>Topic</t>
        </is>
      </c>
      <c r="B25" s="13" t="inlineStr">
        <is>
          <t>Sys</t>
        </is>
      </c>
      <c r="C25" s="3" t="inlineStr">
        <is>
          <t>Title</t>
        </is>
      </c>
      <c r="D25" s="2" t="inlineStr">
        <is>
          <t>Message</t>
        </is>
      </c>
      <c r="E25" s="2" t="inlineStr">
        <is>
          <t>Further Topic</t>
        </is>
      </c>
      <c r="F25" s="3" t="inlineStr">
        <is>
          <t>Manual Chapter</t>
        </is>
      </c>
    </row>
    <row r="26" ht="208" customHeight="1">
      <c r="A26" s="3" t="inlineStr">
        <is>
          <t>Introduction</t>
        </is>
      </c>
      <c r="B26" s="13" t="inlineStr">
        <is>
          <t>any</t>
        </is>
      </c>
      <c r="C26" s="3" t="inlineStr">
        <is>
          <t>Welcome to adesso calculator!</t>
        </is>
      </c>
      <c r="D26" s="2" t="inlineStr">
        <is>
          <t>Welcome to adesso calculator Tool! _x000D_
_x000D_
This quick guide will help you get started, but it does not replace the detailed manual, which you should read first (click button "Manual")._x000D_
_x000D_
Use the button "&lt; Prev" to navigate to the previous page and the button "Next &gt;" to navigate to the next page. For each worksheet there is a context-related quick guide that is automatically displayed when you select this worksheet. You can call up these instructions again at any time in the menu above ‘Show quick guide’ in the help section._x000D_
_x000D_
Green buttons indicate further information. If the "Manual" button is green, the relevant chapter of the manual is displayed directly when you click on this button. Otherwise, the table of contents of the manual will be displayed.</t>
        </is>
      </c>
      <c r="E26" s="2" t="n"/>
      <c r="F26" s="3" t="inlineStr">
        <is>
          <t>#quick-guides</t>
        </is>
      </c>
    </row>
    <row r="27" ht="112" customHeight="1">
      <c r="A27" s="3" t="inlineStr">
        <is>
          <t>Introduction</t>
        </is>
      </c>
      <c r="B27" s="13" t="inlineStr">
        <is>
          <t>any</t>
        </is>
      </c>
      <c r="C27" s="3" t="inlineStr">
        <is>
          <t>We need to have some rules!</t>
        </is>
      </c>
      <c r="D27" s="67" t="inlineStr">
        <is>
          <t>Without appropriate rules for this Excel application, there is a risk that the adesso calculator will stop working at some point._x000D_
_x000D_
You cannot enter data in all places or insert additional columns at will - so please observe the rules and read the manual carefully!_x000D_
_x000D_
Click on the ‘Topic: Rules’ button below.</t>
        </is>
      </c>
      <c r="E27" s="2" t="inlineStr">
        <is>
          <t>Rules</t>
        </is>
      </c>
      <c r="F27" s="3" t="inlineStr">
        <is>
          <t>#input-rules-and-working-with-tables</t>
        </is>
      </c>
    </row>
    <row r="28" ht="160" customHeight="1">
      <c r="A28" s="3" t="inlineStr">
        <is>
          <t>Introduction</t>
        </is>
      </c>
      <c r="B28" s="13" t="inlineStr">
        <is>
          <t>win</t>
        </is>
      </c>
      <c r="C28" s="3" t="inlineStr">
        <is>
          <t>Menu bar 'adesso calculator'</t>
        </is>
      </c>
      <c r="D28" s="2" t="inlineStr">
        <is>
          <t>Please have a look at the menu bar ‘adesso calculator’. This contains important functions that will make your work easier._x000D_
_x000D_
A few overall functions: _x000D_
_x000D_
"Go to sheet": Select a worksheet that you specifically want to switch to._x000D_
"Reset sheet": Reset a worksheet to its original state._x000D_
"Show manual": Display this user documentation._x000D_
"Show quick guide": Show a quick guide to the selected worksheet._x000D_
"Show version information": Displays the current version.</t>
        </is>
      </c>
      <c r="E28" s="2" t="n"/>
      <c r="F28" s="3" t="inlineStr">
        <is>
          <t>#menu-bar</t>
        </is>
      </c>
    </row>
    <row r="29" ht="80" customHeight="1">
      <c r="A29" s="3" t="inlineStr">
        <is>
          <t>Introduction</t>
        </is>
      </c>
      <c r="B29" s="13" t="inlineStr">
        <is>
          <t>mac</t>
        </is>
      </c>
      <c r="C29" s="3" t="inlineStr">
        <is>
          <t>Menu bar 'adesso calculator'</t>
        </is>
      </c>
      <c r="D29" s="2" t="inlineStr">
        <is>
          <t>Please have a look at the menu bar ‘adesso calculator’. This contains important functions that will make your work easier.
MAC OS Excel doesn't support all features of Windows Excel (see next page). Unfortunately some icons in the menu bar are displayed as a round circle.</t>
        </is>
      </c>
      <c r="E29" s="2" t="n"/>
    </row>
    <row r="30" ht="160" customHeight="1">
      <c r="A30" s="3" t="inlineStr">
        <is>
          <t>Introduction</t>
        </is>
      </c>
      <c r="B30" s="13" t="inlineStr">
        <is>
          <t>mac</t>
        </is>
      </c>
      <c r="C30" s="3" t="inlineStr">
        <is>
          <t>Restrictions for MAC OS</t>
        </is>
      </c>
      <c r="D30" s="2" t="inlineStr">
        <is>
          <t>There are some restrictions for you as a MAC user. Microsoft Excel unfortunately behaves differently under MAC OS than under Windows:
a) Some icons in the menu bar are displayed as a round circle.
b) You are asked to enter a file name (incl. folder) for import and export functions. A selection dialogue is only available for Windows users. Please use the button "Paste" to get text from the clipboard.
c) The key combination for inserting table rows is ‘Control Shift +’ and for removing rows ‘Control Shift + ’.
d) Microsoft Project is not available for MAC OS. Therefore you can't export data to this application.</t>
        </is>
      </c>
      <c r="E30" s="2" t="n"/>
    </row>
    <row r="31" ht="32" customHeight="1">
      <c r="A31" s="3" t="inlineStr">
        <is>
          <t>Introduction</t>
        </is>
      </c>
      <c r="B31" s="13" t="inlineStr">
        <is>
          <t>any</t>
        </is>
      </c>
      <c r="C31" s="3" t="inlineStr">
        <is>
          <t>Additional notes in worksheets!</t>
        </is>
      </c>
      <c r="D31" s="2" t="inlineStr">
        <is>
          <t>Note the many additional help informations in the worksheets. These notes give you further tips for the application.</t>
        </is>
      </c>
      <c r="E31" s="2" t="n"/>
    </row>
    <row r="32" ht="350" customHeight="1">
      <c r="A32" s="3" t="inlineStr">
        <is>
          <t>Introduction</t>
        </is>
      </c>
      <c r="B32" s="13" t="inlineStr">
        <is>
          <t>any</t>
        </is>
      </c>
      <c r="C32" s="3" t="inlineStr">
        <is>
          <t>Calculation process</t>
        </is>
      </c>
      <c r="D32" s="2" t="inlineStr">
        <is>
          <t xml:space="preserve">If the total effort is expected to exceed 100 days, adesso always involves two estimation teams. For offers of less than 100 days, only one estimation team is involved. In this case, the "Inquistion" sub-process is also omitted._x000D_
_x000D_
In the sub-process "Preparation", the entire team sets up the project structure, the feature list and the risk list. The aim of this first sub-process is to gain a common understanding of the scope of services as a basis for the calculation._x000D_
_x000D_
In the sub-processes "Calculation first team" and "Calculation second team", the entire team is divided into two estimation teams. Each team calculates (estimates) the cost of the previously defined tasks, features and risks independently of each other._x000D_
_x000D_
In the "Inquisition" sub-process, the entire team is brought back together at one table. The estimates of the two teams are compared and discussed. The result of this inquisition is recorded._x000D_
_x000D_
In the "Finalization" sub-process, the calculation manager adds all other information, such as roles, scheduling, costs and prices, and thus creates an initial draft of the entire cost estimate for the quotation manager._x000D_
_x000D_
 _x000D_
</t>
        </is>
      </c>
      <c r="E32" s="2" t="n"/>
      <c r="F32" s="3" t="inlineStr">
        <is>
          <t>#calculation-process</t>
        </is>
      </c>
    </row>
    <row r="33" ht="224" customHeight="1">
      <c r="A33" s="3" t="inlineStr">
        <is>
          <t>Rules</t>
        </is>
      </c>
      <c r="B33" s="13" t="inlineStr">
        <is>
          <t>any</t>
        </is>
      </c>
      <c r="C33" s="3" t="inlineStr">
        <is>
          <t>We need to have some rules!</t>
        </is>
      </c>
      <c r="D33" s="67" t="inlineStr">
        <is>
          <t>1. You may only enter data in cells with a yellow background!_x000D_
_x000D_
2. Insert rows or delete rows only in tables with a yellow background! (see next pages)_x000D_
_x000D_
3. Do not insert, delete or rearrange any columns!_x000D_
_x000D_
4. Do not sort or change any tables!_x000D_
_x000D_
5. Do not change any formulas, if they are not contained as default values in the yellow fields mentioned above! In this case you can replace the formulas by concrete values._x000D_
_x000D_
6. Do not rename any worksheets!_x000D_
_x000D_
7. Please read the manual if you are unsure how to use this tool.</t>
        </is>
      </c>
      <c r="E33" s="2" t="n"/>
      <c r="F33" s="3" t="inlineStr">
        <is>
          <t>#input-rules-and-working-with-tables</t>
        </is>
      </c>
    </row>
    <row r="34" ht="112" customHeight="1">
      <c r="A34" s="3" t="inlineStr">
        <is>
          <t>Rules</t>
        </is>
      </c>
      <c r="B34" s="13" t="inlineStr">
        <is>
          <t>any</t>
        </is>
      </c>
      <c r="C34" s="3" t="inlineStr">
        <is>
          <t>Working in tables</t>
        </is>
      </c>
      <c r="D34" s="67" t="inlineStr">
        <is>
          <t>There are two types of tables in this tool, which are handled differently._x000D_
_x000D_
Dynamic tables (e.g. in “Start”, “History of changes” or “Companies” worksheets)_x000D_
_x000D_
Smart tables (e.g. in worksheets "Features", "Project tasks", "Project roles", "Project risks")_x000D_
_x000D_
Both types of table are explained on the following pages.</t>
        </is>
      </c>
      <c r="E34" s="2" t="n"/>
      <c r="F34" s="3" t="inlineStr">
        <is>
          <t>#input-rules-and-working-with-tables</t>
        </is>
      </c>
    </row>
    <row r="35" ht="96" customHeight="1">
      <c r="A35" s="3" t="inlineStr">
        <is>
          <t>Rules</t>
        </is>
      </c>
      <c r="B35" s="13" t="inlineStr">
        <is>
          <t>any</t>
        </is>
      </c>
      <c r="C35" s="3" t="inlineStr">
        <is>
          <t>Dynamic tables</t>
        </is>
      </c>
      <c r="D35" s="67" t="inlineStr">
        <is>
          <t>The tool uses dynamic tables for example in the worksheets “Start”, “History of changes” or “Companies” ._x000D_
_x000D_
You can add new rows by using the tab key in the last column of the last row._x000D_
_x000D_
You can also insert rows. To do this, use the context menu (right mouse button).</t>
        </is>
      </c>
      <c r="E35" s="2" t="n"/>
      <c r="F35" s="3" t="inlineStr">
        <is>
          <t>#input-rules-and-working-with-tables</t>
        </is>
      </c>
    </row>
    <row r="36" ht="240" customHeight="1">
      <c r="A36" s="3" t="inlineStr">
        <is>
          <t>Rules</t>
        </is>
      </c>
      <c r="B36" s="13" t="inlineStr">
        <is>
          <t>win</t>
        </is>
      </c>
      <c r="C36" s="3" t="inlineStr">
        <is>
          <t>Smart tables</t>
        </is>
      </c>
      <c r="D36" s="67" t="inlineStr">
        <is>
          <t>The tool uses smart tables for example in the worksheets "Features", "Project tasks", "Project roles" and "Project risks"._x000D_
_x000D_
A smart table contains very complex tables with many, sometimes time-consuming calculation logics and formulas._x000D_
_x000D_
You only insert a row via the menu item "Insert row" or use the key combination CTRL + (Windows)._x000D_
You only delete a row via the menu item "Delete row" or use the key combination CTRL - (Windows)._x000D_
You only move a row  via the menu item "Move row"._x000D_
_x000D_
Please consider the restrictions in the worksheets "Project roles" and "Other costs"._x000D_
_x000D_
You may only enter or change data in the cells with a yellow background color!</t>
        </is>
      </c>
      <c r="E36" s="2" t="n"/>
      <c r="F36" s="3" t="inlineStr">
        <is>
          <t>#input-rules-and-working-with-tables</t>
        </is>
      </c>
    </row>
    <row r="37" ht="224" customHeight="1">
      <c r="A37" s="3" t="inlineStr">
        <is>
          <t>Rules</t>
        </is>
      </c>
      <c r="B37" s="13" t="inlineStr">
        <is>
          <t>mac</t>
        </is>
      </c>
      <c r="C37" s="3" t="inlineStr">
        <is>
          <t>Smart tables</t>
        </is>
      </c>
      <c r="D37" s="67" t="inlineStr">
        <is>
          <t>The tool uses smart tables for example in the worksheets "Features", "Project tasks", "Project roles" and "Project risks".
A smart table contains very complex tables with many, sometimes time-consuming calculation logics and formulas.
You only insert a row via the menu item "Insert row" or use the key combination Control + (MAC: Control Shift = ).
You only delete a row via the menu item "Delete row" or use the key combination Control -.
You only move a row  via the menu item "Move row".
Please consider the restrictions in the worksheets "Project roles" and "Other costs".
You may only enter or change data in the cells with a yellow background color!</t>
        </is>
      </c>
      <c r="E37" s="2" t="n"/>
    </row>
    <row r="38" ht="256" customHeight="1">
      <c r="A38" s="3" t="inlineStr">
        <is>
          <t>Rules</t>
        </is>
      </c>
      <c r="B38" s="13" t="inlineStr">
        <is>
          <t>any</t>
        </is>
      </c>
      <c r="C38" s="3" t="inlineStr">
        <is>
          <t>Smart table: Unique IDs</t>
        </is>
      </c>
      <c r="D38" s="67" t="inlineStr">
        <is>
          <t>In the smart tables, unique IDs are required as these are referenced._x000D_
_x000D_
The IDs are permanently assigned in the "Other costs" table. They are processed internally in the "Project roles" table._x000D_
 _x000D_
In the "Features", "Project tasks" and "Project risks" tables, you can either assign these IDs manually or leave the assignment of the IDs to the adesso calculator. Make sure that each row has a unique ID. You can also overwrite the suggested IDs with your own IDs. Remember that the IDs may reference each other (e.g. a risk refers to a task or the start date of a task depends on the finish date of a predecessor task)._x000D_
_x000D_
Also note that features must always start with "F-", project tasks with "P-" and risks with "R-". This is always followed by a whole number._x000D_
_x000D_
If the IDs are completely mixed up, you can use the menu item "Renumber IDs" to have them renumbered automatically. adesso calculator also adjusts the corresponding relationships.</t>
        </is>
      </c>
      <c r="E38" s="2" t="n"/>
      <c r="F38" s="3" t="inlineStr">
        <is>
          <t>#input-rules-and-working-with-tables</t>
        </is>
      </c>
    </row>
    <row r="39" ht="64" customHeight="1">
      <c r="A39" s="3" t="inlineStr">
        <is>
          <t>Advanced options</t>
        </is>
      </c>
      <c r="B39" s="13" t="inlineStr">
        <is>
          <t>any</t>
        </is>
      </c>
      <c r="C39" s="3" t="inlineStr">
        <is>
          <t>Basic options</t>
        </is>
      </c>
      <c r="D39" s="67" t="inlineStr">
        <is>
          <t>Enter the currency that is the basis for calculating the offer in the “Currency” field._x000D_
_x000D_
In the “FTE” field, the capacity of a resource working full-time (full-time equivalent) is entered (days per year).</t>
        </is>
      </c>
      <c r="E39" s="2" t="n"/>
    </row>
    <row r="40" ht="128" customHeight="1">
      <c r="A40" s="3" t="inlineStr">
        <is>
          <t>Advanced options</t>
        </is>
      </c>
      <c r="B40" s="13" t="inlineStr">
        <is>
          <t>any</t>
        </is>
      </c>
      <c r="C40" s="3" t="inlineStr">
        <is>
          <t>Calculation options</t>
        </is>
      </c>
      <c r="D40" s="67" t="inlineStr">
        <is>
          <t>“costs calculation includes inflation rates” ensures that inflation over the specified period is taken into account when calculating the costs of a task._x000D_
_x000D_
In the worksheet ‘Project Roles’, the respective countries must be assigned for all roles. In addition, you must update the current inflation rates in the worksheet ‘Country’._x000D_
_x000D_
Use the “time period type” field (see next page) to control whether inflation is calculated weekly, monthly or annually.</t>
        </is>
      </c>
      <c r="E40" s="2" t="inlineStr">
        <is>
          <t>Project roles</t>
        </is>
      </c>
    </row>
    <row r="41" ht="224" customHeight="1">
      <c r="A41" s="3" t="inlineStr">
        <is>
          <t>Advanced options</t>
        </is>
      </c>
      <c r="B41" s="13" t="inlineStr">
        <is>
          <t>any</t>
        </is>
      </c>
      <c r="C41" s="3" t="inlineStr">
        <is>
          <t>Report &amp; Chart options</t>
        </is>
      </c>
      <c r="D41" s="67" t="inlineStr">
        <is>
          <t xml:space="preserve">The "Time period type" option is used in reports and charts that use periods (including the GANTT chart). This option also controls the calculation of inflation._x000D_
_x000D_
The option "GANTT chart without prior sorted project tasks" is used for the worksheet "Chart | GANTT". If this option is not checked, then all tasks and parent elements are sorted for the GANTT chart._x000D_
_x000D_
If you want to distribute the "Any role" to the other roles, you must activate the option "Allocate first role efforts to other roles". In the "Project roles" worksheet and in reports and charts that evaluate roles, the effort for "Any Role" is finally 0 days._x000D_
_x000D_
_x000D_
_x000D_
</t>
        </is>
      </c>
      <c r="E41" s="2" t="n"/>
    </row>
    <row r="42" ht="192" customHeight="1">
      <c r="A42" s="3" t="inlineStr">
        <is>
          <t>Basic settings</t>
        </is>
      </c>
      <c r="B42" s="13" t="inlineStr">
        <is>
          <t>any</t>
        </is>
      </c>
      <c r="C42" s="3" t="inlineStr">
        <is>
          <t>Enter basic data for project!</t>
        </is>
      </c>
      <c r="D42" s="2" t="inlineStr">
        <is>
          <t>Enter the basic data for this project in this worksheet._x000D_
_x000D_
Please remember the rules! (click on the ‘Rules’ button below)._x000D_
_x000D_
For the contract type and the associated billing type, however, you should check exactly which selection is best for your project. If you have to produce and deliver something for the customer, this is a wotk contract. If you only provide human resources who produce something under the customer's direction, it is usually a service contract. Still unsure? Then the "adesso Projektfibel" will help you!_x000D_
 _x000D_
The correct selection of the contractor is important for the gross profit calculation (see worksheet 'Project roles' and 'Summary').</t>
        </is>
      </c>
      <c r="E42" s="2" t="inlineStr">
        <is>
          <t>Rules</t>
        </is>
      </c>
      <c r="F42" s="3" t="inlineStr">
        <is>
          <t>#preparation-basic-settings</t>
        </is>
      </c>
    </row>
    <row r="43" ht="80" customHeight="1">
      <c r="A43" s="3" t="inlineStr">
        <is>
          <t>Basic settings</t>
        </is>
      </c>
      <c r="B43" s="13" t="inlineStr">
        <is>
          <t>any</t>
        </is>
      </c>
      <c r="C43" s="3" t="inlineStr">
        <is>
          <t>Choose a template!</t>
        </is>
      </c>
      <c r="D43" s="2" t="inlineStr">
        <is>
          <t>A calculation template contains a predefined project structure that you can use for your calculation._x000D_
_x000D_
Select a template via the menu item "Import" --&gt; "Import from internal template" and decide in the dialog which data you want to use.</t>
        </is>
      </c>
      <c r="E43" s="2" t="n"/>
      <c r="F43" s="3" t="inlineStr">
        <is>
          <t>#preparation-basic-settings</t>
        </is>
      </c>
    </row>
    <row r="44" ht="96" customHeight="1">
      <c r="A44" s="3" t="inlineStr">
        <is>
          <t>Basic settings</t>
        </is>
      </c>
      <c r="B44" s="13" t="inlineStr">
        <is>
          <t>any</t>
        </is>
      </c>
      <c r="C44" s="3" t="inlineStr">
        <is>
          <t>Choose the calculation process!</t>
        </is>
      </c>
      <c r="D44" s="2" t="inlineStr">
        <is>
          <t>If you need to estimate a small project (&lt; 100 PT), then one estimation team is sufficient, so in this case you choose "Calculation with one team". For larger projects, choose "Calculation with two teams"._x000D_
_x000D_
Make sure that the process step in the menu bar is set to "Preparation" (this should be the default).</t>
        </is>
      </c>
      <c r="E44" s="2" t="n"/>
      <c r="F44" s="3" t="inlineStr">
        <is>
          <t>#preparation-basic-settings</t>
        </is>
      </c>
    </row>
    <row r="45" ht="80" customHeight="1">
      <c r="A45" s="3" t="inlineStr">
        <is>
          <t>Basic settings</t>
        </is>
      </c>
      <c r="B45" s="13" t="inlineStr">
        <is>
          <t>any</t>
        </is>
      </c>
      <c r="C45" s="3" t="inlineStr">
        <is>
          <t>adesso calculation team</t>
        </is>
      </c>
      <c r="D45" s="2" t="inlineStr">
        <is>
          <t>In the table "adesso calculation team" you enter all employees who are fully or partially involved in the calculation process._x000D_
_x000D_
This information is very helpful for the understanding of third parties who were involved in the process!</t>
        </is>
      </c>
      <c r="E45" s="2" t="n"/>
      <c r="F45" s="3" t="inlineStr">
        <is>
          <t>#preparation-basic-settings</t>
        </is>
      </c>
    </row>
    <row r="46" ht="80" customHeight="1">
      <c r="A46" s="3" t="inlineStr">
        <is>
          <t>Basic settings</t>
        </is>
      </c>
      <c r="B46" s="13" t="inlineStr">
        <is>
          <t>any</t>
        </is>
      </c>
      <c r="C46" s="3" t="inlineStr">
        <is>
          <t>Advanced options</t>
        </is>
      </c>
      <c r="D46" s="2" t="inlineStr">
        <is>
          <t>Click on the menu item "Edit options" for advanced settings. _x000D_
_x000D_
For example, enter a different currency._x000D_
_x000D_
Click on the button below to get more information about this topic.</t>
        </is>
      </c>
      <c r="E46" s="2" t="inlineStr">
        <is>
          <t>Advanced options</t>
        </is>
      </c>
    </row>
    <row r="47" ht="128" customHeight="1">
      <c r="A47" s="3" t="inlineStr">
        <is>
          <t>Features</t>
        </is>
      </c>
      <c r="B47" s="13" t="inlineStr">
        <is>
          <t>any</t>
        </is>
      </c>
      <c r="C47" s="3" t="inlineStr">
        <is>
          <t>What are features?</t>
        </is>
      </c>
      <c r="D47" s="2" t="inlineStr">
        <is>
          <t>Features are delivery items that we produce for our customers (e.g. software features). They usually relate to requirements from a customer or supplier specification._x000D_
_x000D_
The production process goes through certain stages, which we call “feature tasks”. You can customize these feature tasks at any time using the menu item “Edit feature tasks” menu._x000D_
_x000D_
It is helpful for the later calculation if you establish a common estimate of the percentage distribution of the feature tasks.</t>
        </is>
      </c>
      <c r="E47" s="2" t="n"/>
      <c r="F47" s="3" t="inlineStr">
        <is>
          <t>#preparation-feature-list</t>
        </is>
      </c>
    </row>
    <row r="48" ht="160" customHeight="1">
      <c r="A48" s="3" t="inlineStr">
        <is>
          <t>Features</t>
        </is>
      </c>
      <c r="B48" s="13" t="inlineStr">
        <is>
          <t>any</t>
        </is>
      </c>
      <c r="C48" s="3" t="inlineStr">
        <is>
          <t>Preparation</t>
        </is>
      </c>
      <c r="D48" s="2" t="inlineStr">
        <is>
          <t>In the “Preparation” process step, the feature tasks (use the "Edit feature task" menu item) are defined and all features are entered in the table. You can also document assumptions and capture risks (use the “Add risk” menu item)._x000D_
_x000D_
When entering data, please note the input rules (click on the button below to get more information about this topic)._x000D_
_x000D_
Please refer to the manual for information on the individual columns._x000D_
_x000D_
Efforts are not yet calculated in this process step.</t>
        </is>
      </c>
      <c r="E48" s="2" t="inlineStr">
        <is>
          <t>Rules</t>
        </is>
      </c>
      <c r="F48" s="3" t="inlineStr">
        <is>
          <t>#preparation-feature-list</t>
        </is>
      </c>
    </row>
    <row r="49" ht="160" customHeight="1">
      <c r="A49" s="3" t="inlineStr">
        <is>
          <t>Features</t>
        </is>
      </c>
      <c r="B49" s="13" t="inlineStr">
        <is>
          <t>any</t>
        </is>
      </c>
      <c r="C49" s="3" t="inlineStr">
        <is>
          <t>Calculation: Estimation methods</t>
        </is>
      </c>
      <c r="D49" s="2" t="inlineStr">
        <is>
          <t>There are a number of ways that adesso calculator offers you to estimate and record efforts. Please select the method in the selection field:_x000D_
_x000D_
a) Expert estimation without help_x000D_
b) Expert estimation with input support - an accelerated method_x000D_
c) T-shirt sizing - using comparisons to arrive at estimates_x000D_
d) Planning Poker - the method for agilists_x000D_
e) Three Point Estimation_x000D_
_x000D_
These methods are explained in detail in the manual!</t>
        </is>
      </c>
      <c r="E49" s="2" t="n"/>
      <c r="F49" s="3" t="inlineStr">
        <is>
          <t>#calculation-features-calculation</t>
        </is>
      </c>
    </row>
    <row r="50" ht="240" customHeight="1">
      <c r="A50" s="3" t="inlineStr">
        <is>
          <t>Features</t>
        </is>
      </c>
      <c r="B50" s="13" t="inlineStr">
        <is>
          <t>any</t>
        </is>
      </c>
      <c r="C50" s="3" t="inlineStr">
        <is>
          <t>Calculation: Input assistance</t>
        </is>
      </c>
      <c r="D50" s="2" t="inlineStr">
        <is>
          <t>adesso calculator can relieve you of a little paperwork and help your estimation team to concentrate on the essentials first. In the selection list "Input Assistance for task values", select the option "Auto-fill blank cells". At least one column header of the feature tasks should then have a red background color. This highlighted feature task is the "key task"._x000D_
_x000D_
You will initially only focus on this key task in your effort estimation. You only enter the estimated feature task values in the corresponding column. The other feature tasks are calculated according to the forecasted percentages and automatically entered by adesso calculator._x000D_
_x000D_
You can, of course, veto any pre-assignment of the other feature task values. You can then adjust these values accordingly._x000D_
_x000D_
If there are already values in the respective columns, these are not overwritten. If these values are to be overwritten, you must first select the "Auto fill all cells (with override)" assistance.</t>
        </is>
      </c>
      <c r="E50" s="2" t="n"/>
      <c r="F50" s="3" t="inlineStr">
        <is>
          <t>#calculation-features-calculation</t>
        </is>
      </c>
    </row>
    <row r="51" ht="160" customHeight="1">
      <c r="A51" s="3" t="inlineStr">
        <is>
          <t>Project tasks</t>
        </is>
      </c>
      <c r="B51" s="13" t="inlineStr">
        <is>
          <t>any</t>
        </is>
      </c>
      <c r="C51" s="3" t="inlineStr">
        <is>
          <t>Overview</t>
        </is>
      </c>
      <c r="D51" s="2" t="inlineStr">
        <is>
          <t>This table contains the following column groups:_x000D_
_x000D_
1. Description of a task (columns "ID" to "Ref. ID") _x000D_
2. Calculation of a task (columns "Effort" to "Result of formula")_x000D_
3. Scheduling a task (column "Start" to "Show in GANTT?") _x000D_
4. Distribution of expenses to the individual roles (from "Not allocated effort" column)_x000D_
_x000D_
You edit group 1 in the "Preparation" sub-process, group 2 in the "Calculation" sub-process and groups 3 and 4 in the "Finalization" sub-process. Show or hide the groups accordingly (see +/- above the title of the worksheet).</t>
        </is>
      </c>
      <c r="E51" s="2" t="n"/>
    </row>
    <row r="52" ht="192" customHeight="1">
      <c r="A52" s="3" t="inlineStr">
        <is>
          <t>Project tasks</t>
        </is>
      </c>
      <c r="B52" s="13" t="inlineStr">
        <is>
          <t>any</t>
        </is>
      </c>
      <c r="C52" s="3" t="inlineStr">
        <is>
          <t>Preparation: Work breakdown structure</t>
        </is>
      </c>
      <c r="D52" s="2" t="inlineStr">
        <is>
          <t>In the sub-process "Preparation" you create the work breakdown structure for the project._x000D_
_x000D_
If you are using a template, you will probably already find a pre-filled "smart table" here and only need to adapt it._x000D_
_x000D_
At least the column "Task title" must be filled in. Depending on the size of the project, you can use the higher-level columns "Task group" and "Summary task" to further structure your project tasks. You enter a task description in the "Task description" template, assumptions in the "Assumptions" column and references to the specifications in the "Ref.ID" column. You create risks via the "Add risk" menu item._x000D_
_x000D_
See next page: What is a "special task"?</t>
        </is>
      </c>
      <c r="E52" s="2" t="inlineStr">
        <is>
          <t>Rules</t>
        </is>
      </c>
      <c r="F52" s="3" t="inlineStr">
        <is>
          <t>#preparation-work-breakdown-structure</t>
        </is>
      </c>
    </row>
    <row r="53" ht="365" customHeight="1">
      <c r="A53" s="3" t="inlineStr">
        <is>
          <t>Project tasks</t>
        </is>
      </c>
      <c r="B53" s="13" t="inlineStr">
        <is>
          <t>any</t>
        </is>
      </c>
      <c r="C53" s="3" t="inlineStr">
        <is>
          <t>Preparation: Special tasks</t>
        </is>
      </c>
      <c r="D53" s="2" t="inlineStr">
        <is>
          <t>Certain tasks have properties that are treated as special cases for the calculation. These "Special Tasks" are entered in the column of the same name:_x000D_
_x000D_
OPT: The project task should only be offered as an option (OPT = Optional task)._x000D_
_x000D_
CUS: The project task is a contributory service that is the responsibility of the customer (CUS = Customer task)._x000D_
_x000D_
TT: The project task represents a travel time (TT = Travel time). Make sure that you define at least one project task as a special task "TT". If there is no travel time (which is only conceivable for purely remote projects), then this project task can be omitted._x000D_
_x000D_
WA: The project task represents warranty work (WA = Warranty). Make sure that you define at least one project task as a special task "WA". This project task can only be omitted if the project is not offered as a work contract but as a service contract._x000D_
_x000D_
RIS: The project task represents the risks from the "Project Risks" worksheet with the sum of the expenses from the "weighted risk impacts". Only one risk task may be created._x000D_
_x000D_
FT#number, e.g. FT#1 or FT#3: The project task represents a feature task (FT). The number refers to the column number of the feature task in the "Features" worksheet. There are extended options for a feature query (menu item "Edit feature query"). Further information can be found in the manual.</t>
        </is>
      </c>
      <c r="E53" s="2" t="n"/>
      <c r="F53" s="3" t="inlineStr">
        <is>
          <t>#preparation-work-breakdown-structure</t>
        </is>
      </c>
    </row>
    <row r="54" ht="256" customHeight="1">
      <c r="A54" s="3" t="inlineStr">
        <is>
          <t>Project tasks</t>
        </is>
      </c>
      <c r="B54" s="13" t="inlineStr">
        <is>
          <t>any</t>
        </is>
      </c>
      <c r="C54" s="3" t="inlineStr">
        <is>
          <t>Calculation</t>
        </is>
      </c>
      <c r="D54" s="2" t="inlineStr">
        <is>
          <t>Sub-process calculation:_x000D_
_x000D_
The rows, in which some columns are displayed with a white background color, already contain values ("Effort" column). These efforts are linked to the feature tasks from our previously edited feature list, among other things, and can of course no longer be overwritten._x000D_
_x000D_
Formulas have been stored for some project tasks ("Formula" column), which are of course only to be understood as suggestions. If you want to accept the result, enter "f" in the "Effort" column. In this case, the value is accepted and a "yes" is entered in the "Use formula?" column._x000D_
_x000D_
The function "Calculate tasks automatically" (see menu) takes the results from the formula calculations for all tasks for which a "yes" is entered in the "Use Formula?" column._x000D_
_x000D_
Please use this function and the formulas very carefully. adesso calculator does not know your project context and therefore only gives you an idea of the effort involved. So check the results carefully and overwrite these values accordingly if the team has a different estimate.</t>
        </is>
      </c>
      <c r="E54" s="2" t="inlineStr">
        <is>
          <t>Creating formulas</t>
        </is>
      </c>
      <c r="F54" s="3" t="inlineStr">
        <is>
          <t>#calculation-project-tasks-calculation</t>
        </is>
      </c>
    </row>
    <row r="55" ht="288" customHeight="1">
      <c r="A55" s="3" t="inlineStr">
        <is>
          <t>Project tasks</t>
        </is>
      </c>
      <c r="B55" s="13" t="inlineStr">
        <is>
          <t>any</t>
        </is>
      </c>
      <c r="C55" s="3" t="inlineStr">
        <is>
          <t>Finalization: Assignment of roles</t>
        </is>
      </c>
      <c r="D55" s="2" t="inlineStr">
        <is>
          <t>Sub-process "Finalization":_x000D_
_x000D_
The efforts of the tasks are assigned to the main roles defined in the "Preparation" sub-process in the "Project tasks" worksheet._x000D_
_x000D_
You can also add, remove or rename roles in this sub-process. To do this, use the menu item "Edit roles". There should always be a role "Any role" (or similar). You will assign this role to tasks where participation is difficult to predict, e.g. travel times, risks and warranty._x000D_
_x000D_
Please transfer the value or part of the value from the "Effort" column to the role columns. You can also use "short characters" for this, which can make input easier for you:_x000D_
_x000D_
f[&lt;percentage&gt;] = full value ("f") or part of it ("f50" = 50% of the full value)_x000D_
r[&lt;percentage&gt;] = rest of value ("r") or part of it("r30" = 30% of the rest value)_x000D_
c&lt;value&gt; = constant value_x000D_
_x000D_
In the "Not allocated effort" column, you can see which effort has not yet been allocated to a role. Make sure that each project task is fully allocated to all roles at the end.</t>
        </is>
      </c>
      <c r="E55" s="2" t="n"/>
      <c r="F55" s="3" t="inlineStr">
        <is>
          <t>#finalization-assignment-of-roles</t>
        </is>
      </c>
    </row>
    <row r="56" ht="272" customHeight="1">
      <c r="A56" s="3" t="inlineStr">
        <is>
          <t>Project tasks</t>
        </is>
      </c>
      <c r="B56" s="13" t="inlineStr">
        <is>
          <t>any</t>
        </is>
      </c>
      <c r="C56" s="3" t="inlineStr">
        <is>
          <t>Finalization: Project scheduling</t>
        </is>
      </c>
      <c r="D56" s="2" t="inlineStr">
        <is>
          <t>Sub-process "Finalization":_x000D_
_x000D_
In the "Project tasks" worksheet, you can schedule the tasks and define the dependencies. This creates the basis for a timeline (GANTT chart), for capacity planning and for an inflation calculation. _x000D_
_x000D_
Enter a date in the "Start" column or define a dependency in the "Dependency" column:_x000D_
_x000D_
bot(&lt;id&gt;)[+|-&lt;duration&gt;[d|w|m|y]] = starts together with predecessor task_x000D_
eot(&lt;id&gt;)[+|-&lt;duration&gt;[d|w|m|y]] = starts at the end of predecessor task_x000D_
aft(&lt;id&gt;)[+|-&lt;duration&gt;[d|w|m|y]] = starts one day after the predecessor task_x000D_
_x000D_
By entering the duration in the "Duration" column, the end date is calculated in the "Finish" column. Dependent tasks are recalculated on an ongoing basis._x000D_
_x000D_
In the "Show in GANTT?" column, you specify whether this task should be displayed in the GANTT chart in the "Chart | GANTT" worksheet.</t>
        </is>
      </c>
      <c r="E56" s="2" t="n"/>
      <c r="F56" s="3" t="inlineStr">
        <is>
          <t>#finalization-project-scheduling</t>
        </is>
      </c>
    </row>
    <row r="57" ht="380" customHeight="1">
      <c r="A57" s="3" t="inlineStr">
        <is>
          <t>Creating formulas</t>
        </is>
      </c>
      <c r="B57" s="13" t="inlineStr">
        <is>
          <t>any</t>
        </is>
      </c>
      <c r="C57" s="3" t="inlineStr">
        <is>
          <t>Creating formulas for tasks</t>
        </is>
      </c>
      <c r="D57" s="2" t="inlineStr">
        <is>
          <t>Formulas for calculating the effort can be stored in the "Project tasks" worksheet. These formulas can be included in a template, for example, to provide the user with assistance. Formulas can also be used for the traceability of a calculation._x000D_
_x000D_
Formulas use variables. Variables are always enclosed in square brackets: [variablenname]. There are two types auf variables: _x000D_
_x000D_
a) predefined adesso calculator system variables: The name of a system variable starts with an "#": [#total1], [#total2], [#projectlength], [#teamsize] and [#sprints]_x000D_
_x000D_
b) user variables e.g. [dev] or [test]_x000D_
_x000D_
adesso calculalor uses the same functions that you already know from Excel. However, only the English notation is used for the formulas and for the values (e.g. IFS instead of WENNS or IF instead of WENN)! A decimal point is used for decimal numbers. And for functions with several parameters, a "," is expected instead of a ";"._x000D_
_x000D_
Examples:_x000D_
_x000D_
--&gt; 10%*[#total1]_x000D_
--&gt; [#sprints]/2.5_x000D_
--&gt; max([#projectlength]*ifs([#total1]&lt;200,0.5,[#total1]&lt;500,1,[#total1]&lt;1000,1.5,[#total1]&lt;2000,2,true,3),10%*[#total1])</t>
        </is>
      </c>
      <c r="E57" s="2" t="n"/>
      <c r="F57" s="3" t="inlineStr">
        <is>
          <t>#experts-functions-creation-of-formulas</t>
        </is>
      </c>
    </row>
    <row r="58" ht="240" customHeight="1">
      <c r="A58" s="3" t="inlineStr">
        <is>
          <t>Project risks</t>
        </is>
      </c>
      <c r="B58" s="13" t="inlineStr">
        <is>
          <t>any</t>
        </is>
      </c>
      <c r="C58" s="3" t="inlineStr">
        <is>
          <t>Capture risks</t>
        </is>
      </c>
      <c r="D58" s="2" t="inlineStr">
        <is>
          <t xml:space="preserve">adesso calculator recognizes the following risk types:_x000D_
_x000D_
a) Risks in the production of features_x000D_
b) Risks in the execution of project tasks_x000D_
c) General project risks_x000D_
_x000D_
You can enter risks via the "Add risk" menu item and delete them via the "Delete risk" menu item. If you perform this operation in the "Features" or "Project tasks" worksheets, the risk is assigned to the respective feature or task. If you are on a different worksheet, a general risk is created. You can also enter general risks directly in the "Project risks" worksheet._x000D_
_x000D_
You can also assign several risks to a feature or a task. Existing risks can also be selected, i.e. a risk can be relevant for several features or several tasks._x000D_
_x000D_
</t>
        </is>
      </c>
      <c r="E58" s="2" t="inlineStr">
        <is>
          <t>Rules</t>
        </is>
      </c>
      <c r="F58" s="3" t="inlineStr">
        <is>
          <t>#preparation-project-risks</t>
        </is>
      </c>
    </row>
    <row r="59" ht="192" customHeight="1">
      <c r="A59" s="3" t="inlineStr">
        <is>
          <t>Project risks</t>
        </is>
      </c>
      <c r="B59" s="13" t="inlineStr">
        <is>
          <t>any</t>
        </is>
      </c>
      <c r="C59" s="3" t="inlineStr">
        <is>
          <t>xxx</t>
        </is>
      </c>
      <c r="D59" s="2" t="inlineStr">
        <is>
          <t>The likelihood and the impact are only estimated in the "Calculation" sub-process._x000D_
_x000D_
The likelihood of occurrence expresses the probability with which the risk could occur (0% to 99%)._x000D_
 _x000D_
The most difficult part is estimating the impact of the risk, which is entered as an effort. This effort expresses the effort that would be incurred in the project as soon as the risk occurs, i.e. a problem has to be solved._x000D_
_x000D_
adesso calculator calculates the weighted risk impact as the product of probability of occurrence and risk impact in the column "Weighted risk impact". This effort flows into the calculation of the offer.</t>
        </is>
      </c>
      <c r="E59" s="2" t="n"/>
      <c r="F59" s="3" t="inlineStr">
        <is>
          <t>#calculation-project-risks-evaluation</t>
        </is>
      </c>
    </row>
    <row r="60" ht="208" customHeight="1">
      <c r="A60" s="3" t="inlineStr">
        <is>
          <t>Project roles</t>
        </is>
      </c>
      <c r="B60" s="13" t="inlineStr">
        <is>
          <t>any</t>
        </is>
      </c>
      <c r="C60" s="3" t="inlineStr">
        <is>
          <t>Preparing: Main roles</t>
        </is>
      </c>
      <c r="D60" s="2" t="inlineStr">
        <is>
          <t>In the sub-process "Preparing" you will initially only define main roles._x000D_
_x000D_
Later, you will also define sub-roles where, for example, the seniority level is relevant._x000D_
_x000D_
The special feature of this table: rows are only inserted, removed or moved via the dialogs "Edit project roles" and "Edit sub roles". In this sub-process, you only need to call up the first-mentioned dialog._x000D_
_x000D_
Please note not to delete or move the role "Any Role" (but you can rename it accordingly). We always need this first role if expenses cannot be directly assigned to a role. This is the case with travel time expenses, for example. _x000D_
_x000D_
The roles are set up in the same order in the "Project Tasks" worksheet.</t>
        </is>
      </c>
      <c r="E60" s="2" t="inlineStr">
        <is>
          <t>Rules</t>
        </is>
      </c>
      <c r="F60" s="3" t="inlineStr">
        <is>
          <t>#preparation-project-roles</t>
        </is>
      </c>
    </row>
    <row r="61" ht="176" customHeight="1">
      <c r="A61" s="3" t="inlineStr">
        <is>
          <t>Project roles</t>
        </is>
      </c>
      <c r="B61" s="13" t="inlineStr">
        <is>
          <t>any</t>
        </is>
      </c>
      <c r="C61" s="3" t="inlineStr">
        <is>
          <t>Finalization: Role details</t>
        </is>
      </c>
      <c r="D61" s="2" t="inlineStr">
        <is>
          <t>You can use the menu item "Edit sub roles" to define sub roles for each main role and assign them proportionally. For example, you may want to define software developers with different seniority levels or you may want to outsource some of the development services to one of our Smartshore subsidiaries._x000D_
_x000D_
As soon as you have created all the sub-roles, enter further information: Company, country, location and seniority level._x000D_
_x000D_
If the existing selection is not enough for you, you can click on the column header to jump to the respective data table to add, delete or rename data. Make sure that there is always the entry "any".</t>
        </is>
      </c>
      <c r="E61" s="2" t="n"/>
      <c r="F61" s="3" t="inlineStr">
        <is>
          <t>#finalization-role-details</t>
        </is>
      </c>
    </row>
    <row r="62" ht="409.6" customHeight="1">
      <c r="A62" s="3" t="inlineStr">
        <is>
          <t>Project roles</t>
        </is>
      </c>
      <c r="B62" s="13" t="inlineStr">
        <is>
          <t>any</t>
        </is>
      </c>
      <c r="C62" s="3" t="inlineStr">
        <is>
          <t>Finalization: Daily rates and costs</t>
        </is>
      </c>
      <c r="D62" s="2" t="inlineStr">
        <is>
          <t>To calculate the price and for a contribution margin and gross profit calculation, we need further information on the sub-roles:_x000D_
_x000D_
In the "Daily costs" column, you enter the daily cost rate for the respective role. Only the real purchase costs are relevant for the gross profit calculation, and the imputed costs are also relevant for the demand-based contribution margin calculation. So if only a gross profit calculation is required, you can enter a 0 for the roles that provide an internal service, i.e. those in the contracted company or via an accounting-related company (see table in the "Companies" worksheet)._x000D_
_x000D_
a) Enter a daily rate in the "Daily rates" column. If the project is to be billed at a fixed price, the blended rate can be assigned to each role._x000D_
_x000D_
b) In the column "Daily costs (travel time)" you enter the daily cost rate for travel time. In the case of external freelancers, you may have agreed that travel time is included in the daily rate, i.e. there are no explicit costs._x000D_
_x000D_
c) In the column "Daily rate (travel time)" you enter the daily rate for travel time._x000D_
_x000D_
For the gross profit calculation, it is relevant to identify the company from which the role originates. Roles from the company "any" are regarded as external resources; a determination is therefore mandatory here._x000D_
_x000D_
Please note that the calculation in this worksheet is not automatic because it is very complex. To recalculate, you must call up the function "Recalculate role sheet" or "Refresh tables/charts" in the menu.</t>
        </is>
      </c>
      <c r="E62" s="2" t="n"/>
      <c r="F62" s="3" t="inlineStr">
        <is>
          <t>#finalization-role-details</t>
        </is>
      </c>
    </row>
    <row r="63" ht="160" customHeight="1">
      <c r="A63" s="3" t="inlineStr">
        <is>
          <t>Other costs</t>
        </is>
      </c>
      <c r="B63" s="13" t="inlineStr">
        <is>
          <t>any</t>
        </is>
      </c>
      <c r="C63" s="3" t="inlineStr">
        <is>
          <t>Please don't forget other costs!</t>
        </is>
      </c>
      <c r="D63" s="2" t="inlineStr">
        <is>
          <t>Are there other costs, for example for software licenses, for the operation of the development/test environment or for the purchase of services that are billed on a flat-rate basis?_x000D_
_x000D_
Then enter these costs in the table. Normally, the costs are passed on to the customer 1:1 so that the prices are identical to the costs._x000D_
_x000D_
Please note that the first entry is reserved for these travel costs, which you must also calculate._x000D_
_x000D_
New rows cannot be inserted oder added.</t>
        </is>
      </c>
      <c r="E63" s="2" t="inlineStr">
        <is>
          <t>Rules</t>
        </is>
      </c>
      <c r="F63" s="3" t="inlineStr">
        <is>
          <t>#finalization-other-costs</t>
        </is>
      </c>
    </row>
    <row r="64" ht="64" customHeight="1">
      <c r="A64" s="3" t="inlineStr">
        <is>
          <t>Change history</t>
        </is>
      </c>
      <c r="B64" s="13" t="inlineStr">
        <is>
          <t>any</t>
        </is>
      </c>
      <c r="C64" s="3" t="inlineStr">
        <is>
          <t>Log your changes!</t>
        </is>
      </c>
      <c r="D64" s="2" t="inlineStr">
        <is>
          <t>Entries are automatically made in this table for special events or when the file is closed._x000D_
_x000D_
You can also make your own entries at the end of the table at any time. Please use the tabulator key in the last column of the last row for adding a new row.</t>
        </is>
      </c>
      <c r="E64" s="2" t="inlineStr">
        <is>
          <t>Rules</t>
        </is>
      </c>
      <c r="F64" s="3" t="inlineStr">
        <is>
          <t>#change-history</t>
        </is>
      </c>
    </row>
    <row r="65" ht="160" customHeight="1">
      <c r="A65" s="3" t="inlineStr">
        <is>
          <t>Summary</t>
        </is>
      </c>
      <c r="B65" s="13" t="inlineStr">
        <is>
          <t>any</t>
        </is>
      </c>
      <c r="C65" s="3" t="inlineStr">
        <is>
          <t>Results of your calculation</t>
        </is>
      </c>
      <c r="D65" s="2" t="inlineStr">
        <is>
          <t xml:space="preserve">In the "Summary" worksheet you will find a summary of all calculations._x000D_
_x000D_
If you need to adjust the sales price, you can enter this value in the column "Adjusted total price" and then use the menu item "Confirm adjusted total price" to recalculate the daily rates of the roles accordingly._x000D_
_x000D_
Please refer to the instructions in the manual. Adjusting the price via the daily rates is one of several options._x000D_
_x000D_
</t>
        </is>
      </c>
      <c r="E65" s="2" t="inlineStr">
        <is>
          <t>Rules</t>
        </is>
      </c>
      <c r="F65" s="3" t="inlineStr">
        <is>
          <t>#finalization-summary</t>
        </is>
      </c>
    </row>
    <row r="66" ht="409.6" customHeight="1">
      <c r="A66" s="3" t="inlineStr">
        <is>
          <t>Data pool</t>
        </is>
      </c>
      <c r="B66" s="13" t="inlineStr">
        <is>
          <t>any</t>
        </is>
      </c>
      <c r="C66" s="3" t="inlineStr">
        <is>
          <t>Basis for reports and charts</t>
        </is>
      </c>
      <c r="D66" s="2" t="inlineStr">
        <is>
          <t>A "Data pool" is available for reports and evaluations, which can be analyzed according to a wide variety of criteria. Certain calculations that we need for some worksheets are also carried out in the data pool:_x000D_
_x000D_
a) Calculation of inflation (see option "Costs calculation includes inflation rates")_x000D_
_x000D_
b) Virtual distribution of the efforts of the role "any" to all other roles (option "Allocate first role efforts to other roles"). Note that you also change the costs and prices with the distribution of efforts._x000D_
_x000D_
c) Period-based distribution of efforts according to option "Time period type". Please note that you also change the inflation calculation with the period change._x000D_
_x000D_
This data pool is generated via the menu item "Refresh tables/charts". At the same time, the charts and tables of the active worksheet are updated._x000D_
_x000D_
The following worksheets use this data pool:_x000D_
_x000D_
a) Worksheet "Project roles"_x000D_
b) Summary" worksheet: The data pool is generated automatically when you switch to this worksheet._x000D_
c) All worksheets whose names begin with "Pivot" or "Chart", with the exception of "Chart | GANTT" and "Chart | Risks"._x000D_
_x000D_
You can make individual adjustments to all worksheets whose name begins with "Pivot" or "Chart", with the exception of "Chart | GANTT"._x000D_
_x000D_
You can also export the data pool to another Excel document via the "Export" menu item. You can then carry out further evaluations there as required.</t>
        </is>
      </c>
      <c r="E66" s="2" t="n"/>
      <c r="F66" s="3" t="inlineStr">
        <is>
          <t>#reports-and-charts-introduction</t>
        </is>
      </c>
    </row>
    <row r="67" ht="96" customHeight="1">
      <c r="A67" s="3" t="inlineStr">
        <is>
          <t>Countries</t>
        </is>
      </c>
      <c r="B67" s="13" t="inlineStr">
        <is>
          <t>any</t>
        </is>
      </c>
      <c r="C67" s="3" t="inlineStr">
        <is>
          <t>Countries and inflation rates</t>
        </is>
      </c>
      <c r="D67" s="2" t="inlineStr">
        <is>
          <t>The countries used in the worksheet "Project Roles" are listed here._x000D_
_x000D_
You can add, remove or rename countries._x000D_
_x000D_
Please also maintain the current inflation rates if you have activated the inflation calculation in the advanced options.</t>
        </is>
      </c>
      <c r="E67" s="2" t="inlineStr">
        <is>
          <t>Advanced options</t>
        </is>
      </c>
    </row>
    <row r="68" ht="112" customHeight="1">
      <c r="A68" s="3" t="inlineStr">
        <is>
          <t>Companies</t>
        </is>
      </c>
      <c r="B68" s="13" t="inlineStr">
        <is>
          <t>any</t>
        </is>
      </c>
      <c r="C68" s="3" t="inlineStr">
        <is>
          <t>Companies</t>
        </is>
      </c>
      <c r="D68" s="2" t="inlineStr">
        <is>
          <t>The companies used in the worksheets "Start" and "Project Roles" are listed here._x000D_
_x000D_
You can add, remove or rename companies._x000D_
_x000D_
In the column "Accounting-related company" , a "yes" is entered for the companies that are managed in the shared adesso SE accounting system. This identification is relevant for the gross profit calculation ("Rohertrag") and for the calculation of own work ("Eigenleistung").</t>
        </is>
      </c>
      <c r="E68" s="2" t="inlineStr">
        <is>
          <t>Rules</t>
        </is>
      </c>
    </row>
    <row r="69" ht="80" customHeight="1">
      <c r="A69" s="3" t="inlineStr">
        <is>
          <t>Locations</t>
        </is>
      </c>
      <c r="B69" s="13" t="inlineStr">
        <is>
          <t>any</t>
        </is>
      </c>
      <c r="C69" s="3" t="inlineStr">
        <is>
          <t>Locations</t>
        </is>
      </c>
      <c r="D69" s="2" t="inlineStr">
        <is>
          <t>The locations or location types (default) used in the worksheet "Project Roles" are listed here._x000D_
_x000D_
You can add, delete or rename locations._x000D_
_x000D_
The locations have no calculation effects, but are only used for reporting purposes.</t>
        </is>
      </c>
      <c r="E69" s="2" t="inlineStr">
        <is>
          <t>Rules</t>
        </is>
      </c>
    </row>
    <row r="70" ht="80" customHeight="1">
      <c r="A70" s="3" t="inlineStr">
        <is>
          <t>Seniority Levels</t>
        </is>
      </c>
      <c r="B70" s="13" t="inlineStr">
        <is>
          <t>any</t>
        </is>
      </c>
      <c r="C70" s="3" t="inlineStr">
        <is>
          <t>Seniority Levels</t>
        </is>
      </c>
      <c r="D70" s="2" t="inlineStr">
        <is>
          <t>The seniority levels used in the worksheet "Project Roles" are listed here._x000D_
_x000D_
You can add, delete or rename entries._x000D_
_x000D_
The seniority levels have no calculation effects, but are only used for reporting purposes.</t>
        </is>
      </c>
      <c r="E70" s="2" t="inlineStr">
        <is>
          <t>Rules</t>
        </is>
      </c>
    </row>
    <row r="71" ht="16" customHeight="1">
      <c r="A71" s="3" t="inlineStr">
        <is>
          <t>Log</t>
        </is>
      </c>
      <c r="B71" s="13" t="inlineStr">
        <is>
          <t>any</t>
        </is>
      </c>
      <c r="C71" s="3" t="inlineStr">
        <is>
          <t>Log of last operation</t>
        </is>
      </c>
      <c r="D71" s="2" t="inlineStr">
        <is>
          <t>Here you can view the log of last operation that has already been displayed in a dialog box.</t>
        </is>
      </c>
      <c r="E71" s="2" t="n"/>
    </row>
    <row r="72" ht="224" customHeight="1">
      <c r="A72" s="3" t="inlineStr">
        <is>
          <t>GANTT Chart</t>
        </is>
      </c>
      <c r="B72" s="13" t="inlineStr">
        <is>
          <t>any</t>
        </is>
      </c>
      <c r="C72" s="3" t="inlineStr">
        <is>
          <t>xxx</t>
        </is>
      </c>
      <c r="D72" s="2" t="inlineStr">
        <is>
          <t>In the "Chart | GANTT" worksheet, you can use the "Refresh tables/charts" menu item to recalculate and display the GANTT chart._x000D_
_x000D_
Click menu item "Edit options" where you find two options that influence the display:_x000D_
 _x000D_
a) If you uncheck the option "GANTT chart without prior sorted project tasks", the tasks and their superordinate structural elements are sorted virtually beforehand (this option does not change any data!)._x000D_
_x000D_
b) If you select a different period unit in "Time period type", the time columns will be adjusted accordingly._x000D_
_x000D_
Further changes to this chart are not possible! Alternatively, you have the option of exporting to Microsoft Project (menu item "Export" -&gt; "Export to Microsoft Project").</t>
        </is>
      </c>
      <c r="E72" s="2" t="n"/>
      <c r="F72" s="3" t="inlineStr">
        <is>
          <t>#reports-and-charts-gantt-chart</t>
        </is>
      </c>
    </row>
    <row r="73" ht="80" customHeight="1">
      <c r="A73" s="3" t="inlineStr">
        <is>
          <t>Risks Chart</t>
        </is>
      </c>
      <c r="B73" s="13" t="inlineStr">
        <is>
          <t>any</t>
        </is>
      </c>
      <c r="C73" s="3" t="inlineStr">
        <is>
          <t>xxx</t>
        </is>
      </c>
      <c r="D73" s="2" t="inlineStr">
        <is>
          <t>In the "Chart | Risks" worksheet, you can update the risk chart via the "Refresh tables/charts" menu item._x000D_
_x000D_
_x000D_
You can customize this chart individually!</t>
        </is>
      </c>
      <c r="E73" s="2" t="n"/>
      <c r="F73" s="3" t="inlineStr">
        <is>
          <t>#reports-and-charts-risk-chart</t>
        </is>
      </c>
    </row>
  </sheetData>
  <pageMargins left="0.7" right="0.7" top="0.787401575" bottom="0.787401575" header="0.3" footer="0.3"/>
  <pageSetup orientation="portrait" paperSize="9" horizontalDpi="1200" verticalDpi="1200"/>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Georg.Wichert@adesso.de</dc:creator>
  <dc:title>adesso calculator</dc:title>
  <dc:description>adesso project calculation tool</dc:description>
  <dc:subject>adesso project calculation tool</dc:subject>
  <dcterms:created xsi:type="dcterms:W3CDTF">2022-05-22T18:33:01Z</dcterms:created>
  <dcterms:modified xsi:type="dcterms:W3CDTF">2025-11-26T11:46:17Z</dcterms:modified>
  <cp:lastModifiedBy>Sven Lahann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0x01010081A7C8856076C242969B76F96BE231D2</vt:lpwstr>
  </property>
</Properties>
</file>